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itti\mtc\python\xmlimport\attempt1\"/>
    </mc:Choice>
  </mc:AlternateContent>
  <xr:revisionPtr revIDLastSave="0" documentId="13_ncr:1_{A5CF76CE-F39C-4B65-A2A3-4EDAA422F70A}" xr6:coauthVersionLast="47" xr6:coauthVersionMax="47" xr10:uidLastSave="{00000000-0000-0000-0000-000000000000}"/>
  <bookViews>
    <workbookView xWindow="-28920" yWindow="-120" windowWidth="29040" windowHeight="15840" firstSheet="2" activeTab="2" xr2:uid="{00000000-000D-0000-FFFF-FFFF00000000}"/>
  </bookViews>
  <sheets>
    <sheet name="Cover Page" sheetId="1" r:id="rId1"/>
    <sheet name="Clash Summary" sheetId="2" state="hidden" r:id="rId2"/>
    <sheet name="FP2" sheetId="3" r:id="rId3"/>
    <sheet name="CCS" sheetId="4" r:id="rId4"/>
    <sheet name="Outside building" sheetId="5" r:id="rId5"/>
    <sheet name="Dashboard" sheetId="6" state="hidden" r:id="rId6"/>
  </sheets>
  <definedNames>
    <definedName name="_56F9DC9755BA473782653E2940F9FormId">"s2k3z4RsN0aT_xQVWKipwHbfHK-uxf1CjVfJxy5sJaxUQ0NaVEk3NllNTU0wNEwyS1ZLWFhKRzExSCQlQCN0PWcu"</definedName>
    <definedName name="_56F9DC9755BA473782653E2940F9ResponseSheet">"Form1"</definedName>
    <definedName name="_56F9DC9755BA473782653E2940F9SourceDocId">"{5ed865d2-441e-478a-a642-bc8736023fe2}"</definedName>
    <definedName name="_xlnm._FilterDatabase" localSheetId="3" hidden="1">CCS!$A$8:$I$96</definedName>
    <definedName name="_xlnm._FilterDatabase" localSheetId="2" hidden="1">'FP2'!$D$5:$D$613</definedName>
    <definedName name="_xlnm._FilterDatabase" localSheetId="4" hidden="1">'Outside building'!$A$8:$I$9</definedName>
    <definedName name="_xlcn.WorksheetConnection_ClashReportTemplate_Rev.0.xlsxTable1" hidden="1">Table1</definedName>
    <definedName name="_xlnm.Print_Area" localSheetId="3">CCS!$A$1:$N$14</definedName>
    <definedName name="_xlnm.Print_Area" localSheetId="0">'Cover Page'!$A$1:$J$48</definedName>
    <definedName name="_xlnm.Print_Area" localSheetId="2">'FP2'!$A$1:$N$11</definedName>
    <definedName name="_xlnm.Print_Area" localSheetId="4">'Outside building'!$A$1:$N$27</definedName>
    <definedName name="_xlnm.Print_Titles" localSheetId="3">CCS!$1:$9</definedName>
    <definedName name="_xlnm.Print_Titles" localSheetId="1">'Clash Summary'!$1:$5</definedName>
    <definedName name="_xlnm.Print_Titles" localSheetId="2">'FP2'!$1:$9</definedName>
    <definedName name="_xlnm.Print_Titles" localSheetId="4">'Outside building'!$1:$9</definedName>
    <definedName name="Z_3506253F_A78E_4DCF_88C8_66B0EB16EF05_.wvu.FilterData" localSheetId="3" hidden="1">CCS!$E$8:$E$17</definedName>
    <definedName name="Z_3506253F_A78E_4DCF_88C8_66B0EB16EF05_.wvu.FilterData" localSheetId="2" hidden="1">'FP2'!$E$8:$E$10</definedName>
    <definedName name="Z_3506253F_A78E_4DCF_88C8_66B0EB16EF05_.wvu.FilterData" localSheetId="4" hidden="1">'Outside building'!$E$8:$E$17</definedName>
    <definedName name="Z_37BD693C_1723_4740_89DF_24AAC8BD951A_.wvu.FilterData" localSheetId="3" hidden="1">CCS!$C$9:$H$17</definedName>
    <definedName name="Z_37BD693C_1723_4740_89DF_24AAC8BD951A_.wvu.FilterData" localSheetId="2" hidden="1">'FP2'!$C$9:$H$10</definedName>
    <definedName name="Z_37BD693C_1723_4740_89DF_24AAC8BD951A_.wvu.FilterData" localSheetId="4" hidden="1">'Outside building'!$C$9:$H$17</definedName>
    <definedName name="Z_E54C8FC8_F060_4CA3_9F2B_A94DF223EF2A_.wvu.FilterData" localSheetId="3" hidden="1">CCS!#REF!</definedName>
    <definedName name="Z_E54C8FC8_F060_4CA3_9F2B_A94DF223EF2A_.wvu.FilterData" localSheetId="2" hidden="1">'FP2'!#REF!</definedName>
    <definedName name="Z_E54C8FC8_F060_4CA3_9F2B_A94DF223EF2A_.wvu.FilterData" localSheetId="4" hidden="1">'Outside building'!#REF!</definedName>
    <definedName name="Z_E9B16C5F_1B4D_4685_9C44_BF1086613264_.wvu.FilterData" localSheetId="3" hidden="1">CCS!$C$9:$H$17</definedName>
    <definedName name="Z_E9B16C5F_1B4D_4685_9C44_BF1086613264_.wvu.FilterData" localSheetId="2" hidden="1">'FP2'!$C$9:$H$10</definedName>
    <definedName name="Z_E9B16C5F_1B4D_4685_9C44_BF1086613264_.wvu.FilterData" localSheetId="4" hidden="1">'Outside building'!$C$9:$H$17</definedName>
  </definedNames>
  <calcPr calcId="191029" iterateDelta="1E-4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5" l="1"/>
  <c r="D96" i="5"/>
  <c r="A96" i="5"/>
  <c r="E95" i="5"/>
  <c r="D95" i="5"/>
  <c r="A95" i="5"/>
  <c r="E94" i="5"/>
  <c r="D94" i="5"/>
  <c r="A94" i="5"/>
  <c r="E93" i="5"/>
  <c r="D93" i="5"/>
  <c r="A93" i="5"/>
  <c r="E92" i="5"/>
  <c r="D92" i="5"/>
  <c r="A92" i="5"/>
  <c r="E91" i="5"/>
  <c r="D91" i="5"/>
  <c r="A91" i="5"/>
  <c r="E90" i="5"/>
  <c r="D90" i="5"/>
  <c r="A90" i="5"/>
  <c r="E89" i="5"/>
  <c r="D89" i="5"/>
  <c r="A89" i="5"/>
  <c r="E88" i="5"/>
  <c r="D88" i="5"/>
  <c r="A88" i="5"/>
  <c r="E87" i="5"/>
  <c r="D87" i="5"/>
  <c r="A87" i="5"/>
  <c r="E86" i="5"/>
  <c r="D86" i="5"/>
  <c r="A86" i="5"/>
  <c r="E85" i="5"/>
  <c r="D85" i="5"/>
  <c r="A85" i="5"/>
  <c r="E84" i="5"/>
  <c r="D84" i="5"/>
  <c r="A84" i="5"/>
  <c r="E83" i="5"/>
  <c r="D83" i="5"/>
  <c r="A83" i="5"/>
  <c r="E82" i="5"/>
  <c r="D82" i="5"/>
  <c r="A82" i="5"/>
  <c r="E81" i="5"/>
  <c r="D81" i="5"/>
  <c r="A81" i="5"/>
  <c r="E80" i="5"/>
  <c r="D80" i="5"/>
  <c r="A80" i="5"/>
  <c r="E79" i="5"/>
  <c r="D79" i="5"/>
  <c r="A79" i="5"/>
  <c r="E78" i="5"/>
  <c r="D78" i="5"/>
  <c r="A78" i="5"/>
  <c r="E77" i="5"/>
  <c r="D77" i="5"/>
  <c r="A77" i="5"/>
  <c r="E76" i="5"/>
  <c r="D76" i="5"/>
  <c r="A76" i="5"/>
  <c r="E75" i="5"/>
  <c r="D75" i="5"/>
  <c r="A75" i="5"/>
  <c r="E74" i="5"/>
  <c r="D74" i="5"/>
  <c r="A74" i="5"/>
  <c r="E73" i="5"/>
  <c r="D73" i="5"/>
  <c r="A73" i="5"/>
  <c r="E72" i="5"/>
  <c r="D72" i="5"/>
  <c r="A72" i="5"/>
  <c r="E71" i="5"/>
  <c r="D71" i="5"/>
  <c r="A71" i="5"/>
  <c r="E70" i="5"/>
  <c r="D70" i="5"/>
  <c r="A70" i="5"/>
  <c r="E69" i="5"/>
  <c r="D69" i="5"/>
  <c r="A69" i="5"/>
  <c r="E68" i="5"/>
  <c r="D68" i="5"/>
  <c r="A68" i="5"/>
  <c r="E67" i="5"/>
  <c r="D67" i="5"/>
  <c r="A67" i="5"/>
  <c r="E66" i="5"/>
  <c r="D66" i="5"/>
  <c r="A66" i="5"/>
  <c r="E65" i="5"/>
  <c r="D65" i="5"/>
  <c r="A65" i="5"/>
  <c r="E64" i="5"/>
  <c r="D64" i="5"/>
  <c r="A64" i="5"/>
  <c r="E63" i="5"/>
  <c r="D63" i="5"/>
  <c r="A63" i="5"/>
  <c r="E62" i="5"/>
  <c r="D62" i="5"/>
  <c r="A62" i="5"/>
  <c r="E61" i="5"/>
  <c r="D61" i="5"/>
  <c r="A61" i="5"/>
  <c r="E60" i="5"/>
  <c r="D60" i="5"/>
  <c r="A60" i="5"/>
  <c r="E59" i="5"/>
  <c r="D59" i="5"/>
  <c r="A59" i="5"/>
  <c r="E58" i="5"/>
  <c r="D58" i="5"/>
  <c r="A58" i="5"/>
  <c r="E57" i="5"/>
  <c r="D57" i="5"/>
  <c r="A57" i="5"/>
  <c r="E56" i="5"/>
  <c r="D56" i="5"/>
  <c r="A56" i="5"/>
  <c r="E55" i="5"/>
  <c r="D55" i="5"/>
  <c r="A55" i="5"/>
  <c r="E54" i="5"/>
  <c r="D54" i="5"/>
  <c r="A54" i="5"/>
  <c r="E53" i="5"/>
  <c r="D53" i="5"/>
  <c r="A53" i="5"/>
  <c r="E52" i="5"/>
  <c r="D52" i="5"/>
  <c r="A52" i="5"/>
  <c r="E51" i="5"/>
  <c r="D51" i="5"/>
  <c r="A51" i="5"/>
  <c r="E50" i="5"/>
  <c r="D50" i="5"/>
  <c r="A50" i="5"/>
  <c r="E49" i="5"/>
  <c r="D49" i="5"/>
  <c r="A49" i="5"/>
  <c r="E48" i="5"/>
  <c r="D48" i="5"/>
  <c r="A48" i="5"/>
  <c r="E47" i="5"/>
  <c r="D47" i="5"/>
  <c r="A47" i="5"/>
  <c r="E46" i="5"/>
  <c r="D46" i="5"/>
  <c r="A46" i="5"/>
  <c r="E45" i="5"/>
  <c r="D45" i="5"/>
  <c r="A45" i="5"/>
  <c r="E44" i="5"/>
  <c r="D44" i="5"/>
  <c r="A44" i="5"/>
  <c r="E43" i="5"/>
  <c r="D43" i="5"/>
  <c r="A43" i="5"/>
  <c r="E42" i="5"/>
  <c r="D42" i="5"/>
  <c r="A42" i="5"/>
  <c r="E41" i="5"/>
  <c r="D41" i="5"/>
  <c r="A41" i="5"/>
  <c r="E40" i="5"/>
  <c r="D40" i="5"/>
  <c r="A40" i="5"/>
  <c r="E39" i="5"/>
  <c r="D39" i="5"/>
  <c r="A39" i="5"/>
  <c r="E38" i="5"/>
  <c r="D38" i="5"/>
  <c r="A38" i="5"/>
  <c r="E37" i="5"/>
  <c r="D37" i="5"/>
  <c r="A37" i="5"/>
  <c r="E36" i="5"/>
  <c r="D36" i="5"/>
  <c r="A36" i="5"/>
  <c r="E35" i="5"/>
  <c r="D35" i="5"/>
  <c r="A35" i="5"/>
  <c r="E34" i="5"/>
  <c r="D34" i="5"/>
  <c r="A34" i="5"/>
  <c r="E33" i="5"/>
  <c r="D33" i="5"/>
  <c r="A33" i="5"/>
  <c r="E32" i="5"/>
  <c r="D32" i="5"/>
  <c r="A32" i="5"/>
  <c r="E31" i="5"/>
  <c r="D31" i="5"/>
  <c r="A31" i="5"/>
  <c r="E30" i="5"/>
  <c r="D30" i="5"/>
  <c r="A30" i="5"/>
  <c r="E29" i="5"/>
  <c r="D29" i="5"/>
  <c r="A29" i="5"/>
  <c r="E28" i="5"/>
  <c r="D28" i="5"/>
  <c r="A28" i="5"/>
  <c r="E27" i="5"/>
  <c r="D27" i="5"/>
  <c r="A27" i="5"/>
  <c r="E26" i="5"/>
  <c r="D26" i="5"/>
  <c r="A26" i="5"/>
  <c r="E25" i="5"/>
  <c r="D25" i="5"/>
  <c r="A25" i="5"/>
  <c r="E24" i="5"/>
  <c r="D24" i="5"/>
  <c r="A24" i="5"/>
  <c r="E23" i="5"/>
  <c r="D23" i="5"/>
  <c r="A23" i="5"/>
  <c r="E22" i="5"/>
  <c r="D22" i="5"/>
  <c r="A22" i="5"/>
  <c r="E21" i="5"/>
  <c r="D21" i="5"/>
  <c r="A21" i="5"/>
  <c r="E20" i="5"/>
  <c r="D20" i="5"/>
  <c r="A20" i="5"/>
  <c r="E19" i="5"/>
  <c r="D19" i="5"/>
  <c r="A19" i="5"/>
  <c r="E18" i="5"/>
  <c r="D18" i="5"/>
  <c r="A18" i="5"/>
  <c r="E17" i="5"/>
  <c r="D17" i="5"/>
  <c r="A17" i="5"/>
  <c r="E16" i="5"/>
  <c r="D16" i="5"/>
  <c r="A16" i="5"/>
  <c r="E15" i="5"/>
  <c r="D15" i="5"/>
  <c r="A15" i="5"/>
  <c r="E14" i="5"/>
  <c r="D14" i="5"/>
  <c r="A14" i="5"/>
  <c r="E13" i="5"/>
  <c r="D13" i="5"/>
  <c r="M31" i="2" s="1"/>
  <c r="A13" i="5"/>
  <c r="E12" i="5"/>
  <c r="D12" i="5"/>
  <c r="A12" i="5"/>
  <c r="E11" i="5"/>
  <c r="D11" i="5"/>
  <c r="M32" i="2" s="1"/>
  <c r="A11" i="5"/>
  <c r="E10" i="5"/>
  <c r="D10" i="5"/>
  <c r="A10" i="5"/>
  <c r="T7" i="5"/>
  <c r="T6" i="5"/>
  <c r="B6" i="5"/>
  <c r="A6" i="5"/>
  <c r="T5" i="5"/>
  <c r="B5" i="5"/>
  <c r="A5" i="5"/>
  <c r="T4" i="5"/>
  <c r="B4" i="5"/>
  <c r="A4" i="5"/>
  <c r="T3" i="5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T6" i="4"/>
  <c r="B6" i="4"/>
  <c r="A6" i="4"/>
  <c r="T5" i="4"/>
  <c r="B5" i="4"/>
  <c r="A5" i="4"/>
  <c r="T4" i="4"/>
  <c r="B4" i="4"/>
  <c r="A4" i="4"/>
  <c r="T3" i="4"/>
  <c r="T7" i="4" s="1"/>
  <c r="L32" i="2"/>
  <c r="K32" i="2"/>
  <c r="J32" i="2"/>
  <c r="I32" i="2"/>
  <c r="H32" i="2"/>
  <c r="L31" i="2"/>
  <c r="K31" i="2"/>
  <c r="J31" i="2"/>
  <c r="I31" i="2"/>
  <c r="H31" i="2"/>
  <c r="N30" i="2"/>
  <c r="M30" i="2"/>
  <c r="L30" i="2"/>
  <c r="K30" i="2"/>
  <c r="J30" i="2"/>
  <c r="I30" i="2"/>
  <c r="H30" i="2"/>
  <c r="N29" i="2"/>
  <c r="M29" i="2"/>
  <c r="L29" i="2"/>
  <c r="K29" i="2"/>
  <c r="J29" i="2"/>
  <c r="I29" i="2"/>
  <c r="H29" i="2"/>
  <c r="N22" i="2"/>
  <c r="M22" i="2"/>
  <c r="L22" i="2"/>
  <c r="K22" i="2"/>
  <c r="J22" i="2"/>
  <c r="I22" i="2"/>
  <c r="H22" i="2"/>
  <c r="N21" i="2"/>
  <c r="M21" i="2"/>
  <c r="L21" i="2"/>
  <c r="K21" i="2"/>
  <c r="J21" i="2"/>
  <c r="I21" i="2"/>
  <c r="H21" i="2"/>
  <c r="N20" i="2"/>
  <c r="M20" i="2"/>
  <c r="M25" i="2" s="1"/>
  <c r="L20" i="2"/>
  <c r="K20" i="2"/>
  <c r="J20" i="2"/>
  <c r="I20" i="2"/>
  <c r="H20" i="2"/>
  <c r="N19" i="2"/>
  <c r="N25" i="2" s="1"/>
  <c r="M19" i="2"/>
  <c r="M23" i="2" s="1"/>
  <c r="L19" i="2"/>
  <c r="K19" i="2"/>
  <c r="J19" i="2"/>
  <c r="I19" i="2"/>
  <c r="H19" i="2"/>
  <c r="L11" i="2"/>
  <c r="K11" i="2"/>
  <c r="J11" i="2"/>
  <c r="I11" i="2"/>
  <c r="H11" i="2"/>
  <c r="L10" i="2"/>
  <c r="K10" i="2"/>
  <c r="J10" i="2"/>
  <c r="I10" i="2"/>
  <c r="H10" i="2"/>
  <c r="L9" i="2"/>
  <c r="K9" i="2"/>
  <c r="J9" i="2"/>
  <c r="I9" i="2"/>
  <c r="H9" i="2"/>
  <c r="L8" i="2"/>
  <c r="K8" i="2"/>
  <c r="J8" i="2"/>
  <c r="I8" i="2"/>
  <c r="H8" i="2"/>
  <c r="E10" i="3"/>
  <c r="D10" i="3"/>
  <c r="N9" i="2" s="1"/>
  <c r="T6" i="3"/>
  <c r="B6" i="3"/>
  <c r="A6" i="3"/>
  <c r="T5" i="3"/>
  <c r="B5" i="3"/>
  <c r="A5" i="3"/>
  <c r="T4" i="3"/>
  <c r="B4" i="3"/>
  <c r="A4" i="3"/>
  <c r="T3" i="3"/>
  <c r="T7" i="3" s="1"/>
  <c r="M9" i="2" l="1"/>
  <c r="M35" i="2"/>
  <c r="M11" i="2"/>
  <c r="N23" i="2"/>
  <c r="M24" i="2" s="1"/>
  <c r="N31" i="2"/>
  <c r="N33" i="2" s="1"/>
  <c r="N11" i="2"/>
  <c r="M8" i="2"/>
  <c r="N8" i="2"/>
  <c r="M10" i="2"/>
  <c r="N10" i="2"/>
  <c r="N32" i="2"/>
  <c r="M33" i="2"/>
  <c r="N14" i="2" l="1"/>
  <c r="N12" i="2"/>
  <c r="M14" i="2"/>
  <c r="M12" i="2"/>
  <c r="N35" i="2"/>
  <c r="M34" i="2"/>
  <c r="M13" i="2" l="1"/>
</calcChain>
</file>

<file path=xl/sharedStrings.xml><?xml version="1.0" encoding="utf-8"?>
<sst xmlns="http://schemas.openxmlformats.org/spreadsheetml/2006/main" count="203" uniqueCount="95">
  <si>
    <t xml:space="preserve">CLASH REPORT : 100% Basic Design </t>
  </si>
  <si>
    <t>Clash summary</t>
  </si>
  <si>
    <t>NEW</t>
  </si>
  <si>
    <t>ACTIVE</t>
  </si>
  <si>
    <t>RESOLVED</t>
  </si>
  <si>
    <t>PENDING</t>
  </si>
  <si>
    <t>Total</t>
  </si>
  <si>
    <t>Item</t>
  </si>
  <si>
    <t>Folder
[In Viewpoint]</t>
  </si>
  <si>
    <t>Viewpoint Title</t>
  </si>
  <si>
    <t>Priority</t>
  </si>
  <si>
    <t>Discipline</t>
  </si>
  <si>
    <t>Date Found</t>
  </si>
  <si>
    <t>Image</t>
  </si>
  <si>
    <t>Clash Status</t>
  </si>
  <si>
    <t>Resp. by</t>
  </si>
  <si>
    <t>For Designer</t>
  </si>
  <si>
    <t>Resolved</t>
  </si>
  <si>
    <t>Design Pending</t>
  </si>
  <si>
    <t xml:space="preserve">Issue shall be resolve on cons. phase </t>
  </si>
  <si>
    <t>Note</t>
  </si>
  <si>
    <t>Image 
After Resolved</t>
  </si>
  <si>
    <t>VISUAL CHECK</t>
  </si>
  <si>
    <t>AR</t>
  </si>
  <si>
    <t>CLASH CHECK</t>
  </si>
  <si>
    <t>CCS Building</t>
  </si>
  <si>
    <t>FP2 Building</t>
  </si>
  <si>
    <t>V015_AR_Guard rail obstructs door SPD</t>
  </si>
  <si>
    <t>V016_AR_Need reailing?</t>
  </si>
  <si>
    <t>V019_AR/ST_ตรวจสอบความเรียบร้อยโมเดล canopy</t>
  </si>
  <si>
    <t>V020_MEP_Recheck ความเรียบร้อยมเดล</t>
  </si>
  <si>
    <t>V021_ME_Check แนวท่อเชื่อม vs AHU</t>
  </si>
  <si>
    <t xml:space="preserve">
  Metric Consulting Engineers &amp; Architects Co.,Ltd.</t>
  </si>
  <si>
    <t/>
  </si>
  <si>
    <t xml:space="preserve">Document Number:
    </t>
  </si>
  <si>
    <t xml:space="preserve">Document Type:
</t>
  </si>
  <si>
    <t xml:space="preserve">Discipline:
</t>
  </si>
  <si>
    <t>TP-BM-005</t>
  </si>
  <si>
    <t>TEMPLATE</t>
  </si>
  <si>
    <t>BIM</t>
  </si>
  <si>
    <t>Revision:</t>
  </si>
  <si>
    <t>Issue Date:</t>
  </si>
  <si>
    <t>Author:</t>
  </si>
  <si>
    <t xml:space="preserve"> Metric Consulting Engineers &amp; Architects Co.,Ltd.</t>
  </si>
  <si>
    <t>00</t>
  </si>
  <si>
    <t xml:space="preserve"> 17-SEP-2025</t>
  </si>
  <si>
    <t>PPK</t>
  </si>
  <si>
    <t>CLASH SUMMARY REPORT</t>
  </si>
  <si>
    <t>REVISIONS</t>
  </si>
  <si>
    <t>Rev.</t>
  </si>
  <si>
    <t>Date</t>
  </si>
  <si>
    <t>Created by</t>
  </si>
  <si>
    <t>Reviewed by</t>
  </si>
  <si>
    <t>Approved by</t>
  </si>
  <si>
    <t>Revision Details</t>
  </si>
  <si>
    <t>PKP</t>
  </si>
  <si>
    <t>PCP</t>
  </si>
  <si>
    <t>First issue</t>
  </si>
  <si>
    <t xml:space="preserve">Project </t>
  </si>
  <si>
    <t>: SAMURAI CARGILL (PDPIIB)</t>
  </si>
  <si>
    <t>Client</t>
  </si>
  <si>
    <t>: Cargill Meats Thailand</t>
  </si>
  <si>
    <t xml:space="preserve">Report Date   </t>
  </si>
  <si>
    <t>: 18 / 05 / 2026</t>
  </si>
  <si>
    <t>Current Clash by Priority</t>
  </si>
  <si>
    <t>CI</t>
  </si>
  <si>
    <t>ST</t>
  </si>
  <si>
    <t>ME</t>
  </si>
  <si>
    <t>EE</t>
  </si>
  <si>
    <t>MAJOR</t>
  </si>
  <si>
    <t>MINOR</t>
  </si>
  <si>
    <t>Design Pending Issue</t>
  </si>
  <si>
    <t>1.Note 1</t>
  </si>
  <si>
    <t>2.Note 2</t>
  </si>
  <si>
    <t>3.Note 3</t>
  </si>
  <si>
    <t>Issues Remaining</t>
  </si>
  <si>
    <t>Clash Resolved</t>
  </si>
  <si>
    <t>Outside Building</t>
  </si>
  <si>
    <t>CLASH REPORT : 100% Basic Design</t>
  </si>
  <si>
    <t>Row Labels</t>
  </si>
  <si>
    <t>Count of Clash Status</t>
  </si>
  <si>
    <t>Sum of MAJOR</t>
  </si>
  <si>
    <t>Sum of MINOR</t>
  </si>
  <si>
    <t>001_MAJOR_002_ST/EE_Cable tray ทะลุผ่านคาน_20230408</t>
  </si>
  <si>
    <t>002_MINOR_000_AR/AC_Duct ชนฝ้า_20210813</t>
  </si>
  <si>
    <t>Grand Total</t>
  </si>
  <si>
    <t>003_MAJOR_000_CI/ME_ท่อไม่ตรงกับ Manhole_20240210</t>
  </si>
  <si>
    <t>004_MAJOR_000_CI/ME_ท่อไม่ตรงกับ Manhole_20240210</t>
  </si>
  <si>
    <t>005_MAJOR_000_CI/ME_ท่อไม่ตรงกับ Manhole_20240210</t>
  </si>
  <si>
    <t>006_MAJOR_000_CI/ME_ท่อไม่ตรงกับ Manhole_20240210</t>
  </si>
  <si>
    <t>(blank)</t>
  </si>
  <si>
    <t>Count of Discipline</t>
  </si>
  <si>
    <t>Count of Priority</t>
  </si>
  <si>
    <t>Minor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</si>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</sst>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72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4"/>
      <color theme="1"/>
      <name val="Tahoma"/>
      <family val="2"/>
    </font>
    <font>
      <sz val="14"/>
      <color theme="1"/>
      <name val="Calibri"/>
      <family val="2"/>
    </font>
    <font>
      <b/>
      <sz val="22"/>
      <color theme="1"/>
      <name val="CordiaUPC"/>
      <family val="2"/>
    </font>
    <font>
      <sz val="16"/>
      <color theme="1"/>
      <name val="Tahoma"/>
      <family val="2"/>
      <scheme val="major"/>
    </font>
    <font>
      <b/>
      <sz val="14"/>
      <color theme="8"/>
      <name val="Calibri"/>
      <family val="2"/>
    </font>
    <font>
      <b/>
      <sz val="14"/>
      <color theme="5"/>
      <name val="Calibri"/>
      <family val="2"/>
    </font>
    <font>
      <b/>
      <sz val="14"/>
      <color theme="1"/>
      <name val="Tahoma"/>
      <family val="2"/>
      <scheme val="minor"/>
    </font>
    <font>
      <sz val="14"/>
      <color rgb="FFFF0000"/>
      <name val="Calibri"/>
      <family val="2"/>
    </font>
    <font>
      <sz val="14"/>
      <color rgb="FF00B0F0"/>
      <name val="Calibri"/>
      <family val="2"/>
    </font>
    <font>
      <sz val="14"/>
      <color rgb="FFC00000"/>
      <name val="Calibri"/>
      <family val="2"/>
    </font>
    <font>
      <sz val="14"/>
      <color rgb="FF00B050"/>
      <name val="Calibri"/>
      <family val="2"/>
    </font>
    <font>
      <b/>
      <sz val="18"/>
      <color theme="1"/>
      <name val="CordiaUPC"/>
      <family val="2"/>
    </font>
    <font>
      <sz val="14"/>
      <color rgb="FFC00000"/>
      <name val="Tahoma"/>
      <family val="2"/>
      <scheme val="minor"/>
    </font>
    <font>
      <b/>
      <sz val="14"/>
      <color theme="1"/>
      <name val="CordiaUPC"/>
      <family val="2"/>
    </font>
    <font>
      <sz val="14"/>
      <color theme="1"/>
      <name val="CordiaUPC"/>
      <family val="2"/>
    </font>
    <font>
      <b/>
      <sz val="24"/>
      <color theme="1"/>
      <name val="CordiaUPC"/>
      <family val="2"/>
    </font>
    <font>
      <b/>
      <sz val="12"/>
      <color theme="1"/>
      <name val="CordiaUPC"/>
      <family val="2"/>
    </font>
    <font>
      <b/>
      <sz val="12"/>
      <name val="CordiaUPC"/>
      <family val="2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sz val="12"/>
      <color theme="1"/>
      <name val="CordiaUPC"/>
      <family val="2"/>
    </font>
    <font>
      <b/>
      <sz val="11"/>
      <color theme="1"/>
      <name val="CordiaUPC"/>
      <family val="2"/>
    </font>
    <font>
      <b/>
      <sz val="11"/>
      <color theme="3" tint="0.499984740745262"/>
      <name val="CordiaUPC"/>
      <family val="2"/>
    </font>
    <font>
      <sz val="11"/>
      <name val="CordiaUPC"/>
      <family val="2"/>
    </font>
    <font>
      <b/>
      <sz val="16"/>
      <color theme="1"/>
      <name val="CordiaUPC"/>
      <family val="2"/>
    </font>
    <font>
      <b/>
      <sz val="26"/>
      <color theme="1"/>
      <name val="CordiaUPC"/>
      <family val="2"/>
    </font>
    <font>
      <b/>
      <sz val="11"/>
      <color theme="1"/>
      <name val="Tahoma"/>
      <family val="2"/>
      <scheme val="minor"/>
    </font>
    <font>
      <sz val="18"/>
      <color theme="1" tint="0.34998626667073579"/>
      <name val="Calibri"/>
      <family val="2"/>
    </font>
    <font>
      <b/>
      <sz val="11"/>
      <name val="Arial Black"/>
      <family val="2"/>
    </font>
    <font>
      <b/>
      <sz val="24"/>
      <name val="CordiaUPC"/>
      <family val="2"/>
    </font>
    <font>
      <sz val="16"/>
      <color theme="1"/>
      <name val="Arial Black"/>
      <family val="2"/>
    </font>
    <font>
      <b/>
      <sz val="16"/>
      <name val="Arial Black"/>
      <family val="2"/>
    </font>
    <font>
      <sz val="16"/>
      <name val="CordiaUPC"/>
      <family val="2"/>
    </font>
    <font>
      <sz val="16"/>
      <color theme="1"/>
      <name val="Tahoma"/>
      <family val="2"/>
      <scheme val="minor"/>
    </font>
    <font>
      <b/>
      <sz val="12"/>
      <color theme="1"/>
      <name val="Arial"/>
      <family val="2"/>
    </font>
    <font>
      <sz val="20"/>
      <color rgb="FF0000FF"/>
      <name val="BrowalliaUPC"/>
      <family val="2"/>
    </font>
    <font>
      <sz val="18"/>
      <color rgb="FF0000FF"/>
      <name val="Tahoma"/>
      <family val="2"/>
      <scheme val="maj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name val="Arial"/>
      <family val="2"/>
    </font>
    <font>
      <b/>
      <sz val="16"/>
      <color theme="0"/>
      <name val="Arial"/>
      <family val="2"/>
    </font>
    <font>
      <b/>
      <sz val="14"/>
      <color rgb="FFFFC000"/>
      <name val="Arial"/>
      <family val="2"/>
    </font>
    <font>
      <b/>
      <sz val="14"/>
      <color theme="5" tint="-0.249977111117893"/>
      <name val="Arial"/>
      <family val="2"/>
    </font>
    <font>
      <b/>
      <sz val="14"/>
      <color theme="9"/>
      <name val="Arial"/>
      <family val="2"/>
    </font>
    <font>
      <b/>
      <sz val="14"/>
      <color rgb="FF0070C0"/>
      <name val="Arial"/>
      <family val="2"/>
    </font>
    <font>
      <b/>
      <sz val="11"/>
      <color theme="0" tint="-0.499984740745262"/>
      <name val="CordiaUPC"/>
      <family val="2"/>
    </font>
    <font>
      <b/>
      <sz val="11"/>
      <name val="CordiaUPC"/>
      <family val="2"/>
    </font>
    <font>
      <b/>
      <sz val="11"/>
      <color rgb="FF0000FF"/>
      <name val="CordiaUPC"/>
      <family val="2"/>
    </font>
    <font>
      <b/>
      <sz val="14"/>
      <color rgb="FFFF0000"/>
      <name val="Calibri"/>
      <family val="2"/>
    </font>
    <font>
      <b/>
      <sz val="18"/>
      <color rgb="FFFF0000"/>
      <name val="Calibri"/>
      <family val="2"/>
    </font>
    <font>
      <b/>
      <sz val="11"/>
      <color rgb="FFFF0000"/>
      <name val="CordiaUPC"/>
      <family val="2"/>
    </font>
    <font>
      <sz val="12"/>
      <name val="Tahoma"/>
      <family val="2"/>
      <scheme val="minor"/>
    </font>
    <font>
      <sz val="11"/>
      <name val="Tahoma"/>
      <family val="2"/>
      <scheme val="minor"/>
    </font>
    <font>
      <sz val="16"/>
      <name val="FreesiaUPC"/>
      <family val="2"/>
    </font>
    <font>
      <i/>
      <sz val="16"/>
      <name val="FreesiaUPC"/>
      <family val="2"/>
    </font>
    <font>
      <b/>
      <u/>
      <sz val="16"/>
      <name val="Tahoma"/>
      <family val="2"/>
      <scheme val="minor"/>
    </font>
    <font>
      <b/>
      <sz val="16"/>
      <color rgb="FF0000FF"/>
      <name val="FreesiaUPC"/>
      <family val="2"/>
    </font>
    <font>
      <sz val="14"/>
      <name val="FreesiaUPC"/>
      <family val="2"/>
    </font>
    <font>
      <sz val="16"/>
      <color rgb="FF0000FF"/>
      <name val="FreesiaUPC"/>
      <family val="2"/>
    </font>
    <font>
      <b/>
      <sz val="12"/>
      <name val="Tahoma"/>
      <family val="2"/>
      <scheme val="minor"/>
    </font>
    <font>
      <b/>
      <sz val="28"/>
      <name val="FreesiaUPC"/>
      <family val="2"/>
    </font>
    <font>
      <sz val="16"/>
      <color theme="1"/>
      <name val="FreesiaUPC"/>
      <family val="2"/>
    </font>
    <font>
      <b/>
      <sz val="16"/>
      <name val="FreesiaUPC"/>
      <family val="2"/>
    </font>
    <font>
      <sz val="14"/>
      <color theme="1"/>
      <name val="FreesiaUPC"/>
      <family val="2"/>
    </font>
    <font>
      <b/>
      <sz val="14"/>
      <color theme="0"/>
      <name val="FreesiaUPC"/>
      <family val="2"/>
    </font>
    <font>
      <sz val="14"/>
      <color rgb="FF0000FF"/>
      <name val="FreesiaUPC"/>
      <family val="2"/>
    </font>
    <font>
      <sz val="12"/>
      <color theme="1"/>
      <name val="Tahoma"/>
      <family val="2"/>
      <scheme val="minor"/>
    </font>
    <font>
      <sz val="10"/>
      <color rgb="FFFF0000"/>
      <name val="Tahoma"/>
      <family val="2"/>
      <scheme val="minor"/>
    </font>
    <font>
      <b/>
      <sz val="16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rgb="FFFFE59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61A24"/>
        <bgColor indexed="64"/>
      </patternFill>
    </fill>
  </fills>
  <borders count="63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/>
      <bottom/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indexed="64"/>
      </right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3"/>
      </left>
      <right style="thin">
        <color theme="0" tint="-0.499984740745262"/>
      </right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/>
      <bottom style="thin">
        <color theme="3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medium">
        <color indexed="64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3"/>
      </bottom>
      <diagonal/>
    </border>
  </borders>
  <cellStyleXfs count="2">
    <xf numFmtId="0" fontId="0" fillId="0" borderId="0"/>
    <xf numFmtId="0" fontId="1" fillId="0" borderId="0"/>
  </cellStyleXfs>
  <cellXfs count="230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5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3" fillId="2" borderId="2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/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10" xfId="0" applyBorder="1"/>
    <xf numFmtId="0" fontId="16" fillId="0" borderId="0" xfId="0" applyFont="1"/>
    <xf numFmtId="0" fontId="1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vertical="center"/>
    </xf>
    <xf numFmtId="0" fontId="15" fillId="7" borderId="1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20" fillId="0" borderId="0" xfId="0" applyFont="1" applyAlignment="1">
      <alignment horizontal="left"/>
    </xf>
    <xf numFmtId="0" fontId="21" fillId="0" borderId="0" xfId="0" applyFont="1"/>
    <xf numFmtId="0" fontId="0" fillId="0" borderId="0" xfId="0" applyAlignment="1">
      <alignment horizontal="center" vertical="center"/>
    </xf>
    <xf numFmtId="0" fontId="26" fillId="0" borderId="0" xfId="0" applyFont="1"/>
    <xf numFmtId="0" fontId="3" fillId="0" borderId="14" xfId="0" applyFont="1" applyBorder="1" applyAlignment="1">
      <alignment vertical="top"/>
    </xf>
    <xf numFmtId="0" fontId="13" fillId="3" borderId="22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8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/>
    <xf numFmtId="0" fontId="9" fillId="0" borderId="2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7" fillId="4" borderId="24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/>
    </xf>
    <xf numFmtId="0" fontId="38" fillId="0" borderId="0" xfId="0" applyFont="1" applyAlignment="1">
      <alignment vertical="top"/>
    </xf>
    <xf numFmtId="0" fontId="37" fillId="0" borderId="5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center" vertical="top"/>
    </xf>
    <xf numFmtId="0" fontId="15" fillId="10" borderId="11" xfId="0" applyFont="1" applyFill="1" applyBorder="1" applyAlignment="1">
      <alignment horizontal="center" vertical="center" wrapText="1"/>
    </xf>
    <xf numFmtId="0" fontId="43" fillId="8" borderId="29" xfId="0" applyFont="1" applyFill="1" applyBorder="1" applyAlignment="1">
      <alignment vertical="center"/>
    </xf>
    <xf numFmtId="0" fontId="0" fillId="8" borderId="30" xfId="0" applyFill="1" applyBorder="1" applyAlignment="1">
      <alignment vertical="center"/>
    </xf>
    <xf numFmtId="0" fontId="44" fillId="0" borderId="31" xfId="0" applyFont="1" applyBorder="1" applyAlignment="1">
      <alignment horizontal="left" vertical="center"/>
    </xf>
    <xf numFmtId="0" fontId="42" fillId="0" borderId="3" xfId="0" applyFont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0" fontId="41" fillId="0" borderId="3" xfId="0" applyFont="1" applyBorder="1" applyAlignment="1">
      <alignment horizontal="center" vertical="center"/>
    </xf>
    <xf numFmtId="0" fontId="46" fillId="0" borderId="31" xfId="0" applyFont="1" applyBorder="1" applyAlignment="1">
      <alignment horizontal="left" vertical="center"/>
    </xf>
    <xf numFmtId="0" fontId="47" fillId="0" borderId="31" xfId="0" applyFont="1" applyBorder="1" applyAlignment="1">
      <alignment horizontal="left" vertical="center"/>
    </xf>
    <xf numFmtId="0" fontId="39" fillId="9" borderId="32" xfId="0" applyFont="1" applyFill="1" applyBorder="1" applyAlignment="1">
      <alignment vertical="center"/>
    </xf>
    <xf numFmtId="0" fontId="40" fillId="9" borderId="33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8" fillId="0" borderId="11" xfId="0" applyFont="1" applyBorder="1" applyAlignment="1">
      <alignment horizontal="right" vertical="center" wrapText="1"/>
    </xf>
    <xf numFmtId="0" fontId="50" fillId="0" borderId="11" xfId="0" applyFont="1" applyBorder="1" applyAlignment="1">
      <alignment horizontal="right" vertical="center" wrapText="1"/>
    </xf>
    <xf numFmtId="0" fontId="23" fillId="0" borderId="34" xfId="0" applyFont="1" applyBorder="1" applyAlignment="1">
      <alignment vertical="center"/>
    </xf>
    <xf numFmtId="0" fontId="23" fillId="0" borderId="34" xfId="0" applyFont="1" applyBorder="1" applyAlignment="1">
      <alignment horizontal="center" vertical="center"/>
    </xf>
    <xf numFmtId="0" fontId="49" fillId="6" borderId="28" xfId="0" applyFont="1" applyFill="1" applyBorder="1" applyAlignment="1">
      <alignment horizontal="center" vertical="center"/>
    </xf>
    <xf numFmtId="0" fontId="49" fillId="6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1" fillId="0" borderId="1" xfId="0" applyFont="1" applyBorder="1" applyAlignment="1">
      <alignment horizontal="left" vertical="top" wrapText="1"/>
    </xf>
    <xf numFmtId="0" fontId="52" fillId="0" borderId="1" xfId="0" applyFont="1" applyBorder="1" applyAlignment="1">
      <alignment horizontal="left" vertical="top" wrapText="1"/>
    </xf>
    <xf numFmtId="0" fontId="53" fillId="6" borderId="40" xfId="0" applyFont="1" applyFill="1" applyBorder="1" applyAlignment="1">
      <alignment horizontal="center" vertical="center"/>
    </xf>
    <xf numFmtId="0" fontId="53" fillId="6" borderId="11" xfId="0" applyFont="1" applyFill="1" applyBorder="1" applyAlignment="1">
      <alignment horizontal="center" vertical="center"/>
    </xf>
    <xf numFmtId="0" fontId="54" fillId="0" borderId="41" xfId="1" applyFont="1" applyBorder="1" applyAlignment="1">
      <alignment vertical="top" wrapText="1"/>
    </xf>
    <xf numFmtId="0" fontId="56" fillId="0" borderId="44" xfId="1" applyFont="1" applyBorder="1" applyAlignment="1">
      <alignment vertical="top" wrapText="1"/>
    </xf>
    <xf numFmtId="0" fontId="57" fillId="0" borderId="45" xfId="1" applyFont="1" applyBorder="1" applyAlignment="1">
      <alignment vertical="top" wrapText="1"/>
    </xf>
    <xf numFmtId="0" fontId="58" fillId="0" borderId="46" xfId="1" applyFont="1" applyBorder="1" applyAlignment="1">
      <alignment vertical="center"/>
    </xf>
    <xf numFmtId="0" fontId="1" fillId="0" borderId="0" xfId="1"/>
    <xf numFmtId="0" fontId="54" fillId="0" borderId="47" xfId="1" applyFont="1" applyBorder="1" applyAlignment="1">
      <alignment vertical="top" wrapText="1"/>
    </xf>
    <xf numFmtId="0" fontId="59" fillId="0" borderId="24" xfId="1" applyFont="1" applyBorder="1" applyAlignment="1">
      <alignment horizontal="center" vertical="center" wrapText="1"/>
    </xf>
    <xf numFmtId="0" fontId="59" fillId="0" borderId="37" xfId="1" applyFont="1" applyBorder="1" applyAlignment="1">
      <alignment horizontal="center" vertical="center" wrapText="1"/>
    </xf>
    <xf numFmtId="0" fontId="58" fillId="0" borderId="49" xfId="1" applyFont="1" applyBorder="1" applyAlignment="1">
      <alignment vertical="center"/>
    </xf>
    <xf numFmtId="0" fontId="56" fillId="0" borderId="50" xfId="1" applyFont="1" applyBorder="1" applyAlignment="1">
      <alignment vertical="center" wrapText="1"/>
    </xf>
    <xf numFmtId="0" fontId="56" fillId="0" borderId="23" xfId="1" applyFont="1" applyBorder="1" applyAlignment="1">
      <alignment vertical="center" wrapText="1"/>
    </xf>
    <xf numFmtId="0" fontId="56" fillId="0" borderId="35" xfId="1" applyFont="1" applyBorder="1" applyAlignment="1">
      <alignment vertical="center" wrapText="1"/>
    </xf>
    <xf numFmtId="0" fontId="58" fillId="0" borderId="51" xfId="1" applyFont="1" applyBorder="1" applyAlignment="1">
      <alignment vertical="center"/>
    </xf>
    <xf numFmtId="0" fontId="54" fillId="0" borderId="52" xfId="1" applyFont="1" applyBorder="1" applyAlignment="1">
      <alignment vertical="top" wrapText="1"/>
    </xf>
    <xf numFmtId="49" fontId="59" fillId="0" borderId="55" xfId="1" applyNumberFormat="1" applyFont="1" applyBorder="1" applyAlignment="1">
      <alignment horizontal="center" vertical="center" wrapText="1"/>
    </xf>
    <xf numFmtId="0" fontId="61" fillId="0" borderId="56" xfId="1" applyFont="1" applyBorder="1" applyAlignment="1">
      <alignment horizontal="center" vertical="center" wrapText="1"/>
    </xf>
    <xf numFmtId="0" fontId="59" fillId="0" borderId="56" xfId="1" applyFont="1" applyBorder="1" applyAlignment="1">
      <alignment horizontal="center" vertical="center" wrapText="1"/>
    </xf>
    <xf numFmtId="0" fontId="58" fillId="0" borderId="57" xfId="1" applyFont="1" applyBorder="1" applyAlignment="1">
      <alignment horizontal="center" vertical="center"/>
    </xf>
    <xf numFmtId="0" fontId="1" fillId="0" borderId="47" xfId="1" applyBorder="1"/>
    <xf numFmtId="0" fontId="62" fillId="0" borderId="0" xfId="1" applyFont="1" applyAlignment="1">
      <alignment horizontal="center" vertical="center"/>
    </xf>
    <xf numFmtId="0" fontId="1" fillId="0" borderId="51" xfId="1" applyBorder="1"/>
    <xf numFmtId="0" fontId="54" fillId="0" borderId="0" xfId="1" applyFont="1" applyAlignment="1">
      <alignment horizontal="center" vertical="center"/>
    </xf>
    <xf numFmtId="0" fontId="64" fillId="0" borderId="47" xfId="1" applyFont="1" applyBorder="1"/>
    <xf numFmtId="0" fontId="64" fillId="0" borderId="51" xfId="1" applyFont="1" applyBorder="1"/>
    <xf numFmtId="0" fontId="64" fillId="0" borderId="0" xfId="1" applyFont="1"/>
    <xf numFmtId="0" fontId="1" fillId="0" borderId="47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7" xfId="1" applyBorder="1" applyAlignment="1">
      <alignment vertical="top"/>
    </xf>
    <xf numFmtId="0" fontId="1" fillId="0" borderId="51" xfId="1" applyBorder="1" applyAlignment="1">
      <alignment vertical="top"/>
    </xf>
    <xf numFmtId="0" fontId="1" fillId="0" borderId="0" xfId="1" applyAlignment="1">
      <alignment vertical="top"/>
    </xf>
    <xf numFmtId="0" fontId="67" fillId="11" borderId="11" xfId="1" applyFont="1" applyFill="1" applyBorder="1" applyAlignment="1">
      <alignment horizontal="center" vertical="center"/>
    </xf>
    <xf numFmtId="49" fontId="68" fillId="0" borderId="11" xfId="1" applyNumberFormat="1" applyFont="1" applyBorder="1" applyAlignment="1">
      <alignment horizontal="center" vertical="center"/>
    </xf>
    <xf numFmtId="15" fontId="68" fillId="0" borderId="11" xfId="1" applyNumberFormat="1" applyFont="1" applyBorder="1" applyAlignment="1">
      <alignment horizontal="center" vertical="center"/>
    </xf>
    <xf numFmtId="0" fontId="68" fillId="0" borderId="11" xfId="1" applyFont="1" applyBorder="1" applyAlignment="1">
      <alignment horizontal="center" vertical="center"/>
    </xf>
    <xf numFmtId="0" fontId="1" fillId="0" borderId="52" xfId="1" applyBorder="1"/>
    <xf numFmtId="0" fontId="69" fillId="0" borderId="53" xfId="1" applyFont="1" applyBorder="1" applyAlignment="1">
      <alignment horizontal="center"/>
    </xf>
    <xf numFmtId="0" fontId="69" fillId="0" borderId="53" xfId="1" applyFont="1" applyBorder="1" applyAlignment="1">
      <alignment horizontal="left"/>
    </xf>
    <xf numFmtId="0" fontId="70" fillId="0" borderId="53" xfId="1" applyFont="1" applyBorder="1" applyAlignment="1">
      <alignment horizontal="left" vertical="center"/>
    </xf>
    <xf numFmtId="0" fontId="1" fillId="0" borderId="57" xfId="1" applyBorder="1"/>
    <xf numFmtId="1" fontId="66" fillId="0" borderId="0" xfId="1" quotePrefix="1" applyNumberFormat="1" applyFont="1" applyAlignment="1">
      <alignment horizontal="center" vertical="center"/>
    </xf>
    <xf numFmtId="0" fontId="60" fillId="0" borderId="0" xfId="1" quotePrefix="1" applyFont="1" applyAlignment="1">
      <alignment horizontal="center" vertical="center"/>
    </xf>
    <xf numFmtId="0" fontId="60" fillId="0" borderId="0" xfId="1" quotePrefix="1" applyFont="1" applyAlignment="1">
      <alignment horizontal="center" vertical="top"/>
    </xf>
    <xf numFmtId="0" fontId="60" fillId="0" borderId="0" xfId="1" applyFont="1" applyAlignment="1">
      <alignment horizontal="center" vertical="center"/>
    </xf>
    <xf numFmtId="0" fontId="60" fillId="0" borderId="0" xfId="1" applyFont="1" applyAlignment="1">
      <alignment horizontal="left" vertical="center" indent="1"/>
    </xf>
    <xf numFmtId="0" fontId="54" fillId="0" borderId="0" xfId="1" applyFont="1" applyAlignment="1">
      <alignment horizontal="left" vertical="center" indent="1"/>
    </xf>
    <xf numFmtId="0" fontId="49" fillId="6" borderId="24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/>
    </xf>
    <xf numFmtId="0" fontId="23" fillId="6" borderId="34" xfId="0" applyFont="1" applyFill="1" applyBorder="1" applyAlignment="1">
      <alignment horizontal="center" vertical="center"/>
    </xf>
    <xf numFmtId="0" fontId="23" fillId="6" borderId="36" xfId="0" applyFont="1" applyFill="1" applyBorder="1" applyAlignment="1">
      <alignment horizontal="center" vertical="center"/>
    </xf>
    <xf numFmtId="0" fontId="23" fillId="6" borderId="37" xfId="0" applyFont="1" applyFill="1" applyBorder="1" applyAlignment="1">
      <alignment horizontal="center" vertical="center"/>
    </xf>
    <xf numFmtId="0" fontId="23" fillId="6" borderId="39" xfId="0" applyFont="1" applyFill="1" applyBorder="1" applyAlignment="1">
      <alignment horizontal="center" vertical="center"/>
    </xf>
    <xf numFmtId="0" fontId="23" fillId="6" borderId="3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center"/>
    </xf>
    <xf numFmtId="0" fontId="37" fillId="0" borderId="11" xfId="0" applyFont="1" applyBorder="1" applyAlignment="1">
      <alignment horizontal="left" vertical="top" wrapText="1"/>
    </xf>
    <xf numFmtId="0" fontId="29" fillId="0" borderId="28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50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right" vertical="center" wrapText="1"/>
    </xf>
    <xf numFmtId="0" fontId="22" fillId="0" borderId="0" xfId="0" applyFont="1"/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7" fillId="5" borderId="17" xfId="0" applyFont="1" applyFill="1" applyBorder="1" applyAlignment="1">
      <alignment horizontal="center" vertical="center"/>
    </xf>
    <xf numFmtId="0" fontId="0" fillId="0" borderId="6" xfId="0" applyBorder="1"/>
    <xf numFmtId="0" fontId="27" fillId="5" borderId="61" xfId="0" applyFont="1" applyFill="1" applyBorder="1" applyAlignment="1">
      <alignment horizontal="center" vertical="center"/>
    </xf>
    <xf numFmtId="0" fontId="0" fillId="0" borderId="21" xfId="0" applyBorder="1"/>
    <xf numFmtId="0" fontId="27" fillId="5" borderId="60" xfId="0" applyFont="1" applyFill="1" applyBorder="1" applyAlignment="1">
      <alignment horizontal="center" vertical="center" wrapText="1"/>
    </xf>
    <xf numFmtId="0" fontId="0" fillId="0" borderId="19" xfId="0" applyBorder="1"/>
    <xf numFmtId="0" fontId="31" fillId="4" borderId="2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71" fillId="0" borderId="0" xfId="0" applyFont="1" applyAlignment="1">
      <alignment horizontal="left" vertical="center"/>
    </xf>
    <xf numFmtId="0" fontId="8" fillId="0" borderId="0" xfId="0" applyFont="1"/>
    <xf numFmtId="0" fontId="0" fillId="0" borderId="0" xfId="0" applyAlignment="1">
      <alignment vertical="top"/>
    </xf>
    <xf numFmtId="0" fontId="0" fillId="0" borderId="0" xfId="0"/>
    <xf numFmtId="0" fontId="27" fillId="5" borderId="15" xfId="0" applyFont="1" applyFill="1" applyBorder="1" applyAlignment="1">
      <alignment horizontal="center" vertical="center"/>
    </xf>
    <xf numFmtId="0" fontId="0" fillId="0" borderId="59" xfId="0" applyBorder="1"/>
    <xf numFmtId="0" fontId="27" fillId="5" borderId="16" xfId="0" applyFont="1" applyFill="1" applyBorder="1" applyAlignment="1">
      <alignment horizontal="center" vertical="center"/>
    </xf>
    <xf numFmtId="0" fontId="0" fillId="0" borderId="5" xfId="0" applyBorder="1"/>
    <xf numFmtId="0" fontId="27" fillId="5" borderId="16" xfId="0" applyFont="1" applyFill="1" applyBorder="1" applyAlignment="1">
      <alignment horizontal="center" vertical="center" wrapText="1"/>
    </xf>
    <xf numFmtId="0" fontId="56" fillId="0" borderId="0" xfId="1" applyFont="1" applyAlignment="1">
      <alignment horizontal="left" vertical="top"/>
    </xf>
    <xf numFmtId="0" fontId="1" fillId="0" borderId="0" xfId="1" applyAlignment="1">
      <alignment vertical="top"/>
    </xf>
    <xf numFmtId="0" fontId="55" fillId="0" borderId="43" xfId="1" applyFont="1" applyBorder="1" applyAlignment="1">
      <alignment horizontal="center" vertical="top" wrapText="1"/>
    </xf>
    <xf numFmtId="0" fontId="0" fillId="0" borderId="42" xfId="0" applyBorder="1"/>
    <xf numFmtId="0" fontId="0" fillId="0" borderId="43" xfId="0" applyBorder="1"/>
    <xf numFmtId="0" fontId="1" fillId="0" borderId="0" xfId="1"/>
    <xf numFmtId="0" fontId="0" fillId="0" borderId="48" xfId="0" applyBorder="1"/>
    <xf numFmtId="0" fontId="56" fillId="0" borderId="0" xfId="1" applyFont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68" fillId="0" borderId="11" xfId="1" applyFont="1" applyBorder="1" applyAlignment="1">
      <alignment horizontal="center" vertical="center"/>
    </xf>
    <xf numFmtId="0" fontId="60" fillId="0" borderId="54" xfId="1" applyFont="1" applyBorder="1" applyAlignment="1">
      <alignment vertical="center" wrapText="1"/>
    </xf>
    <xf numFmtId="0" fontId="0" fillId="0" borderId="53" xfId="0" applyBorder="1"/>
    <xf numFmtId="0" fontId="0" fillId="0" borderId="54" xfId="0" applyBorder="1"/>
    <xf numFmtId="0" fontId="63" fillId="0" borderId="0" xfId="1" applyFont="1" applyAlignment="1">
      <alignment horizontal="center" vertical="center" shrinkToFit="1"/>
    </xf>
    <xf numFmtId="0" fontId="60" fillId="0" borderId="0" xfId="1" applyFont="1" applyAlignment="1">
      <alignment horizontal="left" vertical="top" wrapText="1"/>
    </xf>
    <xf numFmtId="0" fontId="56" fillId="0" borderId="0" xfId="1" applyFont="1" applyAlignment="1">
      <alignment horizontal="left" vertical="center" wrapText="1" indent="1"/>
    </xf>
    <xf numFmtId="0" fontId="65" fillId="0" borderId="0" xfId="1" applyFont="1" applyAlignment="1">
      <alignment horizontal="left" vertical="center" indent="1"/>
    </xf>
    <xf numFmtId="0" fontId="64" fillId="0" borderId="0" xfId="1" applyFont="1"/>
    <xf numFmtId="0" fontId="68" fillId="0" borderId="11" xfId="1" applyFont="1" applyBorder="1" applyAlignment="1">
      <alignment horizontal="left" vertical="center"/>
    </xf>
    <xf numFmtId="0" fontId="65" fillId="0" borderId="0" xfId="1" applyFont="1" applyAlignment="1">
      <alignment horizontal="center" vertical="center"/>
    </xf>
    <xf numFmtId="0" fontId="67" fillId="11" borderId="11" xfId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53" fillId="6" borderId="11" xfId="0" applyFont="1" applyFill="1" applyBorder="1" applyAlignment="1">
      <alignment horizontal="center" vertical="center"/>
    </xf>
    <xf numFmtId="0" fontId="49" fillId="6" borderId="24" xfId="0" applyFont="1" applyFill="1" applyBorder="1" applyAlignment="1">
      <alignment horizontal="center" vertical="center"/>
    </xf>
    <xf numFmtId="0" fontId="0" fillId="0" borderId="38" xfId="0" applyBorder="1"/>
    <xf numFmtId="0" fontId="23" fillId="6" borderId="11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21" fillId="0" borderId="0" xfId="0" applyFont="1" applyAlignment="1">
      <alignment horizontal="left" vertical="center"/>
    </xf>
    <xf numFmtId="0" fontId="49" fillId="6" borderId="11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17" fillId="4" borderId="18" xfId="0" applyFont="1" applyFill="1" applyBorder="1" applyAlignment="1">
      <alignment horizontal="center" vertical="center"/>
    </xf>
    <xf numFmtId="0" fontId="0" fillId="0" borderId="62" xfId="0" applyBorder="1"/>
    <xf numFmtId="0" fontId="0" fillId="0" borderId="18" xfId="0" applyBorder="1"/>
    <xf numFmtId="0" fontId="17" fillId="4" borderId="11" xfId="0" applyFont="1" applyFill="1" applyBorder="1" applyAlignment="1">
      <alignment horizontal="center" vertical="center" wrapText="1"/>
    </xf>
    <xf numFmtId="0" fontId="0" fillId="0" borderId="24" xfId="0" applyBorder="1"/>
  </cellXfs>
  <cellStyles count="2">
    <cellStyle name="Normal" xfId="0" builtinId="0"/>
    <cellStyle name="Normal 2" xfId="1" xr:uid="{00000000-0005-0000-0000-000001000000}"/>
  </cellStyles>
  <dxfs count="26">
    <dxf>
      <font>
        <b/>
      </font>
      <fill>
        <patternFill patternType="solid">
          <bgColor rgb="FFFF7C80"/>
        </patternFill>
      </fill>
    </dxf>
    <dxf>
      <font>
        <b/>
      </font>
      <fill>
        <patternFill>
          <bgColor theme="7" tint="0.39994506668294322"/>
        </patternFill>
      </fill>
    </dxf>
    <dxf>
      <font>
        <b/>
      </font>
      <fill>
        <patternFill>
          <bgColor theme="5" tint="0.39994506668294322"/>
        </patternFill>
      </fill>
    </dxf>
    <dxf>
      <font>
        <b/>
      </font>
      <fill>
        <patternFill>
          <fgColor rgb="FFFF9797"/>
          <bgColor theme="9" tint="0.39994506668294322"/>
        </patternFill>
      </fill>
    </dxf>
    <dxf>
      <font>
        <b/>
        <color theme="5" tint="-0.24994659260841701"/>
      </font>
    </dxf>
    <dxf>
      <font>
        <b/>
        <color theme="8"/>
      </font>
    </dxf>
    <dxf>
      <font>
        <b/>
        <color theme="5" tint="-0.24994659260841701"/>
      </font>
    </dxf>
    <dxf>
      <font>
        <b/>
        <color theme="8"/>
      </font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>
          <bgColor theme="7" tint="0.39994506668294322"/>
        </patternFill>
      </fill>
    </dxf>
    <dxf>
      <font>
        <b/>
      </font>
      <fill>
        <patternFill>
          <bgColor theme="5" tint="0.39994506668294322"/>
        </patternFill>
      </fill>
    </dxf>
    <dxf>
      <font>
        <b/>
      </font>
      <fill>
        <patternFill>
          <fgColor rgb="FFFF9797"/>
          <bgColor theme="9" tint="0.39994506668294322"/>
        </patternFill>
      </fill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>
          <bgColor theme="7" tint="0.39994506668294322"/>
        </patternFill>
      </fill>
    </dxf>
    <dxf>
      <font>
        <b/>
      </font>
      <fill>
        <patternFill>
          <bgColor theme="5" tint="0.39994506668294322"/>
        </patternFill>
      </fill>
    </dxf>
    <dxf>
      <font>
        <b/>
      </font>
      <fill>
        <patternFill>
          <fgColor rgb="FFFF9797"/>
          <bgColor theme="9" tint="0.39994506668294322"/>
        </patternFill>
      </fill>
    </dxf>
    <dxf>
      <font>
        <b/>
        <color theme="5" tint="-0.24994659260841701"/>
      </font>
    </dxf>
    <dxf>
      <font>
        <b/>
        <color theme="8"/>
      </font>
    </dxf>
    <dxf>
      <font>
        <b/>
        <color theme="5" tint="-0.24994659260841701"/>
      </font>
    </dxf>
    <dxf>
      <font>
        <b/>
        <color theme="8"/>
      </font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>
          <bgColor theme="7" tint="0.39994506668294322"/>
        </patternFill>
      </fill>
    </dxf>
    <dxf>
      <font>
        <b/>
      </font>
      <fill>
        <patternFill>
          <bgColor theme="5" tint="0.39994506668294322"/>
        </patternFill>
      </fill>
    </dxf>
    <dxf>
      <font>
        <b/>
      </font>
      <fill>
        <patternFill>
          <fgColor rgb="FFFF9797"/>
          <bgColor theme="9" tint="0.39994506668294322"/>
        </patternFill>
      </fill>
    </dxf>
    <dxf>
      <font>
        <b/>
        <color theme="5" tint="-0.24994659260841701"/>
      </font>
    </dxf>
    <dxf>
      <font>
        <b/>
        <color theme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[2541_TP-BM-005-R00 Clash Summary Report - Attempt#2.xlsx]Dashboard!PivotTable7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UPC" panose="020B0304020202020204" pitchFamily="34" charset="-34"/>
                <a:ea typeface="+mn-ea"/>
                <a:cs typeface="CordiaUPC" panose="020B0304020202020204" pitchFamily="34" charset="-34"/>
              </a:defRPr>
            </a:pPr>
            <a:r>
              <a:rPr lang="en-US" sz="1600" b="1">
                <a:latin typeface="CordiaUPC" panose="020B0304020202020204" pitchFamily="34" charset="-34"/>
                <a:cs typeface="CordiaUPC" panose="020B0304020202020204" pitchFamily="34" charset="-34"/>
              </a:rPr>
              <a:t>Clash Status</a:t>
            </a:r>
          </a:p>
        </c:rich>
      </c:tx>
      <c:layout>
        <c:manualLayout>
          <c:xMode val="edge"/>
          <c:yMode val="edge"/>
          <c:x val="0.68933851253996326"/>
          <c:y val="7.490546819148293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rgbClr val="FF7C80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80-4B4F-BBFC-510BE9BBEB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80-4B4F-BBFC-510BE9BBEB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7A80-4B4F-BBFC-510BE9BBEBE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7A80-4B4F-BBFC-510BE9BBEBE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Dashboard!$A$4:$A$6</c:f>
              <c:strCache>
                <c:ptCount val="2"/>
                <c:pt idx="0">
                  <c:v>ACTIVE</c:v>
                </c:pt>
                <c:pt idx="1">
                  <c:v>RESOLVED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80-4B4F-BBFC-510BE9BBEB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[2541_TP-BM-005-R00 Clash Summary Report - Attempt#2.xlsx]Dashboard!PivotTable11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Discipline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Dashboard!$B$22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AB-480F-82C2-DA803BFC623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2CAB-480F-82C2-DA803BFC623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2CAB-480F-82C2-DA803BFC6230}"/>
              </c:ext>
            </c:extLst>
          </c:dPt>
          <c:cat>
            <c:strRef>
              <c:f>Dashboard!$A$23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Dashboard!$B$23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2CAB-480F-82C2-DA803BFC6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[2541_TP-BM-005-R00 Clash Summary Report - Attempt#2.xlsx]Dashboard!PivotTable14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Dashboard!$B$49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36-4569-969C-E2ECF4D6DFA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7336-4569-969C-E2ECF4D6DFA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Dashboard!$A$50:$A$51</c:f>
              <c:strCache>
                <c:ptCount val="1"/>
                <c:pt idx="0">
                  <c:v>Minor</c:v>
                </c:pt>
              </c:strCache>
            </c:strRef>
          </c:cat>
          <c:val>
            <c:numRef>
              <c:f>Dashboard!$B$50:$B$51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36-4569-969C-E2ECF4D6DF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MAJOR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Lit>
              <c:ptCount val="4"/>
              <c:pt idx="0">
                <c:v>ACTIVE</c:v>
              </c:pt>
              <c:pt idx="1">
                <c:v>NEW</c:v>
              </c:pt>
              <c:pt idx="2">
                <c:v>PENDING</c:v>
              </c:pt>
              <c:pt idx="3">
                <c:v>RESOLVED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626-49A7-8835-D008B66FDC63}"/>
            </c:ext>
          </c:extLst>
        </c:ser>
        <c:ser>
          <c:idx val="1"/>
          <c:order val="1"/>
          <c:tx>
            <c:v>Sum of MINOR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Lit>
              <c:ptCount val="4"/>
              <c:pt idx="0">
                <c:v>ACTIVE</c:v>
              </c:pt>
              <c:pt idx="1">
                <c:v>NEW</c:v>
              </c:pt>
              <c:pt idx="2">
                <c:v>PENDING</c:v>
              </c:pt>
              <c:pt idx="3">
                <c:v>RESOLVED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626-49A7-8835-D008B66FD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00367"/>
        <c:axId val="993707647"/>
      </c:barChart>
      <c:catAx>
        <c:axId val="8620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07647"/>
        <c:crosses val="autoZero"/>
        <c:auto val="1"/>
        <c:lblAlgn val="ctr"/>
        <c:lblOffset val="100"/>
        <c:noMultiLvlLbl val="0"/>
      </c:catAx>
      <c:valAx>
        <c:axId val="9937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03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674517036721756"/>
          <c:y val="0.43682378244386122"/>
          <c:w val="0.24325478807723289"/>
          <c:h val="0.4018297173284994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57149</xdr:colOff>
      <xdr:row>0</xdr:row>
      <xdr:rowOff>75450</xdr:rowOff>
    </xdr:from>
    <xdr:to>
      <xdr:col>2</xdr:col>
      <xdr:colOff>706258</xdr:colOff>
      <xdr:row>3</xdr:row>
      <xdr:rowOff>19472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19" y="75450"/>
          <a:ext cx="1035824" cy="763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475090</xdr:colOff>
      <xdr:row>0</xdr:row>
      <xdr:rowOff>164244</xdr:rowOff>
    </xdr:from>
    <xdr:to>
      <xdr:col>8</xdr:col>
      <xdr:colOff>101131</xdr:colOff>
      <xdr:row>15</xdr:row>
      <xdr:rowOff>34455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108249</xdr:colOff>
      <xdr:row>16</xdr:row>
      <xdr:rowOff>171226</xdr:rowOff>
    </xdr:from>
    <xdr:to>
      <xdr:col>8</xdr:col>
      <xdr:colOff>658682</xdr:colOff>
      <xdr:row>32</xdr:row>
      <xdr:rowOff>106232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439271</xdr:colOff>
      <xdr:row>44</xdr:row>
      <xdr:rowOff>76201</xdr:rowOff>
    </xdr:from>
    <xdr:to>
      <xdr:col>9</xdr:col>
      <xdr:colOff>304800</xdr:colOff>
      <xdr:row>59</xdr:row>
      <xdr:rowOff>129989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206829</xdr:colOff>
      <xdr:row>1</xdr:row>
      <xdr:rowOff>174171</xdr:rowOff>
    </xdr:from>
    <xdr:to>
      <xdr:col>27</xdr:col>
      <xdr:colOff>119743</xdr:colOff>
      <xdr:row>12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675923" createdVersion="8" refreshedVersion="8" minRefreshableVersion="3" recordCount="6" xr:uid="{00000000-000A-0000-FFFF-FFFF02000000}">
  <cacheSource type="worksheet">
    <worksheetSource ref="A8:J10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/>
    </cacheField>
    <cacheField name="Discipline" numFmtId="0">
      <sharedItems containsBlank="1" count="8">
        <m/>
        <s v="ตรวจสอบตำแหน่ง ท่อน้ำฝน"/>
        <s v="ตรวจสอบระยะผนังตกแต่ง"/>
        <e v="#VALUE!"/>
        <s v="พื้นซ้อนทับกัน"/>
        <s v="ST/EE" u="1"/>
        <s v="AR/AC" u="1"/>
        <s v="CI/ME" u="1"/>
      </sharedItems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/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560177" createdVersion="8" refreshedVersion="8" minRefreshableVersion="3" recordCount="6" xr:uid="{00000000-000A-0000-FFFF-FFFF01000000}">
  <cacheSource type="worksheet">
    <worksheetSource ref="A8:J10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 count="3">
        <m/>
        <s v="Minor"/>
        <s v="MAJOR" u="1"/>
      </sharedItems>
    </cacheField>
    <cacheField name="Discipline" numFmtId="0">
      <sharedItems containsBlank="1"/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/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907408" createdVersion="8" refreshedVersion="8" minRefreshableVersion="3" recordCount="4" xr:uid="{00000000-000A-0000-FFFF-FFFF04000000}">
  <cacheSource type="worksheet">
    <worksheetSource ref="G7:N11" sheet="Clash Summary"/>
  </cacheSource>
  <cacheFields count="8">
    <cacheField name="FP2 Building" numFmtId="0">
      <sharedItems/>
    </cacheField>
    <cacheField name="CI" numFmtId="0">
      <sharedItems containsSemiMixedTypes="0" containsString="0" containsNumber="1" containsInteger="1" minValue="0" maxValue="0"/>
    </cacheField>
    <cacheField name="ST" numFmtId="0">
      <sharedItems containsSemiMixedTypes="0" containsString="0" containsNumber="1" containsInteger="1" minValue="0" maxValue="0"/>
    </cacheField>
    <cacheField name="AR" numFmtId="0">
      <sharedItems containsSemiMixedTypes="0" containsString="0" containsNumber="1" containsInteger="1" minValue="0" maxValue="0"/>
    </cacheField>
    <cacheField name="ME" numFmtId="0">
      <sharedItems containsSemiMixedTypes="0" containsString="0" containsNumber="1" containsInteger="1" minValue="0" maxValue="0"/>
    </cacheField>
    <cacheField name="EE" numFmtId="0">
      <sharedItems containsSemiMixedTypes="0" containsString="0" containsNumber="1" containsInteger="1" minValue="0" maxValue="0"/>
    </cacheField>
    <cacheField name="MAJOR" numFmtId="0">
      <sharedItems containsSemiMixedTypes="0" containsString="0" containsNumber="1" containsInteger="1" minValue="0" maxValue="0"/>
    </cacheField>
    <cacheField name="MINOR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791669" createdVersion="8" refreshedVersion="8" minRefreshableVersion="3" recordCount="6" xr:uid="{00000000-000A-0000-FFFF-FFFF03000000}">
  <cacheSource type="worksheet">
    <worksheetSource ref="A8:J10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/>
    </cacheField>
    <cacheField name="Discipline" numFmtId="0">
      <sharedItems containsBlank="1"/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 count="6">
        <m/>
        <s v="RESOLVED"/>
        <s v="ACTIVE"/>
        <s v="PENDING" u="1"/>
        <s v="NEW" u="1"/>
        <s v="APPROVED" u="1"/>
      </sharedItems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5356.562848726862" createdVersion="8" refreshedVersion="8" minRefreshableVersion="3" recordCount="49" xr:uid="{00000000-000A-0000-FFFF-FFFF00000000}">
  <cacheSource type="worksheet">
    <worksheetSource ref="A1:J1048576" sheet="FP2"/>
  </cacheSource>
  <cacheFields count="10">
    <cacheField name="Item" numFmtId="0">
      <sharedItems containsBlank="1" count="8">
        <m/>
        <s v="001"/>
        <s v="002"/>
        <s v="003"/>
        <s v="004"/>
        <s v="005"/>
        <s v="006"/>
        <s v=""/>
      </sharedItems>
    </cacheField>
    <cacheField name="Folder_x000a_[In Viewpoint]" numFmtId="0">
      <sharedItems containsBlank="1" count="3">
        <m/>
        <s v="CLASH"/>
        <s v="VISUAL CHECK"/>
      </sharedItems>
    </cacheField>
    <cacheField name="Viewpoint Title" numFmtId="0">
      <sharedItems containsBlank="1" count="7">
        <m/>
        <s v="001_MAJOR_002_ST/EE_Cable tray ทะลุผ่านคาน_20230408"/>
        <s v="002_MINOR_000_AR/AC_Duct ชนฝ้า_20210813"/>
        <s v="003_MAJOR_000_CI/ME_ท่อไม่ตรงกับ Manhole_20240210"/>
        <s v="004_MAJOR_000_CI/ME_ท่อไม่ตรงกับ Manhole_20240210"/>
        <s v="005_MAJOR_000_CI/ME_ท่อไม่ตรงกับ Manhole_20240210"/>
        <s v="006_MAJOR_000_CI/ME_ท่อไม่ตรงกับ Manhole_20240210"/>
      </sharedItems>
    </cacheField>
    <cacheField name="Priority" numFmtId="0">
      <sharedItems containsBlank="1" count="4">
        <m/>
        <s v="MAJOR"/>
        <s v="MINOR"/>
        <e v="#VALUE!"/>
      </sharedItems>
    </cacheField>
    <cacheField name="Discipline" numFmtId="0">
      <sharedItems containsBlank="1" count="5">
        <m/>
        <s v="ST/EE"/>
        <s v="AR/AC"/>
        <s v="CI/ME"/>
        <e v="#VALUE!"/>
      </sharedItems>
    </cacheField>
    <cacheField name="Date Found" numFmtId="0">
      <sharedItems containsBlank="1" count="5">
        <m/>
        <s v="20230408"/>
        <s v="20210813"/>
        <s v="20240210"/>
        <e v="#VALUE!"/>
      </sharedItems>
    </cacheField>
    <cacheField name="Image" numFmtId="0">
      <sharedItems containsNonDate="0" containsString="0" containsBlank="1" count="1">
        <m/>
      </sharedItems>
    </cacheField>
    <cacheField name="Clash Status" numFmtId="0">
      <sharedItems containsBlank="1" count="6">
        <m/>
        <s v="ACTIVE"/>
        <s v="APPROVED"/>
        <s v="PENDING"/>
        <s v="RESOLVED"/>
        <s v="NEW"/>
      </sharedItems>
    </cacheField>
    <cacheField name="Resp. by" numFmtId="0">
      <sharedItems containsBlank="1" count="5">
        <m/>
        <s v="AA"/>
        <s v="ME"/>
        <s v="EE"/>
        <s v="S"/>
      </sharedItems>
    </cacheField>
    <cacheField name="For Designer" numFmtId="0">
      <sharedItems containsBlank="1" count="2">
        <s v="Resolv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49:B51" firstHeaderRow="1" firstDataRow="1" firstDataCol="1"/>
  <pivotFields count="10">
    <pivotField showAll="0"/>
    <pivotField showAll="0"/>
    <pivotField showAll="0"/>
    <pivotField axis="axisRow" dataField="1" showAll="0">
      <items count="4">
        <item m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Count of Priority" fld="3" subtotal="count" baseField="0" baseItem="0"/>
  </dataFields>
  <chartFormats count="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R3:S4" firstHeaderRow="0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MAJOR" fld="6" baseField="0" baseItem="0"/>
    <dataField name="Sum of MINOR" fld="7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m="1" x="5"/>
        <item m="1" x="4"/>
        <item m="1" x="3"/>
        <item x="1"/>
        <item h="1" x="0"/>
        <item t="default"/>
      </items>
    </pivotField>
    <pivotField showAll="0"/>
    <pivotField showAll="0"/>
  </pivotFields>
  <rowFields count="1">
    <field x="7"/>
  </rowFields>
  <rowItems count="3">
    <i>
      <x/>
    </i>
    <i>
      <x v="4"/>
    </i>
    <i t="grand">
      <x/>
    </i>
  </rowItems>
  <colItems count="1">
    <i/>
  </colItems>
  <dataFields count="1">
    <dataField name="Count of Clash Status" fld="7" subtotal="count" baseField="0" baseItem="0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P11" firstHeaderRow="1" firstDataRow="1" firstDataCol="1"/>
  <pivotFields count="10">
    <pivotField showAll="0">
      <items count="9">
        <item x="7"/>
        <item x="1"/>
        <item x="2"/>
        <item x="3"/>
        <item x="4"/>
        <item x="5"/>
        <item x="6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showAll="0">
      <items count="2">
        <item x="0"/>
        <item t="default"/>
      </items>
    </pivotField>
    <pivotField showAll="0">
      <items count="7">
        <item x="1"/>
        <item x="2"/>
        <item x="5"/>
        <item x="3"/>
        <item x="4"/>
        <item x="0"/>
        <item t="default"/>
      </items>
    </pivotField>
    <pivotField showAll="0">
      <items count="6">
        <item x="1"/>
        <item x="3"/>
        <item x="2"/>
        <item x="4"/>
        <item h="1"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2:B23" firstHeaderRow="1" firstDataRow="1" firstDataCol="1"/>
  <pivotFields count="10">
    <pivotField showAll="0"/>
    <pivotField showAll="0"/>
    <pivotField showAll="0"/>
    <pivotField showAll="0"/>
    <pivotField axis="axisRow" dataField="1" showAll="0">
      <items count="9">
        <item m="1" x="6"/>
        <item m="1" x="7"/>
        <item m="1" x="5"/>
        <item h="1" x="3"/>
        <item h="1" x="0"/>
        <item h="1" x="1"/>
        <item h="1"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">
    <i t="grand">
      <x/>
    </i>
  </rowItems>
  <colItems count="1">
    <i/>
  </colItems>
  <dataFields count="1">
    <dataField name="Count of Discipline" fld="4" subtotal="count" baseField="0" baseItem="0"/>
  </dataFields>
  <chartFormats count="5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view="pageLayout" zoomScale="85" zoomScaleNormal="115" zoomScaleSheetLayoutView="100" zoomScalePageLayoutView="85" workbookViewId="0">
      <selection activeCell="B19" sqref="B19:I19"/>
    </sheetView>
  </sheetViews>
  <sheetFormatPr defaultColWidth="8.75" defaultRowHeight="14.25" x14ac:dyDescent="0.2"/>
  <cols>
    <col min="1" max="1" width="2.25" style="106" customWidth="1"/>
    <col min="2" max="2" width="5" style="106" customWidth="1"/>
    <col min="3" max="5" width="9.5" style="106" customWidth="1"/>
    <col min="6" max="6" width="9.625" style="106" customWidth="1"/>
    <col min="7" max="8" width="20.625" style="106" customWidth="1"/>
    <col min="9" max="9" width="18.75" style="106" customWidth="1"/>
    <col min="10" max="10" width="2.25" style="106" customWidth="1"/>
    <col min="11" max="11" width="8.75" style="106" customWidth="1"/>
    <col min="12" max="16384" width="8.75" style="106"/>
  </cols>
  <sheetData>
    <row r="1" spans="1:10" ht="21.6" customHeight="1" thickTop="1" x14ac:dyDescent="0.2">
      <c r="A1" s="102" t="s">
        <v>32</v>
      </c>
      <c r="B1" s="193" t="s">
        <v>33</v>
      </c>
      <c r="C1" s="194"/>
      <c r="D1" s="194"/>
      <c r="E1" s="194"/>
      <c r="F1" s="195"/>
      <c r="G1" s="103" t="s">
        <v>34</v>
      </c>
      <c r="H1" s="104" t="s">
        <v>35</v>
      </c>
      <c r="I1" s="104" t="s">
        <v>36</v>
      </c>
      <c r="J1" s="105"/>
    </row>
    <row r="2" spans="1:10" ht="21.6" customHeight="1" x14ac:dyDescent="0.2">
      <c r="A2" s="107"/>
      <c r="B2" s="196"/>
      <c r="C2" s="196"/>
      <c r="D2" s="196"/>
      <c r="E2" s="196"/>
      <c r="F2" s="197"/>
      <c r="G2" s="108" t="s">
        <v>37</v>
      </c>
      <c r="H2" s="108" t="s">
        <v>38</v>
      </c>
      <c r="I2" s="109" t="s">
        <v>39</v>
      </c>
      <c r="J2" s="110"/>
    </row>
    <row r="3" spans="1:10" ht="21.6" customHeight="1" x14ac:dyDescent="0.2">
      <c r="A3" s="107"/>
      <c r="B3" s="196"/>
      <c r="C3" s="196"/>
      <c r="D3" s="196"/>
      <c r="E3" s="196"/>
      <c r="F3" s="197"/>
      <c r="G3" s="111" t="s">
        <v>40</v>
      </c>
      <c r="H3" s="112" t="s">
        <v>41</v>
      </c>
      <c r="I3" s="113" t="s">
        <v>42</v>
      </c>
      <c r="J3" s="114"/>
    </row>
    <row r="4" spans="1:10" ht="21.6" customHeight="1" thickBot="1" x14ac:dyDescent="0.25">
      <c r="A4" s="115"/>
      <c r="B4" s="201" t="s">
        <v>43</v>
      </c>
      <c r="C4" s="202"/>
      <c r="D4" s="202"/>
      <c r="E4" s="202"/>
      <c r="F4" s="203"/>
      <c r="G4" s="116" t="s">
        <v>44</v>
      </c>
      <c r="H4" s="117" t="s">
        <v>45</v>
      </c>
      <c r="I4" s="118" t="s">
        <v>46</v>
      </c>
      <c r="J4" s="119"/>
    </row>
    <row r="5" spans="1:10" ht="32.25" customHeight="1" thickTop="1" x14ac:dyDescent="0.2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 ht="15" customHeight="1" x14ac:dyDescent="0.2">
      <c r="A6" s="120"/>
      <c r="B6" s="123"/>
      <c r="C6" s="123"/>
      <c r="D6" s="123"/>
      <c r="E6" s="123"/>
      <c r="F6" s="123"/>
      <c r="G6" s="123"/>
      <c r="H6" s="123"/>
      <c r="I6" s="123"/>
      <c r="J6" s="122"/>
    </row>
    <row r="7" spans="1:10" ht="62.25" customHeight="1" x14ac:dyDescent="0.2">
      <c r="A7" s="120"/>
      <c r="B7" s="204" t="s">
        <v>47</v>
      </c>
      <c r="C7" s="196"/>
      <c r="D7" s="196"/>
      <c r="E7" s="196"/>
      <c r="F7" s="196"/>
      <c r="G7" s="196"/>
      <c r="H7" s="196"/>
      <c r="I7" s="196"/>
      <c r="J7" s="122"/>
    </row>
    <row r="8" spans="1:10" ht="15" customHeight="1" x14ac:dyDescent="0.2">
      <c r="A8" s="120"/>
      <c r="B8" s="123"/>
      <c r="C8" s="123"/>
      <c r="D8" s="123"/>
      <c r="E8" s="123"/>
      <c r="F8" s="123"/>
      <c r="G8" s="123"/>
      <c r="H8" s="123"/>
      <c r="I8" s="123"/>
      <c r="J8" s="122"/>
    </row>
    <row r="9" spans="1:10" ht="15" customHeight="1" x14ac:dyDescent="0.2">
      <c r="A9" s="120"/>
      <c r="B9" s="123"/>
      <c r="C9" s="123"/>
      <c r="D9" s="123"/>
      <c r="E9" s="123"/>
      <c r="F9" s="123"/>
      <c r="G9" s="123"/>
      <c r="H9" s="123"/>
      <c r="I9" s="123"/>
      <c r="J9" s="122"/>
    </row>
    <row r="10" spans="1:10" ht="15" customHeight="1" x14ac:dyDescent="0.2">
      <c r="A10" s="120"/>
      <c r="B10" s="123"/>
      <c r="C10" s="123"/>
      <c r="D10" s="123"/>
      <c r="E10" s="123"/>
      <c r="F10" s="123"/>
      <c r="G10" s="123"/>
      <c r="H10" s="123"/>
      <c r="I10" s="123"/>
      <c r="J10" s="122"/>
    </row>
    <row r="11" spans="1:10" ht="8.1" customHeight="1" x14ac:dyDescent="0.2">
      <c r="A11" s="120"/>
      <c r="B11" s="147"/>
      <c r="C11" s="147"/>
      <c r="D11" s="147"/>
      <c r="E11" s="147"/>
      <c r="F11" s="147"/>
      <c r="G11" s="147"/>
      <c r="H11" s="147"/>
      <c r="I11" s="147"/>
      <c r="J11" s="122"/>
    </row>
    <row r="12" spans="1:10" s="126" customFormat="1" ht="23.25" customHeight="1" x14ac:dyDescent="0.45">
      <c r="A12" s="124"/>
      <c r="B12" s="207"/>
      <c r="C12" s="208"/>
      <c r="D12" s="208"/>
      <c r="E12" s="208"/>
      <c r="F12" s="208"/>
      <c r="G12" s="208"/>
      <c r="H12" s="208"/>
      <c r="I12" s="208"/>
      <c r="J12" s="125"/>
    </row>
    <row r="13" spans="1:10" s="129" customFormat="1" ht="22.5" customHeight="1" x14ac:dyDescent="0.2">
      <c r="A13" s="127"/>
      <c r="B13" s="142"/>
      <c r="C13" s="198"/>
      <c r="D13" s="199"/>
      <c r="E13" s="199"/>
      <c r="F13" s="199"/>
      <c r="G13" s="199"/>
      <c r="H13" s="199"/>
      <c r="I13" s="199"/>
      <c r="J13" s="128"/>
    </row>
    <row r="14" spans="1:10" s="129" customFormat="1" ht="24.75" customHeight="1" x14ac:dyDescent="0.2">
      <c r="A14" s="127"/>
      <c r="B14" s="143"/>
      <c r="C14" s="198"/>
      <c r="D14" s="199"/>
      <c r="E14" s="199"/>
      <c r="F14" s="199"/>
      <c r="G14" s="199"/>
      <c r="H14" s="199"/>
      <c r="I14" s="199"/>
      <c r="J14" s="128"/>
    </row>
    <row r="15" spans="1:10" s="132" customFormat="1" ht="24.75" customHeight="1" x14ac:dyDescent="0.2">
      <c r="A15" s="130"/>
      <c r="B15" s="144"/>
      <c r="C15" s="191"/>
      <c r="D15" s="192"/>
      <c r="E15" s="192"/>
      <c r="F15" s="192"/>
      <c r="G15" s="192"/>
      <c r="H15" s="192"/>
      <c r="I15" s="192"/>
      <c r="J15" s="131"/>
    </row>
    <row r="16" spans="1:10" s="129" customFormat="1" ht="25.5" customHeight="1" x14ac:dyDescent="0.2">
      <c r="A16" s="127"/>
      <c r="B16" s="143"/>
      <c r="C16" s="198"/>
      <c r="D16" s="199"/>
      <c r="E16" s="199"/>
      <c r="F16" s="199"/>
      <c r="G16" s="199"/>
      <c r="H16" s="199"/>
      <c r="I16" s="199"/>
      <c r="J16" s="128"/>
    </row>
    <row r="17" spans="1:10" ht="8.1" customHeight="1" x14ac:dyDescent="0.2">
      <c r="A17" s="120"/>
      <c r="B17" s="145"/>
      <c r="C17" s="205"/>
      <c r="D17" s="196"/>
      <c r="E17" s="196"/>
      <c r="F17" s="196"/>
      <c r="G17" s="196"/>
      <c r="H17" s="196"/>
      <c r="I17" s="196"/>
      <c r="J17" s="122"/>
    </row>
    <row r="18" spans="1:10" ht="23.25" customHeight="1" x14ac:dyDescent="0.2">
      <c r="A18" s="120"/>
      <c r="B18" s="207"/>
      <c r="C18" s="196"/>
      <c r="D18" s="196"/>
      <c r="E18" s="196"/>
      <c r="F18" s="196"/>
      <c r="G18" s="196"/>
      <c r="H18" s="196"/>
      <c r="I18" s="196"/>
      <c r="J18" s="122"/>
    </row>
    <row r="19" spans="1:10" s="126" customFormat="1" ht="45" customHeight="1" x14ac:dyDescent="0.45">
      <c r="A19" s="124"/>
      <c r="B19" s="206"/>
      <c r="C19" s="208"/>
      <c r="D19" s="208"/>
      <c r="E19" s="208"/>
      <c r="F19" s="208"/>
      <c r="G19" s="208"/>
      <c r="H19" s="208"/>
      <c r="I19" s="208"/>
      <c r="J19" s="125"/>
    </row>
    <row r="20" spans="1:10" ht="8.1" customHeight="1" x14ac:dyDescent="0.2">
      <c r="A20" s="120"/>
      <c r="B20" s="146"/>
      <c r="C20" s="146"/>
      <c r="D20" s="146"/>
      <c r="E20" s="146"/>
      <c r="F20" s="146"/>
      <c r="G20" s="146"/>
      <c r="H20" s="146"/>
      <c r="I20" s="146"/>
      <c r="J20" s="122"/>
    </row>
    <row r="21" spans="1:10" ht="23.25" customHeight="1" x14ac:dyDescent="0.2">
      <c r="A21" s="120"/>
      <c r="B21" s="207"/>
      <c r="C21" s="196"/>
      <c r="D21" s="196"/>
      <c r="E21" s="196"/>
      <c r="F21" s="196"/>
      <c r="G21" s="196"/>
      <c r="H21" s="196"/>
      <c r="I21" s="196"/>
      <c r="J21" s="122"/>
    </row>
    <row r="22" spans="1:10" ht="45" customHeight="1" x14ac:dyDescent="0.2">
      <c r="A22" s="120"/>
      <c r="B22" s="206"/>
      <c r="C22" s="196"/>
      <c r="D22" s="196"/>
      <c r="E22" s="196"/>
      <c r="F22" s="196"/>
      <c r="G22" s="196"/>
      <c r="H22" s="196"/>
      <c r="I22" s="196"/>
      <c r="J22" s="122"/>
    </row>
    <row r="23" spans="1:10" ht="8.1" customHeight="1" x14ac:dyDescent="0.2">
      <c r="A23" s="120"/>
      <c r="B23" s="146"/>
      <c r="C23" s="146"/>
      <c r="D23" s="146"/>
      <c r="E23" s="146"/>
      <c r="F23" s="146"/>
      <c r="G23" s="146"/>
      <c r="H23" s="146"/>
      <c r="I23" s="146"/>
      <c r="J23" s="122"/>
    </row>
    <row r="24" spans="1:10" s="126" customFormat="1" ht="45" customHeight="1" x14ac:dyDescent="0.45">
      <c r="A24" s="124"/>
      <c r="B24" s="206"/>
      <c r="C24" s="208"/>
      <c r="D24" s="208"/>
      <c r="E24" s="208"/>
      <c r="F24" s="208"/>
      <c r="G24" s="208"/>
      <c r="H24" s="208"/>
      <c r="I24" s="208"/>
      <c r="J24" s="125"/>
    </row>
    <row r="25" spans="1:10" ht="8.1" customHeight="1" x14ac:dyDescent="0.2">
      <c r="A25" s="120"/>
      <c r="B25" s="146"/>
      <c r="C25" s="146"/>
      <c r="D25" s="146"/>
      <c r="E25" s="146"/>
      <c r="F25" s="146"/>
      <c r="G25" s="146"/>
      <c r="H25" s="146"/>
      <c r="I25" s="146"/>
      <c r="J25" s="122"/>
    </row>
    <row r="26" spans="1:10" ht="23.25" customHeight="1" x14ac:dyDescent="0.2">
      <c r="A26" s="120"/>
      <c r="B26" s="207"/>
      <c r="C26" s="196"/>
      <c r="D26" s="196"/>
      <c r="E26" s="196"/>
      <c r="F26" s="196"/>
      <c r="G26" s="196"/>
      <c r="H26" s="196"/>
      <c r="I26" s="196"/>
      <c r="J26" s="122"/>
    </row>
    <row r="27" spans="1:10" ht="22.5" customHeight="1" x14ac:dyDescent="0.2">
      <c r="A27" s="120"/>
      <c r="B27" s="206"/>
      <c r="C27" s="196"/>
      <c r="D27" s="196"/>
      <c r="E27" s="196"/>
      <c r="F27" s="196"/>
      <c r="G27" s="196"/>
      <c r="H27" s="196"/>
      <c r="I27" s="196"/>
      <c r="J27" s="122"/>
    </row>
    <row r="28" spans="1:10" ht="8.1" customHeight="1" x14ac:dyDescent="0.2">
      <c r="A28" s="120"/>
      <c r="B28" s="146"/>
      <c r="C28" s="146"/>
      <c r="D28" s="146"/>
      <c r="E28" s="146"/>
      <c r="F28" s="146"/>
      <c r="G28" s="146"/>
      <c r="H28" s="146"/>
      <c r="I28" s="146"/>
      <c r="J28" s="122"/>
    </row>
    <row r="29" spans="1:10" ht="15" customHeight="1" x14ac:dyDescent="0.2">
      <c r="A29" s="120"/>
      <c r="B29" s="123"/>
      <c r="C29" s="123"/>
      <c r="D29" s="123"/>
      <c r="E29" s="123"/>
      <c r="F29" s="123"/>
      <c r="G29" s="123"/>
      <c r="H29" s="123"/>
      <c r="I29" s="123"/>
      <c r="J29" s="122"/>
    </row>
    <row r="30" spans="1:10" ht="15" customHeight="1" x14ac:dyDescent="0.2">
      <c r="A30" s="120"/>
      <c r="B30" s="123"/>
      <c r="C30" s="123"/>
      <c r="D30" s="123"/>
      <c r="E30" s="123"/>
      <c r="F30" s="123"/>
      <c r="G30" s="123"/>
      <c r="H30" s="123"/>
      <c r="I30" s="123"/>
      <c r="J30" s="122"/>
    </row>
    <row r="31" spans="1:10" ht="15" customHeight="1" x14ac:dyDescent="0.2">
      <c r="A31" s="120"/>
      <c r="B31" s="123"/>
      <c r="C31" s="123"/>
      <c r="D31" s="123"/>
      <c r="E31" s="123"/>
      <c r="F31" s="123"/>
      <c r="G31" s="123"/>
      <c r="H31" s="123"/>
      <c r="I31" s="123"/>
      <c r="J31" s="122"/>
    </row>
    <row r="32" spans="1:10" ht="15" customHeight="1" x14ac:dyDescent="0.2">
      <c r="A32" s="120"/>
      <c r="B32" s="123"/>
      <c r="C32" s="123"/>
      <c r="D32" s="123"/>
      <c r="E32" s="123"/>
      <c r="F32" s="123"/>
      <c r="G32" s="123"/>
      <c r="H32" s="123"/>
      <c r="I32" s="123"/>
      <c r="J32" s="122"/>
    </row>
    <row r="33" spans="1:10" ht="15" customHeight="1" x14ac:dyDescent="0.2">
      <c r="A33" s="120"/>
      <c r="B33" s="123"/>
      <c r="C33" s="123"/>
      <c r="D33" s="123"/>
      <c r="E33" s="123"/>
      <c r="F33" s="123"/>
      <c r="G33" s="123"/>
      <c r="H33" s="123"/>
      <c r="I33" s="123"/>
      <c r="J33" s="122"/>
    </row>
    <row r="34" spans="1:10" ht="15" customHeight="1" x14ac:dyDescent="0.2">
      <c r="A34" s="120"/>
      <c r="B34" s="123"/>
      <c r="C34" s="123"/>
      <c r="D34" s="123"/>
      <c r="E34" s="123"/>
      <c r="F34" s="123"/>
      <c r="G34" s="123"/>
      <c r="H34" s="123"/>
      <c r="I34" s="123"/>
      <c r="J34" s="122"/>
    </row>
    <row r="35" spans="1:10" ht="15" customHeight="1" x14ac:dyDescent="0.2">
      <c r="A35" s="120"/>
      <c r="B35" s="123"/>
      <c r="C35" s="123"/>
      <c r="D35" s="123"/>
      <c r="E35" s="123"/>
      <c r="F35" s="123"/>
      <c r="G35" s="123"/>
      <c r="H35" s="123"/>
      <c r="I35" s="123"/>
      <c r="J35" s="122"/>
    </row>
    <row r="36" spans="1:10" ht="15" customHeight="1" x14ac:dyDescent="0.2">
      <c r="A36" s="120"/>
      <c r="B36" s="123"/>
      <c r="C36" s="123"/>
      <c r="D36" s="123"/>
      <c r="E36" s="123"/>
      <c r="F36" s="123"/>
      <c r="G36" s="123"/>
      <c r="H36" s="123"/>
      <c r="I36" s="123"/>
      <c r="J36" s="122"/>
    </row>
    <row r="37" spans="1:10" ht="23.25" customHeight="1" x14ac:dyDescent="0.2">
      <c r="A37" s="120"/>
      <c r="B37" s="210" t="s">
        <v>48</v>
      </c>
      <c r="C37" s="196"/>
      <c r="D37" s="196"/>
      <c r="E37" s="196"/>
      <c r="F37" s="196"/>
      <c r="G37" s="196"/>
      <c r="H37" s="196"/>
      <c r="I37" s="196"/>
      <c r="J37" s="122"/>
    </row>
    <row r="38" spans="1:10" ht="15" customHeight="1" x14ac:dyDescent="0.2">
      <c r="A38" s="120"/>
      <c r="B38" s="123"/>
      <c r="C38" s="123"/>
      <c r="D38" s="123"/>
      <c r="E38" s="123"/>
      <c r="F38" s="123"/>
      <c r="G38" s="123"/>
      <c r="H38" s="123"/>
      <c r="I38" s="123"/>
      <c r="J38" s="122"/>
    </row>
    <row r="39" spans="1:10" ht="23.1" customHeight="1" x14ac:dyDescent="0.2">
      <c r="A39" s="120"/>
      <c r="B39" s="133" t="s">
        <v>49</v>
      </c>
      <c r="C39" s="133" t="s">
        <v>50</v>
      </c>
      <c r="D39" s="133" t="s">
        <v>51</v>
      </c>
      <c r="E39" s="133" t="s">
        <v>52</v>
      </c>
      <c r="F39" s="133" t="s">
        <v>53</v>
      </c>
      <c r="G39" s="211" t="s">
        <v>54</v>
      </c>
      <c r="H39" s="180"/>
      <c r="I39" s="181"/>
      <c r="J39" s="122"/>
    </row>
    <row r="40" spans="1:10" ht="20.25" customHeight="1" x14ac:dyDescent="0.2">
      <c r="A40" s="120"/>
      <c r="B40" s="134" t="s">
        <v>44</v>
      </c>
      <c r="C40" s="135">
        <v>45917</v>
      </c>
      <c r="D40" s="136" t="s">
        <v>46</v>
      </c>
      <c r="E40" s="136" t="s">
        <v>55</v>
      </c>
      <c r="F40" s="136" t="s">
        <v>56</v>
      </c>
      <c r="G40" s="209" t="s">
        <v>57</v>
      </c>
      <c r="H40" s="180"/>
      <c r="I40" s="181"/>
      <c r="J40" s="122"/>
    </row>
    <row r="41" spans="1:10" ht="20.25" customHeight="1" x14ac:dyDescent="0.2">
      <c r="A41" s="120"/>
      <c r="B41" s="136"/>
      <c r="C41" s="136"/>
      <c r="D41" s="136"/>
      <c r="E41" s="136"/>
      <c r="F41" s="136"/>
      <c r="G41" s="200"/>
      <c r="H41" s="180"/>
      <c r="I41" s="181"/>
      <c r="J41" s="122"/>
    </row>
    <row r="42" spans="1:10" ht="20.25" customHeight="1" x14ac:dyDescent="0.2">
      <c r="A42" s="120"/>
      <c r="B42" s="136"/>
      <c r="C42" s="136"/>
      <c r="D42" s="136"/>
      <c r="E42" s="136"/>
      <c r="F42" s="136"/>
      <c r="G42" s="200"/>
      <c r="H42" s="180"/>
      <c r="I42" s="181"/>
      <c r="J42" s="122"/>
    </row>
    <row r="43" spans="1:10" ht="20.25" customHeight="1" x14ac:dyDescent="0.2">
      <c r="A43" s="120"/>
      <c r="B43" s="136"/>
      <c r="C43" s="136"/>
      <c r="D43" s="136"/>
      <c r="E43" s="136"/>
      <c r="F43" s="136"/>
      <c r="G43" s="200"/>
      <c r="H43" s="180"/>
      <c r="I43" s="181"/>
      <c r="J43" s="122"/>
    </row>
    <row r="44" spans="1:10" ht="20.25" customHeight="1" x14ac:dyDescent="0.2">
      <c r="A44" s="120"/>
      <c r="B44" s="136"/>
      <c r="C44" s="136"/>
      <c r="D44" s="136"/>
      <c r="E44" s="136"/>
      <c r="F44" s="136"/>
      <c r="G44" s="200"/>
      <c r="H44" s="180"/>
      <c r="I44" s="181"/>
      <c r="J44" s="122"/>
    </row>
    <row r="45" spans="1:10" ht="20.25" customHeight="1" x14ac:dyDescent="0.2">
      <c r="A45" s="120"/>
      <c r="B45" s="136"/>
      <c r="C45" s="136"/>
      <c r="D45" s="136"/>
      <c r="E45" s="136"/>
      <c r="F45" s="136"/>
      <c r="G45" s="200"/>
      <c r="H45" s="180"/>
      <c r="I45" s="181"/>
      <c r="J45" s="122"/>
    </row>
    <row r="46" spans="1:10" ht="20.25" customHeight="1" x14ac:dyDescent="0.2">
      <c r="A46" s="120"/>
      <c r="B46" s="136"/>
      <c r="C46" s="136"/>
      <c r="D46" s="136"/>
      <c r="E46" s="136"/>
      <c r="F46" s="136"/>
      <c r="G46" s="200"/>
      <c r="H46" s="180"/>
      <c r="I46" s="181"/>
      <c r="J46" s="122"/>
    </row>
    <row r="47" spans="1:10" ht="8.1" customHeight="1" x14ac:dyDescent="0.2">
      <c r="A47" s="120"/>
      <c r="B47" s="123"/>
      <c r="C47" s="123"/>
      <c r="D47" s="123"/>
      <c r="E47" s="123"/>
      <c r="F47" s="123"/>
      <c r="G47" s="123"/>
      <c r="H47" s="123"/>
      <c r="I47" s="123"/>
      <c r="J47" s="122"/>
    </row>
    <row r="48" spans="1:10" ht="15.75" customHeight="1" thickBot="1" x14ac:dyDescent="0.25">
      <c r="A48" s="137"/>
      <c r="B48" s="138"/>
      <c r="C48" s="139"/>
      <c r="D48" s="140"/>
      <c r="E48" s="140"/>
      <c r="F48" s="138"/>
      <c r="G48" s="138"/>
      <c r="H48" s="138"/>
      <c r="I48" s="138"/>
      <c r="J48" s="141"/>
    </row>
    <row r="49" ht="15" customHeight="1" thickTop="1" x14ac:dyDescent="0.2"/>
  </sheetData>
  <mergeCells count="25">
    <mergeCell ref="G46:I46"/>
    <mergeCell ref="G40:I40"/>
    <mergeCell ref="B19:I19"/>
    <mergeCell ref="B37:I37"/>
    <mergeCell ref="C16:I16"/>
    <mergeCell ref="G43:I43"/>
    <mergeCell ref="G42:I42"/>
    <mergeCell ref="B24:I24"/>
    <mergeCell ref="G39:I39"/>
    <mergeCell ref="B26:I26"/>
    <mergeCell ref="G45:I45"/>
    <mergeCell ref="C15:I15"/>
    <mergeCell ref="B1:F3"/>
    <mergeCell ref="C14:I14"/>
    <mergeCell ref="G44:I44"/>
    <mergeCell ref="G41:I41"/>
    <mergeCell ref="B4:F4"/>
    <mergeCell ref="B7:I7"/>
    <mergeCell ref="C17:I17"/>
    <mergeCell ref="B22:I22"/>
    <mergeCell ref="B27:I27"/>
    <mergeCell ref="B12:I12"/>
    <mergeCell ref="B18:I18"/>
    <mergeCell ref="C13:I13"/>
    <mergeCell ref="B21:I21"/>
  </mergeCells>
  <printOptions horizontalCentered="1"/>
  <pageMargins left="0.7" right="0.7" top="0.8" bottom="0.45" header="0.3" footer="0.3"/>
  <pageSetup paperSize="9" scale="74" orientation="portrait" r:id="rId1"/>
  <headerFooter>
    <oddHeader>&amp;L&amp;"FreesiaUPC,Regular"&amp;14 TP-BM-005
17-SEP-2025&amp;C&amp;"FreesiaUPC,Regular"&amp;14 CLASH SUMMARY REPORT&amp;R&amp;"FreesiaUPC,Regular"&amp;14 R00
&amp;P of &amp;N</oddHeader>
    <oddFooter>&amp;C&amp;"FreesiaUPC,Regular"&amp;14 Hard copies of this document are for REFERENCE ONLY and should not be considered the latest revision beyond the date of printing.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50"/>
  <sheetViews>
    <sheetView view="pageLayout" zoomScale="130" zoomScaleNormal="100" zoomScaleSheetLayoutView="85" zoomScalePageLayoutView="130" workbookViewId="0">
      <selection activeCell="C5" sqref="C5"/>
    </sheetView>
  </sheetViews>
  <sheetFormatPr defaultRowHeight="14.25" x14ac:dyDescent="0.2"/>
  <cols>
    <col min="1" max="1" width="3.125" customWidth="1"/>
    <col min="2" max="2" width="12.125" customWidth="1"/>
    <col min="6" max="6" width="7.375" customWidth="1"/>
    <col min="7" max="7" width="17.125" customWidth="1"/>
    <col min="8" max="12" width="4.875" customWidth="1"/>
    <col min="13" max="14" width="12.5" customWidth="1"/>
    <col min="15" max="15" width="2.375" customWidth="1"/>
    <col min="16" max="16" width="42.125" customWidth="1"/>
    <col min="22" max="22" width="43.375" bestFit="1" customWidth="1"/>
    <col min="23" max="23" width="9" bestFit="1" customWidth="1"/>
  </cols>
  <sheetData>
    <row r="1" spans="2:16" ht="29.45" customHeight="1" x14ac:dyDescent="0.2">
      <c r="B1" s="62" t="s">
        <v>47</v>
      </c>
      <c r="C1" s="61"/>
      <c r="G1" s="5"/>
      <c r="P1" s="213"/>
    </row>
    <row r="2" spans="2:16" ht="13.35" customHeight="1" x14ac:dyDescent="0.2">
      <c r="B2" s="38" t="s">
        <v>58</v>
      </c>
      <c r="C2" s="212" t="s">
        <v>59</v>
      </c>
      <c r="D2" s="185"/>
      <c r="E2" s="185"/>
      <c r="P2" s="185"/>
    </row>
    <row r="3" spans="2:16" ht="13.35" customHeight="1" x14ac:dyDescent="0.2">
      <c r="B3" s="38" t="s">
        <v>60</v>
      </c>
      <c r="C3" s="34" t="s">
        <v>61</v>
      </c>
      <c r="D3" s="63"/>
      <c r="E3" s="63"/>
      <c r="P3" s="185"/>
    </row>
    <row r="4" spans="2:16" ht="13.35" customHeight="1" x14ac:dyDescent="0.2">
      <c r="B4" s="38" t="s">
        <v>62</v>
      </c>
      <c r="C4" s="35" t="s">
        <v>63</v>
      </c>
      <c r="D4" s="63"/>
      <c r="E4" s="63"/>
      <c r="P4" s="185"/>
    </row>
    <row r="5" spans="2:16" ht="5.0999999999999996" customHeight="1" thickBot="1" x14ac:dyDescent="0.25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2:16" ht="27.6" customHeight="1" x14ac:dyDescent="0.3">
      <c r="B6" s="51" t="s">
        <v>64</v>
      </c>
      <c r="G6" s="52" t="s">
        <v>14</v>
      </c>
      <c r="H6" s="52"/>
      <c r="I6" s="52"/>
      <c r="J6" s="52"/>
      <c r="K6" s="52"/>
      <c r="L6" s="52"/>
    </row>
    <row r="7" spans="2:16" ht="12.6" customHeight="1" x14ac:dyDescent="0.2">
      <c r="G7" s="78" t="s">
        <v>26</v>
      </c>
      <c r="H7" s="43" t="s">
        <v>65</v>
      </c>
      <c r="I7" s="43" t="s">
        <v>66</v>
      </c>
      <c r="J7" s="43" t="s">
        <v>23</v>
      </c>
      <c r="K7" s="43" t="s">
        <v>67</v>
      </c>
      <c r="L7" s="43" t="s">
        <v>68</v>
      </c>
      <c r="M7" s="44" t="s">
        <v>69</v>
      </c>
      <c r="N7" s="44" t="s">
        <v>70</v>
      </c>
      <c r="O7" s="40"/>
      <c r="P7" s="46" t="s">
        <v>71</v>
      </c>
    </row>
    <row r="8" spans="2:16" ht="12.6" customHeight="1" x14ac:dyDescent="0.2">
      <c r="G8" s="41" t="s">
        <v>2</v>
      </c>
      <c r="H8" s="92">
        <f>COUNTIFS('FP2'!H:H,"NEW",'FP2'!I:I,"CI")</f>
        <v>0</v>
      </c>
      <c r="I8" s="92">
        <f>COUNTIFS('FP2'!H:H,"NEW",'FP2'!I:I,"ST")</f>
        <v>0</v>
      </c>
      <c r="J8" s="92">
        <f>COUNTIFS('FP2'!H:H,"NEW",'FP2'!I:I,"AR")</f>
        <v>0</v>
      </c>
      <c r="K8" s="92">
        <f>COUNTIFS('FP2'!H:H,"NEW",'FP2'!I:I,"ME")</f>
        <v>0</v>
      </c>
      <c r="L8" s="92">
        <f>COUNTIFS('FP2'!H:H,"NEW",'FP2'!I:I,"ME")</f>
        <v>0</v>
      </c>
      <c r="M8" s="45">
        <f>COUNTIFS('FP2'!D:D,"MAJOR",'FP2'!H:H,"NEW")</f>
        <v>0</v>
      </c>
      <c r="N8" s="45">
        <f>COUNTIFS('FP2'!D:D,"MINOR",'FP2'!H:H,"NEW")</f>
        <v>0</v>
      </c>
      <c r="O8" s="40"/>
      <c r="P8" s="47" t="s">
        <v>72</v>
      </c>
    </row>
    <row r="9" spans="2:16" ht="12.6" customHeight="1" x14ac:dyDescent="0.2">
      <c r="G9" s="41" t="s">
        <v>3</v>
      </c>
      <c r="H9" s="92">
        <f>COUNTIFS('FP2'!H:H,"ACTIVE",'FP2'!I:I,"CI")</f>
        <v>0</v>
      </c>
      <c r="I9" s="92">
        <f>COUNTIFS('FP2'!H:H,"ACTIVE",'FP2'!I:I,"ST")</f>
        <v>0</v>
      </c>
      <c r="J9" s="92">
        <f>COUNTIFS('FP2'!H:H,"ACTIVE",'FP2'!I:I,"AR")</f>
        <v>0</v>
      </c>
      <c r="K9" s="92">
        <f>COUNTIFS('FP2'!H:H,"ACTIVE",'FP2'!I:I,"ME")</f>
        <v>0</v>
      </c>
      <c r="L9" s="92">
        <f>COUNTIFS('FP2'!H:H,"ACTIVE",'FP2'!I:I,"ME")</f>
        <v>0</v>
      </c>
      <c r="M9" s="45">
        <f>COUNTIFS('FP2'!D:D,"MAJOR",'FP2'!H:H,"ACTIVE")</f>
        <v>0</v>
      </c>
      <c r="N9" s="45">
        <f>COUNTIFS('FP2'!D:D,"MINOR",'FP2'!H:H,"ACTIVE")</f>
        <v>0</v>
      </c>
      <c r="O9" s="40"/>
      <c r="P9" s="47" t="s">
        <v>73</v>
      </c>
    </row>
    <row r="10" spans="2:16" ht="12.6" customHeight="1" x14ac:dyDescent="0.2">
      <c r="G10" s="41" t="s">
        <v>5</v>
      </c>
      <c r="H10" s="91">
        <f>COUNTIFS('FP2'!H:H,"ACTIVE",'FP2'!I:I,"CI")</f>
        <v>0</v>
      </c>
      <c r="I10" s="91">
        <f>COUNTIFS('FP2'!H:H,"PENDING",'FP2'!I:I,"ST")</f>
        <v>0</v>
      </c>
      <c r="J10" s="91">
        <f>COUNTIFS('FP2'!H:H,"PENDING",'FP2'!I:I,"AR")</f>
        <v>0</v>
      </c>
      <c r="K10" s="91">
        <f>COUNTIFS('FP2'!H:H,"PENDING",'FP2'!I:I,"ME")</f>
        <v>0</v>
      </c>
      <c r="L10" s="91">
        <f>COUNTIFS('FP2'!H:H,"PENDING",'FP2'!I:I,"ME")</f>
        <v>0</v>
      </c>
      <c r="M10" s="45">
        <f>COUNTIFS('FP2'!D:D,"MAJOR",'FP2'!H:H,"PENDING")</f>
        <v>0</v>
      </c>
      <c r="N10" s="45">
        <f>COUNTIFS('FP2'!D:D,"MINOR",'FP2'!H:H,"PENDING")</f>
        <v>0</v>
      </c>
      <c r="O10" s="40"/>
      <c r="P10" s="47" t="s">
        <v>74</v>
      </c>
    </row>
    <row r="11" spans="2:16" ht="12.6" customHeight="1" x14ac:dyDescent="0.2">
      <c r="G11" s="42" t="s">
        <v>4</v>
      </c>
      <c r="H11" s="91">
        <f>COUNTIFS('FP2'!H:H,"RESOLVED",'FP2'!I:I,"CI")</f>
        <v>0</v>
      </c>
      <c r="I11" s="91">
        <f>COUNTIFS('FP2'!H:H,"RESOLVED",'FP2'!I:I,"ST")</f>
        <v>0</v>
      </c>
      <c r="J11" s="91">
        <f>COUNTIFS('FP2'!H:H,"RESOLVED",'FP2'!I:I,"AR")</f>
        <v>1</v>
      </c>
      <c r="K11" s="91">
        <f>COUNTIFS('FP2'!H:H,"RESOLVED",'FP2'!I:I,"ME")</f>
        <v>0</v>
      </c>
      <c r="L11" s="91">
        <f>COUNTIFS('FP2'!H:H,"RESOLVED",'FP2'!I:I,"ME")</f>
        <v>0</v>
      </c>
      <c r="M11" s="45">
        <f>COUNTIFS('FP2'!D:D,"MAJOR",'FP2'!H:H,"RESOLVED")</f>
        <v>0</v>
      </c>
      <c r="N11" s="45">
        <f>COUNTIFS('FP2'!D:D,"MINOR",'FP2'!H:H,"RESOLVED")</f>
        <v>0</v>
      </c>
      <c r="O11" s="40"/>
      <c r="P11" s="47"/>
    </row>
    <row r="12" spans="2:16" ht="12.6" customHeight="1" x14ac:dyDescent="0.2">
      <c r="G12" s="93"/>
      <c r="H12" s="93"/>
      <c r="I12" s="93"/>
      <c r="J12" s="217" t="s">
        <v>6</v>
      </c>
      <c r="K12" s="218"/>
      <c r="L12" s="219"/>
      <c r="M12" s="95">
        <f>SUM(M8:M11)</f>
        <v>0</v>
      </c>
      <c r="N12" s="96">
        <f>SUM(N8:N11)</f>
        <v>0</v>
      </c>
      <c r="O12" s="38"/>
    </row>
    <row r="13" spans="2:16" ht="12.6" customHeight="1" x14ac:dyDescent="0.2">
      <c r="G13" s="39"/>
      <c r="H13" s="39"/>
      <c r="I13" s="39"/>
      <c r="J13" s="220"/>
      <c r="K13" s="221"/>
      <c r="L13" s="216"/>
      <c r="M13" s="223">
        <f>SUM(M12+N12)</f>
        <v>0</v>
      </c>
      <c r="N13" s="181"/>
      <c r="O13" s="38"/>
      <c r="P13" s="47"/>
    </row>
    <row r="14" spans="2:16" ht="12.6" customHeight="1" x14ac:dyDescent="0.2">
      <c r="G14" s="39"/>
      <c r="H14" s="39"/>
      <c r="I14" s="39"/>
      <c r="J14" s="214" t="s">
        <v>75</v>
      </c>
      <c r="K14" s="180"/>
      <c r="L14" s="181"/>
      <c r="M14" s="100">
        <f>SUM(M8:M10)</f>
        <v>0</v>
      </c>
      <c r="N14" s="101">
        <f>SUM(N8:N10)</f>
        <v>0</v>
      </c>
      <c r="O14" s="38"/>
      <c r="P14" s="48"/>
    </row>
    <row r="15" spans="2:16" ht="12.6" customHeight="1" x14ac:dyDescent="0.5">
      <c r="G15" s="38"/>
      <c r="H15" s="38"/>
      <c r="I15" s="38"/>
      <c r="J15" s="38"/>
      <c r="K15" s="38"/>
      <c r="L15" s="38"/>
      <c r="M15" s="39"/>
      <c r="N15" s="38"/>
      <c r="O15" s="38"/>
      <c r="P15" s="37"/>
    </row>
    <row r="16" spans="2:16" ht="12.6" customHeight="1" x14ac:dyDescent="0.2"/>
    <row r="17" spans="2:16" ht="12.6" customHeight="1" x14ac:dyDescent="0.2"/>
    <row r="18" spans="2:16" ht="12.6" customHeight="1" x14ac:dyDescent="0.2">
      <c r="G18" s="78" t="s">
        <v>25</v>
      </c>
      <c r="H18" s="43" t="s">
        <v>65</v>
      </c>
      <c r="I18" s="43" t="s">
        <v>66</v>
      </c>
      <c r="J18" s="43" t="s">
        <v>23</v>
      </c>
      <c r="K18" s="43" t="s">
        <v>67</v>
      </c>
      <c r="L18" s="43" t="s">
        <v>68</v>
      </c>
      <c r="M18" s="44" t="s">
        <v>69</v>
      </c>
      <c r="N18" s="44" t="s">
        <v>70</v>
      </c>
      <c r="P18" s="46" t="s">
        <v>71</v>
      </c>
    </row>
    <row r="19" spans="2:16" ht="12.6" customHeight="1" x14ac:dyDescent="0.2">
      <c r="G19" s="41" t="s">
        <v>2</v>
      </c>
      <c r="H19" s="92">
        <f>COUNTIFS(CCS!H:H,"NEW",CCS!I:I,"CI")</f>
        <v>0</v>
      </c>
      <c r="I19" s="92">
        <f>COUNTIFS(CCS!H:H,"NEW",CCS!I:I,"ST")</f>
        <v>0</v>
      </c>
      <c r="J19" s="92">
        <f>COUNTIFS(CCS!H:H,"NEW",CCS!I:I,"AR")</f>
        <v>0</v>
      </c>
      <c r="K19" s="92">
        <f>COUNTIFS(CCS!H:H,"NEW",CCS!I:I,"ME")</f>
        <v>0</v>
      </c>
      <c r="L19" s="92">
        <f>COUNTIFS(CCS!H:H,"NEW",CCS!I:I,"EE")</f>
        <v>0</v>
      </c>
      <c r="M19" s="45">
        <f>COUNTIFS(CCS!D:D,"MAJOR",CCS!H:H,"NEW")</f>
        <v>0</v>
      </c>
      <c r="N19" s="45">
        <f>COUNTIFS(CCS!D:D,"MINOR",CCS!H:H,"NEW")</f>
        <v>0</v>
      </c>
      <c r="P19" s="47" t="s">
        <v>72</v>
      </c>
    </row>
    <row r="20" spans="2:16" ht="12.6" customHeight="1" x14ac:dyDescent="0.2">
      <c r="G20" s="41" t="s">
        <v>3</v>
      </c>
      <c r="H20" s="92">
        <f>COUNTIFS(CCS!H:H,"ACTIVE",CCS!I:I,"CI")</f>
        <v>0</v>
      </c>
      <c r="I20" s="92">
        <f>COUNTIFS(CCS!H:H,"ACTIVE",CCS!I:I,"ST")</f>
        <v>0</v>
      </c>
      <c r="J20" s="92">
        <f>COUNTIFS(CCS!H:H,"ACTIVE",CCS!I:I,"AR")</f>
        <v>0</v>
      </c>
      <c r="K20" s="92">
        <f>COUNTIFS(CCS!H:H,"ACTIVE",CCS!I:I,"ME")</f>
        <v>0</v>
      </c>
      <c r="L20" s="92">
        <f>COUNTIFS(CCS!H:H,"ACTIVE",CCS!I:I,"EE")</f>
        <v>0</v>
      </c>
      <c r="M20" s="45">
        <f>COUNTIFS(CCS!D:D,"MAJOR",CCS!H:H,"ACTIVE")</f>
        <v>0</v>
      </c>
      <c r="N20" s="45">
        <f>COUNTIFS(CCS!D:D,"MINOR",CCS!H:H,"ACTIVE")</f>
        <v>0</v>
      </c>
      <c r="P20" s="47" t="s">
        <v>73</v>
      </c>
    </row>
    <row r="21" spans="2:16" ht="12.6" customHeight="1" x14ac:dyDescent="0.2">
      <c r="G21" s="41" t="s">
        <v>5</v>
      </c>
      <c r="H21" s="91">
        <f>COUNTIFS(CCS!H:H,"PENDING",CCS!I:I,"CI")</f>
        <v>0</v>
      </c>
      <c r="I21" s="91">
        <f>COUNTIFS(CCS!H:H,"PENDING",CCS!I:I,"ST")</f>
        <v>0</v>
      </c>
      <c r="J21" s="91">
        <f>COUNTIFS(CCS!H:H,"PENDING",CCS!I:I,"AR")</f>
        <v>0</v>
      </c>
      <c r="K21" s="91">
        <f>COUNTIFS(CCS!H:H,"PENDING",CCS!I:I,"ME")</f>
        <v>0</v>
      </c>
      <c r="L21" s="91">
        <f>COUNTIFS(CCS!H:H,"PENDING",CCS!I:I,"EE")</f>
        <v>0</v>
      </c>
      <c r="M21" s="45">
        <f>COUNTIFS(CCS!D:D,"MAJOR",CCS!H:H,"PENDING")</f>
        <v>0</v>
      </c>
      <c r="N21" s="45">
        <f>COUNTIFS(CCS!D:D,"MINOR",CCS!H:H,"PENDING")</f>
        <v>0</v>
      </c>
      <c r="P21" s="47" t="s">
        <v>74</v>
      </c>
    </row>
    <row r="22" spans="2:16" ht="12.6" customHeight="1" x14ac:dyDescent="0.2">
      <c r="G22" s="42" t="s">
        <v>4</v>
      </c>
      <c r="H22" s="91">
        <f>COUNTIFS(CCS!H:H,"RESOLVED",CCS!I:I,"CI")</f>
        <v>0</v>
      </c>
      <c r="I22" s="91">
        <f>COUNTIFS(CCS!H:H,"RESOLVED",CCS!I:I,"ST")</f>
        <v>0</v>
      </c>
      <c r="J22" s="91">
        <f>COUNTIFS(CCS!H:H,"RESOLVED",CCS!I:I,"AR")</f>
        <v>0</v>
      </c>
      <c r="K22" s="91">
        <f>COUNTIFS(CCS!H:H,"RESOLVED",CCS!I:I,"ME")</f>
        <v>0</v>
      </c>
      <c r="L22" s="91">
        <f>COUNTIFS(CCS!H:H,"RESOLVED",CCS!I:I,"EE")</f>
        <v>0</v>
      </c>
      <c r="M22" s="45">
        <f>COUNTIFS(CCS!D:D,"MAJOR",CCS!H:H,"RESOLVED")</f>
        <v>0</v>
      </c>
      <c r="N22" s="45">
        <f>COUNTIFS(CCS!D:D,"MINOR",CCS!H:H,"RESOLVED")</f>
        <v>0</v>
      </c>
      <c r="P22" s="47"/>
    </row>
    <row r="23" spans="2:16" ht="12.6" customHeight="1" x14ac:dyDescent="0.2">
      <c r="G23" s="94"/>
      <c r="H23" s="94"/>
      <c r="I23" s="94"/>
      <c r="J23" s="149" t="s">
        <v>6</v>
      </c>
      <c r="K23" s="150"/>
      <c r="L23" s="151"/>
      <c r="M23" s="96">
        <f>SUM(M19:M22)</f>
        <v>0</v>
      </c>
      <c r="N23" s="95">
        <f>SUM(N19:N22)</f>
        <v>0</v>
      </c>
      <c r="P23" s="48"/>
    </row>
    <row r="24" spans="2:16" ht="12.6" customHeight="1" x14ac:dyDescent="0.2">
      <c r="G24" s="97"/>
      <c r="H24" s="97"/>
      <c r="I24" s="97"/>
      <c r="J24" s="152"/>
      <c r="K24" s="153"/>
      <c r="L24" s="154"/>
      <c r="M24" s="148">
        <f>SUM(M23+N23)</f>
        <v>0</v>
      </c>
      <c r="N24" s="148"/>
    </row>
    <row r="25" spans="2:16" ht="12.6" customHeight="1" x14ac:dyDescent="0.2">
      <c r="B25" s="222" t="s">
        <v>76</v>
      </c>
      <c r="C25" s="185"/>
      <c r="D25" s="185"/>
      <c r="G25" s="97"/>
      <c r="H25" s="97"/>
      <c r="I25" s="97"/>
      <c r="J25" s="214" t="s">
        <v>75</v>
      </c>
      <c r="K25" s="180"/>
      <c r="L25" s="181"/>
      <c r="M25" s="100">
        <f>SUM(M19:M21)</f>
        <v>0</v>
      </c>
      <c r="N25" s="101">
        <f>SUM(N19:N21)</f>
        <v>0</v>
      </c>
    </row>
    <row r="26" spans="2:16" ht="12.6" customHeight="1" x14ac:dyDescent="0.2">
      <c r="B26" s="185"/>
      <c r="C26" s="185"/>
      <c r="D26" s="185"/>
    </row>
    <row r="27" spans="2:16" ht="12.6" customHeight="1" x14ac:dyDescent="0.2"/>
    <row r="28" spans="2:16" ht="12.6" customHeight="1" x14ac:dyDescent="0.2">
      <c r="G28" s="78" t="s">
        <v>77</v>
      </c>
      <c r="H28" s="43" t="s">
        <v>65</v>
      </c>
      <c r="I28" s="43" t="s">
        <v>66</v>
      </c>
      <c r="J28" s="43" t="s">
        <v>23</v>
      </c>
      <c r="K28" s="43" t="s">
        <v>67</v>
      </c>
      <c r="L28" s="43" t="s">
        <v>68</v>
      </c>
      <c r="M28" s="44" t="s">
        <v>69</v>
      </c>
      <c r="N28" s="44" t="s">
        <v>70</v>
      </c>
      <c r="P28" s="46" t="s">
        <v>71</v>
      </c>
    </row>
    <row r="29" spans="2:16" ht="12.6" customHeight="1" x14ac:dyDescent="0.2">
      <c r="G29" s="41" t="s">
        <v>2</v>
      </c>
      <c r="H29" s="92">
        <f>COUNTIFS('Outside building'!H:H,"NEW",'Outside building'!I:I,"CI")</f>
        <v>0</v>
      </c>
      <c r="I29" s="92">
        <f>COUNTIFS('Outside building'!I:I,"NEW",'Outside building'!J:J,"ST")</f>
        <v>0</v>
      </c>
      <c r="J29" s="92">
        <f>COUNTIFS('Outside building'!J:J,"NEW",'Outside building'!K:K,"AR")</f>
        <v>0</v>
      </c>
      <c r="K29" s="92">
        <f>COUNTIFS('Outside building'!K:K,"NEW",'Outside building'!L:L,"ME")</f>
        <v>0</v>
      </c>
      <c r="L29" s="92">
        <f>COUNTIFS('Outside building'!L:L,"NEW",'Outside building'!M:M,"EE")</f>
        <v>0</v>
      </c>
      <c r="M29" s="45">
        <f>COUNTIFS('Outside building'!D:D,"MAJOR",'Outside building'!H:H,"NEW")</f>
        <v>0</v>
      </c>
      <c r="N29" s="45">
        <f>COUNTIFS('Outside building'!D:D,"MINOR",'Outside building'!H:H,"NEW")</f>
        <v>0</v>
      </c>
      <c r="P29" s="47" t="s">
        <v>72</v>
      </c>
    </row>
    <row r="30" spans="2:16" ht="12.6" customHeight="1" x14ac:dyDescent="0.2">
      <c r="G30" s="41" t="s">
        <v>3</v>
      </c>
      <c r="H30" s="92">
        <f>COUNTIFS('Outside building'!H:H,"NEW",'Outside building'!I:I,"CI")</f>
        <v>0</v>
      </c>
      <c r="I30" s="92">
        <f>COUNTIFS('Outside building'!I:I,"NEW",'Outside building'!J:J,"ST")</f>
        <v>0</v>
      </c>
      <c r="J30" s="92">
        <f>COUNTIFS('Outside building'!J:J,"NEW",'Outside building'!K:K,"AR")</f>
        <v>0</v>
      </c>
      <c r="K30" s="92">
        <f>COUNTIFS('Outside building'!K:K,"NEW",'Outside building'!L:L,"ME")</f>
        <v>0</v>
      </c>
      <c r="L30" s="92">
        <f>COUNTIFS('Outside building'!L:L,"NEW",'Outside building'!M:M,"EE")</f>
        <v>0</v>
      </c>
      <c r="M30" s="45">
        <f>COUNTIFS('Outside building'!D:D,"MAJOR",'Outside building'!H:H,"ACTIVE")</f>
        <v>0</v>
      </c>
      <c r="N30" s="45">
        <f>COUNTIFS('Outside building'!D:D,"MINOR",'Outside building'!H:H,"ACTIVE")</f>
        <v>0</v>
      </c>
      <c r="P30" s="47" t="s">
        <v>73</v>
      </c>
    </row>
    <row r="31" spans="2:16" ht="12.6" customHeight="1" x14ac:dyDescent="0.2">
      <c r="G31" s="41" t="s">
        <v>5</v>
      </c>
      <c r="H31" s="92">
        <f>COUNTIFS('Outside building'!H:H,"NEW",'Outside building'!I:I,"CI")</f>
        <v>0</v>
      </c>
      <c r="I31" s="92">
        <f>COUNTIFS('Outside building'!I:I,"NEW",'Outside building'!J:J,"ST")</f>
        <v>0</v>
      </c>
      <c r="J31" s="92">
        <f>COUNTIFS('Outside building'!J:J,"NEW",'Outside building'!K:K,"AR")</f>
        <v>0</v>
      </c>
      <c r="K31" s="92">
        <f>COUNTIFS('Outside building'!K:K,"NEW",'Outside building'!L:L,"ME")</f>
        <v>0</v>
      </c>
      <c r="L31" s="92">
        <f>COUNTIFS('Outside building'!L:L,"NEW",'Outside building'!M:M,"EE")</f>
        <v>0</v>
      </c>
      <c r="M31" s="45">
        <f>COUNTIFS('Outside building'!D:D,"MAJOR",'Outside building'!H:H,"PENDING")</f>
        <v>0</v>
      </c>
      <c r="N31" s="45">
        <f>COUNTIFS('Outside building'!D:D,"MINOR",'Outside building'!H:H,"PENDING")</f>
        <v>0</v>
      </c>
      <c r="P31" s="47" t="s">
        <v>74</v>
      </c>
    </row>
    <row r="32" spans="2:16" ht="12.6" customHeight="1" x14ac:dyDescent="0.2">
      <c r="G32" s="42" t="s">
        <v>4</v>
      </c>
      <c r="H32" s="92">
        <f>COUNTIFS('Outside building'!H:H,"NEW",'Outside building'!I:I,"CI")</f>
        <v>0</v>
      </c>
      <c r="I32" s="92">
        <f>COUNTIFS('Outside building'!I:I,"NEW",'Outside building'!J:J,"ST")</f>
        <v>0</v>
      </c>
      <c r="J32" s="92">
        <f>COUNTIFS('Outside building'!J:J,"NEW",'Outside building'!K:K,"AR")</f>
        <v>0</v>
      </c>
      <c r="K32" s="92">
        <f>COUNTIFS('Outside building'!K:K,"NEW",'Outside building'!L:L,"ME")</f>
        <v>0</v>
      </c>
      <c r="L32" s="92">
        <f>COUNTIFS('Outside building'!L:L,"NEW",'Outside building'!M:M,"EE")</f>
        <v>0</v>
      </c>
      <c r="M32" s="45">
        <f>COUNTIFS('Outside building'!D:D,"MAJOR",'Outside building'!H:H,"RESOLVED")</f>
        <v>0</v>
      </c>
      <c r="N32" s="45">
        <f>COUNTIFS('Outside building'!D:D,"MINOR",'Outside building'!H:H,"RESOLVED")</f>
        <v>0</v>
      </c>
    </row>
    <row r="33" spans="7:16" ht="12.6" customHeight="1" x14ac:dyDescent="0.2">
      <c r="G33" s="94"/>
      <c r="H33" s="94"/>
      <c r="I33" s="94"/>
      <c r="J33" s="217" t="s">
        <v>6</v>
      </c>
      <c r="K33" s="218"/>
      <c r="L33" s="219"/>
      <c r="M33" s="96">
        <f>SUM(M29:M32)</f>
        <v>0</v>
      </c>
      <c r="N33" s="96">
        <f>SUM(N29:N32)</f>
        <v>0</v>
      </c>
      <c r="P33" s="46"/>
    </row>
    <row r="34" spans="7:16" ht="12.6" customHeight="1" x14ac:dyDescent="0.2">
      <c r="G34" s="97"/>
      <c r="H34" s="97"/>
      <c r="I34" s="97"/>
      <c r="J34" s="220"/>
      <c r="K34" s="221"/>
      <c r="L34" s="216"/>
      <c r="M34" s="215">
        <f>SUM(M33+N33)</f>
        <v>0</v>
      </c>
      <c r="N34" s="216"/>
      <c r="P34" s="47"/>
    </row>
    <row r="35" spans="7:16" ht="12.6" customHeight="1" x14ac:dyDescent="0.2">
      <c r="G35" s="97"/>
      <c r="H35" s="97"/>
      <c r="I35" s="97"/>
      <c r="J35" s="214" t="s">
        <v>75</v>
      </c>
      <c r="K35" s="180"/>
      <c r="L35" s="181"/>
      <c r="M35" s="100">
        <f>SUM(M29:M31)</f>
        <v>0</v>
      </c>
      <c r="N35" s="101">
        <f>SUM(N29:N31)</f>
        <v>0</v>
      </c>
      <c r="P35" s="47"/>
    </row>
    <row r="36" spans="7:16" ht="12.6" customHeight="1" x14ac:dyDescent="0.2">
      <c r="P36" s="47"/>
    </row>
    <row r="37" spans="7:16" ht="12.6" customHeight="1" x14ac:dyDescent="0.45">
      <c r="O37" s="169"/>
      <c r="P37" s="47"/>
    </row>
    <row r="38" spans="7:16" ht="12.6" customHeight="1" x14ac:dyDescent="0.45">
      <c r="O38" s="169"/>
    </row>
    <row r="39" spans="7:16" ht="12.6" customHeight="1" x14ac:dyDescent="0.45">
      <c r="O39" s="169"/>
      <c r="P39" s="47"/>
    </row>
    <row r="40" spans="7:16" ht="12.6" customHeight="1" x14ac:dyDescent="0.45">
      <c r="G40" s="97"/>
      <c r="H40" s="97"/>
      <c r="I40" s="97"/>
      <c r="J40" s="171"/>
      <c r="K40" s="171"/>
      <c r="L40" s="171"/>
      <c r="M40" s="170"/>
      <c r="N40" s="170"/>
      <c r="O40" s="169"/>
      <c r="P40" s="47"/>
    </row>
    <row r="41" spans="7:16" ht="11.45" customHeight="1" x14ac:dyDescent="0.45">
      <c r="N41" s="169"/>
      <c r="O41" s="169"/>
    </row>
    <row r="42" spans="7:16" ht="11.1" customHeight="1" x14ac:dyDescent="0.45">
      <c r="G42" s="163"/>
      <c r="H42" s="163"/>
      <c r="I42" s="163"/>
      <c r="J42" s="163"/>
      <c r="K42" s="163"/>
      <c r="L42" s="163"/>
      <c r="M42" s="164"/>
      <c r="N42" s="164"/>
      <c r="O42" s="169"/>
      <c r="P42" s="46"/>
    </row>
    <row r="43" spans="7:16" ht="11.1" customHeight="1" x14ac:dyDescent="0.45">
      <c r="G43" s="165"/>
      <c r="H43" s="166"/>
      <c r="I43" s="166"/>
      <c r="J43" s="166"/>
      <c r="K43" s="166"/>
      <c r="L43" s="166"/>
      <c r="M43" s="167"/>
      <c r="N43" s="167"/>
      <c r="O43" s="169"/>
      <c r="P43" s="47"/>
    </row>
    <row r="44" spans="7:16" ht="11.1" customHeight="1" x14ac:dyDescent="0.2">
      <c r="G44" s="165"/>
      <c r="H44" s="166"/>
      <c r="I44" s="166"/>
      <c r="J44" s="166"/>
      <c r="K44" s="166"/>
      <c r="L44" s="166"/>
      <c r="M44" s="167"/>
      <c r="N44" s="167"/>
      <c r="P44" s="47"/>
    </row>
    <row r="45" spans="7:16" ht="11.1" customHeight="1" x14ac:dyDescent="0.2">
      <c r="G45" s="165"/>
      <c r="H45" s="168"/>
      <c r="I45" s="168"/>
      <c r="J45" s="168"/>
      <c r="K45" s="168"/>
      <c r="L45" s="168"/>
      <c r="M45" s="167"/>
      <c r="N45" s="167"/>
      <c r="P45" s="47"/>
    </row>
    <row r="46" spans="7:16" ht="11.1" customHeight="1" x14ac:dyDescent="0.2">
      <c r="G46" s="39"/>
      <c r="H46" s="168"/>
      <c r="I46" s="168"/>
      <c r="J46" s="168"/>
      <c r="K46" s="168"/>
      <c r="L46" s="168"/>
      <c r="M46" s="167"/>
      <c r="N46" s="167"/>
      <c r="P46" s="47"/>
    </row>
    <row r="47" spans="7:16" ht="11.45" customHeight="1" x14ac:dyDescent="0.2">
      <c r="G47" s="97"/>
      <c r="H47" s="97"/>
      <c r="I47" s="97"/>
    </row>
    <row r="48" spans="7:16" ht="11.45" customHeight="1" x14ac:dyDescent="0.2"/>
    <row r="49" spans="16:16" ht="11.45" customHeight="1" x14ac:dyDescent="0.2">
      <c r="P49" s="48"/>
    </row>
    <row r="50" spans="16:16" ht="14.45" customHeight="1" x14ac:dyDescent="0.2"/>
  </sheetData>
  <mergeCells count="10">
    <mergeCell ref="J35:L35"/>
    <mergeCell ref="J12:L13"/>
    <mergeCell ref="J33:L34"/>
    <mergeCell ref="B25:D26"/>
    <mergeCell ref="M13:N13"/>
    <mergeCell ref="C2:E2"/>
    <mergeCell ref="P1:P4"/>
    <mergeCell ref="J25:L25"/>
    <mergeCell ref="J14:L14"/>
    <mergeCell ref="M34:N34"/>
  </mergeCells>
  <pageMargins left="0.45" right="0.45" top="0.8" bottom="0.3" header="0.3" footer="0.3"/>
  <pageSetup paperSize="9" scale="81" fitToHeight="0" orientation="landscape" r:id="rId1"/>
  <headerFooter scaleWithDoc="0">
    <oddHeader>&amp;L&amp;"FreesiaUPC,Regular"&amp;14 TP-BM-005
17-SEP-2025&amp;C&amp;"FreesiaUPC,Regular"&amp;14 CLASH SUMMARY REPORT&amp;R&amp;"FreesiaUPC,Regular"&amp;14 R00
&amp;P of &amp;N</oddHeader>
    <oddFooter>&amp;L&amp;8 &amp;A&amp;C&amp;8    Page &amp;P of &amp;N   
&amp;R&amp;8 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9797"/>
    <pageSetUpPr fitToPage="1"/>
  </sheetPr>
  <dimension ref="A1:AF11"/>
  <sheetViews>
    <sheetView tabSelected="1" zoomScale="55" zoomScaleNormal="55" zoomScaleSheetLayoutView="55" zoomScalePageLayoutView="40" workbookViewId="0">
      <selection activeCell="C16" sqref="C16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hidden="1" customWidth="1"/>
    <col min="5" max="5" width="16.125" style="5" hidden="1" customWidth="1"/>
    <col min="6" max="6" width="16.125" hidden="1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62.125" style="75" bestFit="1" customWidth="1"/>
    <col min="14" max="14" width="34" style="6" customWidth="1"/>
    <col min="15" max="15" width="32.75" customWidth="1"/>
    <col min="16" max="18" width="8.625" customWidth="1"/>
    <col min="19" max="19" width="22.125" bestFit="1" customWidth="1"/>
    <col min="20" max="32" width="8.625" customWidth="1"/>
  </cols>
  <sheetData>
    <row r="1" spans="1:32" ht="23.1" customHeight="1" thickBot="1" x14ac:dyDescent="0.55000000000000004">
      <c r="A1" s="64"/>
      <c r="B1" s="64"/>
      <c r="C1" s="64"/>
      <c r="I1" s="53"/>
    </row>
    <row r="2" spans="1:32" ht="23.1" customHeight="1" x14ac:dyDescent="0.2">
      <c r="A2" s="182" t="s">
        <v>0</v>
      </c>
      <c r="B2" s="183"/>
      <c r="C2" s="184"/>
      <c r="I2" s="53"/>
      <c r="S2" s="79" t="s">
        <v>1</v>
      </c>
      <c r="T2" s="80"/>
    </row>
    <row r="3" spans="1:32" ht="23.1" customHeight="1" x14ac:dyDescent="0.2">
      <c r="A3" s="185"/>
      <c r="B3" s="183"/>
      <c r="C3" s="184"/>
      <c r="I3" s="53"/>
      <c r="S3" s="81" t="s">
        <v>2</v>
      </c>
      <c r="T3" s="82">
        <f>COUNTIF(H:H,"NEW")</f>
        <v>1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3" t="s">
        <v>3</v>
      </c>
      <c r="T4" s="84">
        <f>COUNTIF(H:H,"ACTIVE")</f>
        <v>0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5" t="s">
        <v>4</v>
      </c>
      <c r="T5" s="82">
        <f>COUNTIF(H:H,"RESOLVED")</f>
        <v>1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6" t="s">
        <v>5</v>
      </c>
      <c r="T6" s="82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7" t="s">
        <v>6</v>
      </c>
      <c r="T7" s="88">
        <f>SUM(T3:T6)</f>
        <v>2</v>
      </c>
    </row>
    <row r="8" spans="1:32" ht="40.35" customHeight="1" x14ac:dyDescent="0.2">
      <c r="A8" s="186" t="s">
        <v>7</v>
      </c>
      <c r="B8" s="177" t="s">
        <v>8</v>
      </c>
      <c r="C8" s="188" t="s">
        <v>9</v>
      </c>
      <c r="D8" s="175" t="s">
        <v>10</v>
      </c>
      <c r="E8" s="188" t="s">
        <v>11</v>
      </c>
      <c r="F8" s="188" t="s">
        <v>12</v>
      </c>
      <c r="G8" s="188" t="s">
        <v>13</v>
      </c>
      <c r="H8" s="190" t="s">
        <v>14</v>
      </c>
      <c r="I8" s="173" t="s">
        <v>15</v>
      </c>
      <c r="J8" s="179" t="s">
        <v>16</v>
      </c>
      <c r="K8" s="180"/>
      <c r="L8" s="180"/>
      <c r="M8" s="180"/>
      <c r="N8" s="181"/>
    </row>
    <row r="9" spans="1:32" s="2" customFormat="1" ht="83.45" customHeight="1" x14ac:dyDescent="0.65">
      <c r="A9" s="187"/>
      <c r="B9" s="178"/>
      <c r="C9" s="189"/>
      <c r="D9" s="176"/>
      <c r="E9" s="189"/>
      <c r="F9" s="189"/>
      <c r="G9" s="189"/>
      <c r="H9" s="189"/>
      <c r="I9" s="174"/>
      <c r="J9" s="72" t="s">
        <v>17</v>
      </c>
      <c r="K9" s="73" t="s">
        <v>18</v>
      </c>
      <c r="L9" s="73" t="s">
        <v>19</v>
      </c>
      <c r="M9" s="74" t="s">
        <v>20</v>
      </c>
      <c r="N9" s="71" t="s">
        <v>21</v>
      </c>
      <c r="O9" s="1"/>
      <c r="P9" s="1"/>
      <c r="Q9" s="1"/>
      <c r="R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>
        <v>1</v>
      </c>
      <c r="B10" s="49" t="s">
        <v>22</v>
      </c>
      <c r="C10" s="12" t="s">
        <v>94</v>
      </c>
      <c r="D10" s="17" t="e">
        <f>RIGHT(C10,LEN(C10)-FIND("@",SUBSTITUTE(C10,"_","@",LEN(C10)-LEN(SUBSTITUTE(C10,"_","")))))</f>
        <v>#VALUE!</v>
      </c>
      <c r="E10" s="11" t="e">
        <f>MID(C10, FIND("_", C10, FIND("_", C10) + 1) + 1, FIND("_", C10, FIND("_", C10, FIND("_", C10) + 1) + 1) - FIND("_", C10, FIND("_", C10) + 1)- 1)</f>
        <v>#VALUE!</v>
      </c>
      <c r="F10" s="11"/>
      <c r="G10" s="55"/>
      <c r="H10" s="16" t="s">
        <v>4</v>
      </c>
      <c r="I10" s="19" t="s">
        <v>23</v>
      </c>
      <c r="J10" s="59" t="b">
        <v>0</v>
      </c>
      <c r="K10" s="60" t="b">
        <v>0</v>
      </c>
      <c r="L10" s="60" t="b">
        <v>0</v>
      </c>
      <c r="M10" s="76"/>
      <c r="N10" s="70"/>
      <c r="O10" s="172"/>
      <c r="P10" s="172"/>
      <c r="R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</row>
    <row r="11" spans="1:32" ht="148.35" customHeight="1" x14ac:dyDescent="0.2">
      <c r="A11" s="50">
        <v>2</v>
      </c>
      <c r="B11" s="156" t="s">
        <v>24</v>
      </c>
      <c r="C11" s="157" t="s">
        <v>94</v>
      </c>
      <c r="D11" s="158"/>
      <c r="E11" s="155"/>
      <c r="F11" s="155"/>
      <c r="G11" s="157"/>
      <c r="H11" s="155" t="s">
        <v>2</v>
      </c>
      <c r="I11" s="162"/>
      <c r="J11" s="161" t="b">
        <v>0</v>
      </c>
      <c r="K11" s="159" t="b">
        <v>0</v>
      </c>
      <c r="L11" s="159" t="b">
        <v>0</v>
      </c>
      <c r="M11" s="160"/>
      <c r="N11" s="70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</row>
  </sheetData>
  <autoFilter ref="D5:D613" xr:uid="{00000000-0009-0000-0000-000002000000}"/>
  <mergeCells count="11">
    <mergeCell ref="I8:I9"/>
    <mergeCell ref="D8:D9"/>
    <mergeCell ref="B8:B9"/>
    <mergeCell ref="J8:N8"/>
    <mergeCell ref="A2:C3"/>
    <mergeCell ref="A8:A9"/>
    <mergeCell ref="E8:E9"/>
    <mergeCell ref="C8:C9"/>
    <mergeCell ref="H8:H9"/>
    <mergeCell ref="F8:F9"/>
    <mergeCell ref="G8:G9"/>
  </mergeCells>
  <conditionalFormatting sqref="B4:B1048576">
    <cfRule type="containsText" dxfId="25" priority="5" operator="containsText" text="CLASH">
      <formula>NOT(ISERROR(SEARCH("CLASH",B4)))</formula>
    </cfRule>
    <cfRule type="containsText" dxfId="24" priority="6" operator="containsText" text="VISUAL CHECK">
      <formula>NOT(ISERROR(SEARCH("VISUAL CHECK",B4)))</formula>
    </cfRule>
  </conditionalFormatting>
  <conditionalFormatting sqref="H1:H1048576">
    <cfRule type="containsText" dxfId="23" priority="1" operator="containsText" text="RESOLVED">
      <formula>NOT(ISERROR(SEARCH("RESOLVED",H1)))</formula>
    </cfRule>
    <cfRule type="containsText" dxfId="22" priority="2" operator="containsText" text="ACTIVE">
      <formula>NOT(ISERROR(SEARCH("ACTIVE",H1)))</formula>
    </cfRule>
    <cfRule type="containsText" dxfId="21" priority="3" operator="containsText" text="NEW">
      <formula>NOT(ISERROR(SEARCH("NEW",H1)))</formula>
    </cfRule>
    <cfRule type="containsText" dxfId="20" priority="4" operator="containsText" text="PENDING">
      <formula>NOT(ISERROR(SEARCH("PENDING",H1)))</formula>
    </cfRule>
  </conditionalFormatting>
  <printOptions horizontalCentered="1"/>
  <pageMargins left="0.45" right="0.45" top="0.8" bottom="0.3" header="0.3" footer="0.3"/>
  <pageSetup paperSize="9" scale="40" fitToHeight="0" orientation="landscape"/>
  <headerFooter scaleWithDoc="0">
    <oddHeader>&amp;L&amp;"FreesiaUPC,Regular"&amp;14 TP-BM-005
17 Sep 2025&amp;C&amp;"FreesiaUPC,Regular"&amp;14 CLASH SUMMARY REPORT&amp;R&amp;"FreesiaUPC,Regular"&amp;14 R00
&amp;P of &amp;N</oddHeader>
    <oddFooter>&amp;L&amp;8 &amp;A&amp;C&amp;8    Page &amp;P of &amp;N   
&amp;R&amp;8 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F96"/>
  <sheetViews>
    <sheetView topLeftCell="A4" zoomScale="55" zoomScaleNormal="55" zoomScaleSheetLayoutView="55" zoomScalePageLayoutView="55" workbookViewId="0">
      <selection activeCell="C11" sqref="C11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hidden="1" customWidth="1"/>
    <col min="5" max="5" width="16.125" style="5" hidden="1" customWidth="1"/>
    <col min="6" max="6" width="16.125" hidden="1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62.125" style="6" bestFit="1" customWidth="1"/>
    <col min="14" max="14" width="42.625" style="6" customWidth="1"/>
    <col min="15" max="18" width="8.625" customWidth="1"/>
    <col min="19" max="19" width="30.125" customWidth="1"/>
    <col min="20" max="32" width="8.625" customWidth="1"/>
  </cols>
  <sheetData>
    <row r="1" spans="1:32" ht="23.1" customHeight="1" thickBot="1" x14ac:dyDescent="0.55000000000000004">
      <c r="A1" s="64"/>
      <c r="B1" s="65"/>
      <c r="C1" s="66"/>
      <c r="I1" s="53"/>
    </row>
    <row r="2" spans="1:32" ht="23.1" customHeight="1" x14ac:dyDescent="0.2">
      <c r="A2" s="224" t="s">
        <v>78</v>
      </c>
      <c r="B2" s="183"/>
      <c r="C2" s="184"/>
      <c r="I2" s="53"/>
      <c r="S2" s="79" t="s">
        <v>1</v>
      </c>
      <c r="T2" s="80"/>
    </row>
    <row r="3" spans="1:32" ht="23.1" customHeight="1" x14ac:dyDescent="0.2">
      <c r="A3" s="185"/>
      <c r="B3" s="183"/>
      <c r="C3" s="184"/>
      <c r="I3" s="53"/>
      <c r="S3" s="81" t="s">
        <v>2</v>
      </c>
      <c r="T3" s="84">
        <f>COUNTIF(H:H,"NEW")</f>
        <v>5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3" t="s">
        <v>3</v>
      </c>
      <c r="T4" s="84">
        <f>COUNTIF(H:H,"ACTIVE")</f>
        <v>0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5" t="s">
        <v>4</v>
      </c>
      <c r="T5" s="82">
        <f>COUNTIF(H:H,"RESOLVED")</f>
        <v>0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6" t="s">
        <v>5</v>
      </c>
      <c r="T6" s="82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7" t="s">
        <v>6</v>
      </c>
      <c r="T7" s="88">
        <f>SUM(T3:T6)</f>
        <v>5</v>
      </c>
    </row>
    <row r="8" spans="1:32" ht="40.35" customHeight="1" x14ac:dyDescent="0.2">
      <c r="A8" s="186" t="s">
        <v>7</v>
      </c>
      <c r="B8" s="177" t="s">
        <v>8</v>
      </c>
      <c r="C8" s="188" t="s">
        <v>9</v>
      </c>
      <c r="D8" s="175" t="s">
        <v>10</v>
      </c>
      <c r="E8" s="188" t="s">
        <v>11</v>
      </c>
      <c r="F8" s="188" t="s">
        <v>12</v>
      </c>
      <c r="G8" s="188" t="s">
        <v>13</v>
      </c>
      <c r="H8" s="190" t="s">
        <v>14</v>
      </c>
      <c r="I8" s="173" t="s">
        <v>15</v>
      </c>
      <c r="J8" s="225" t="s">
        <v>16</v>
      </c>
      <c r="K8" s="226"/>
      <c r="L8" s="226"/>
      <c r="M8" s="227"/>
      <c r="N8" s="228" t="s">
        <v>21</v>
      </c>
      <c r="S8" s="89"/>
      <c r="T8" s="90"/>
    </row>
    <row r="9" spans="1:32" s="2" customFormat="1" ht="83.45" customHeight="1" x14ac:dyDescent="0.65">
      <c r="A9" s="187"/>
      <c r="B9" s="178"/>
      <c r="C9" s="189"/>
      <c r="D9" s="176"/>
      <c r="E9" s="189"/>
      <c r="F9" s="189"/>
      <c r="G9" s="189"/>
      <c r="H9" s="189"/>
      <c r="I9" s="174"/>
      <c r="J9" s="56" t="s">
        <v>17</v>
      </c>
      <c r="K9" s="57" t="s">
        <v>18</v>
      </c>
      <c r="L9" s="57" t="s">
        <v>19</v>
      </c>
      <c r="M9" s="58" t="s">
        <v>20</v>
      </c>
      <c r="N9" s="22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>
        <v>1</v>
      </c>
      <c r="B10" s="49" t="s">
        <v>22</v>
      </c>
      <c r="C10" s="157" t="s">
        <v>27</v>
      </c>
      <c r="D10" s="158"/>
      <c r="E10" s="155"/>
      <c r="F10" s="155"/>
      <c r="G10" s="157" t="e">
        <v>#VALUE!</v>
      </c>
      <c r="H10" s="155" t="s">
        <v>2</v>
      </c>
      <c r="I10" s="19"/>
      <c r="J10" s="59" t="b">
        <v>0</v>
      </c>
      <c r="K10" s="60" t="b">
        <v>0</v>
      </c>
      <c r="L10" s="60" t="b">
        <v>0</v>
      </c>
      <c r="M10" s="20"/>
      <c r="N10" s="70"/>
      <c r="O10" s="172"/>
      <c r="P10" s="172"/>
      <c r="R10" s="172"/>
      <c r="S10" s="31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</row>
    <row r="11" spans="1:32" ht="148.35" customHeight="1" x14ac:dyDescent="0.2">
      <c r="A11" s="50">
        <v>2</v>
      </c>
      <c r="B11" s="49" t="s">
        <v>22</v>
      </c>
      <c r="C11" s="7" t="s">
        <v>28</v>
      </c>
      <c r="D11" s="17" t="str">
        <f t="shared" ref="D11:D42" si="0">RIGHT(C11,LEN(C11)-FIND("@",SUBSTITUTE(C11,"_","@",LEN(C11)-LEN(SUBSTITUTE(C11,"_","")))))</f>
        <v>Need reailing?</v>
      </c>
      <c r="E11" s="11" t="str">
        <f>LEFT(C11, FIND("_", C11) - 1)</f>
        <v>V016</v>
      </c>
      <c r="F11" s="11"/>
      <c r="G11" s="21" t="e">
        <v>#VALUE!</v>
      </c>
      <c r="H11" s="155" t="s">
        <v>2</v>
      </c>
      <c r="I11" s="22"/>
      <c r="J11" s="59" t="b">
        <v>0</v>
      </c>
      <c r="K11" s="60" t="b">
        <v>0</v>
      </c>
      <c r="L11" s="60" t="b">
        <v>0</v>
      </c>
      <c r="M11" s="23"/>
      <c r="N11" s="70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</row>
    <row r="12" spans="1:32" ht="148.35" customHeight="1" x14ac:dyDescent="0.2">
      <c r="A12" s="50">
        <v>3</v>
      </c>
      <c r="B12" s="49" t="s">
        <v>22</v>
      </c>
      <c r="C12" s="7" t="s">
        <v>29</v>
      </c>
      <c r="D12" s="17" t="str">
        <f t="shared" si="0"/>
        <v>ตรวจสอบความเรียบร้อยโมเดล canopy</v>
      </c>
      <c r="E12" s="11" t="str">
        <f>LEFT(C12, FIND("_", C12) - 1)</f>
        <v>V019</v>
      </c>
      <c r="F12" s="11"/>
      <c r="G12" s="21" t="e">
        <v>#VALUE!</v>
      </c>
      <c r="H12" s="155" t="s">
        <v>2</v>
      </c>
      <c r="I12" s="22"/>
      <c r="J12" s="59" t="b">
        <v>0</v>
      </c>
      <c r="K12" s="60" t="b">
        <v>0</v>
      </c>
      <c r="L12" s="60" t="b">
        <v>0</v>
      </c>
      <c r="M12" s="99"/>
      <c r="N12" s="70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</row>
    <row r="13" spans="1:32" ht="148.35" customHeight="1" x14ac:dyDescent="0.2">
      <c r="A13" s="50">
        <v>4</v>
      </c>
      <c r="B13" s="49" t="s">
        <v>22</v>
      </c>
      <c r="C13" s="7" t="s">
        <v>30</v>
      </c>
      <c r="D13" s="17" t="str">
        <f t="shared" si="0"/>
        <v>Recheck ความเรียบร้อยมเดล</v>
      </c>
      <c r="E13" s="11" t="str">
        <f>LEFT(C13, FIND("_", C13) - 1)</f>
        <v>V020</v>
      </c>
      <c r="F13" s="11"/>
      <c r="G13" s="21" t="e">
        <v>#VALUE!</v>
      </c>
      <c r="H13" s="155" t="s">
        <v>2</v>
      </c>
      <c r="I13" s="22"/>
      <c r="J13" s="59" t="b">
        <v>0</v>
      </c>
      <c r="K13" s="60" t="b">
        <v>0</v>
      </c>
      <c r="L13" s="60" t="b">
        <v>0</v>
      </c>
      <c r="M13" s="98"/>
      <c r="N13" s="70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</row>
    <row r="14" spans="1:32" ht="148.35" customHeight="1" x14ac:dyDescent="0.2">
      <c r="A14" s="50">
        <v>5</v>
      </c>
      <c r="B14" s="49" t="s">
        <v>22</v>
      </c>
      <c r="C14" s="7" t="s">
        <v>31</v>
      </c>
      <c r="D14" s="17" t="str">
        <f t="shared" si="0"/>
        <v>Check แนวท่อเชื่อม vs AHU</v>
      </c>
      <c r="E14" s="11" t="str">
        <f>LEFT(C14, FIND("_", C14) - 1)</f>
        <v>V021</v>
      </c>
      <c r="F14" s="77"/>
      <c r="G14" s="21" t="e">
        <v>#VALUE!</v>
      </c>
      <c r="H14" s="155" t="s">
        <v>2</v>
      </c>
      <c r="I14" s="22"/>
      <c r="J14" s="59" t="b">
        <v>0</v>
      </c>
      <c r="K14" s="60" t="b">
        <v>0</v>
      </c>
      <c r="L14" s="60" t="b">
        <v>0</v>
      </c>
      <c r="M14" s="23"/>
      <c r="N14" s="70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</row>
    <row r="15" spans="1:32" ht="148.35" customHeight="1" x14ac:dyDescent="0.2">
      <c r="A15" s="50"/>
      <c r="B15" s="13"/>
      <c r="C15" s="7"/>
      <c r="D15" s="17" t="e">
        <f t="shared" si="0"/>
        <v>#VALUE!</v>
      </c>
      <c r="E15" s="11" t="e">
        <f t="shared" ref="E15:E21" si="1">MID(C15, FIND("_", C15, FIND("_", C15) + 1) + 1, FIND("_", C15, FIND("_", C15, FIND("_", C15) + 1) + 1) - FIND("_", C15, FIND("_", C15) + 1)- 1)</f>
        <v>#VALUE!</v>
      </c>
      <c r="F15" s="11"/>
      <c r="G15" s="21"/>
      <c r="I15" s="22"/>
      <c r="J15" s="59" t="b">
        <v>0</v>
      </c>
      <c r="K15" s="60" t="b">
        <v>0</v>
      </c>
      <c r="L15" s="60" t="b">
        <v>0</v>
      </c>
      <c r="M15" s="23"/>
      <c r="N15" s="70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</row>
    <row r="16" spans="1:32" ht="148.35" customHeight="1" x14ac:dyDescent="0.2">
      <c r="A16" s="50"/>
      <c r="B16" s="13"/>
      <c r="C16" s="7"/>
      <c r="D16" s="17" t="e">
        <f t="shared" si="0"/>
        <v>#VALUE!</v>
      </c>
      <c r="E16" s="11" t="e">
        <f t="shared" si="1"/>
        <v>#VALUE!</v>
      </c>
      <c r="F16" s="11"/>
      <c r="G16" s="21"/>
      <c r="I16" s="22"/>
      <c r="J16" s="59" t="b">
        <v>0</v>
      </c>
      <c r="K16" s="60" t="b">
        <v>0</v>
      </c>
      <c r="L16" s="60" t="b">
        <v>0</v>
      </c>
      <c r="M16" s="23"/>
      <c r="N16" s="70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</row>
    <row r="17" spans="1:32" ht="149.1" customHeight="1" x14ac:dyDescent="0.2">
      <c r="A17" s="50"/>
      <c r="B17" s="13"/>
      <c r="C17" s="7"/>
      <c r="D17" s="17" t="e">
        <f t="shared" si="0"/>
        <v>#VALUE!</v>
      </c>
      <c r="E17" s="11" t="e">
        <f t="shared" si="1"/>
        <v>#VALUE!</v>
      </c>
      <c r="F17" s="11"/>
      <c r="G17" s="21"/>
      <c r="H17" s="18"/>
      <c r="I17" s="22"/>
      <c r="J17" s="59" t="b">
        <v>0</v>
      </c>
      <c r="K17" s="60" t="b">
        <v>0</v>
      </c>
      <c r="L17" s="60" t="b">
        <v>0</v>
      </c>
      <c r="M17" s="20"/>
      <c r="N17" s="70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</row>
    <row r="18" spans="1:32" ht="149.1" customHeight="1" x14ac:dyDescent="0.3">
      <c r="A18" s="50"/>
      <c r="B18" s="13"/>
      <c r="C18" s="8"/>
      <c r="D18" s="17" t="e">
        <f t="shared" si="0"/>
        <v>#VALUE!</v>
      </c>
      <c r="E18" s="11" t="e">
        <f t="shared" si="1"/>
        <v>#VALUE!</v>
      </c>
      <c r="F18" s="11"/>
      <c r="G18" s="24"/>
      <c r="H18" s="18"/>
      <c r="I18" s="22"/>
      <c r="J18" s="59" t="b">
        <v>0</v>
      </c>
      <c r="K18" s="60" t="b">
        <v>0</v>
      </c>
      <c r="L18" s="60" t="b">
        <v>0</v>
      </c>
      <c r="M18" s="20"/>
      <c r="N18" s="70"/>
    </row>
    <row r="19" spans="1:32" ht="149.1" customHeight="1" x14ac:dyDescent="0.3">
      <c r="A19" s="50"/>
      <c r="B19" s="13"/>
      <c r="C19" s="8"/>
      <c r="D19" s="17" t="e">
        <f t="shared" si="0"/>
        <v>#VALUE!</v>
      </c>
      <c r="E19" s="11" t="e">
        <f t="shared" si="1"/>
        <v>#VALUE!</v>
      </c>
      <c r="F19" s="11"/>
      <c r="G19" s="24"/>
      <c r="H19" s="18"/>
      <c r="I19" s="22"/>
      <c r="J19" s="59" t="b">
        <v>0</v>
      </c>
      <c r="K19" s="60" t="b">
        <v>0</v>
      </c>
      <c r="L19" s="60" t="b">
        <v>0</v>
      </c>
      <c r="M19" s="23"/>
      <c r="N19" s="70"/>
    </row>
    <row r="20" spans="1:32" ht="149.1" customHeight="1" x14ac:dyDescent="0.3">
      <c r="A20" s="50"/>
      <c r="B20" s="13"/>
      <c r="C20" s="9"/>
      <c r="D20" s="17" t="e">
        <f t="shared" si="0"/>
        <v>#VALUE!</v>
      </c>
      <c r="E20" s="11" t="e">
        <f t="shared" si="1"/>
        <v>#VALUE!</v>
      </c>
      <c r="F20" s="11"/>
      <c r="G20" s="24"/>
      <c r="H20" s="18"/>
      <c r="I20" s="22"/>
      <c r="J20" s="59" t="b">
        <v>0</v>
      </c>
      <c r="K20" s="60" t="b">
        <v>0</v>
      </c>
      <c r="L20" s="60" t="b">
        <v>0</v>
      </c>
      <c r="M20" s="23"/>
      <c r="N20" s="70"/>
    </row>
    <row r="21" spans="1:32" ht="149.1" customHeight="1" x14ac:dyDescent="0.3">
      <c r="A21" s="50"/>
      <c r="B21" s="13"/>
      <c r="C21" s="8"/>
      <c r="D21" s="17" t="e">
        <f t="shared" si="0"/>
        <v>#VALUE!</v>
      </c>
      <c r="E21" s="11" t="e">
        <f t="shared" si="1"/>
        <v>#VALUE!</v>
      </c>
      <c r="F21" s="11"/>
      <c r="G21" s="24"/>
      <c r="H21" s="18"/>
      <c r="I21" s="22"/>
      <c r="J21" s="59" t="b">
        <v>0</v>
      </c>
      <c r="K21" s="60" t="b">
        <v>0</v>
      </c>
      <c r="L21" s="60" t="b">
        <v>0</v>
      </c>
      <c r="M21" s="25"/>
      <c r="N21" s="70"/>
    </row>
    <row r="22" spans="1:32" ht="149.1" customHeight="1" x14ac:dyDescent="0.3">
      <c r="A22" s="50"/>
      <c r="B22" s="14"/>
      <c r="C22" s="8"/>
      <c r="D22" s="17" t="e">
        <f t="shared" si="0"/>
        <v>#VALUE!</v>
      </c>
      <c r="E22" s="11" t="e">
        <f t="shared" ref="E22:E50" si="2">LEFT(C22, FIND("_", C22) - 1)</f>
        <v>#VALUE!</v>
      </c>
      <c r="F22" s="11"/>
      <c r="G22" s="24"/>
      <c r="H22" s="18"/>
      <c r="I22" s="22"/>
      <c r="J22" s="59" t="b">
        <v>0</v>
      </c>
      <c r="K22" s="60" t="b">
        <v>0</v>
      </c>
      <c r="L22" s="60" t="b">
        <v>0</v>
      </c>
      <c r="M22" s="25"/>
      <c r="N22" s="70"/>
    </row>
    <row r="23" spans="1:32" ht="149.1" customHeight="1" x14ac:dyDescent="0.3">
      <c r="A23" s="50"/>
      <c r="B23" s="14"/>
      <c r="C23" s="8"/>
      <c r="D23" s="17" t="e">
        <f t="shared" si="0"/>
        <v>#VALUE!</v>
      </c>
      <c r="E23" s="11" t="e">
        <f t="shared" si="2"/>
        <v>#VALUE!</v>
      </c>
      <c r="F23" s="11"/>
      <c r="G23" s="24"/>
      <c r="H23" s="18"/>
      <c r="I23" s="22"/>
      <c r="J23" s="59" t="b">
        <v>0</v>
      </c>
      <c r="K23" s="60" t="b">
        <v>0</v>
      </c>
      <c r="L23" s="60" t="b">
        <v>0</v>
      </c>
      <c r="M23" s="23"/>
      <c r="N23" s="70"/>
    </row>
    <row r="24" spans="1:32" ht="149.1" customHeight="1" x14ac:dyDescent="0.3">
      <c r="A24" s="50"/>
      <c r="B24" s="14"/>
      <c r="C24" s="8"/>
      <c r="D24" s="17" t="e">
        <f t="shared" si="0"/>
        <v>#VALUE!</v>
      </c>
      <c r="E24" s="11" t="e">
        <f t="shared" si="2"/>
        <v>#VALUE!</v>
      </c>
      <c r="F24" s="11"/>
      <c r="G24" s="24"/>
      <c r="H24" s="18"/>
      <c r="I24" s="22"/>
      <c r="J24" s="59" t="b">
        <v>0</v>
      </c>
      <c r="K24" s="60" t="b">
        <v>0</v>
      </c>
      <c r="L24" s="60" t="b">
        <v>0</v>
      </c>
      <c r="M24" s="26"/>
      <c r="N24" s="70"/>
    </row>
    <row r="25" spans="1:32" ht="149.1" customHeight="1" x14ac:dyDescent="0.3">
      <c r="A25" s="50"/>
      <c r="B25" s="14"/>
      <c r="C25" s="8"/>
      <c r="D25" s="17" t="e">
        <f t="shared" si="0"/>
        <v>#VALUE!</v>
      </c>
      <c r="E25" s="11" t="e">
        <f t="shared" si="2"/>
        <v>#VALUE!</v>
      </c>
      <c r="F25" s="11"/>
      <c r="G25" s="24"/>
      <c r="H25" s="18"/>
      <c r="I25" s="22"/>
      <c r="J25" s="59" t="b">
        <v>0</v>
      </c>
      <c r="K25" s="60" t="b">
        <v>0</v>
      </c>
      <c r="L25" s="60" t="b">
        <v>0</v>
      </c>
      <c r="M25" s="27"/>
      <c r="N25" s="70"/>
    </row>
    <row r="26" spans="1:32" ht="149.1" customHeight="1" x14ac:dyDescent="0.3">
      <c r="A26" s="50"/>
      <c r="B26" s="14"/>
      <c r="C26" s="8"/>
      <c r="D26" s="17" t="e">
        <f t="shared" si="0"/>
        <v>#VALUE!</v>
      </c>
      <c r="E26" s="11" t="e">
        <f t="shared" si="2"/>
        <v>#VALUE!</v>
      </c>
      <c r="F26" s="11"/>
      <c r="G26" s="24"/>
      <c r="H26" s="18"/>
      <c r="I26" s="22"/>
      <c r="J26" s="59" t="b">
        <v>0</v>
      </c>
      <c r="K26" s="60" t="b">
        <v>0</v>
      </c>
      <c r="L26" s="60" t="b">
        <v>0</v>
      </c>
      <c r="M26" s="28"/>
      <c r="N26" s="70"/>
    </row>
    <row r="27" spans="1:32" ht="149.1" customHeight="1" x14ac:dyDescent="0.3">
      <c r="A27" s="50"/>
      <c r="B27" s="14"/>
      <c r="C27" s="8"/>
      <c r="D27" s="17" t="e">
        <f t="shared" si="0"/>
        <v>#VALUE!</v>
      </c>
      <c r="E27" s="11" t="e">
        <f t="shared" si="2"/>
        <v>#VALUE!</v>
      </c>
      <c r="F27" s="11"/>
      <c r="G27" s="24"/>
      <c r="H27" s="18"/>
      <c r="I27" s="22"/>
      <c r="J27" s="59" t="b">
        <v>0</v>
      </c>
      <c r="K27" s="60" t="b">
        <v>0</v>
      </c>
      <c r="L27" s="60" t="b">
        <v>0</v>
      </c>
      <c r="M27" s="29"/>
      <c r="N27" s="70"/>
    </row>
    <row r="28" spans="1:32" ht="149.1" customHeight="1" x14ac:dyDescent="0.3">
      <c r="A28" s="50"/>
      <c r="B28" s="14"/>
      <c r="C28" s="8"/>
      <c r="D28" s="17" t="e">
        <f t="shared" si="0"/>
        <v>#VALUE!</v>
      </c>
      <c r="E28" s="11" t="e">
        <f t="shared" si="2"/>
        <v>#VALUE!</v>
      </c>
      <c r="F28" s="11"/>
      <c r="G28" s="24"/>
      <c r="H28" s="18"/>
      <c r="I28" s="22"/>
      <c r="J28" s="59" t="b">
        <v>0</v>
      </c>
      <c r="K28" s="60" t="b">
        <v>0</v>
      </c>
      <c r="L28" s="60" t="b">
        <v>0</v>
      </c>
      <c r="M28" s="30"/>
      <c r="N28" s="70"/>
    </row>
    <row r="29" spans="1:32" ht="149.44999999999999" customHeight="1" x14ac:dyDescent="0.3">
      <c r="A29" s="50"/>
      <c r="B29" s="14"/>
      <c r="C29" s="8"/>
      <c r="D29" s="17" t="e">
        <f t="shared" si="0"/>
        <v>#VALUE!</v>
      </c>
      <c r="E29" s="11" t="e">
        <f t="shared" si="2"/>
        <v>#VALUE!</v>
      </c>
      <c r="F29" s="11"/>
      <c r="G29" s="24"/>
      <c r="H29" s="18"/>
      <c r="I29" s="22"/>
      <c r="J29" s="59" t="b">
        <v>0</v>
      </c>
      <c r="K29" s="60" t="b">
        <v>0</v>
      </c>
      <c r="L29" s="60" t="b">
        <v>0</v>
      </c>
      <c r="M29" s="30"/>
      <c r="N29" s="70"/>
    </row>
    <row r="30" spans="1:32" ht="149.44999999999999" customHeight="1" x14ac:dyDescent="0.3">
      <c r="A30" s="50"/>
      <c r="B30" s="14"/>
      <c r="C30" s="8"/>
      <c r="D30" s="17" t="e">
        <f t="shared" si="0"/>
        <v>#VALUE!</v>
      </c>
      <c r="E30" s="11" t="e">
        <f t="shared" si="2"/>
        <v>#VALUE!</v>
      </c>
      <c r="F30" s="11"/>
      <c r="G30" s="24"/>
      <c r="H30" s="18"/>
      <c r="I30" s="22"/>
      <c r="J30" s="59" t="b">
        <v>0</v>
      </c>
      <c r="K30" s="60" t="b">
        <v>0</v>
      </c>
      <c r="L30" s="60" t="b">
        <v>0</v>
      </c>
      <c r="M30" s="30"/>
      <c r="N30" s="70"/>
    </row>
    <row r="31" spans="1:32" ht="149.44999999999999" customHeight="1" x14ac:dyDescent="0.3">
      <c r="A31" s="50"/>
      <c r="B31" s="14"/>
      <c r="C31" s="8"/>
      <c r="D31" s="17" t="e">
        <f t="shared" si="0"/>
        <v>#VALUE!</v>
      </c>
      <c r="E31" s="11" t="e">
        <f t="shared" si="2"/>
        <v>#VALUE!</v>
      </c>
      <c r="F31" s="11"/>
      <c r="G31" s="24"/>
      <c r="H31" s="18"/>
      <c r="I31" s="22"/>
      <c r="J31" s="59" t="b">
        <v>0</v>
      </c>
      <c r="K31" s="60" t="b">
        <v>0</v>
      </c>
      <c r="L31" s="60" t="b">
        <v>0</v>
      </c>
      <c r="M31" s="30"/>
      <c r="N31" s="70"/>
    </row>
    <row r="32" spans="1:32" ht="149.44999999999999" customHeight="1" x14ac:dyDescent="0.3">
      <c r="A32" s="50"/>
      <c r="B32" s="14"/>
      <c r="C32" s="8"/>
      <c r="D32" s="17" t="e">
        <f t="shared" si="0"/>
        <v>#VALUE!</v>
      </c>
      <c r="E32" s="11" t="e">
        <f t="shared" si="2"/>
        <v>#VALUE!</v>
      </c>
      <c r="F32" s="11"/>
      <c r="G32" s="24"/>
      <c r="H32" s="18"/>
      <c r="I32" s="22"/>
      <c r="J32" s="59" t="b">
        <v>0</v>
      </c>
      <c r="K32" s="60" t="b">
        <v>0</v>
      </c>
      <c r="L32" s="60" t="b">
        <v>0</v>
      </c>
      <c r="M32" s="30"/>
      <c r="N32" s="70"/>
    </row>
    <row r="33" spans="1:14" ht="149.44999999999999" customHeight="1" x14ac:dyDescent="0.3">
      <c r="A33" s="50"/>
      <c r="B33" s="14"/>
      <c r="C33" s="8"/>
      <c r="D33" s="17" t="e">
        <f t="shared" si="0"/>
        <v>#VALUE!</v>
      </c>
      <c r="E33" s="11" t="e">
        <f t="shared" si="2"/>
        <v>#VALUE!</v>
      </c>
      <c r="F33" s="11"/>
      <c r="G33" s="24"/>
      <c r="H33" s="18"/>
      <c r="I33" s="22"/>
      <c r="J33" s="59" t="b">
        <v>0</v>
      </c>
      <c r="K33" s="60" t="b">
        <v>0</v>
      </c>
      <c r="L33" s="60" t="b">
        <v>0</v>
      </c>
      <c r="M33" s="30"/>
      <c r="N33" s="70"/>
    </row>
    <row r="34" spans="1:14" ht="149.44999999999999" customHeight="1" x14ac:dyDescent="0.3">
      <c r="A34" s="50"/>
      <c r="B34" s="14"/>
      <c r="C34" s="8"/>
      <c r="D34" s="17" t="e">
        <f t="shared" si="0"/>
        <v>#VALUE!</v>
      </c>
      <c r="E34" s="11" t="e">
        <f t="shared" si="2"/>
        <v>#VALUE!</v>
      </c>
      <c r="F34" s="11"/>
      <c r="G34" s="24"/>
      <c r="H34" s="18"/>
      <c r="I34" s="22"/>
      <c r="J34" s="59" t="b">
        <v>0</v>
      </c>
      <c r="K34" s="60" t="b">
        <v>0</v>
      </c>
      <c r="L34" s="60" t="b">
        <v>0</v>
      </c>
      <c r="M34" s="30"/>
      <c r="N34" s="70"/>
    </row>
    <row r="35" spans="1:14" ht="149.44999999999999" customHeight="1" x14ac:dyDescent="0.3">
      <c r="A35" s="50"/>
      <c r="B35" s="14"/>
      <c r="C35" s="8"/>
      <c r="D35" s="17" t="e">
        <f t="shared" si="0"/>
        <v>#VALUE!</v>
      </c>
      <c r="E35" s="11" t="e">
        <f t="shared" si="2"/>
        <v>#VALUE!</v>
      </c>
      <c r="F35" s="11"/>
      <c r="G35" s="24"/>
      <c r="H35" s="18"/>
      <c r="I35" s="22"/>
      <c r="J35" s="59" t="b">
        <v>0</v>
      </c>
      <c r="K35" s="60" t="b">
        <v>0</v>
      </c>
      <c r="L35" s="60" t="b">
        <v>0</v>
      </c>
      <c r="M35" s="30"/>
      <c r="N35" s="70"/>
    </row>
    <row r="36" spans="1:14" ht="149.44999999999999" customHeight="1" x14ac:dyDescent="0.3">
      <c r="A36" s="50"/>
      <c r="B36" s="14"/>
      <c r="C36" s="8"/>
      <c r="D36" s="17" t="e">
        <f t="shared" si="0"/>
        <v>#VALUE!</v>
      </c>
      <c r="E36" s="11" t="e">
        <f t="shared" si="2"/>
        <v>#VALUE!</v>
      </c>
      <c r="F36" s="11"/>
      <c r="G36" s="24"/>
      <c r="H36" s="18"/>
      <c r="I36" s="22"/>
      <c r="J36" s="59" t="b">
        <v>0</v>
      </c>
      <c r="K36" s="60" t="b">
        <v>0</v>
      </c>
      <c r="L36" s="60" t="b">
        <v>0</v>
      </c>
      <c r="M36" s="30"/>
      <c r="N36" s="70"/>
    </row>
    <row r="37" spans="1:14" ht="149.44999999999999" customHeight="1" x14ac:dyDescent="0.3">
      <c r="A37" s="50"/>
      <c r="B37" s="14"/>
      <c r="C37" s="8"/>
      <c r="D37" s="17" t="e">
        <f t="shared" si="0"/>
        <v>#VALUE!</v>
      </c>
      <c r="E37" s="11" t="e">
        <f t="shared" si="2"/>
        <v>#VALUE!</v>
      </c>
      <c r="F37" s="11"/>
      <c r="G37" s="24"/>
      <c r="H37" s="18"/>
      <c r="I37" s="22"/>
      <c r="J37" s="59" t="b">
        <v>0</v>
      </c>
      <c r="K37" s="60" t="b">
        <v>0</v>
      </c>
      <c r="L37" s="60" t="b">
        <v>0</v>
      </c>
      <c r="M37" s="30"/>
      <c r="N37" s="70"/>
    </row>
    <row r="38" spans="1:14" ht="149.44999999999999" customHeight="1" x14ac:dyDescent="0.3">
      <c r="A38" s="50"/>
      <c r="B38" s="14"/>
      <c r="C38" s="8"/>
      <c r="D38" s="17" t="e">
        <f t="shared" si="0"/>
        <v>#VALUE!</v>
      </c>
      <c r="E38" s="11" t="e">
        <f t="shared" si="2"/>
        <v>#VALUE!</v>
      </c>
      <c r="F38" s="11"/>
      <c r="G38" s="24"/>
      <c r="H38" s="18"/>
      <c r="I38" s="22"/>
      <c r="J38" s="59" t="b">
        <v>0</v>
      </c>
      <c r="K38" s="60" t="b">
        <v>0</v>
      </c>
      <c r="L38" s="60" t="b">
        <v>0</v>
      </c>
      <c r="M38" s="30"/>
      <c r="N38" s="70"/>
    </row>
    <row r="39" spans="1:14" ht="149.44999999999999" customHeight="1" x14ac:dyDescent="0.3">
      <c r="A39" s="50"/>
      <c r="B39" s="14"/>
      <c r="C39" s="8"/>
      <c r="D39" s="17" t="e">
        <f t="shared" si="0"/>
        <v>#VALUE!</v>
      </c>
      <c r="E39" s="11" t="e">
        <f t="shared" si="2"/>
        <v>#VALUE!</v>
      </c>
      <c r="F39" s="11"/>
      <c r="G39" s="24"/>
      <c r="H39" s="18"/>
      <c r="I39" s="22"/>
      <c r="J39" s="59" t="b">
        <v>0</v>
      </c>
      <c r="K39" s="60" t="b">
        <v>0</v>
      </c>
      <c r="L39" s="60" t="b">
        <v>0</v>
      </c>
      <c r="M39" s="30"/>
      <c r="N39" s="70"/>
    </row>
    <row r="40" spans="1:14" ht="149.44999999999999" customHeight="1" x14ac:dyDescent="0.3">
      <c r="A40" s="50"/>
      <c r="B40" s="14"/>
      <c r="C40" s="8"/>
      <c r="D40" s="17" t="e">
        <f t="shared" si="0"/>
        <v>#VALUE!</v>
      </c>
      <c r="E40" s="11" t="e">
        <f t="shared" si="2"/>
        <v>#VALUE!</v>
      </c>
      <c r="F40" s="11"/>
      <c r="G40" s="24"/>
      <c r="H40" s="18"/>
      <c r="I40" s="22"/>
      <c r="J40" s="59" t="b">
        <v>0</v>
      </c>
      <c r="K40" s="60" t="b">
        <v>0</v>
      </c>
      <c r="L40" s="60" t="b">
        <v>0</v>
      </c>
      <c r="M40" s="30"/>
      <c r="N40" s="70"/>
    </row>
    <row r="41" spans="1:14" ht="149.44999999999999" customHeight="1" x14ac:dyDescent="0.3">
      <c r="A41" s="50"/>
      <c r="B41" s="14"/>
      <c r="C41" s="8"/>
      <c r="D41" s="17" t="e">
        <f t="shared" si="0"/>
        <v>#VALUE!</v>
      </c>
      <c r="E41" s="11" t="e">
        <f t="shared" si="2"/>
        <v>#VALUE!</v>
      </c>
      <c r="F41" s="11"/>
      <c r="G41" s="24"/>
      <c r="H41" s="18"/>
      <c r="I41" s="22"/>
      <c r="J41" s="59" t="b">
        <v>0</v>
      </c>
      <c r="K41" s="60" t="b">
        <v>0</v>
      </c>
      <c r="L41" s="60" t="b">
        <v>0</v>
      </c>
      <c r="M41" s="30"/>
      <c r="N41" s="70"/>
    </row>
    <row r="42" spans="1:14" ht="149.44999999999999" customHeight="1" x14ac:dyDescent="0.3">
      <c r="A42" s="50"/>
      <c r="B42" s="14"/>
      <c r="C42" s="8"/>
      <c r="D42" s="17" t="e">
        <f t="shared" si="0"/>
        <v>#VALUE!</v>
      </c>
      <c r="E42" s="11" t="e">
        <f t="shared" si="2"/>
        <v>#VALUE!</v>
      </c>
      <c r="F42" s="11"/>
      <c r="G42" s="24"/>
      <c r="H42" s="18"/>
      <c r="I42" s="22"/>
      <c r="J42" s="59" t="b">
        <v>0</v>
      </c>
      <c r="K42" s="60" t="b">
        <v>0</v>
      </c>
      <c r="L42" s="60" t="b">
        <v>0</v>
      </c>
      <c r="M42" s="30"/>
      <c r="N42" s="70"/>
    </row>
    <row r="43" spans="1:14" ht="149.44999999999999" customHeight="1" x14ac:dyDescent="0.3">
      <c r="A43" s="50"/>
      <c r="B43" s="14"/>
      <c r="C43" s="8"/>
      <c r="D43" s="17" t="e">
        <f t="shared" ref="D43:D74" si="3">RIGHT(C43,LEN(C43)-FIND("@",SUBSTITUTE(C43,"_","@",LEN(C43)-LEN(SUBSTITUTE(C43,"_","")))))</f>
        <v>#VALUE!</v>
      </c>
      <c r="E43" s="11" t="e">
        <f t="shared" si="2"/>
        <v>#VALUE!</v>
      </c>
      <c r="F43" s="11"/>
      <c r="G43" s="24"/>
      <c r="H43" s="18"/>
      <c r="I43" s="22"/>
      <c r="J43" s="59" t="b">
        <v>0</v>
      </c>
      <c r="K43" s="60" t="b">
        <v>0</v>
      </c>
      <c r="L43" s="60" t="b">
        <v>0</v>
      </c>
      <c r="M43" s="30"/>
      <c r="N43" s="70"/>
    </row>
    <row r="44" spans="1:14" ht="149.44999999999999" customHeight="1" x14ac:dyDescent="0.3">
      <c r="A44" s="50"/>
      <c r="B44" s="14"/>
      <c r="C44" s="8"/>
      <c r="D44" s="17" t="e">
        <f t="shared" si="3"/>
        <v>#VALUE!</v>
      </c>
      <c r="E44" s="11" t="e">
        <f t="shared" si="2"/>
        <v>#VALUE!</v>
      </c>
      <c r="F44" s="11"/>
      <c r="G44" s="24"/>
      <c r="H44" s="18"/>
      <c r="I44" s="22"/>
      <c r="J44" s="59" t="b">
        <v>0</v>
      </c>
      <c r="K44" s="60" t="b">
        <v>0</v>
      </c>
      <c r="L44" s="60" t="b">
        <v>0</v>
      </c>
      <c r="M44" s="30"/>
      <c r="N44" s="70"/>
    </row>
    <row r="45" spans="1:14" ht="149.44999999999999" customHeight="1" x14ac:dyDescent="0.3">
      <c r="A45" s="50"/>
      <c r="B45" s="14"/>
      <c r="C45" s="8"/>
      <c r="D45" s="17" t="e">
        <f t="shared" si="3"/>
        <v>#VALUE!</v>
      </c>
      <c r="E45" s="11" t="e">
        <f t="shared" si="2"/>
        <v>#VALUE!</v>
      </c>
      <c r="F45" s="11"/>
      <c r="G45" s="24"/>
      <c r="H45" s="18"/>
      <c r="I45" s="22"/>
      <c r="J45" s="59" t="b">
        <v>0</v>
      </c>
      <c r="K45" s="60" t="b">
        <v>0</v>
      </c>
      <c r="L45" s="60" t="b">
        <v>0</v>
      </c>
      <c r="M45" s="30"/>
      <c r="N45" s="70"/>
    </row>
    <row r="46" spans="1:14" ht="149.44999999999999" customHeight="1" x14ac:dyDescent="0.3">
      <c r="A46" s="50"/>
      <c r="B46" s="14"/>
      <c r="C46" s="8"/>
      <c r="D46" s="17" t="e">
        <f t="shared" si="3"/>
        <v>#VALUE!</v>
      </c>
      <c r="E46" s="11" t="e">
        <f t="shared" si="2"/>
        <v>#VALUE!</v>
      </c>
      <c r="F46" s="11"/>
      <c r="G46" s="24"/>
      <c r="H46" s="18"/>
      <c r="I46" s="22"/>
      <c r="J46" s="59" t="b">
        <v>0</v>
      </c>
      <c r="K46" s="60" t="b">
        <v>0</v>
      </c>
      <c r="L46" s="60" t="b">
        <v>0</v>
      </c>
      <c r="M46" s="30"/>
      <c r="N46" s="70"/>
    </row>
    <row r="47" spans="1:14" ht="149.44999999999999" customHeight="1" x14ac:dyDescent="0.3">
      <c r="A47" s="50"/>
      <c r="B47" s="14"/>
      <c r="C47" s="8"/>
      <c r="D47" s="17" t="e">
        <f t="shared" si="3"/>
        <v>#VALUE!</v>
      </c>
      <c r="E47" s="11" t="e">
        <f t="shared" si="2"/>
        <v>#VALUE!</v>
      </c>
      <c r="F47" s="11"/>
      <c r="G47" s="24"/>
      <c r="H47" s="18"/>
      <c r="I47" s="22"/>
      <c r="J47" s="59" t="b">
        <v>0</v>
      </c>
      <c r="K47" s="60" t="b">
        <v>0</v>
      </c>
      <c r="L47" s="60" t="b">
        <v>0</v>
      </c>
      <c r="M47" s="30"/>
      <c r="N47" s="70"/>
    </row>
    <row r="48" spans="1:14" ht="149.44999999999999" customHeight="1" x14ac:dyDescent="0.3">
      <c r="A48" s="50"/>
      <c r="B48" s="14"/>
      <c r="C48" s="8"/>
      <c r="D48" s="17" t="e">
        <f t="shared" si="3"/>
        <v>#VALUE!</v>
      </c>
      <c r="E48" s="11" t="e">
        <f t="shared" si="2"/>
        <v>#VALUE!</v>
      </c>
      <c r="F48" s="11"/>
      <c r="G48" s="24"/>
      <c r="H48" s="18"/>
      <c r="I48" s="22"/>
      <c r="J48" s="59" t="b">
        <v>0</v>
      </c>
      <c r="K48" s="60" t="b">
        <v>0</v>
      </c>
      <c r="L48" s="60" t="b">
        <v>0</v>
      </c>
      <c r="M48" s="30"/>
      <c r="N48" s="70"/>
    </row>
    <row r="49" spans="1:14" ht="149.44999999999999" customHeight="1" x14ac:dyDescent="0.3">
      <c r="A49" s="50"/>
      <c r="B49" s="14"/>
      <c r="C49" s="8"/>
      <c r="D49" s="17" t="e">
        <f t="shared" si="3"/>
        <v>#VALUE!</v>
      </c>
      <c r="E49" s="11" t="e">
        <f t="shared" si="2"/>
        <v>#VALUE!</v>
      </c>
      <c r="F49" s="11"/>
      <c r="G49" s="24"/>
      <c r="H49" s="18"/>
      <c r="I49" s="22"/>
      <c r="J49" s="59" t="b">
        <v>0</v>
      </c>
      <c r="K49" s="60" t="b">
        <v>0</v>
      </c>
      <c r="L49" s="60" t="b">
        <v>0</v>
      </c>
      <c r="M49" s="30"/>
      <c r="N49" s="70"/>
    </row>
    <row r="50" spans="1:14" ht="149.44999999999999" customHeight="1" x14ac:dyDescent="0.3">
      <c r="A50" s="50"/>
      <c r="B50" s="14"/>
      <c r="C50" s="8"/>
      <c r="D50" s="17" t="e">
        <f t="shared" si="3"/>
        <v>#VALUE!</v>
      </c>
      <c r="E50" s="11" t="e">
        <f t="shared" si="2"/>
        <v>#VALUE!</v>
      </c>
      <c r="F50" s="11"/>
      <c r="G50" s="24"/>
      <c r="H50" s="18"/>
      <c r="I50" s="22"/>
      <c r="J50" s="59" t="b">
        <v>0</v>
      </c>
      <c r="K50" s="60" t="b">
        <v>0</v>
      </c>
      <c r="L50" s="60" t="b">
        <v>0</v>
      </c>
      <c r="M50" s="30"/>
      <c r="N50" s="70"/>
    </row>
    <row r="51" spans="1:14" ht="149.44999999999999" customHeight="1" x14ac:dyDescent="0.3">
      <c r="A51" s="50"/>
      <c r="B51" s="14"/>
      <c r="C51" s="8"/>
      <c r="D51" s="17" t="e">
        <f t="shared" si="3"/>
        <v>#VALUE!</v>
      </c>
      <c r="E51" s="11" t="e">
        <f t="shared" ref="E51:E96" si="4">MID(C51, FIND("_", C51, FIND("_", C51) + 1) + 1, FIND("_", C51, FIND("_", C51, FIND("_", C51) + 1) + 1) - FIND("_", C51, FIND("_", C51) + 1)- 1)</f>
        <v>#VALUE!</v>
      </c>
      <c r="F51" s="11"/>
      <c r="G51" s="24"/>
      <c r="H51" s="18"/>
      <c r="I51" s="22"/>
      <c r="J51" s="59" t="b">
        <v>0</v>
      </c>
      <c r="K51" s="60" t="b">
        <v>0</v>
      </c>
      <c r="L51" s="60" t="b">
        <v>0</v>
      </c>
      <c r="M51" s="30"/>
      <c r="N51" s="70"/>
    </row>
    <row r="52" spans="1:14" ht="149.44999999999999" customHeight="1" x14ac:dyDescent="0.3">
      <c r="A52" s="50"/>
      <c r="B52" s="14"/>
      <c r="C52" s="8"/>
      <c r="D52" s="17" t="e">
        <f t="shared" si="3"/>
        <v>#VALUE!</v>
      </c>
      <c r="E52" s="11" t="e">
        <f t="shared" si="4"/>
        <v>#VALUE!</v>
      </c>
      <c r="F52" s="11"/>
      <c r="G52" s="24"/>
      <c r="H52" s="18"/>
      <c r="I52" s="22"/>
      <c r="J52" s="59" t="b">
        <v>0</v>
      </c>
      <c r="K52" s="60" t="b">
        <v>0</v>
      </c>
      <c r="L52" s="60" t="b">
        <v>0</v>
      </c>
      <c r="M52" s="30"/>
      <c r="N52" s="70"/>
    </row>
    <row r="53" spans="1:14" ht="149.44999999999999" customHeight="1" x14ac:dyDescent="0.3">
      <c r="A53" s="50"/>
      <c r="B53" s="14"/>
      <c r="C53" s="8"/>
      <c r="D53" s="17" t="e">
        <f t="shared" si="3"/>
        <v>#VALUE!</v>
      </c>
      <c r="E53" s="11" t="e">
        <f t="shared" si="4"/>
        <v>#VALUE!</v>
      </c>
      <c r="F53" s="11"/>
      <c r="G53" s="24"/>
      <c r="H53" s="18"/>
      <c r="I53" s="22"/>
      <c r="J53" s="59" t="b">
        <v>0</v>
      </c>
      <c r="K53" s="60" t="b">
        <v>0</v>
      </c>
      <c r="L53" s="60" t="b">
        <v>0</v>
      </c>
      <c r="M53" s="30"/>
      <c r="N53" s="70"/>
    </row>
    <row r="54" spans="1:14" ht="149.44999999999999" customHeight="1" x14ac:dyDescent="0.3">
      <c r="A54" s="50"/>
      <c r="B54" s="14"/>
      <c r="C54" s="8"/>
      <c r="D54" s="17" t="e">
        <f t="shared" si="3"/>
        <v>#VALUE!</v>
      </c>
      <c r="E54" s="11" t="e">
        <f t="shared" si="4"/>
        <v>#VALUE!</v>
      </c>
      <c r="F54" s="11"/>
      <c r="G54" s="24"/>
      <c r="H54" s="18"/>
      <c r="I54" s="22"/>
      <c r="J54" s="59" t="b">
        <v>0</v>
      </c>
      <c r="K54" s="60" t="b">
        <v>0</v>
      </c>
      <c r="L54" s="60" t="b">
        <v>0</v>
      </c>
      <c r="M54" s="30"/>
      <c r="N54" s="70"/>
    </row>
    <row r="55" spans="1:14" ht="149.44999999999999" customHeight="1" x14ac:dyDescent="0.3">
      <c r="A55" s="50"/>
      <c r="B55" s="14"/>
      <c r="C55" s="8"/>
      <c r="D55" s="17" t="e">
        <f t="shared" si="3"/>
        <v>#VALUE!</v>
      </c>
      <c r="E55" s="11" t="e">
        <f t="shared" si="4"/>
        <v>#VALUE!</v>
      </c>
      <c r="F55" s="11"/>
      <c r="G55" s="24"/>
      <c r="H55" s="18"/>
      <c r="I55" s="22"/>
      <c r="J55" s="59" t="b">
        <v>0</v>
      </c>
      <c r="K55" s="60" t="b">
        <v>0</v>
      </c>
      <c r="L55" s="60" t="b">
        <v>0</v>
      </c>
      <c r="M55" s="30"/>
      <c r="N55" s="70"/>
    </row>
    <row r="56" spans="1:14" ht="149.44999999999999" customHeight="1" x14ac:dyDescent="0.3">
      <c r="A56" s="50"/>
      <c r="B56" s="14"/>
      <c r="C56" s="8"/>
      <c r="D56" s="17" t="e">
        <f t="shared" si="3"/>
        <v>#VALUE!</v>
      </c>
      <c r="E56" s="11" t="e">
        <f t="shared" si="4"/>
        <v>#VALUE!</v>
      </c>
      <c r="F56" s="11"/>
      <c r="G56" s="24"/>
      <c r="H56" s="18"/>
      <c r="I56" s="22"/>
      <c r="J56" s="59" t="b">
        <v>0</v>
      </c>
      <c r="K56" s="60" t="b">
        <v>0</v>
      </c>
      <c r="L56" s="60" t="b">
        <v>0</v>
      </c>
      <c r="M56" s="30"/>
      <c r="N56" s="70"/>
    </row>
    <row r="57" spans="1:14" ht="149.44999999999999" customHeight="1" x14ac:dyDescent="0.3">
      <c r="A57" s="50"/>
      <c r="B57" s="14"/>
      <c r="C57" s="8"/>
      <c r="D57" s="17" t="e">
        <f t="shared" si="3"/>
        <v>#VALUE!</v>
      </c>
      <c r="E57" s="11" t="e">
        <f t="shared" si="4"/>
        <v>#VALUE!</v>
      </c>
      <c r="F57" s="11"/>
      <c r="G57" s="24"/>
      <c r="H57" s="18"/>
      <c r="I57" s="22"/>
      <c r="J57" s="59" t="b">
        <v>0</v>
      </c>
      <c r="K57" s="60" t="b">
        <v>0</v>
      </c>
      <c r="L57" s="60" t="b">
        <v>0</v>
      </c>
      <c r="M57" s="30"/>
      <c r="N57" s="70"/>
    </row>
    <row r="58" spans="1:14" ht="149.44999999999999" customHeight="1" x14ac:dyDescent="0.3">
      <c r="A58" s="50"/>
      <c r="B58" s="14"/>
      <c r="C58" s="8"/>
      <c r="D58" s="17" t="e">
        <f t="shared" si="3"/>
        <v>#VALUE!</v>
      </c>
      <c r="E58" s="11" t="e">
        <f t="shared" si="4"/>
        <v>#VALUE!</v>
      </c>
      <c r="F58" s="11"/>
      <c r="G58" s="24"/>
      <c r="H58" s="18"/>
      <c r="I58" s="22"/>
      <c r="J58" s="59" t="b">
        <v>0</v>
      </c>
      <c r="K58" s="60" t="b">
        <v>0</v>
      </c>
      <c r="L58" s="60" t="b">
        <v>0</v>
      </c>
      <c r="M58" s="30"/>
      <c r="N58" s="70"/>
    </row>
    <row r="59" spans="1:14" ht="149.44999999999999" customHeight="1" x14ac:dyDescent="0.3">
      <c r="A59" s="50"/>
      <c r="B59" s="14"/>
      <c r="C59" s="8"/>
      <c r="D59" s="17" t="e">
        <f t="shared" si="3"/>
        <v>#VALUE!</v>
      </c>
      <c r="E59" s="11" t="e">
        <f t="shared" si="4"/>
        <v>#VALUE!</v>
      </c>
      <c r="F59" s="11"/>
      <c r="G59" s="24"/>
      <c r="H59" s="18"/>
      <c r="I59" s="22"/>
      <c r="J59" s="59" t="b">
        <v>0</v>
      </c>
      <c r="K59" s="60" t="b">
        <v>0</v>
      </c>
      <c r="L59" s="60" t="b">
        <v>0</v>
      </c>
      <c r="M59" s="30"/>
      <c r="N59" s="70"/>
    </row>
    <row r="60" spans="1:14" ht="149.44999999999999" customHeight="1" x14ac:dyDescent="0.3">
      <c r="A60" s="50"/>
      <c r="B60" s="14"/>
      <c r="C60" s="8"/>
      <c r="D60" s="17" t="e">
        <f t="shared" si="3"/>
        <v>#VALUE!</v>
      </c>
      <c r="E60" s="11" t="e">
        <f t="shared" si="4"/>
        <v>#VALUE!</v>
      </c>
      <c r="F60" s="11"/>
      <c r="G60" s="24"/>
      <c r="H60" s="18"/>
      <c r="I60" s="22"/>
      <c r="J60" s="59" t="b">
        <v>0</v>
      </c>
      <c r="K60" s="60" t="b">
        <v>0</v>
      </c>
      <c r="L60" s="60" t="b">
        <v>0</v>
      </c>
      <c r="M60" s="30"/>
      <c r="N60" s="70"/>
    </row>
    <row r="61" spans="1:14" ht="149.44999999999999" customHeight="1" x14ac:dyDescent="0.3">
      <c r="A61" s="50"/>
      <c r="B61" s="14"/>
      <c r="C61" s="8"/>
      <c r="D61" s="17" t="e">
        <f t="shared" si="3"/>
        <v>#VALUE!</v>
      </c>
      <c r="E61" s="11" t="e">
        <f t="shared" si="4"/>
        <v>#VALUE!</v>
      </c>
      <c r="F61" s="11"/>
      <c r="G61" s="24"/>
      <c r="H61" s="18"/>
      <c r="I61" s="22"/>
      <c r="J61" s="59" t="b">
        <v>0</v>
      </c>
      <c r="K61" s="60" t="b">
        <v>0</v>
      </c>
      <c r="L61" s="60" t="b">
        <v>0</v>
      </c>
      <c r="M61" s="30"/>
      <c r="N61" s="70"/>
    </row>
    <row r="62" spans="1:14" ht="149.44999999999999" customHeight="1" x14ac:dyDescent="0.3">
      <c r="A62" s="50"/>
      <c r="B62" s="14"/>
      <c r="C62" s="8"/>
      <c r="D62" s="17" t="e">
        <f t="shared" si="3"/>
        <v>#VALUE!</v>
      </c>
      <c r="E62" s="11" t="e">
        <f t="shared" si="4"/>
        <v>#VALUE!</v>
      </c>
      <c r="F62" s="11"/>
      <c r="G62" s="24"/>
      <c r="H62" s="18"/>
      <c r="I62" s="22"/>
      <c r="J62" s="59" t="b">
        <v>0</v>
      </c>
      <c r="K62" s="60" t="b">
        <v>0</v>
      </c>
      <c r="L62" s="60" t="b">
        <v>0</v>
      </c>
      <c r="M62" s="30"/>
      <c r="N62" s="70"/>
    </row>
    <row r="63" spans="1:14" ht="149.44999999999999" customHeight="1" x14ac:dyDescent="0.3">
      <c r="A63" s="50"/>
      <c r="B63" s="14"/>
      <c r="C63" s="8"/>
      <c r="D63" s="17" t="e">
        <f t="shared" si="3"/>
        <v>#VALUE!</v>
      </c>
      <c r="E63" s="11" t="e">
        <f t="shared" si="4"/>
        <v>#VALUE!</v>
      </c>
      <c r="F63" s="11"/>
      <c r="G63" s="24"/>
      <c r="H63" s="18"/>
      <c r="I63" s="22"/>
      <c r="J63" s="59" t="b">
        <v>0</v>
      </c>
      <c r="K63" s="60" t="b">
        <v>0</v>
      </c>
      <c r="L63" s="60" t="b">
        <v>0</v>
      </c>
      <c r="M63" s="30"/>
      <c r="N63" s="70"/>
    </row>
    <row r="64" spans="1:14" ht="149.44999999999999" customHeight="1" x14ac:dyDescent="0.3">
      <c r="A64" s="50"/>
      <c r="B64" s="14"/>
      <c r="C64" s="8"/>
      <c r="D64" s="17" t="e">
        <f t="shared" si="3"/>
        <v>#VALUE!</v>
      </c>
      <c r="E64" s="11" t="e">
        <f t="shared" si="4"/>
        <v>#VALUE!</v>
      </c>
      <c r="F64" s="11"/>
      <c r="G64" s="24"/>
      <c r="H64" s="18"/>
      <c r="I64" s="22"/>
      <c r="J64" s="59" t="b">
        <v>0</v>
      </c>
      <c r="K64" s="60" t="b">
        <v>0</v>
      </c>
      <c r="L64" s="60" t="b">
        <v>0</v>
      </c>
      <c r="M64" s="30"/>
      <c r="N64" s="70"/>
    </row>
    <row r="65" spans="1:14" ht="149.44999999999999" customHeight="1" x14ac:dyDescent="0.3">
      <c r="A65" s="50"/>
      <c r="B65" s="14"/>
      <c r="C65" s="8"/>
      <c r="D65" s="17" t="e">
        <f t="shared" si="3"/>
        <v>#VALUE!</v>
      </c>
      <c r="E65" s="11" t="e">
        <f t="shared" si="4"/>
        <v>#VALUE!</v>
      </c>
      <c r="F65" s="11"/>
      <c r="G65" s="24"/>
      <c r="H65" s="18"/>
      <c r="I65" s="22"/>
      <c r="J65" s="59" t="b">
        <v>0</v>
      </c>
      <c r="K65" s="60" t="b">
        <v>0</v>
      </c>
      <c r="L65" s="60" t="b">
        <v>0</v>
      </c>
      <c r="M65" s="30"/>
      <c r="N65" s="70"/>
    </row>
    <row r="66" spans="1:14" ht="149.44999999999999" customHeight="1" x14ac:dyDescent="0.3">
      <c r="A66" s="50"/>
      <c r="B66" s="14"/>
      <c r="C66" s="8"/>
      <c r="D66" s="17" t="e">
        <f t="shared" si="3"/>
        <v>#VALUE!</v>
      </c>
      <c r="E66" s="11" t="e">
        <f t="shared" si="4"/>
        <v>#VALUE!</v>
      </c>
      <c r="F66" s="11"/>
      <c r="G66" s="24"/>
      <c r="H66" s="18"/>
      <c r="I66" s="22"/>
      <c r="J66" s="59" t="b">
        <v>0</v>
      </c>
      <c r="K66" s="60" t="b">
        <v>0</v>
      </c>
      <c r="L66" s="60" t="b">
        <v>0</v>
      </c>
      <c r="M66" s="30"/>
      <c r="N66" s="70"/>
    </row>
    <row r="67" spans="1:14" ht="149.44999999999999" customHeight="1" x14ac:dyDescent="0.3">
      <c r="A67" s="50"/>
      <c r="B67" s="14"/>
      <c r="C67" s="8"/>
      <c r="D67" s="17" t="e">
        <f t="shared" si="3"/>
        <v>#VALUE!</v>
      </c>
      <c r="E67" s="11" t="e">
        <f t="shared" si="4"/>
        <v>#VALUE!</v>
      </c>
      <c r="F67" s="11"/>
      <c r="G67" s="24"/>
      <c r="H67" s="18"/>
      <c r="I67" s="22"/>
      <c r="J67" s="59" t="b">
        <v>0</v>
      </c>
      <c r="K67" s="60" t="b">
        <v>0</v>
      </c>
      <c r="L67" s="60" t="b">
        <v>0</v>
      </c>
      <c r="M67" s="30"/>
      <c r="N67" s="70"/>
    </row>
    <row r="68" spans="1:14" ht="149.44999999999999" customHeight="1" x14ac:dyDescent="0.3">
      <c r="A68" s="50"/>
      <c r="B68" s="14"/>
      <c r="C68" s="8"/>
      <c r="D68" s="17" t="e">
        <f t="shared" si="3"/>
        <v>#VALUE!</v>
      </c>
      <c r="E68" s="11" t="e">
        <f t="shared" si="4"/>
        <v>#VALUE!</v>
      </c>
      <c r="F68" s="11"/>
      <c r="G68" s="24"/>
      <c r="H68" s="18"/>
      <c r="I68" s="22"/>
      <c r="J68" s="59" t="b">
        <v>0</v>
      </c>
      <c r="K68" s="60" t="b">
        <v>0</v>
      </c>
      <c r="L68" s="60" t="b">
        <v>0</v>
      </c>
      <c r="M68" s="30"/>
      <c r="N68" s="70"/>
    </row>
    <row r="69" spans="1:14" ht="149.44999999999999" customHeight="1" x14ac:dyDescent="0.3">
      <c r="A69" s="50"/>
      <c r="B69" s="14"/>
      <c r="C69" s="8"/>
      <c r="D69" s="17" t="e">
        <f t="shared" si="3"/>
        <v>#VALUE!</v>
      </c>
      <c r="E69" s="11" t="e">
        <f t="shared" si="4"/>
        <v>#VALUE!</v>
      </c>
      <c r="F69" s="11"/>
      <c r="G69" s="24"/>
      <c r="H69" s="18"/>
      <c r="I69" s="22"/>
      <c r="J69" s="59" t="b">
        <v>0</v>
      </c>
      <c r="K69" s="60" t="b">
        <v>0</v>
      </c>
      <c r="L69" s="60" t="b">
        <v>0</v>
      </c>
      <c r="M69" s="30"/>
      <c r="N69" s="70"/>
    </row>
    <row r="70" spans="1:14" ht="149.44999999999999" customHeight="1" x14ac:dyDescent="0.3">
      <c r="A70" s="50"/>
      <c r="B70" s="14"/>
      <c r="C70" s="8"/>
      <c r="D70" s="17" t="e">
        <f t="shared" si="3"/>
        <v>#VALUE!</v>
      </c>
      <c r="E70" s="11" t="e">
        <f t="shared" si="4"/>
        <v>#VALUE!</v>
      </c>
      <c r="F70" s="11"/>
      <c r="G70" s="24"/>
      <c r="H70" s="18"/>
      <c r="I70" s="22"/>
      <c r="J70" s="59" t="b">
        <v>0</v>
      </c>
      <c r="K70" s="60" t="b">
        <v>0</v>
      </c>
      <c r="L70" s="60" t="b">
        <v>0</v>
      </c>
      <c r="M70" s="30"/>
      <c r="N70" s="70"/>
    </row>
    <row r="71" spans="1:14" ht="149.44999999999999" customHeight="1" x14ac:dyDescent="0.3">
      <c r="A71" s="50"/>
      <c r="B71" s="14"/>
      <c r="C71" s="8"/>
      <c r="D71" s="17" t="e">
        <f t="shared" si="3"/>
        <v>#VALUE!</v>
      </c>
      <c r="E71" s="11" t="e">
        <f t="shared" si="4"/>
        <v>#VALUE!</v>
      </c>
      <c r="F71" s="11"/>
      <c r="G71" s="24"/>
      <c r="H71" s="18"/>
      <c r="I71" s="22"/>
      <c r="J71" s="59" t="b">
        <v>0</v>
      </c>
      <c r="K71" s="60" t="b">
        <v>0</v>
      </c>
      <c r="L71" s="60" t="b">
        <v>0</v>
      </c>
      <c r="M71" s="30"/>
      <c r="N71" s="70"/>
    </row>
    <row r="72" spans="1:14" ht="149.44999999999999" customHeight="1" x14ac:dyDescent="0.3">
      <c r="A72" s="50"/>
      <c r="B72" s="14"/>
      <c r="C72" s="8"/>
      <c r="D72" s="17" t="e">
        <f t="shared" si="3"/>
        <v>#VALUE!</v>
      </c>
      <c r="E72" s="11" t="e">
        <f t="shared" si="4"/>
        <v>#VALUE!</v>
      </c>
      <c r="F72" s="11"/>
      <c r="G72" s="24"/>
      <c r="H72" s="18"/>
      <c r="I72" s="22"/>
      <c r="J72" s="59" t="b">
        <v>0</v>
      </c>
      <c r="K72" s="60" t="b">
        <v>0</v>
      </c>
      <c r="L72" s="60" t="b">
        <v>0</v>
      </c>
      <c r="M72" s="30"/>
      <c r="N72" s="70"/>
    </row>
    <row r="73" spans="1:14" ht="149.44999999999999" customHeight="1" x14ac:dyDescent="0.3">
      <c r="A73" s="50"/>
      <c r="B73" s="14"/>
      <c r="C73" s="8"/>
      <c r="D73" s="17" t="e">
        <f t="shared" si="3"/>
        <v>#VALUE!</v>
      </c>
      <c r="E73" s="11" t="e">
        <f t="shared" si="4"/>
        <v>#VALUE!</v>
      </c>
      <c r="F73" s="11"/>
      <c r="G73" s="24"/>
      <c r="H73" s="18"/>
      <c r="I73" s="22"/>
      <c r="J73" s="59" t="b">
        <v>0</v>
      </c>
      <c r="K73" s="60" t="b">
        <v>0</v>
      </c>
      <c r="L73" s="60" t="b">
        <v>0</v>
      </c>
      <c r="M73" s="30"/>
      <c r="N73" s="70"/>
    </row>
    <row r="74" spans="1:14" ht="149.44999999999999" customHeight="1" x14ac:dyDescent="0.3">
      <c r="A74" s="50"/>
      <c r="B74" s="14"/>
      <c r="C74" s="8"/>
      <c r="D74" s="17" t="e">
        <f t="shared" si="3"/>
        <v>#VALUE!</v>
      </c>
      <c r="E74" s="11" t="e">
        <f t="shared" si="4"/>
        <v>#VALUE!</v>
      </c>
      <c r="F74" s="11"/>
      <c r="G74" s="24"/>
      <c r="H74" s="18"/>
      <c r="I74" s="22"/>
      <c r="J74" s="59" t="b">
        <v>0</v>
      </c>
      <c r="K74" s="60" t="b">
        <v>0</v>
      </c>
      <c r="L74" s="60" t="b">
        <v>0</v>
      </c>
      <c r="M74" s="30"/>
      <c r="N74" s="70"/>
    </row>
    <row r="75" spans="1:14" ht="149.44999999999999" customHeight="1" x14ac:dyDescent="0.3">
      <c r="A75" s="50"/>
      <c r="B75" s="14"/>
      <c r="C75" s="8"/>
      <c r="D75" s="17" t="e">
        <f t="shared" ref="D75:D96" si="5">RIGHT(C75,LEN(C75)-FIND("@",SUBSTITUTE(C75,"_","@",LEN(C75)-LEN(SUBSTITUTE(C75,"_","")))))</f>
        <v>#VALUE!</v>
      </c>
      <c r="E75" s="11" t="e">
        <f t="shared" si="4"/>
        <v>#VALUE!</v>
      </c>
      <c r="F75" s="11"/>
      <c r="G75" s="24"/>
      <c r="H75" s="18"/>
      <c r="I75" s="22"/>
      <c r="J75" s="59" t="b">
        <v>0</v>
      </c>
      <c r="K75" s="60" t="b">
        <v>0</v>
      </c>
      <c r="L75" s="60" t="b">
        <v>0</v>
      </c>
      <c r="M75" s="30"/>
      <c r="N75" s="70"/>
    </row>
    <row r="76" spans="1:14" ht="149.44999999999999" customHeight="1" x14ac:dyDescent="0.3">
      <c r="A76" s="50"/>
      <c r="B76" s="14"/>
      <c r="C76" s="8"/>
      <c r="D76" s="17" t="e">
        <f t="shared" si="5"/>
        <v>#VALUE!</v>
      </c>
      <c r="E76" s="11" t="e">
        <f t="shared" si="4"/>
        <v>#VALUE!</v>
      </c>
      <c r="F76" s="11"/>
      <c r="G76" s="24"/>
      <c r="H76" s="18"/>
      <c r="I76" s="22"/>
      <c r="J76" s="59" t="b">
        <v>0</v>
      </c>
      <c r="K76" s="60" t="b">
        <v>0</v>
      </c>
      <c r="L76" s="60" t="b">
        <v>0</v>
      </c>
      <c r="M76" s="30"/>
      <c r="N76" s="70"/>
    </row>
    <row r="77" spans="1:14" ht="149.44999999999999" customHeight="1" x14ac:dyDescent="0.3">
      <c r="A77" s="50"/>
      <c r="B77" s="14"/>
      <c r="C77" s="8"/>
      <c r="D77" s="17" t="e">
        <f t="shared" si="5"/>
        <v>#VALUE!</v>
      </c>
      <c r="E77" s="11" t="e">
        <f t="shared" si="4"/>
        <v>#VALUE!</v>
      </c>
      <c r="F77" s="11"/>
      <c r="G77" s="24"/>
      <c r="H77" s="18"/>
      <c r="I77" s="22"/>
      <c r="J77" s="59" t="b">
        <v>0</v>
      </c>
      <c r="K77" s="60" t="b">
        <v>0</v>
      </c>
      <c r="L77" s="60" t="b">
        <v>0</v>
      </c>
      <c r="M77" s="30"/>
      <c r="N77" s="70"/>
    </row>
    <row r="78" spans="1:14" ht="149.44999999999999" customHeight="1" x14ac:dyDescent="0.3">
      <c r="A78" s="50"/>
      <c r="B78" s="14"/>
      <c r="C78" s="8"/>
      <c r="D78" s="17" t="e">
        <f t="shared" si="5"/>
        <v>#VALUE!</v>
      </c>
      <c r="E78" s="11" t="e">
        <f t="shared" si="4"/>
        <v>#VALUE!</v>
      </c>
      <c r="F78" s="11"/>
      <c r="G78" s="24"/>
      <c r="H78" s="18"/>
      <c r="I78" s="22"/>
      <c r="J78" s="59" t="b">
        <v>0</v>
      </c>
      <c r="K78" s="60" t="b">
        <v>0</v>
      </c>
      <c r="L78" s="60" t="b">
        <v>0</v>
      </c>
      <c r="M78" s="30"/>
      <c r="N78" s="70"/>
    </row>
    <row r="79" spans="1:14" ht="149.44999999999999" customHeight="1" x14ac:dyDescent="0.3">
      <c r="A79" s="50"/>
      <c r="B79" s="14"/>
      <c r="C79" s="8"/>
      <c r="D79" s="17" t="e">
        <f t="shared" si="5"/>
        <v>#VALUE!</v>
      </c>
      <c r="E79" s="11" t="e">
        <f t="shared" si="4"/>
        <v>#VALUE!</v>
      </c>
      <c r="F79" s="11"/>
      <c r="G79" s="24"/>
      <c r="H79" s="18"/>
      <c r="I79" s="22"/>
      <c r="J79" s="59" t="b">
        <v>0</v>
      </c>
      <c r="K79" s="60" t="b">
        <v>0</v>
      </c>
      <c r="L79" s="60" t="b">
        <v>0</v>
      </c>
      <c r="M79" s="30"/>
      <c r="N79" s="70"/>
    </row>
    <row r="80" spans="1:14" ht="149.44999999999999" customHeight="1" x14ac:dyDescent="0.3">
      <c r="A80" s="50"/>
      <c r="B80" s="14"/>
      <c r="C80" s="8"/>
      <c r="D80" s="17" t="e">
        <f t="shared" si="5"/>
        <v>#VALUE!</v>
      </c>
      <c r="E80" s="11" t="e">
        <f t="shared" si="4"/>
        <v>#VALUE!</v>
      </c>
      <c r="F80" s="11"/>
      <c r="G80" s="24"/>
      <c r="H80" s="18"/>
      <c r="I80" s="22"/>
      <c r="J80" s="59" t="b">
        <v>0</v>
      </c>
      <c r="K80" s="60" t="b">
        <v>0</v>
      </c>
      <c r="L80" s="60" t="b">
        <v>0</v>
      </c>
      <c r="M80" s="30"/>
      <c r="N80" s="70"/>
    </row>
    <row r="81" spans="1:14" ht="149.44999999999999" customHeight="1" x14ac:dyDescent="0.3">
      <c r="A81" s="50"/>
      <c r="B81" s="14"/>
      <c r="C81" s="8"/>
      <c r="D81" s="17" t="e">
        <f t="shared" si="5"/>
        <v>#VALUE!</v>
      </c>
      <c r="E81" s="11" t="e">
        <f t="shared" si="4"/>
        <v>#VALUE!</v>
      </c>
      <c r="F81" s="11"/>
      <c r="G81" s="24"/>
      <c r="H81" s="18"/>
      <c r="I81" s="22"/>
      <c r="J81" s="59" t="b">
        <v>0</v>
      </c>
      <c r="K81" s="60" t="b">
        <v>0</v>
      </c>
      <c r="L81" s="60" t="b">
        <v>0</v>
      </c>
      <c r="M81" s="30"/>
      <c r="N81" s="70"/>
    </row>
    <row r="82" spans="1:14" ht="149.44999999999999" customHeight="1" x14ac:dyDescent="0.3">
      <c r="A82" s="50"/>
      <c r="B82" s="14"/>
      <c r="C82" s="8"/>
      <c r="D82" s="17" t="e">
        <f t="shared" si="5"/>
        <v>#VALUE!</v>
      </c>
      <c r="E82" s="11" t="e">
        <f t="shared" si="4"/>
        <v>#VALUE!</v>
      </c>
      <c r="F82" s="11"/>
      <c r="G82" s="24"/>
      <c r="H82" s="18"/>
      <c r="I82" s="22"/>
      <c r="J82" s="59" t="b">
        <v>0</v>
      </c>
      <c r="K82" s="60" t="b">
        <v>0</v>
      </c>
      <c r="L82" s="60" t="b">
        <v>0</v>
      </c>
      <c r="M82" s="30"/>
      <c r="N82" s="70"/>
    </row>
    <row r="83" spans="1:14" ht="149.44999999999999" customHeight="1" x14ac:dyDescent="0.3">
      <c r="A83" s="50"/>
      <c r="B83" s="14"/>
      <c r="C83" s="8"/>
      <c r="D83" s="17" t="e">
        <f t="shared" si="5"/>
        <v>#VALUE!</v>
      </c>
      <c r="E83" s="11" t="e">
        <f t="shared" si="4"/>
        <v>#VALUE!</v>
      </c>
      <c r="F83" s="11"/>
      <c r="G83" s="24"/>
      <c r="H83" s="18"/>
      <c r="I83" s="22"/>
      <c r="J83" s="59" t="b">
        <v>0</v>
      </c>
      <c r="K83" s="60" t="b">
        <v>0</v>
      </c>
      <c r="L83" s="60" t="b">
        <v>0</v>
      </c>
      <c r="M83" s="30"/>
      <c r="N83" s="70"/>
    </row>
    <row r="84" spans="1:14" ht="149.44999999999999" customHeight="1" x14ac:dyDescent="0.3">
      <c r="A84" s="50"/>
      <c r="B84" s="14"/>
      <c r="C84" s="8"/>
      <c r="D84" s="17" t="e">
        <f t="shared" si="5"/>
        <v>#VALUE!</v>
      </c>
      <c r="E84" s="11" t="e">
        <f t="shared" si="4"/>
        <v>#VALUE!</v>
      </c>
      <c r="F84" s="11"/>
      <c r="G84" s="24"/>
      <c r="H84" s="18"/>
      <c r="I84" s="22"/>
      <c r="J84" s="59" t="b">
        <v>0</v>
      </c>
      <c r="K84" s="60" t="b">
        <v>0</v>
      </c>
      <c r="L84" s="60" t="b">
        <v>0</v>
      </c>
      <c r="M84" s="30"/>
      <c r="N84" s="70"/>
    </row>
    <row r="85" spans="1:14" ht="149.44999999999999" customHeight="1" x14ac:dyDescent="0.3">
      <c r="A85" s="50"/>
      <c r="B85" s="14"/>
      <c r="C85" s="8"/>
      <c r="D85" s="17" t="e">
        <f t="shared" si="5"/>
        <v>#VALUE!</v>
      </c>
      <c r="E85" s="11" t="e">
        <f t="shared" si="4"/>
        <v>#VALUE!</v>
      </c>
      <c r="F85" s="11"/>
      <c r="G85" s="24"/>
      <c r="H85" s="18"/>
      <c r="I85" s="22"/>
      <c r="J85" s="59" t="b">
        <v>0</v>
      </c>
      <c r="K85" s="60" t="b">
        <v>0</v>
      </c>
      <c r="L85" s="60" t="b">
        <v>0</v>
      </c>
      <c r="M85" s="30"/>
      <c r="N85" s="70"/>
    </row>
    <row r="86" spans="1:14" ht="149.44999999999999" customHeight="1" x14ac:dyDescent="0.3">
      <c r="A86" s="50"/>
      <c r="B86" s="14"/>
      <c r="C86" s="8"/>
      <c r="D86" s="17" t="e">
        <f t="shared" si="5"/>
        <v>#VALUE!</v>
      </c>
      <c r="E86" s="11" t="e">
        <f t="shared" si="4"/>
        <v>#VALUE!</v>
      </c>
      <c r="F86" s="11"/>
      <c r="G86" s="24"/>
      <c r="H86" s="18"/>
      <c r="I86" s="22"/>
      <c r="J86" s="59" t="b">
        <v>0</v>
      </c>
      <c r="K86" s="60" t="b">
        <v>0</v>
      </c>
      <c r="L86" s="60" t="b">
        <v>0</v>
      </c>
      <c r="M86" s="30"/>
      <c r="N86" s="70"/>
    </row>
    <row r="87" spans="1:14" ht="149.44999999999999" customHeight="1" x14ac:dyDescent="0.3">
      <c r="A87" s="50"/>
      <c r="B87" s="14"/>
      <c r="C87" s="8"/>
      <c r="D87" s="17" t="e">
        <f t="shared" si="5"/>
        <v>#VALUE!</v>
      </c>
      <c r="E87" s="11" t="e">
        <f t="shared" si="4"/>
        <v>#VALUE!</v>
      </c>
      <c r="F87" s="11"/>
      <c r="G87" s="24"/>
      <c r="H87" s="18"/>
      <c r="I87" s="22"/>
      <c r="J87" s="59" t="b">
        <v>0</v>
      </c>
      <c r="K87" s="60" t="b">
        <v>0</v>
      </c>
      <c r="L87" s="60" t="b">
        <v>0</v>
      </c>
      <c r="M87" s="30"/>
      <c r="N87" s="70"/>
    </row>
    <row r="88" spans="1:14" ht="149.44999999999999" customHeight="1" x14ac:dyDescent="0.3">
      <c r="A88" s="50"/>
      <c r="B88" s="14"/>
      <c r="C88" s="8"/>
      <c r="D88" s="17" t="e">
        <f t="shared" si="5"/>
        <v>#VALUE!</v>
      </c>
      <c r="E88" s="11" t="e">
        <f t="shared" si="4"/>
        <v>#VALUE!</v>
      </c>
      <c r="F88" s="11"/>
      <c r="G88" s="24"/>
      <c r="H88" s="18"/>
      <c r="I88" s="22"/>
      <c r="J88" s="59" t="b">
        <v>0</v>
      </c>
      <c r="K88" s="60" t="b">
        <v>0</v>
      </c>
      <c r="L88" s="60" t="b">
        <v>0</v>
      </c>
      <c r="M88" s="30"/>
      <c r="N88" s="70"/>
    </row>
    <row r="89" spans="1:14" ht="149.44999999999999" customHeight="1" x14ac:dyDescent="0.3">
      <c r="A89" s="50"/>
      <c r="B89" s="14"/>
      <c r="C89" s="8"/>
      <c r="D89" s="17" t="e">
        <f t="shared" si="5"/>
        <v>#VALUE!</v>
      </c>
      <c r="E89" s="11" t="e">
        <f t="shared" si="4"/>
        <v>#VALUE!</v>
      </c>
      <c r="F89" s="11"/>
      <c r="G89" s="24"/>
      <c r="H89" s="18"/>
      <c r="I89" s="22"/>
      <c r="J89" s="59" t="b">
        <v>0</v>
      </c>
      <c r="K89" s="60" t="b">
        <v>0</v>
      </c>
      <c r="L89" s="60" t="b">
        <v>0</v>
      </c>
      <c r="M89" s="30"/>
      <c r="N89" s="70"/>
    </row>
    <row r="90" spans="1:14" ht="149.44999999999999" customHeight="1" x14ac:dyDescent="0.3">
      <c r="A90" s="50"/>
      <c r="B90" s="14"/>
      <c r="C90" s="8"/>
      <c r="D90" s="17" t="e">
        <f t="shared" si="5"/>
        <v>#VALUE!</v>
      </c>
      <c r="E90" s="11" t="e">
        <f t="shared" si="4"/>
        <v>#VALUE!</v>
      </c>
      <c r="F90" s="11"/>
      <c r="G90" s="24"/>
      <c r="H90" s="18"/>
      <c r="I90" s="22"/>
      <c r="J90" s="59" t="b">
        <v>0</v>
      </c>
      <c r="K90" s="60" t="b">
        <v>0</v>
      </c>
      <c r="L90" s="60" t="b">
        <v>0</v>
      </c>
      <c r="M90" s="30"/>
      <c r="N90" s="70"/>
    </row>
    <row r="91" spans="1:14" ht="149.44999999999999" customHeight="1" x14ac:dyDescent="0.3">
      <c r="A91" s="50"/>
      <c r="B91" s="14"/>
      <c r="C91" s="8"/>
      <c r="D91" s="17" t="e">
        <f t="shared" si="5"/>
        <v>#VALUE!</v>
      </c>
      <c r="E91" s="11" t="e">
        <f t="shared" si="4"/>
        <v>#VALUE!</v>
      </c>
      <c r="F91" s="11"/>
      <c r="G91" s="24"/>
      <c r="H91" s="18"/>
      <c r="I91" s="22"/>
      <c r="J91" s="59" t="b">
        <v>0</v>
      </c>
      <c r="K91" s="60" t="b">
        <v>0</v>
      </c>
      <c r="L91" s="60" t="b">
        <v>0</v>
      </c>
      <c r="M91" s="30"/>
      <c r="N91" s="70"/>
    </row>
    <row r="92" spans="1:14" ht="149.44999999999999" customHeight="1" x14ac:dyDescent="0.3">
      <c r="A92" s="50"/>
      <c r="B92" s="14"/>
      <c r="C92" s="8"/>
      <c r="D92" s="17" t="e">
        <f t="shared" si="5"/>
        <v>#VALUE!</v>
      </c>
      <c r="E92" s="11" t="e">
        <f t="shared" si="4"/>
        <v>#VALUE!</v>
      </c>
      <c r="F92" s="11"/>
      <c r="G92" s="24"/>
      <c r="H92" s="18"/>
      <c r="I92" s="22"/>
      <c r="J92" s="59" t="b">
        <v>0</v>
      </c>
      <c r="K92" s="60" t="b">
        <v>0</v>
      </c>
      <c r="L92" s="60" t="b">
        <v>0</v>
      </c>
      <c r="M92" s="30"/>
      <c r="N92" s="70"/>
    </row>
    <row r="93" spans="1:14" ht="149.44999999999999" customHeight="1" x14ac:dyDescent="0.3">
      <c r="A93" s="50"/>
      <c r="B93" s="14"/>
      <c r="C93" s="8"/>
      <c r="D93" s="17" t="e">
        <f t="shared" si="5"/>
        <v>#VALUE!</v>
      </c>
      <c r="E93" s="11" t="e">
        <f t="shared" si="4"/>
        <v>#VALUE!</v>
      </c>
      <c r="F93" s="11"/>
      <c r="G93" s="24"/>
      <c r="H93" s="18"/>
      <c r="I93" s="22"/>
      <c r="J93" s="59" t="b">
        <v>0</v>
      </c>
      <c r="K93" s="60" t="b">
        <v>0</v>
      </c>
      <c r="L93" s="60" t="b">
        <v>0</v>
      </c>
      <c r="M93" s="30"/>
      <c r="N93" s="70"/>
    </row>
    <row r="94" spans="1:14" ht="149.44999999999999" customHeight="1" x14ac:dyDescent="0.3">
      <c r="A94" s="50"/>
      <c r="B94" s="14"/>
      <c r="C94" s="8"/>
      <c r="D94" s="17" t="e">
        <f t="shared" si="5"/>
        <v>#VALUE!</v>
      </c>
      <c r="E94" s="11" t="e">
        <f t="shared" si="4"/>
        <v>#VALUE!</v>
      </c>
      <c r="F94" s="11"/>
      <c r="G94" s="24"/>
      <c r="H94" s="18"/>
      <c r="I94" s="22"/>
      <c r="J94" s="59" t="b">
        <v>0</v>
      </c>
      <c r="K94" s="60" t="b">
        <v>0</v>
      </c>
      <c r="L94" s="60" t="b">
        <v>0</v>
      </c>
      <c r="M94" s="30"/>
      <c r="N94" s="70"/>
    </row>
    <row r="95" spans="1:14" ht="149.44999999999999" customHeight="1" x14ac:dyDescent="0.3">
      <c r="A95" s="50"/>
      <c r="B95" s="14"/>
      <c r="C95" s="8"/>
      <c r="D95" s="17" t="e">
        <f t="shared" si="5"/>
        <v>#VALUE!</v>
      </c>
      <c r="E95" s="11" t="e">
        <f t="shared" si="4"/>
        <v>#VALUE!</v>
      </c>
      <c r="F95" s="11"/>
      <c r="G95" s="24"/>
      <c r="H95" s="18"/>
      <c r="I95" s="22"/>
      <c r="J95" s="59" t="b">
        <v>0</v>
      </c>
      <c r="K95" s="60" t="b">
        <v>0</v>
      </c>
      <c r="L95" s="60" t="b">
        <v>0</v>
      </c>
      <c r="M95" s="30"/>
      <c r="N95" s="70"/>
    </row>
    <row r="96" spans="1:14" ht="149.44999999999999" customHeight="1" x14ac:dyDescent="0.3">
      <c r="A96" s="50"/>
      <c r="B96" s="14"/>
      <c r="C96" s="8"/>
      <c r="D96" s="17" t="e">
        <f t="shared" si="5"/>
        <v>#VALUE!</v>
      </c>
      <c r="E96" s="11" t="e">
        <f t="shared" si="4"/>
        <v>#VALUE!</v>
      </c>
      <c r="F96" s="11"/>
      <c r="G96" s="24"/>
      <c r="H96" s="18"/>
      <c r="I96" s="22"/>
      <c r="J96" s="59" t="b">
        <v>0</v>
      </c>
      <c r="K96" s="60" t="b">
        <v>0</v>
      </c>
      <c r="L96" s="60" t="b">
        <v>0</v>
      </c>
      <c r="M96" s="30"/>
      <c r="N96" s="70"/>
    </row>
  </sheetData>
  <autoFilter ref="A8:I96" xr:uid="{00000000-0009-0000-0000-000003000000}"/>
  <mergeCells count="12">
    <mergeCell ref="I8:I9"/>
    <mergeCell ref="F8:F9"/>
    <mergeCell ref="J8:M8"/>
    <mergeCell ref="N8:N9"/>
    <mergeCell ref="D8:D9"/>
    <mergeCell ref="A2:C3"/>
    <mergeCell ref="A8:A9"/>
    <mergeCell ref="E8:E9"/>
    <mergeCell ref="C8:C9"/>
    <mergeCell ref="H8:H9"/>
    <mergeCell ref="G8:G9"/>
    <mergeCell ref="B8:B9"/>
  </mergeCells>
  <conditionalFormatting sqref="B1">
    <cfRule type="containsText" dxfId="19" priority="7" operator="containsText" text="CLASH">
      <formula>NOT(ISERROR(SEARCH("CLASH",B1)))</formula>
    </cfRule>
    <cfRule type="containsText" dxfId="18" priority="8" operator="containsText" text="VISUAL CHECK">
      <formula>NOT(ISERROR(SEARCH("VISUAL CHECK",B1)))</formula>
    </cfRule>
  </conditionalFormatting>
  <conditionalFormatting sqref="B4:B1048576">
    <cfRule type="containsText" dxfId="17" priority="5" operator="containsText" text="CLASH">
      <formula>NOT(ISERROR(SEARCH("CLASH",B4)))</formula>
    </cfRule>
    <cfRule type="containsText" dxfId="16" priority="6" operator="containsText" text="VISUAL CHECK">
      <formula>NOT(ISERROR(SEARCH("VISUAL CHECK",B4)))</formula>
    </cfRule>
  </conditionalFormatting>
  <conditionalFormatting sqref="H1:H14">
    <cfRule type="containsText" dxfId="15" priority="1" operator="containsText" text="RESOLVED">
      <formula>NOT(ISERROR(SEARCH("RESOLVED",H1)))</formula>
    </cfRule>
    <cfRule type="containsText" dxfId="14" priority="2" operator="containsText" text="ACTIVE">
      <formula>NOT(ISERROR(SEARCH("ACTIVE",H1)))</formula>
    </cfRule>
    <cfRule type="containsText" dxfId="13" priority="3" operator="containsText" text="NEW">
      <formula>NOT(ISERROR(SEARCH("NEW",H1)))</formula>
    </cfRule>
    <cfRule type="containsText" dxfId="12" priority="4" operator="containsText" text="PENDING">
      <formula>NOT(ISERROR(SEARCH("PENDING",H1)))</formula>
    </cfRule>
  </conditionalFormatting>
  <conditionalFormatting sqref="H17:H1048576">
    <cfRule type="containsText" dxfId="11" priority="9" operator="containsText" text="RESOLVED">
      <formula>NOT(ISERROR(SEARCH("RESOLVED",H17)))</formula>
    </cfRule>
    <cfRule type="containsText" dxfId="10" priority="10" operator="containsText" text="ACTIVE">
      <formula>NOT(ISERROR(SEARCH("ACTIVE",H17)))</formula>
    </cfRule>
    <cfRule type="containsText" dxfId="9" priority="11" operator="containsText" text="NEW">
      <formula>NOT(ISERROR(SEARCH("NEW",H17)))</formula>
    </cfRule>
    <cfRule type="containsText" dxfId="8" priority="12" operator="containsText" text="PENDING">
      <formula>NOT(ISERROR(SEARCH("PENDING",H17)))</formula>
    </cfRule>
  </conditionalFormatting>
  <printOptions horizontalCentered="1"/>
  <pageMargins left="0.45" right="0.45" top="0.8" bottom="0.3" header="0.3" footer="0.3"/>
  <pageSetup paperSize="9" scale="37" orientation="landscape"/>
  <headerFooter scaleWithDoc="0">
    <oddHeader>&amp;L&amp;"FreesiaUPC,Regular"&amp;14 TP-BM-005
17 Sep 2025&amp;C&amp;"FreesiaUPC,Regular"&amp;14 CLASH SUMMARY REPORT&amp;R&amp;"FreesiaUPC,Regular"&amp;14 R00
&amp;P of &amp;N</oddHeader>
    <oddFooter>&amp;L&amp;8 &amp;A&amp;C&amp;8    Page &amp;P of &amp;N   
&amp;R&amp;8 &amp;F</oddFooter>
  </headerFooter>
  <rowBreaks count="2" manualBreakCount="2">
    <brk id="21" max="16383" man="1"/>
    <brk id="2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AF96"/>
  <sheetViews>
    <sheetView zoomScale="55" zoomScaleNormal="55" zoomScaleSheetLayoutView="25" zoomScalePageLayoutView="85" workbookViewId="0">
      <selection activeCell="A4" sqref="A4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customWidth="1"/>
    <col min="5" max="5" width="16.125" style="5" customWidth="1"/>
    <col min="6" max="6" width="16.125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56.625" style="6" customWidth="1"/>
    <col min="14" max="14" width="42.625" style="6" customWidth="1"/>
    <col min="15" max="18" width="8.625" customWidth="1"/>
    <col min="19" max="19" width="28" bestFit="1" customWidth="1"/>
    <col min="20" max="32" width="8.625" customWidth="1"/>
  </cols>
  <sheetData>
    <row r="1" spans="1:32" ht="23.1" customHeight="1" thickBot="1" x14ac:dyDescent="0.55000000000000004">
      <c r="A1" s="64"/>
      <c r="B1" s="65"/>
      <c r="C1" s="66"/>
      <c r="I1" s="53"/>
    </row>
    <row r="2" spans="1:32" ht="23.1" customHeight="1" x14ac:dyDescent="0.2">
      <c r="A2" s="224" t="s">
        <v>78</v>
      </c>
      <c r="B2" s="183"/>
      <c r="C2" s="184"/>
      <c r="I2" s="53"/>
      <c r="S2" s="79" t="s">
        <v>1</v>
      </c>
      <c r="T2" s="80"/>
    </row>
    <row r="3" spans="1:32" ht="23.1" customHeight="1" x14ac:dyDescent="0.2">
      <c r="A3" s="185"/>
      <c r="B3" s="183"/>
      <c r="C3" s="184"/>
      <c r="I3" s="53"/>
      <c r="S3" s="81" t="s">
        <v>2</v>
      </c>
      <c r="T3" s="84">
        <f>COUNTIF(H:H,"NEW")</f>
        <v>0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3" t="s">
        <v>3</v>
      </c>
      <c r="T4" s="84">
        <f>COUNTIF(H:H,"ACTIVE")</f>
        <v>0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5" t="s">
        <v>4</v>
      </c>
      <c r="T5" s="82">
        <f>COUNTIF(H:H,"RESOLVED")</f>
        <v>0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6" t="s">
        <v>5</v>
      </c>
      <c r="T6" s="82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7" t="s">
        <v>6</v>
      </c>
      <c r="T7" s="88">
        <f>SUM(T3:T6)</f>
        <v>0</v>
      </c>
    </row>
    <row r="8" spans="1:32" ht="40.35" customHeight="1" x14ac:dyDescent="0.2">
      <c r="A8" s="186" t="s">
        <v>7</v>
      </c>
      <c r="B8" s="177" t="s">
        <v>8</v>
      </c>
      <c r="C8" s="188" t="s">
        <v>9</v>
      </c>
      <c r="D8" s="175" t="s">
        <v>10</v>
      </c>
      <c r="E8" s="188" t="s">
        <v>11</v>
      </c>
      <c r="F8" s="188" t="s">
        <v>12</v>
      </c>
      <c r="G8" s="188" t="s">
        <v>13</v>
      </c>
      <c r="H8" s="190" t="s">
        <v>14</v>
      </c>
      <c r="I8" s="173" t="s">
        <v>15</v>
      </c>
      <c r="J8" s="225" t="s">
        <v>16</v>
      </c>
      <c r="K8" s="226"/>
      <c r="L8" s="226"/>
      <c r="M8" s="227"/>
      <c r="N8" s="228" t="s">
        <v>21</v>
      </c>
      <c r="S8" s="89"/>
      <c r="T8" s="90"/>
    </row>
    <row r="9" spans="1:32" s="2" customFormat="1" ht="83.45" customHeight="1" x14ac:dyDescent="0.65">
      <c r="A9" s="187"/>
      <c r="B9" s="178"/>
      <c r="C9" s="189"/>
      <c r="D9" s="176"/>
      <c r="E9" s="189"/>
      <c r="F9" s="189"/>
      <c r="G9" s="189"/>
      <c r="H9" s="189"/>
      <c r="I9" s="174"/>
      <c r="J9" s="56" t="s">
        <v>17</v>
      </c>
      <c r="K9" s="57" t="s">
        <v>18</v>
      </c>
      <c r="L9" s="57" t="s">
        <v>19</v>
      </c>
      <c r="M9" s="58" t="s">
        <v>20</v>
      </c>
      <c r="N9" s="22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 t="e">
        <f t="shared" ref="A10:A41" si="0">LEFT(C10, FIND("_", C10) - 1)</f>
        <v>#VALUE!</v>
      </c>
      <c r="B10" s="49"/>
      <c r="C10" s="12"/>
      <c r="D10" s="17" t="e">
        <f t="shared" ref="D10:D41" si="1">RIGHT(C10,LEN(C10)-FIND("@",SUBSTITUTE(C10,"_","@",LEN(C10)-LEN(SUBSTITUTE(C10,"_","")))))</f>
        <v>#VALUE!</v>
      </c>
      <c r="E10" s="11" t="e">
        <f t="shared" ref="E10:E15" si="2">MID(C10, FIND("_", C10, FIND("_", C10) + 1) + 1, FIND("_", C10, FIND("_", C10, FIND("_", C10) + 1) + 1) - FIND("_", C10, FIND("_", C10) + 1)- 1)</f>
        <v>#VALUE!</v>
      </c>
      <c r="F10" s="11"/>
      <c r="G10" s="55"/>
      <c r="H10" s="18"/>
      <c r="I10" s="19"/>
      <c r="J10" s="59" t="b">
        <v>0</v>
      </c>
      <c r="K10" s="60" t="b">
        <v>0</v>
      </c>
      <c r="L10" s="60" t="b">
        <v>0</v>
      </c>
      <c r="M10" s="69"/>
      <c r="N10" s="70"/>
      <c r="O10" s="172"/>
      <c r="P10" s="172"/>
      <c r="R10" s="172"/>
      <c r="S10" s="31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</row>
    <row r="11" spans="1:32" ht="148.35" customHeight="1" x14ac:dyDescent="0.2">
      <c r="A11" s="50" t="e">
        <f t="shared" si="0"/>
        <v>#VALUE!</v>
      </c>
      <c r="B11" s="49"/>
      <c r="C11" s="7"/>
      <c r="D11" s="17" t="e">
        <f t="shared" si="1"/>
        <v>#VALUE!</v>
      </c>
      <c r="E11" s="11" t="e">
        <f t="shared" si="2"/>
        <v>#VALUE!</v>
      </c>
      <c r="F11" s="11"/>
      <c r="G11" s="21"/>
      <c r="H11" s="18"/>
      <c r="I11" s="22"/>
      <c r="J11" s="59" t="b">
        <v>0</v>
      </c>
      <c r="K11" s="60" t="b">
        <v>0</v>
      </c>
      <c r="L11" s="60" t="b">
        <v>0</v>
      </c>
      <c r="M11" s="23"/>
      <c r="N11" s="70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</row>
    <row r="12" spans="1:32" ht="148.35" customHeight="1" x14ac:dyDescent="0.2">
      <c r="A12" s="50" t="e">
        <f t="shared" si="0"/>
        <v>#VALUE!</v>
      </c>
      <c r="B12" s="49"/>
      <c r="C12" s="7"/>
      <c r="D12" s="17" t="e">
        <f t="shared" si="1"/>
        <v>#VALUE!</v>
      </c>
      <c r="E12" s="11" t="e">
        <f t="shared" si="2"/>
        <v>#VALUE!</v>
      </c>
      <c r="F12" s="11"/>
      <c r="G12" s="21"/>
      <c r="H12" s="18"/>
      <c r="I12" s="22"/>
      <c r="J12" s="59" t="b">
        <v>0</v>
      </c>
      <c r="K12" s="60" t="b">
        <v>0</v>
      </c>
      <c r="L12" s="60" t="b">
        <v>0</v>
      </c>
      <c r="M12" s="23"/>
      <c r="N12" s="70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</row>
    <row r="13" spans="1:32" ht="148.35" customHeight="1" x14ac:dyDescent="0.2">
      <c r="A13" s="50" t="e">
        <f t="shared" si="0"/>
        <v>#VALUE!</v>
      </c>
      <c r="B13" s="49"/>
      <c r="C13" s="7"/>
      <c r="D13" s="17" t="e">
        <f t="shared" si="1"/>
        <v>#VALUE!</v>
      </c>
      <c r="E13" s="11" t="e">
        <f t="shared" si="2"/>
        <v>#VALUE!</v>
      </c>
      <c r="F13" s="11"/>
      <c r="G13" s="21"/>
      <c r="H13" s="18"/>
      <c r="I13" s="22"/>
      <c r="J13" s="59" t="b">
        <v>0</v>
      </c>
      <c r="K13" s="60" t="b">
        <v>0</v>
      </c>
      <c r="L13" s="60" t="b">
        <v>0</v>
      </c>
      <c r="M13" s="23"/>
      <c r="N13" s="70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</row>
    <row r="14" spans="1:32" ht="148.35" customHeight="1" x14ac:dyDescent="0.2">
      <c r="A14" s="50" t="e">
        <f t="shared" si="0"/>
        <v>#VALUE!</v>
      </c>
      <c r="B14" s="49"/>
      <c r="C14" s="7"/>
      <c r="D14" s="17" t="e">
        <f t="shared" si="1"/>
        <v>#VALUE!</v>
      </c>
      <c r="E14" s="11" t="e">
        <f t="shared" si="2"/>
        <v>#VALUE!</v>
      </c>
      <c r="F14" s="11"/>
      <c r="G14" s="21"/>
      <c r="H14" s="18"/>
      <c r="I14" s="22"/>
      <c r="J14" s="59" t="b">
        <v>0</v>
      </c>
      <c r="K14" s="60" t="b">
        <v>0</v>
      </c>
      <c r="L14" s="60" t="b">
        <v>0</v>
      </c>
      <c r="M14" s="23"/>
      <c r="N14" s="70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</row>
    <row r="15" spans="1:32" ht="148.35" customHeight="1" x14ac:dyDescent="0.2">
      <c r="A15" s="50" t="e">
        <f t="shared" si="0"/>
        <v>#VALUE!</v>
      </c>
      <c r="B15" s="49"/>
      <c r="C15" s="7"/>
      <c r="D15" s="17" t="e">
        <f t="shared" si="1"/>
        <v>#VALUE!</v>
      </c>
      <c r="E15" s="11" t="e">
        <f t="shared" si="2"/>
        <v>#VALUE!</v>
      </c>
      <c r="F15" s="11"/>
      <c r="G15" s="21"/>
      <c r="H15" s="18"/>
      <c r="I15" s="22"/>
      <c r="J15" s="59" t="b">
        <v>0</v>
      </c>
      <c r="K15" s="60" t="b">
        <v>0</v>
      </c>
      <c r="L15" s="60" t="b">
        <v>0</v>
      </c>
      <c r="M15" s="23"/>
      <c r="N15" s="70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</row>
    <row r="16" spans="1:32" ht="148.35" customHeight="1" x14ac:dyDescent="0.2">
      <c r="A16" s="50" t="e">
        <f t="shared" si="0"/>
        <v>#VALUE!</v>
      </c>
      <c r="B16" s="49"/>
      <c r="C16" s="7"/>
      <c r="D16" s="17" t="e">
        <f t="shared" si="1"/>
        <v>#VALUE!</v>
      </c>
      <c r="E16" s="11" t="e">
        <f t="shared" ref="E16:E22" si="3">LEFT(C16, FIND("_", C16) - 1)</f>
        <v>#VALUE!</v>
      </c>
      <c r="F16" s="11"/>
      <c r="G16" s="21"/>
      <c r="H16" s="18"/>
      <c r="I16" s="22"/>
      <c r="J16" s="59" t="b">
        <v>0</v>
      </c>
      <c r="K16" s="60" t="b">
        <v>0</v>
      </c>
      <c r="L16" s="60" t="b">
        <v>0</v>
      </c>
      <c r="M16" s="23"/>
      <c r="N16" s="70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</row>
    <row r="17" spans="1:32" ht="149.1" customHeight="1" x14ac:dyDescent="0.2">
      <c r="A17" s="50" t="e">
        <f t="shared" si="0"/>
        <v>#VALUE!</v>
      </c>
      <c r="B17" s="49"/>
      <c r="C17" s="7"/>
      <c r="D17" s="17" t="e">
        <f t="shared" si="1"/>
        <v>#VALUE!</v>
      </c>
      <c r="E17" s="11" t="e">
        <f t="shared" si="3"/>
        <v>#VALUE!</v>
      </c>
      <c r="F17" s="77"/>
      <c r="G17" s="21"/>
      <c r="H17" s="18"/>
      <c r="I17" s="22"/>
      <c r="J17" s="59" t="b">
        <v>0</v>
      </c>
      <c r="K17" s="60" t="b">
        <v>0</v>
      </c>
      <c r="L17" s="60" t="b">
        <v>0</v>
      </c>
      <c r="M17" s="20"/>
      <c r="N17" s="70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</row>
    <row r="18" spans="1:32" ht="149.1" customHeight="1" x14ac:dyDescent="0.3">
      <c r="A18" s="50" t="e">
        <f t="shared" si="0"/>
        <v>#VALUE!</v>
      </c>
      <c r="B18" s="49"/>
      <c r="C18" s="8"/>
      <c r="D18" s="17" t="e">
        <f t="shared" si="1"/>
        <v>#VALUE!</v>
      </c>
      <c r="E18" s="11" t="e">
        <f t="shared" si="3"/>
        <v>#VALUE!</v>
      </c>
      <c r="F18" s="77"/>
      <c r="G18" s="24"/>
      <c r="H18" s="18"/>
      <c r="I18" s="22"/>
      <c r="J18" s="59" t="b">
        <v>0</v>
      </c>
      <c r="K18" s="60" t="b">
        <v>0</v>
      </c>
      <c r="L18" s="60" t="b">
        <v>0</v>
      </c>
      <c r="M18" s="20"/>
      <c r="N18" s="70"/>
    </row>
    <row r="19" spans="1:32" ht="149.1" customHeight="1" x14ac:dyDescent="0.3">
      <c r="A19" s="50" t="e">
        <f t="shared" si="0"/>
        <v>#VALUE!</v>
      </c>
      <c r="B19" s="49"/>
      <c r="C19" s="8"/>
      <c r="D19" s="17" t="e">
        <f t="shared" si="1"/>
        <v>#VALUE!</v>
      </c>
      <c r="E19" s="11" t="e">
        <f t="shared" si="3"/>
        <v>#VALUE!</v>
      </c>
      <c r="F19" s="77"/>
      <c r="G19" s="24"/>
      <c r="H19" s="18"/>
      <c r="I19" s="22"/>
      <c r="J19" s="59" t="b">
        <v>0</v>
      </c>
      <c r="K19" s="60" t="b">
        <v>0</v>
      </c>
      <c r="L19" s="60" t="b">
        <v>0</v>
      </c>
      <c r="M19" s="23"/>
      <c r="N19" s="70"/>
    </row>
    <row r="20" spans="1:32" ht="149.1" customHeight="1" x14ac:dyDescent="0.3">
      <c r="A20" s="50" t="e">
        <f t="shared" si="0"/>
        <v>#VALUE!</v>
      </c>
      <c r="B20" s="49"/>
      <c r="C20" s="9"/>
      <c r="D20" s="17" t="e">
        <f t="shared" si="1"/>
        <v>#VALUE!</v>
      </c>
      <c r="E20" s="11" t="e">
        <f t="shared" si="3"/>
        <v>#VALUE!</v>
      </c>
      <c r="F20" s="77"/>
      <c r="G20" s="24"/>
      <c r="H20" s="18"/>
      <c r="I20" s="22"/>
      <c r="J20" s="59" t="b">
        <v>0</v>
      </c>
      <c r="K20" s="60" t="b">
        <v>0</v>
      </c>
      <c r="L20" s="60" t="b">
        <v>0</v>
      </c>
      <c r="M20" s="23"/>
      <c r="N20" s="70"/>
    </row>
    <row r="21" spans="1:32" ht="149.1" customHeight="1" x14ac:dyDescent="0.3">
      <c r="A21" s="50" t="e">
        <f t="shared" si="0"/>
        <v>#VALUE!</v>
      </c>
      <c r="B21" s="49"/>
      <c r="C21" s="8"/>
      <c r="D21" s="17" t="e">
        <f t="shared" si="1"/>
        <v>#VALUE!</v>
      </c>
      <c r="E21" s="11" t="e">
        <f t="shared" si="3"/>
        <v>#VALUE!</v>
      </c>
      <c r="F21" s="77"/>
      <c r="G21" s="24"/>
      <c r="H21" s="18"/>
      <c r="I21" s="22"/>
      <c r="J21" s="59" t="b">
        <v>0</v>
      </c>
      <c r="K21" s="60" t="b">
        <v>0</v>
      </c>
      <c r="L21" s="60" t="b">
        <v>0</v>
      </c>
      <c r="M21" s="25"/>
      <c r="N21" s="70"/>
    </row>
    <row r="22" spans="1:32" ht="149.1" customHeight="1" x14ac:dyDescent="0.3">
      <c r="A22" s="50" t="e">
        <f t="shared" si="0"/>
        <v>#VALUE!</v>
      </c>
      <c r="B22" s="49"/>
      <c r="C22" s="8"/>
      <c r="D22" s="17" t="e">
        <f t="shared" si="1"/>
        <v>#VALUE!</v>
      </c>
      <c r="E22" s="11" t="e">
        <f t="shared" si="3"/>
        <v>#VALUE!</v>
      </c>
      <c r="F22" s="77"/>
      <c r="G22" s="24"/>
      <c r="H22" s="18"/>
      <c r="I22" s="22"/>
      <c r="J22" s="59" t="b">
        <v>0</v>
      </c>
      <c r="K22" s="60" t="b">
        <v>0</v>
      </c>
      <c r="L22" s="60" t="b">
        <v>0</v>
      </c>
      <c r="M22" s="25"/>
      <c r="N22" s="70"/>
    </row>
    <row r="23" spans="1:32" ht="149.1" customHeight="1" x14ac:dyDescent="0.3">
      <c r="A23" s="50" t="e">
        <f t="shared" si="0"/>
        <v>#VALUE!</v>
      </c>
      <c r="B23" s="14"/>
      <c r="C23" s="8"/>
      <c r="D23" s="17" t="e">
        <f t="shared" si="1"/>
        <v>#VALUE!</v>
      </c>
      <c r="E23" s="11" t="e">
        <f>MID(C23, FIND("_", C23, FIND("_", C23) + 1) + 1, FIND("_", C23, FIND("_", C23, FIND("_", C23) + 1) + 1) - FIND("_", C23, FIND("_", C23) + 1)- 1)</f>
        <v>#VALUE!</v>
      </c>
      <c r="F23" s="77"/>
      <c r="G23" s="24"/>
      <c r="H23" s="18"/>
      <c r="I23" s="22"/>
      <c r="J23" s="59" t="b">
        <v>0</v>
      </c>
      <c r="K23" s="60" t="b">
        <v>0</v>
      </c>
      <c r="L23" s="60" t="b">
        <v>0</v>
      </c>
      <c r="M23" s="23"/>
      <c r="N23" s="70"/>
    </row>
    <row r="24" spans="1:32" ht="149.1" customHeight="1" x14ac:dyDescent="0.3">
      <c r="A24" s="50" t="e">
        <f t="shared" si="0"/>
        <v>#VALUE!</v>
      </c>
      <c r="B24" s="14"/>
      <c r="C24" s="8"/>
      <c r="D24" s="17" t="e">
        <f t="shared" si="1"/>
        <v>#VALUE!</v>
      </c>
      <c r="E24" s="11" t="e">
        <f>MID(C24, FIND("_", C24, FIND("_", C24) + 1) + 1, FIND("_", C24, FIND("_", C24, FIND("_", C24) + 1) + 1) - FIND("_", C24, FIND("_", C24) + 1)- 1)</f>
        <v>#VALUE!</v>
      </c>
      <c r="F24" s="77"/>
      <c r="G24" s="24"/>
      <c r="H24" s="18"/>
      <c r="I24" s="22"/>
      <c r="J24" s="59" t="b">
        <v>0</v>
      </c>
      <c r="K24" s="60" t="b">
        <v>0</v>
      </c>
      <c r="L24" s="60" t="b">
        <v>0</v>
      </c>
      <c r="M24" s="26"/>
      <c r="N24" s="70"/>
    </row>
    <row r="25" spans="1:32" ht="149.1" customHeight="1" x14ac:dyDescent="0.3">
      <c r="A25" s="50" t="e">
        <f t="shared" si="0"/>
        <v>#VALUE!</v>
      </c>
      <c r="B25" s="14"/>
      <c r="C25" s="8"/>
      <c r="D25" s="17" t="e">
        <f t="shared" si="1"/>
        <v>#VALUE!</v>
      </c>
      <c r="E25" s="11" t="e">
        <f t="shared" ref="E25:E50" si="4">LEFT(C25, FIND("_", C25) - 1)</f>
        <v>#VALUE!</v>
      </c>
      <c r="F25" s="11"/>
      <c r="G25" s="24"/>
      <c r="H25" s="18"/>
      <c r="I25" s="22"/>
      <c r="J25" s="59" t="b">
        <v>0</v>
      </c>
      <c r="K25" s="60" t="b">
        <v>0</v>
      </c>
      <c r="L25" s="60" t="b">
        <v>0</v>
      </c>
      <c r="M25" s="27"/>
      <c r="N25" s="70"/>
    </row>
    <row r="26" spans="1:32" ht="149.1" customHeight="1" x14ac:dyDescent="0.3">
      <c r="A26" s="50" t="e">
        <f t="shared" si="0"/>
        <v>#VALUE!</v>
      </c>
      <c r="B26" s="14"/>
      <c r="C26" s="8"/>
      <c r="D26" s="17" t="e">
        <f t="shared" si="1"/>
        <v>#VALUE!</v>
      </c>
      <c r="E26" s="11" t="e">
        <f t="shared" si="4"/>
        <v>#VALUE!</v>
      </c>
      <c r="F26" s="11"/>
      <c r="G26" s="24"/>
      <c r="H26" s="18"/>
      <c r="I26" s="22"/>
      <c r="J26" s="59" t="b">
        <v>0</v>
      </c>
      <c r="K26" s="60" t="b">
        <v>0</v>
      </c>
      <c r="L26" s="60" t="b">
        <v>0</v>
      </c>
      <c r="M26" s="28"/>
      <c r="N26" s="70"/>
    </row>
    <row r="27" spans="1:32" ht="149.1" customHeight="1" x14ac:dyDescent="0.3">
      <c r="A27" s="50" t="e">
        <f t="shared" si="0"/>
        <v>#VALUE!</v>
      </c>
      <c r="B27" s="14"/>
      <c r="C27" s="8"/>
      <c r="D27" s="17" t="e">
        <f t="shared" si="1"/>
        <v>#VALUE!</v>
      </c>
      <c r="E27" s="11" t="e">
        <f t="shared" si="4"/>
        <v>#VALUE!</v>
      </c>
      <c r="F27" s="11"/>
      <c r="G27" s="24"/>
      <c r="H27" s="18"/>
      <c r="I27" s="22"/>
      <c r="J27" s="59" t="b">
        <v>0</v>
      </c>
      <c r="K27" s="60" t="b">
        <v>0</v>
      </c>
      <c r="L27" s="60" t="b">
        <v>0</v>
      </c>
      <c r="M27" s="29"/>
      <c r="N27" s="70"/>
    </row>
    <row r="28" spans="1:32" ht="149.1" customHeight="1" x14ac:dyDescent="0.3">
      <c r="A28" s="50" t="e">
        <f t="shared" si="0"/>
        <v>#VALUE!</v>
      </c>
      <c r="B28" s="14"/>
      <c r="C28" s="8"/>
      <c r="D28" s="17" t="e">
        <f t="shared" si="1"/>
        <v>#VALUE!</v>
      </c>
      <c r="E28" s="11" t="e">
        <f t="shared" si="4"/>
        <v>#VALUE!</v>
      </c>
      <c r="F28" s="11"/>
      <c r="G28" s="24"/>
      <c r="H28" s="18"/>
      <c r="I28" s="22"/>
      <c r="J28" s="59" t="b">
        <v>0</v>
      </c>
      <c r="K28" s="60" t="b">
        <v>0</v>
      </c>
      <c r="L28" s="60" t="b">
        <v>0</v>
      </c>
      <c r="M28" s="30"/>
      <c r="N28" s="70"/>
    </row>
    <row r="29" spans="1:32" ht="149.44999999999999" customHeight="1" x14ac:dyDescent="0.3">
      <c r="A29" s="50" t="e">
        <f t="shared" si="0"/>
        <v>#VALUE!</v>
      </c>
      <c r="B29" s="14"/>
      <c r="C29" s="8"/>
      <c r="D29" s="17" t="e">
        <f t="shared" si="1"/>
        <v>#VALUE!</v>
      </c>
      <c r="E29" s="11" t="e">
        <f t="shared" si="4"/>
        <v>#VALUE!</v>
      </c>
      <c r="F29" s="11"/>
      <c r="G29" s="24"/>
      <c r="H29" s="18"/>
      <c r="I29" s="22"/>
      <c r="J29" s="59" t="b">
        <v>0</v>
      </c>
      <c r="K29" s="60" t="b">
        <v>0</v>
      </c>
      <c r="L29" s="60" t="b">
        <v>0</v>
      </c>
      <c r="M29" s="30"/>
      <c r="N29" s="70"/>
    </row>
    <row r="30" spans="1:32" ht="149.44999999999999" customHeight="1" x14ac:dyDescent="0.3">
      <c r="A30" s="50" t="e">
        <f t="shared" si="0"/>
        <v>#VALUE!</v>
      </c>
      <c r="B30" s="14"/>
      <c r="C30" s="8"/>
      <c r="D30" s="17" t="e">
        <f t="shared" si="1"/>
        <v>#VALUE!</v>
      </c>
      <c r="E30" s="11" t="e">
        <f t="shared" si="4"/>
        <v>#VALUE!</v>
      </c>
      <c r="F30" s="11"/>
      <c r="G30" s="24"/>
      <c r="H30" s="18"/>
      <c r="I30" s="22"/>
      <c r="J30" s="59" t="b">
        <v>0</v>
      </c>
      <c r="K30" s="60" t="b">
        <v>0</v>
      </c>
      <c r="L30" s="60" t="b">
        <v>0</v>
      </c>
      <c r="M30" s="30"/>
      <c r="N30" s="70"/>
    </row>
    <row r="31" spans="1:32" ht="149.44999999999999" customHeight="1" x14ac:dyDescent="0.3">
      <c r="A31" s="50" t="e">
        <f t="shared" si="0"/>
        <v>#VALUE!</v>
      </c>
      <c r="B31" s="14"/>
      <c r="C31" s="8"/>
      <c r="D31" s="17" t="e">
        <f t="shared" si="1"/>
        <v>#VALUE!</v>
      </c>
      <c r="E31" s="11" t="e">
        <f t="shared" si="4"/>
        <v>#VALUE!</v>
      </c>
      <c r="F31" s="11"/>
      <c r="G31" s="24"/>
      <c r="H31" s="18"/>
      <c r="I31" s="22"/>
      <c r="J31" s="59" t="b">
        <v>0</v>
      </c>
      <c r="K31" s="60" t="b">
        <v>0</v>
      </c>
      <c r="L31" s="60" t="b">
        <v>0</v>
      </c>
      <c r="M31" s="30"/>
      <c r="N31" s="70"/>
    </row>
    <row r="32" spans="1:32" ht="149.44999999999999" customHeight="1" x14ac:dyDescent="0.3">
      <c r="A32" s="50" t="e">
        <f t="shared" si="0"/>
        <v>#VALUE!</v>
      </c>
      <c r="B32" s="14"/>
      <c r="C32" s="8"/>
      <c r="D32" s="17" t="e">
        <f t="shared" si="1"/>
        <v>#VALUE!</v>
      </c>
      <c r="E32" s="11" t="e">
        <f t="shared" si="4"/>
        <v>#VALUE!</v>
      </c>
      <c r="F32" s="11"/>
      <c r="G32" s="24"/>
      <c r="H32" s="18"/>
      <c r="I32" s="22"/>
      <c r="J32" s="59" t="b">
        <v>0</v>
      </c>
      <c r="K32" s="60" t="b">
        <v>0</v>
      </c>
      <c r="L32" s="60" t="b">
        <v>0</v>
      </c>
      <c r="M32" s="30"/>
      <c r="N32" s="70"/>
    </row>
    <row r="33" spans="1:14" ht="149.44999999999999" customHeight="1" x14ac:dyDescent="0.3">
      <c r="A33" s="50" t="e">
        <f t="shared" si="0"/>
        <v>#VALUE!</v>
      </c>
      <c r="B33" s="14"/>
      <c r="C33" s="8"/>
      <c r="D33" s="17" t="e">
        <f t="shared" si="1"/>
        <v>#VALUE!</v>
      </c>
      <c r="E33" s="11" t="e">
        <f t="shared" si="4"/>
        <v>#VALUE!</v>
      </c>
      <c r="F33" s="11"/>
      <c r="G33" s="24"/>
      <c r="H33" s="18"/>
      <c r="I33" s="22"/>
      <c r="J33" s="59" t="b">
        <v>0</v>
      </c>
      <c r="K33" s="60" t="b">
        <v>0</v>
      </c>
      <c r="L33" s="60" t="b">
        <v>0</v>
      </c>
      <c r="M33" s="30"/>
      <c r="N33" s="70"/>
    </row>
    <row r="34" spans="1:14" ht="149.44999999999999" customHeight="1" x14ac:dyDescent="0.3">
      <c r="A34" s="50" t="e">
        <f t="shared" si="0"/>
        <v>#VALUE!</v>
      </c>
      <c r="B34" s="14"/>
      <c r="C34" s="8"/>
      <c r="D34" s="17" t="e">
        <f t="shared" si="1"/>
        <v>#VALUE!</v>
      </c>
      <c r="E34" s="11" t="e">
        <f t="shared" si="4"/>
        <v>#VALUE!</v>
      </c>
      <c r="F34" s="11"/>
      <c r="G34" s="24"/>
      <c r="H34" s="18"/>
      <c r="I34" s="22"/>
      <c r="J34" s="59" t="b">
        <v>0</v>
      </c>
      <c r="K34" s="60" t="b">
        <v>0</v>
      </c>
      <c r="L34" s="60" t="b">
        <v>0</v>
      </c>
      <c r="M34" s="30"/>
      <c r="N34" s="70"/>
    </row>
    <row r="35" spans="1:14" ht="149.44999999999999" customHeight="1" x14ac:dyDescent="0.3">
      <c r="A35" s="50" t="e">
        <f t="shared" si="0"/>
        <v>#VALUE!</v>
      </c>
      <c r="B35" s="14"/>
      <c r="C35" s="8"/>
      <c r="D35" s="17" t="e">
        <f t="shared" si="1"/>
        <v>#VALUE!</v>
      </c>
      <c r="E35" s="11" t="e">
        <f t="shared" si="4"/>
        <v>#VALUE!</v>
      </c>
      <c r="F35" s="11"/>
      <c r="G35" s="24"/>
      <c r="H35" s="18"/>
      <c r="I35" s="22"/>
      <c r="J35" s="59" t="b">
        <v>0</v>
      </c>
      <c r="K35" s="60" t="b">
        <v>0</v>
      </c>
      <c r="L35" s="60" t="b">
        <v>0</v>
      </c>
      <c r="M35" s="30"/>
      <c r="N35" s="70"/>
    </row>
    <row r="36" spans="1:14" ht="149.44999999999999" customHeight="1" x14ac:dyDescent="0.3">
      <c r="A36" s="50" t="e">
        <f t="shared" si="0"/>
        <v>#VALUE!</v>
      </c>
      <c r="B36" s="14"/>
      <c r="C36" s="8"/>
      <c r="D36" s="17" t="e">
        <f t="shared" si="1"/>
        <v>#VALUE!</v>
      </c>
      <c r="E36" s="11" t="e">
        <f t="shared" si="4"/>
        <v>#VALUE!</v>
      </c>
      <c r="F36" s="11"/>
      <c r="G36" s="24"/>
      <c r="H36" s="18"/>
      <c r="I36" s="22"/>
      <c r="J36" s="59" t="b">
        <v>0</v>
      </c>
      <c r="K36" s="60" t="b">
        <v>0</v>
      </c>
      <c r="L36" s="60" t="b">
        <v>0</v>
      </c>
      <c r="M36" s="30"/>
      <c r="N36" s="70"/>
    </row>
    <row r="37" spans="1:14" ht="149.44999999999999" customHeight="1" x14ac:dyDescent="0.3">
      <c r="A37" s="50" t="e">
        <f t="shared" si="0"/>
        <v>#VALUE!</v>
      </c>
      <c r="B37" s="14"/>
      <c r="C37" s="8"/>
      <c r="D37" s="17" t="e">
        <f t="shared" si="1"/>
        <v>#VALUE!</v>
      </c>
      <c r="E37" s="11" t="e">
        <f t="shared" si="4"/>
        <v>#VALUE!</v>
      </c>
      <c r="F37" s="11"/>
      <c r="G37" s="24"/>
      <c r="H37" s="18"/>
      <c r="I37" s="22"/>
      <c r="J37" s="59" t="b">
        <v>0</v>
      </c>
      <c r="K37" s="60" t="b">
        <v>0</v>
      </c>
      <c r="L37" s="60" t="b">
        <v>0</v>
      </c>
      <c r="M37" s="30"/>
      <c r="N37" s="70"/>
    </row>
    <row r="38" spans="1:14" ht="149.44999999999999" customHeight="1" x14ac:dyDescent="0.3">
      <c r="A38" s="50" t="e">
        <f t="shared" si="0"/>
        <v>#VALUE!</v>
      </c>
      <c r="B38" s="14"/>
      <c r="C38" s="8"/>
      <c r="D38" s="17" t="e">
        <f t="shared" si="1"/>
        <v>#VALUE!</v>
      </c>
      <c r="E38" s="11" t="e">
        <f t="shared" si="4"/>
        <v>#VALUE!</v>
      </c>
      <c r="F38" s="11"/>
      <c r="G38" s="24"/>
      <c r="H38" s="18"/>
      <c r="I38" s="22"/>
      <c r="J38" s="59" t="b">
        <v>0</v>
      </c>
      <c r="K38" s="60" t="b">
        <v>0</v>
      </c>
      <c r="L38" s="60" t="b">
        <v>0</v>
      </c>
      <c r="M38" s="30"/>
      <c r="N38" s="70"/>
    </row>
    <row r="39" spans="1:14" ht="149.44999999999999" customHeight="1" x14ac:dyDescent="0.3">
      <c r="A39" s="50" t="e">
        <f t="shared" si="0"/>
        <v>#VALUE!</v>
      </c>
      <c r="B39" s="14"/>
      <c r="C39" s="8"/>
      <c r="D39" s="17" t="e">
        <f t="shared" si="1"/>
        <v>#VALUE!</v>
      </c>
      <c r="E39" s="11" t="e">
        <f t="shared" si="4"/>
        <v>#VALUE!</v>
      </c>
      <c r="F39" s="11"/>
      <c r="G39" s="24"/>
      <c r="H39" s="18"/>
      <c r="I39" s="22"/>
      <c r="J39" s="59" t="b">
        <v>0</v>
      </c>
      <c r="K39" s="60" t="b">
        <v>0</v>
      </c>
      <c r="L39" s="60" t="b">
        <v>0</v>
      </c>
      <c r="M39" s="30"/>
      <c r="N39" s="70"/>
    </row>
    <row r="40" spans="1:14" ht="149.44999999999999" customHeight="1" x14ac:dyDescent="0.3">
      <c r="A40" s="50" t="e">
        <f t="shared" si="0"/>
        <v>#VALUE!</v>
      </c>
      <c r="B40" s="14"/>
      <c r="C40" s="8"/>
      <c r="D40" s="17" t="e">
        <f t="shared" si="1"/>
        <v>#VALUE!</v>
      </c>
      <c r="E40" s="11" t="e">
        <f t="shared" si="4"/>
        <v>#VALUE!</v>
      </c>
      <c r="F40" s="11"/>
      <c r="G40" s="24"/>
      <c r="H40" s="18"/>
      <c r="I40" s="22"/>
      <c r="J40" s="59" t="b">
        <v>0</v>
      </c>
      <c r="K40" s="60" t="b">
        <v>0</v>
      </c>
      <c r="L40" s="60" t="b">
        <v>0</v>
      </c>
      <c r="M40" s="30"/>
      <c r="N40" s="70"/>
    </row>
    <row r="41" spans="1:14" ht="149.44999999999999" customHeight="1" x14ac:dyDescent="0.3">
      <c r="A41" s="50" t="e">
        <f t="shared" si="0"/>
        <v>#VALUE!</v>
      </c>
      <c r="B41" s="14"/>
      <c r="C41" s="8"/>
      <c r="D41" s="17" t="e">
        <f t="shared" si="1"/>
        <v>#VALUE!</v>
      </c>
      <c r="E41" s="11" t="e">
        <f t="shared" si="4"/>
        <v>#VALUE!</v>
      </c>
      <c r="F41" s="11"/>
      <c r="G41" s="24"/>
      <c r="H41" s="18"/>
      <c r="I41" s="22"/>
      <c r="J41" s="59" t="b">
        <v>0</v>
      </c>
      <c r="K41" s="60" t="b">
        <v>0</v>
      </c>
      <c r="L41" s="60" t="b">
        <v>0</v>
      </c>
      <c r="M41" s="30"/>
      <c r="N41" s="70"/>
    </row>
    <row r="42" spans="1:14" ht="149.44999999999999" customHeight="1" x14ac:dyDescent="0.3">
      <c r="A42" s="50" t="e">
        <f t="shared" ref="A42:A73" si="5">LEFT(C42, FIND("_", C42) - 1)</f>
        <v>#VALUE!</v>
      </c>
      <c r="B42" s="14"/>
      <c r="C42" s="8"/>
      <c r="D42" s="17" t="e">
        <f t="shared" ref="D42:D73" si="6">RIGHT(C42,LEN(C42)-FIND("@",SUBSTITUTE(C42,"_","@",LEN(C42)-LEN(SUBSTITUTE(C42,"_","")))))</f>
        <v>#VALUE!</v>
      </c>
      <c r="E42" s="11" t="e">
        <f t="shared" si="4"/>
        <v>#VALUE!</v>
      </c>
      <c r="F42" s="11"/>
      <c r="G42" s="24"/>
      <c r="H42" s="18"/>
      <c r="I42" s="22"/>
      <c r="J42" s="59" t="b">
        <v>0</v>
      </c>
      <c r="K42" s="60" t="b">
        <v>0</v>
      </c>
      <c r="L42" s="60" t="b">
        <v>0</v>
      </c>
      <c r="M42" s="30"/>
      <c r="N42" s="70"/>
    </row>
    <row r="43" spans="1:14" ht="149.44999999999999" customHeight="1" x14ac:dyDescent="0.3">
      <c r="A43" s="50" t="e">
        <f t="shared" si="5"/>
        <v>#VALUE!</v>
      </c>
      <c r="B43" s="14"/>
      <c r="C43" s="8"/>
      <c r="D43" s="17" t="e">
        <f t="shared" si="6"/>
        <v>#VALUE!</v>
      </c>
      <c r="E43" s="11" t="e">
        <f t="shared" si="4"/>
        <v>#VALUE!</v>
      </c>
      <c r="F43" s="11"/>
      <c r="G43" s="24"/>
      <c r="H43" s="18"/>
      <c r="I43" s="22"/>
      <c r="J43" s="59" t="b">
        <v>0</v>
      </c>
      <c r="K43" s="60" t="b">
        <v>0</v>
      </c>
      <c r="L43" s="60" t="b">
        <v>0</v>
      </c>
      <c r="M43" s="30"/>
      <c r="N43" s="70"/>
    </row>
    <row r="44" spans="1:14" ht="149.44999999999999" customHeight="1" x14ac:dyDescent="0.3">
      <c r="A44" s="50" t="e">
        <f t="shared" si="5"/>
        <v>#VALUE!</v>
      </c>
      <c r="B44" s="14"/>
      <c r="C44" s="8"/>
      <c r="D44" s="17" t="e">
        <f t="shared" si="6"/>
        <v>#VALUE!</v>
      </c>
      <c r="E44" s="11" t="e">
        <f t="shared" si="4"/>
        <v>#VALUE!</v>
      </c>
      <c r="F44" s="11"/>
      <c r="G44" s="24"/>
      <c r="H44" s="18"/>
      <c r="I44" s="22"/>
      <c r="J44" s="59" t="b">
        <v>0</v>
      </c>
      <c r="K44" s="60" t="b">
        <v>0</v>
      </c>
      <c r="L44" s="60" t="b">
        <v>0</v>
      </c>
      <c r="M44" s="30"/>
      <c r="N44" s="70"/>
    </row>
    <row r="45" spans="1:14" ht="149.44999999999999" customHeight="1" x14ac:dyDescent="0.3">
      <c r="A45" s="50" t="e">
        <f t="shared" si="5"/>
        <v>#VALUE!</v>
      </c>
      <c r="B45" s="14"/>
      <c r="C45" s="8"/>
      <c r="D45" s="17" t="e">
        <f t="shared" si="6"/>
        <v>#VALUE!</v>
      </c>
      <c r="E45" s="11" t="e">
        <f t="shared" si="4"/>
        <v>#VALUE!</v>
      </c>
      <c r="F45" s="11"/>
      <c r="G45" s="24"/>
      <c r="H45" s="18"/>
      <c r="I45" s="22"/>
      <c r="J45" s="59" t="b">
        <v>0</v>
      </c>
      <c r="K45" s="60" t="b">
        <v>0</v>
      </c>
      <c r="L45" s="60" t="b">
        <v>0</v>
      </c>
      <c r="M45" s="30"/>
      <c r="N45" s="70"/>
    </row>
    <row r="46" spans="1:14" ht="149.44999999999999" customHeight="1" x14ac:dyDescent="0.3">
      <c r="A46" s="50" t="e">
        <f t="shared" si="5"/>
        <v>#VALUE!</v>
      </c>
      <c r="B46" s="14"/>
      <c r="C46" s="8"/>
      <c r="D46" s="17" t="e">
        <f t="shared" si="6"/>
        <v>#VALUE!</v>
      </c>
      <c r="E46" s="11" t="e">
        <f t="shared" si="4"/>
        <v>#VALUE!</v>
      </c>
      <c r="F46" s="11"/>
      <c r="G46" s="24"/>
      <c r="H46" s="18"/>
      <c r="I46" s="22"/>
      <c r="J46" s="59" t="b">
        <v>0</v>
      </c>
      <c r="K46" s="60" t="b">
        <v>0</v>
      </c>
      <c r="L46" s="60" t="b">
        <v>0</v>
      </c>
      <c r="M46" s="30"/>
      <c r="N46" s="70"/>
    </row>
    <row r="47" spans="1:14" ht="149.44999999999999" customHeight="1" x14ac:dyDescent="0.3">
      <c r="A47" s="50" t="e">
        <f t="shared" si="5"/>
        <v>#VALUE!</v>
      </c>
      <c r="B47" s="14"/>
      <c r="C47" s="8"/>
      <c r="D47" s="17" t="e">
        <f t="shared" si="6"/>
        <v>#VALUE!</v>
      </c>
      <c r="E47" s="11" t="e">
        <f t="shared" si="4"/>
        <v>#VALUE!</v>
      </c>
      <c r="F47" s="11"/>
      <c r="G47" s="24"/>
      <c r="H47" s="18"/>
      <c r="I47" s="22"/>
      <c r="J47" s="59" t="b">
        <v>0</v>
      </c>
      <c r="K47" s="60" t="b">
        <v>0</v>
      </c>
      <c r="L47" s="60" t="b">
        <v>0</v>
      </c>
      <c r="M47" s="30"/>
      <c r="N47" s="70"/>
    </row>
    <row r="48" spans="1:14" ht="149.44999999999999" customHeight="1" x14ac:dyDescent="0.3">
      <c r="A48" s="50" t="e">
        <f t="shared" si="5"/>
        <v>#VALUE!</v>
      </c>
      <c r="B48" s="14"/>
      <c r="C48" s="8"/>
      <c r="D48" s="17" t="e">
        <f t="shared" si="6"/>
        <v>#VALUE!</v>
      </c>
      <c r="E48" s="11" t="e">
        <f t="shared" si="4"/>
        <v>#VALUE!</v>
      </c>
      <c r="F48" s="11"/>
      <c r="G48" s="24"/>
      <c r="H48" s="18"/>
      <c r="I48" s="22"/>
      <c r="J48" s="59" t="b">
        <v>0</v>
      </c>
      <c r="K48" s="60" t="b">
        <v>0</v>
      </c>
      <c r="L48" s="60" t="b">
        <v>0</v>
      </c>
      <c r="M48" s="30"/>
      <c r="N48" s="70"/>
    </row>
    <row r="49" spans="1:14" ht="149.44999999999999" customHeight="1" x14ac:dyDescent="0.3">
      <c r="A49" s="50" t="e">
        <f t="shared" si="5"/>
        <v>#VALUE!</v>
      </c>
      <c r="B49" s="14"/>
      <c r="C49" s="8"/>
      <c r="D49" s="17" t="e">
        <f t="shared" si="6"/>
        <v>#VALUE!</v>
      </c>
      <c r="E49" s="11" t="e">
        <f t="shared" si="4"/>
        <v>#VALUE!</v>
      </c>
      <c r="F49" s="11"/>
      <c r="G49" s="24"/>
      <c r="H49" s="18"/>
      <c r="I49" s="22"/>
      <c r="J49" s="59" t="b">
        <v>0</v>
      </c>
      <c r="K49" s="60" t="b">
        <v>0</v>
      </c>
      <c r="L49" s="60" t="b">
        <v>0</v>
      </c>
      <c r="M49" s="30"/>
      <c r="N49" s="70"/>
    </row>
    <row r="50" spans="1:14" ht="149.44999999999999" customHeight="1" x14ac:dyDescent="0.3">
      <c r="A50" s="50" t="e">
        <f t="shared" si="5"/>
        <v>#VALUE!</v>
      </c>
      <c r="B50" s="14"/>
      <c r="C50" s="8"/>
      <c r="D50" s="17" t="e">
        <f t="shared" si="6"/>
        <v>#VALUE!</v>
      </c>
      <c r="E50" s="11" t="e">
        <f t="shared" si="4"/>
        <v>#VALUE!</v>
      </c>
      <c r="F50" s="11"/>
      <c r="G50" s="24"/>
      <c r="H50" s="18"/>
      <c r="I50" s="22"/>
      <c r="J50" s="59" t="b">
        <v>0</v>
      </c>
      <c r="K50" s="60" t="b">
        <v>0</v>
      </c>
      <c r="L50" s="60" t="b">
        <v>0</v>
      </c>
      <c r="M50" s="30"/>
      <c r="N50" s="70"/>
    </row>
    <row r="51" spans="1:14" ht="149.44999999999999" customHeight="1" x14ac:dyDescent="0.3">
      <c r="A51" s="50" t="e">
        <f t="shared" si="5"/>
        <v>#VALUE!</v>
      </c>
      <c r="B51" s="14"/>
      <c r="C51" s="8"/>
      <c r="D51" s="17" t="e">
        <f t="shared" si="6"/>
        <v>#VALUE!</v>
      </c>
      <c r="E51" s="11" t="e">
        <f t="shared" ref="E51:E96" si="7">MID(C51, FIND("_", C51, FIND("_", C51) + 1) + 1, FIND("_", C51, FIND("_", C51, FIND("_", C51) + 1) + 1) - FIND("_", C51, FIND("_", C51) + 1)- 1)</f>
        <v>#VALUE!</v>
      </c>
      <c r="F51" s="11"/>
      <c r="G51" s="24"/>
      <c r="H51" s="18"/>
      <c r="I51" s="22"/>
      <c r="J51" s="59" t="b">
        <v>0</v>
      </c>
      <c r="K51" s="60" t="b">
        <v>0</v>
      </c>
      <c r="L51" s="60" t="b">
        <v>0</v>
      </c>
      <c r="M51" s="30"/>
      <c r="N51" s="70"/>
    </row>
    <row r="52" spans="1:14" ht="149.44999999999999" customHeight="1" x14ac:dyDescent="0.3">
      <c r="A52" s="50" t="e">
        <f t="shared" si="5"/>
        <v>#VALUE!</v>
      </c>
      <c r="B52" s="14"/>
      <c r="C52" s="8"/>
      <c r="D52" s="17" t="e">
        <f t="shared" si="6"/>
        <v>#VALUE!</v>
      </c>
      <c r="E52" s="11" t="e">
        <f t="shared" si="7"/>
        <v>#VALUE!</v>
      </c>
      <c r="F52" s="11"/>
      <c r="G52" s="24"/>
      <c r="H52" s="18"/>
      <c r="I52" s="22"/>
      <c r="J52" s="59" t="b">
        <v>0</v>
      </c>
      <c r="K52" s="60" t="b">
        <v>0</v>
      </c>
      <c r="L52" s="60" t="b">
        <v>0</v>
      </c>
      <c r="M52" s="30"/>
      <c r="N52" s="70"/>
    </row>
    <row r="53" spans="1:14" ht="149.44999999999999" customHeight="1" x14ac:dyDescent="0.3">
      <c r="A53" s="50" t="e">
        <f t="shared" si="5"/>
        <v>#VALUE!</v>
      </c>
      <c r="B53" s="14"/>
      <c r="C53" s="8"/>
      <c r="D53" s="17" t="e">
        <f t="shared" si="6"/>
        <v>#VALUE!</v>
      </c>
      <c r="E53" s="11" t="e">
        <f t="shared" si="7"/>
        <v>#VALUE!</v>
      </c>
      <c r="F53" s="11"/>
      <c r="G53" s="24"/>
      <c r="H53" s="18"/>
      <c r="I53" s="22"/>
      <c r="J53" s="59" t="b">
        <v>0</v>
      </c>
      <c r="K53" s="60" t="b">
        <v>0</v>
      </c>
      <c r="L53" s="60" t="b">
        <v>0</v>
      </c>
      <c r="M53" s="30"/>
      <c r="N53" s="70"/>
    </row>
    <row r="54" spans="1:14" ht="149.44999999999999" customHeight="1" x14ac:dyDescent="0.3">
      <c r="A54" s="50" t="e">
        <f t="shared" si="5"/>
        <v>#VALUE!</v>
      </c>
      <c r="B54" s="14"/>
      <c r="C54" s="8"/>
      <c r="D54" s="17" t="e">
        <f t="shared" si="6"/>
        <v>#VALUE!</v>
      </c>
      <c r="E54" s="11" t="e">
        <f t="shared" si="7"/>
        <v>#VALUE!</v>
      </c>
      <c r="F54" s="11"/>
      <c r="G54" s="24"/>
      <c r="H54" s="18"/>
      <c r="I54" s="22"/>
      <c r="J54" s="59" t="b">
        <v>0</v>
      </c>
      <c r="K54" s="60" t="b">
        <v>0</v>
      </c>
      <c r="L54" s="60" t="b">
        <v>0</v>
      </c>
      <c r="M54" s="30"/>
      <c r="N54" s="70"/>
    </row>
    <row r="55" spans="1:14" ht="149.44999999999999" customHeight="1" x14ac:dyDescent="0.3">
      <c r="A55" s="50" t="e">
        <f t="shared" si="5"/>
        <v>#VALUE!</v>
      </c>
      <c r="B55" s="14"/>
      <c r="C55" s="8"/>
      <c r="D55" s="17" t="e">
        <f t="shared" si="6"/>
        <v>#VALUE!</v>
      </c>
      <c r="E55" s="11" t="e">
        <f t="shared" si="7"/>
        <v>#VALUE!</v>
      </c>
      <c r="F55" s="11"/>
      <c r="G55" s="24"/>
      <c r="H55" s="18"/>
      <c r="I55" s="22"/>
      <c r="J55" s="59" t="b">
        <v>0</v>
      </c>
      <c r="K55" s="60" t="b">
        <v>0</v>
      </c>
      <c r="L55" s="60" t="b">
        <v>0</v>
      </c>
      <c r="M55" s="30"/>
      <c r="N55" s="70"/>
    </row>
    <row r="56" spans="1:14" ht="149.44999999999999" customHeight="1" x14ac:dyDescent="0.3">
      <c r="A56" s="50" t="e">
        <f t="shared" si="5"/>
        <v>#VALUE!</v>
      </c>
      <c r="B56" s="14"/>
      <c r="C56" s="8"/>
      <c r="D56" s="17" t="e">
        <f t="shared" si="6"/>
        <v>#VALUE!</v>
      </c>
      <c r="E56" s="11" t="e">
        <f t="shared" si="7"/>
        <v>#VALUE!</v>
      </c>
      <c r="F56" s="11"/>
      <c r="G56" s="24"/>
      <c r="H56" s="18"/>
      <c r="I56" s="22"/>
      <c r="J56" s="59" t="b">
        <v>0</v>
      </c>
      <c r="K56" s="60" t="b">
        <v>0</v>
      </c>
      <c r="L56" s="60" t="b">
        <v>0</v>
      </c>
      <c r="M56" s="30"/>
      <c r="N56" s="70"/>
    </row>
    <row r="57" spans="1:14" ht="149.44999999999999" customHeight="1" x14ac:dyDescent="0.3">
      <c r="A57" s="50" t="e">
        <f t="shared" si="5"/>
        <v>#VALUE!</v>
      </c>
      <c r="B57" s="14"/>
      <c r="C57" s="8"/>
      <c r="D57" s="17" t="e">
        <f t="shared" si="6"/>
        <v>#VALUE!</v>
      </c>
      <c r="E57" s="11" t="e">
        <f t="shared" si="7"/>
        <v>#VALUE!</v>
      </c>
      <c r="F57" s="11"/>
      <c r="G57" s="24"/>
      <c r="H57" s="18"/>
      <c r="I57" s="22"/>
      <c r="J57" s="59" t="b">
        <v>0</v>
      </c>
      <c r="K57" s="60" t="b">
        <v>0</v>
      </c>
      <c r="L57" s="60" t="b">
        <v>0</v>
      </c>
      <c r="M57" s="30"/>
      <c r="N57" s="70"/>
    </row>
    <row r="58" spans="1:14" ht="149.44999999999999" customHeight="1" x14ac:dyDescent="0.3">
      <c r="A58" s="50" t="e">
        <f t="shared" si="5"/>
        <v>#VALUE!</v>
      </c>
      <c r="B58" s="14"/>
      <c r="C58" s="8"/>
      <c r="D58" s="17" t="e">
        <f t="shared" si="6"/>
        <v>#VALUE!</v>
      </c>
      <c r="E58" s="11" t="e">
        <f t="shared" si="7"/>
        <v>#VALUE!</v>
      </c>
      <c r="F58" s="11"/>
      <c r="G58" s="24"/>
      <c r="H58" s="18"/>
      <c r="I58" s="22"/>
      <c r="J58" s="59" t="b">
        <v>0</v>
      </c>
      <c r="K58" s="60" t="b">
        <v>0</v>
      </c>
      <c r="L58" s="60" t="b">
        <v>0</v>
      </c>
      <c r="M58" s="30"/>
      <c r="N58" s="70"/>
    </row>
    <row r="59" spans="1:14" ht="149.44999999999999" customHeight="1" x14ac:dyDescent="0.3">
      <c r="A59" s="50" t="e">
        <f t="shared" si="5"/>
        <v>#VALUE!</v>
      </c>
      <c r="B59" s="14"/>
      <c r="C59" s="8"/>
      <c r="D59" s="17" t="e">
        <f t="shared" si="6"/>
        <v>#VALUE!</v>
      </c>
      <c r="E59" s="11" t="e">
        <f t="shared" si="7"/>
        <v>#VALUE!</v>
      </c>
      <c r="F59" s="11"/>
      <c r="G59" s="24"/>
      <c r="H59" s="18"/>
      <c r="I59" s="22"/>
      <c r="J59" s="59" t="b">
        <v>0</v>
      </c>
      <c r="K59" s="60" t="b">
        <v>0</v>
      </c>
      <c r="L59" s="60" t="b">
        <v>0</v>
      </c>
      <c r="M59" s="30"/>
      <c r="N59" s="70"/>
    </row>
    <row r="60" spans="1:14" ht="149.44999999999999" customHeight="1" x14ac:dyDescent="0.3">
      <c r="A60" s="50" t="e">
        <f t="shared" si="5"/>
        <v>#VALUE!</v>
      </c>
      <c r="B60" s="14"/>
      <c r="C60" s="8"/>
      <c r="D60" s="17" t="e">
        <f t="shared" si="6"/>
        <v>#VALUE!</v>
      </c>
      <c r="E60" s="11" t="e">
        <f t="shared" si="7"/>
        <v>#VALUE!</v>
      </c>
      <c r="F60" s="11"/>
      <c r="G60" s="24"/>
      <c r="H60" s="18"/>
      <c r="I60" s="22"/>
      <c r="J60" s="59" t="b">
        <v>0</v>
      </c>
      <c r="K60" s="60" t="b">
        <v>0</v>
      </c>
      <c r="L60" s="60" t="b">
        <v>0</v>
      </c>
      <c r="M60" s="30"/>
      <c r="N60" s="70"/>
    </row>
    <row r="61" spans="1:14" ht="149.44999999999999" customHeight="1" x14ac:dyDescent="0.3">
      <c r="A61" s="50" t="e">
        <f t="shared" si="5"/>
        <v>#VALUE!</v>
      </c>
      <c r="B61" s="14"/>
      <c r="C61" s="8"/>
      <c r="D61" s="17" t="e">
        <f t="shared" si="6"/>
        <v>#VALUE!</v>
      </c>
      <c r="E61" s="11" t="e">
        <f t="shared" si="7"/>
        <v>#VALUE!</v>
      </c>
      <c r="F61" s="11"/>
      <c r="G61" s="24"/>
      <c r="H61" s="18"/>
      <c r="I61" s="22"/>
      <c r="J61" s="59" t="b">
        <v>0</v>
      </c>
      <c r="K61" s="60" t="b">
        <v>0</v>
      </c>
      <c r="L61" s="60" t="b">
        <v>0</v>
      </c>
      <c r="M61" s="30"/>
      <c r="N61" s="70"/>
    </row>
    <row r="62" spans="1:14" ht="149.44999999999999" customHeight="1" x14ac:dyDescent="0.3">
      <c r="A62" s="50" t="e">
        <f t="shared" si="5"/>
        <v>#VALUE!</v>
      </c>
      <c r="B62" s="14"/>
      <c r="C62" s="8"/>
      <c r="D62" s="17" t="e">
        <f t="shared" si="6"/>
        <v>#VALUE!</v>
      </c>
      <c r="E62" s="11" t="e">
        <f t="shared" si="7"/>
        <v>#VALUE!</v>
      </c>
      <c r="F62" s="11"/>
      <c r="G62" s="24"/>
      <c r="H62" s="18"/>
      <c r="I62" s="22"/>
      <c r="J62" s="59" t="b">
        <v>0</v>
      </c>
      <c r="K62" s="60" t="b">
        <v>0</v>
      </c>
      <c r="L62" s="60" t="b">
        <v>0</v>
      </c>
      <c r="M62" s="30"/>
      <c r="N62" s="70"/>
    </row>
    <row r="63" spans="1:14" ht="149.44999999999999" customHeight="1" x14ac:dyDescent="0.3">
      <c r="A63" s="50" t="e">
        <f t="shared" si="5"/>
        <v>#VALUE!</v>
      </c>
      <c r="B63" s="14"/>
      <c r="C63" s="8"/>
      <c r="D63" s="17" t="e">
        <f t="shared" si="6"/>
        <v>#VALUE!</v>
      </c>
      <c r="E63" s="11" t="e">
        <f t="shared" si="7"/>
        <v>#VALUE!</v>
      </c>
      <c r="F63" s="11"/>
      <c r="G63" s="24"/>
      <c r="H63" s="18"/>
      <c r="I63" s="22"/>
      <c r="J63" s="59" t="b">
        <v>0</v>
      </c>
      <c r="K63" s="60" t="b">
        <v>0</v>
      </c>
      <c r="L63" s="60" t="b">
        <v>0</v>
      </c>
      <c r="M63" s="30"/>
      <c r="N63" s="70"/>
    </row>
    <row r="64" spans="1:14" ht="149.44999999999999" customHeight="1" x14ac:dyDescent="0.3">
      <c r="A64" s="50" t="e">
        <f t="shared" si="5"/>
        <v>#VALUE!</v>
      </c>
      <c r="B64" s="14"/>
      <c r="C64" s="8"/>
      <c r="D64" s="17" t="e">
        <f t="shared" si="6"/>
        <v>#VALUE!</v>
      </c>
      <c r="E64" s="11" t="e">
        <f t="shared" si="7"/>
        <v>#VALUE!</v>
      </c>
      <c r="F64" s="11"/>
      <c r="G64" s="24"/>
      <c r="H64" s="18"/>
      <c r="I64" s="22"/>
      <c r="J64" s="59" t="b">
        <v>0</v>
      </c>
      <c r="K64" s="60" t="b">
        <v>0</v>
      </c>
      <c r="L64" s="60" t="b">
        <v>0</v>
      </c>
      <c r="M64" s="30"/>
      <c r="N64" s="70"/>
    </row>
    <row r="65" spans="1:14" ht="149.44999999999999" customHeight="1" x14ac:dyDescent="0.3">
      <c r="A65" s="50" t="e">
        <f t="shared" si="5"/>
        <v>#VALUE!</v>
      </c>
      <c r="B65" s="14"/>
      <c r="C65" s="8"/>
      <c r="D65" s="17" t="e">
        <f t="shared" si="6"/>
        <v>#VALUE!</v>
      </c>
      <c r="E65" s="11" t="e">
        <f t="shared" si="7"/>
        <v>#VALUE!</v>
      </c>
      <c r="F65" s="11"/>
      <c r="G65" s="24"/>
      <c r="H65" s="18"/>
      <c r="I65" s="22"/>
      <c r="J65" s="59" t="b">
        <v>0</v>
      </c>
      <c r="K65" s="60" t="b">
        <v>0</v>
      </c>
      <c r="L65" s="60" t="b">
        <v>0</v>
      </c>
      <c r="M65" s="30"/>
      <c r="N65" s="70"/>
    </row>
    <row r="66" spans="1:14" ht="149.44999999999999" customHeight="1" x14ac:dyDescent="0.3">
      <c r="A66" s="50" t="e">
        <f t="shared" si="5"/>
        <v>#VALUE!</v>
      </c>
      <c r="B66" s="14"/>
      <c r="C66" s="8"/>
      <c r="D66" s="17" t="e">
        <f t="shared" si="6"/>
        <v>#VALUE!</v>
      </c>
      <c r="E66" s="11" t="e">
        <f t="shared" si="7"/>
        <v>#VALUE!</v>
      </c>
      <c r="F66" s="11"/>
      <c r="G66" s="24"/>
      <c r="H66" s="18"/>
      <c r="I66" s="22"/>
      <c r="J66" s="59" t="b">
        <v>0</v>
      </c>
      <c r="K66" s="60" t="b">
        <v>0</v>
      </c>
      <c r="L66" s="60" t="b">
        <v>0</v>
      </c>
      <c r="M66" s="30"/>
      <c r="N66" s="70"/>
    </row>
    <row r="67" spans="1:14" ht="149.44999999999999" customHeight="1" x14ac:dyDescent="0.3">
      <c r="A67" s="50" t="e">
        <f t="shared" si="5"/>
        <v>#VALUE!</v>
      </c>
      <c r="B67" s="14"/>
      <c r="C67" s="8"/>
      <c r="D67" s="17" t="e">
        <f t="shared" si="6"/>
        <v>#VALUE!</v>
      </c>
      <c r="E67" s="11" t="e">
        <f t="shared" si="7"/>
        <v>#VALUE!</v>
      </c>
      <c r="F67" s="11"/>
      <c r="G67" s="24"/>
      <c r="H67" s="18"/>
      <c r="I67" s="22"/>
      <c r="J67" s="59" t="b">
        <v>0</v>
      </c>
      <c r="K67" s="60" t="b">
        <v>0</v>
      </c>
      <c r="L67" s="60" t="b">
        <v>0</v>
      </c>
      <c r="M67" s="30"/>
      <c r="N67" s="70"/>
    </row>
    <row r="68" spans="1:14" ht="149.44999999999999" customHeight="1" x14ac:dyDescent="0.3">
      <c r="A68" s="50" t="e">
        <f t="shared" si="5"/>
        <v>#VALUE!</v>
      </c>
      <c r="B68" s="14"/>
      <c r="C68" s="8"/>
      <c r="D68" s="17" t="e">
        <f t="shared" si="6"/>
        <v>#VALUE!</v>
      </c>
      <c r="E68" s="11" t="e">
        <f t="shared" si="7"/>
        <v>#VALUE!</v>
      </c>
      <c r="F68" s="11"/>
      <c r="G68" s="24"/>
      <c r="H68" s="18"/>
      <c r="I68" s="22"/>
      <c r="J68" s="59" t="b">
        <v>0</v>
      </c>
      <c r="K68" s="60" t="b">
        <v>0</v>
      </c>
      <c r="L68" s="60" t="b">
        <v>0</v>
      </c>
      <c r="M68" s="30"/>
      <c r="N68" s="70"/>
    </row>
    <row r="69" spans="1:14" ht="149.44999999999999" customHeight="1" x14ac:dyDescent="0.3">
      <c r="A69" s="50" t="e">
        <f t="shared" si="5"/>
        <v>#VALUE!</v>
      </c>
      <c r="B69" s="14"/>
      <c r="C69" s="8"/>
      <c r="D69" s="17" t="e">
        <f t="shared" si="6"/>
        <v>#VALUE!</v>
      </c>
      <c r="E69" s="11" t="e">
        <f t="shared" si="7"/>
        <v>#VALUE!</v>
      </c>
      <c r="F69" s="11"/>
      <c r="G69" s="24"/>
      <c r="H69" s="18"/>
      <c r="I69" s="22"/>
      <c r="J69" s="59" t="b">
        <v>0</v>
      </c>
      <c r="K69" s="60" t="b">
        <v>0</v>
      </c>
      <c r="L69" s="60" t="b">
        <v>0</v>
      </c>
      <c r="M69" s="30"/>
      <c r="N69" s="70"/>
    </row>
    <row r="70" spans="1:14" ht="149.44999999999999" customHeight="1" x14ac:dyDescent="0.3">
      <c r="A70" s="50" t="e">
        <f t="shared" si="5"/>
        <v>#VALUE!</v>
      </c>
      <c r="B70" s="14"/>
      <c r="C70" s="8"/>
      <c r="D70" s="17" t="e">
        <f t="shared" si="6"/>
        <v>#VALUE!</v>
      </c>
      <c r="E70" s="11" t="e">
        <f t="shared" si="7"/>
        <v>#VALUE!</v>
      </c>
      <c r="F70" s="11"/>
      <c r="G70" s="24"/>
      <c r="H70" s="18"/>
      <c r="I70" s="22"/>
      <c r="J70" s="59" t="b">
        <v>0</v>
      </c>
      <c r="K70" s="60" t="b">
        <v>0</v>
      </c>
      <c r="L70" s="60" t="b">
        <v>0</v>
      </c>
      <c r="M70" s="30"/>
      <c r="N70" s="70"/>
    </row>
    <row r="71" spans="1:14" ht="149.44999999999999" customHeight="1" x14ac:dyDescent="0.3">
      <c r="A71" s="50" t="e">
        <f t="shared" si="5"/>
        <v>#VALUE!</v>
      </c>
      <c r="B71" s="14"/>
      <c r="C71" s="8"/>
      <c r="D71" s="17" t="e">
        <f t="shared" si="6"/>
        <v>#VALUE!</v>
      </c>
      <c r="E71" s="11" t="e">
        <f t="shared" si="7"/>
        <v>#VALUE!</v>
      </c>
      <c r="F71" s="11"/>
      <c r="G71" s="24"/>
      <c r="H71" s="18"/>
      <c r="I71" s="22"/>
      <c r="J71" s="59" t="b">
        <v>0</v>
      </c>
      <c r="K71" s="60" t="b">
        <v>0</v>
      </c>
      <c r="L71" s="60" t="b">
        <v>0</v>
      </c>
      <c r="M71" s="30"/>
      <c r="N71" s="70"/>
    </row>
    <row r="72" spans="1:14" ht="149.44999999999999" customHeight="1" x14ac:dyDescent="0.3">
      <c r="A72" s="50" t="e">
        <f t="shared" si="5"/>
        <v>#VALUE!</v>
      </c>
      <c r="B72" s="14"/>
      <c r="C72" s="8"/>
      <c r="D72" s="17" t="e">
        <f t="shared" si="6"/>
        <v>#VALUE!</v>
      </c>
      <c r="E72" s="11" t="e">
        <f t="shared" si="7"/>
        <v>#VALUE!</v>
      </c>
      <c r="F72" s="11"/>
      <c r="G72" s="24"/>
      <c r="H72" s="18"/>
      <c r="I72" s="22"/>
      <c r="J72" s="59" t="b">
        <v>0</v>
      </c>
      <c r="K72" s="60" t="b">
        <v>0</v>
      </c>
      <c r="L72" s="60" t="b">
        <v>0</v>
      </c>
      <c r="M72" s="30"/>
      <c r="N72" s="70"/>
    </row>
    <row r="73" spans="1:14" ht="149.44999999999999" customHeight="1" x14ac:dyDescent="0.3">
      <c r="A73" s="50" t="e">
        <f t="shared" si="5"/>
        <v>#VALUE!</v>
      </c>
      <c r="B73" s="14"/>
      <c r="C73" s="8"/>
      <c r="D73" s="17" t="e">
        <f t="shared" si="6"/>
        <v>#VALUE!</v>
      </c>
      <c r="E73" s="11" t="e">
        <f t="shared" si="7"/>
        <v>#VALUE!</v>
      </c>
      <c r="F73" s="11"/>
      <c r="G73" s="24"/>
      <c r="H73" s="18"/>
      <c r="I73" s="22"/>
      <c r="J73" s="59" t="b">
        <v>0</v>
      </c>
      <c r="K73" s="60" t="b">
        <v>0</v>
      </c>
      <c r="L73" s="60" t="b">
        <v>0</v>
      </c>
      <c r="M73" s="30"/>
      <c r="N73" s="70"/>
    </row>
    <row r="74" spans="1:14" ht="149.44999999999999" customHeight="1" x14ac:dyDescent="0.3">
      <c r="A74" s="50" t="e">
        <f t="shared" ref="A74:A96" si="8">LEFT(C74, FIND("_", C74) - 1)</f>
        <v>#VALUE!</v>
      </c>
      <c r="B74" s="14"/>
      <c r="C74" s="8"/>
      <c r="D74" s="17" t="e">
        <f t="shared" ref="D74:D96" si="9">RIGHT(C74,LEN(C74)-FIND("@",SUBSTITUTE(C74,"_","@",LEN(C74)-LEN(SUBSTITUTE(C74,"_","")))))</f>
        <v>#VALUE!</v>
      </c>
      <c r="E74" s="11" t="e">
        <f t="shared" si="7"/>
        <v>#VALUE!</v>
      </c>
      <c r="F74" s="11"/>
      <c r="G74" s="24"/>
      <c r="H74" s="18"/>
      <c r="I74" s="22"/>
      <c r="J74" s="59" t="b">
        <v>0</v>
      </c>
      <c r="K74" s="60" t="b">
        <v>0</v>
      </c>
      <c r="L74" s="60" t="b">
        <v>0</v>
      </c>
      <c r="M74" s="30"/>
      <c r="N74" s="70"/>
    </row>
    <row r="75" spans="1:14" ht="149.44999999999999" customHeight="1" x14ac:dyDescent="0.3">
      <c r="A75" s="50" t="e">
        <f t="shared" si="8"/>
        <v>#VALUE!</v>
      </c>
      <c r="B75" s="14"/>
      <c r="C75" s="8"/>
      <c r="D75" s="17" t="e">
        <f t="shared" si="9"/>
        <v>#VALUE!</v>
      </c>
      <c r="E75" s="11" t="e">
        <f t="shared" si="7"/>
        <v>#VALUE!</v>
      </c>
      <c r="F75" s="11"/>
      <c r="G75" s="24"/>
      <c r="H75" s="18"/>
      <c r="I75" s="22"/>
      <c r="J75" s="59" t="b">
        <v>0</v>
      </c>
      <c r="K75" s="60" t="b">
        <v>0</v>
      </c>
      <c r="L75" s="60" t="b">
        <v>0</v>
      </c>
      <c r="M75" s="30"/>
      <c r="N75" s="70"/>
    </row>
    <row r="76" spans="1:14" ht="149.44999999999999" customHeight="1" x14ac:dyDescent="0.3">
      <c r="A76" s="50" t="e">
        <f t="shared" si="8"/>
        <v>#VALUE!</v>
      </c>
      <c r="B76" s="14"/>
      <c r="C76" s="8"/>
      <c r="D76" s="17" t="e">
        <f t="shared" si="9"/>
        <v>#VALUE!</v>
      </c>
      <c r="E76" s="11" t="e">
        <f t="shared" si="7"/>
        <v>#VALUE!</v>
      </c>
      <c r="F76" s="11"/>
      <c r="G76" s="24"/>
      <c r="H76" s="18"/>
      <c r="I76" s="22"/>
      <c r="J76" s="59" t="b">
        <v>0</v>
      </c>
      <c r="K76" s="60" t="b">
        <v>0</v>
      </c>
      <c r="L76" s="60" t="b">
        <v>0</v>
      </c>
      <c r="M76" s="30"/>
      <c r="N76" s="70"/>
    </row>
    <row r="77" spans="1:14" ht="149.44999999999999" customHeight="1" x14ac:dyDescent="0.3">
      <c r="A77" s="50" t="e">
        <f t="shared" si="8"/>
        <v>#VALUE!</v>
      </c>
      <c r="B77" s="14"/>
      <c r="C77" s="8"/>
      <c r="D77" s="17" t="e">
        <f t="shared" si="9"/>
        <v>#VALUE!</v>
      </c>
      <c r="E77" s="11" t="e">
        <f t="shared" si="7"/>
        <v>#VALUE!</v>
      </c>
      <c r="F77" s="11"/>
      <c r="G77" s="24"/>
      <c r="H77" s="18"/>
      <c r="I77" s="22"/>
      <c r="J77" s="59" t="b">
        <v>0</v>
      </c>
      <c r="K77" s="60" t="b">
        <v>0</v>
      </c>
      <c r="L77" s="60" t="b">
        <v>0</v>
      </c>
      <c r="M77" s="30"/>
      <c r="N77" s="70"/>
    </row>
    <row r="78" spans="1:14" ht="149.44999999999999" customHeight="1" x14ac:dyDescent="0.3">
      <c r="A78" s="50" t="e">
        <f t="shared" si="8"/>
        <v>#VALUE!</v>
      </c>
      <c r="B78" s="14"/>
      <c r="C78" s="8"/>
      <c r="D78" s="17" t="e">
        <f t="shared" si="9"/>
        <v>#VALUE!</v>
      </c>
      <c r="E78" s="11" t="e">
        <f t="shared" si="7"/>
        <v>#VALUE!</v>
      </c>
      <c r="F78" s="11"/>
      <c r="G78" s="24"/>
      <c r="H78" s="18"/>
      <c r="I78" s="22"/>
      <c r="J78" s="59" t="b">
        <v>0</v>
      </c>
      <c r="K78" s="60" t="b">
        <v>0</v>
      </c>
      <c r="L78" s="60" t="b">
        <v>0</v>
      </c>
      <c r="M78" s="30"/>
      <c r="N78" s="70"/>
    </row>
    <row r="79" spans="1:14" ht="149.44999999999999" customHeight="1" x14ac:dyDescent="0.3">
      <c r="A79" s="50" t="e">
        <f t="shared" si="8"/>
        <v>#VALUE!</v>
      </c>
      <c r="B79" s="14"/>
      <c r="C79" s="8"/>
      <c r="D79" s="17" t="e">
        <f t="shared" si="9"/>
        <v>#VALUE!</v>
      </c>
      <c r="E79" s="11" t="e">
        <f t="shared" si="7"/>
        <v>#VALUE!</v>
      </c>
      <c r="F79" s="11"/>
      <c r="G79" s="24"/>
      <c r="H79" s="18"/>
      <c r="I79" s="22"/>
      <c r="J79" s="59" t="b">
        <v>0</v>
      </c>
      <c r="K79" s="60" t="b">
        <v>0</v>
      </c>
      <c r="L79" s="60" t="b">
        <v>0</v>
      </c>
      <c r="M79" s="30"/>
      <c r="N79" s="70"/>
    </row>
    <row r="80" spans="1:14" ht="149.44999999999999" customHeight="1" x14ac:dyDescent="0.3">
      <c r="A80" s="50" t="e">
        <f t="shared" si="8"/>
        <v>#VALUE!</v>
      </c>
      <c r="B80" s="14"/>
      <c r="C80" s="8"/>
      <c r="D80" s="17" t="e">
        <f t="shared" si="9"/>
        <v>#VALUE!</v>
      </c>
      <c r="E80" s="11" t="e">
        <f t="shared" si="7"/>
        <v>#VALUE!</v>
      </c>
      <c r="F80" s="11"/>
      <c r="G80" s="24"/>
      <c r="H80" s="18"/>
      <c r="I80" s="22"/>
      <c r="J80" s="59" t="b">
        <v>0</v>
      </c>
      <c r="K80" s="60" t="b">
        <v>0</v>
      </c>
      <c r="L80" s="60" t="b">
        <v>0</v>
      </c>
      <c r="M80" s="30"/>
      <c r="N80" s="70"/>
    </row>
    <row r="81" spans="1:14" ht="149.44999999999999" customHeight="1" x14ac:dyDescent="0.3">
      <c r="A81" s="50" t="e">
        <f t="shared" si="8"/>
        <v>#VALUE!</v>
      </c>
      <c r="B81" s="14"/>
      <c r="C81" s="8"/>
      <c r="D81" s="17" t="e">
        <f t="shared" si="9"/>
        <v>#VALUE!</v>
      </c>
      <c r="E81" s="11" t="e">
        <f t="shared" si="7"/>
        <v>#VALUE!</v>
      </c>
      <c r="F81" s="11"/>
      <c r="G81" s="24"/>
      <c r="H81" s="18"/>
      <c r="I81" s="22"/>
      <c r="J81" s="59" t="b">
        <v>0</v>
      </c>
      <c r="K81" s="60" t="b">
        <v>0</v>
      </c>
      <c r="L81" s="60" t="b">
        <v>0</v>
      </c>
      <c r="M81" s="30"/>
      <c r="N81" s="70"/>
    </row>
    <row r="82" spans="1:14" ht="149.44999999999999" customHeight="1" x14ac:dyDescent="0.3">
      <c r="A82" s="50" t="e">
        <f t="shared" si="8"/>
        <v>#VALUE!</v>
      </c>
      <c r="B82" s="14"/>
      <c r="C82" s="8"/>
      <c r="D82" s="17" t="e">
        <f t="shared" si="9"/>
        <v>#VALUE!</v>
      </c>
      <c r="E82" s="11" t="e">
        <f t="shared" si="7"/>
        <v>#VALUE!</v>
      </c>
      <c r="F82" s="11"/>
      <c r="G82" s="24"/>
      <c r="H82" s="18"/>
      <c r="I82" s="22"/>
      <c r="J82" s="59" t="b">
        <v>0</v>
      </c>
      <c r="K82" s="60" t="b">
        <v>0</v>
      </c>
      <c r="L82" s="60" t="b">
        <v>0</v>
      </c>
      <c r="M82" s="30"/>
      <c r="N82" s="70"/>
    </row>
    <row r="83" spans="1:14" ht="149.44999999999999" customHeight="1" x14ac:dyDescent="0.3">
      <c r="A83" s="50" t="e">
        <f t="shared" si="8"/>
        <v>#VALUE!</v>
      </c>
      <c r="B83" s="14"/>
      <c r="C83" s="8"/>
      <c r="D83" s="17" t="e">
        <f t="shared" si="9"/>
        <v>#VALUE!</v>
      </c>
      <c r="E83" s="11" t="e">
        <f t="shared" si="7"/>
        <v>#VALUE!</v>
      </c>
      <c r="F83" s="11"/>
      <c r="G83" s="24"/>
      <c r="H83" s="18"/>
      <c r="I83" s="22"/>
      <c r="J83" s="59" t="b">
        <v>0</v>
      </c>
      <c r="K83" s="60" t="b">
        <v>0</v>
      </c>
      <c r="L83" s="60" t="b">
        <v>0</v>
      </c>
      <c r="M83" s="30"/>
      <c r="N83" s="70"/>
    </row>
    <row r="84" spans="1:14" ht="149.44999999999999" customHeight="1" x14ac:dyDescent="0.3">
      <c r="A84" s="50" t="e">
        <f t="shared" si="8"/>
        <v>#VALUE!</v>
      </c>
      <c r="B84" s="14"/>
      <c r="C84" s="8"/>
      <c r="D84" s="17" t="e">
        <f t="shared" si="9"/>
        <v>#VALUE!</v>
      </c>
      <c r="E84" s="11" t="e">
        <f t="shared" si="7"/>
        <v>#VALUE!</v>
      </c>
      <c r="F84" s="11"/>
      <c r="G84" s="24"/>
      <c r="H84" s="18"/>
      <c r="I84" s="22"/>
      <c r="J84" s="59" t="b">
        <v>0</v>
      </c>
      <c r="K84" s="60" t="b">
        <v>0</v>
      </c>
      <c r="L84" s="60" t="b">
        <v>0</v>
      </c>
      <c r="M84" s="30"/>
      <c r="N84" s="70"/>
    </row>
    <row r="85" spans="1:14" ht="149.44999999999999" customHeight="1" x14ac:dyDescent="0.3">
      <c r="A85" s="50" t="e">
        <f t="shared" si="8"/>
        <v>#VALUE!</v>
      </c>
      <c r="B85" s="14"/>
      <c r="C85" s="8"/>
      <c r="D85" s="17" t="e">
        <f t="shared" si="9"/>
        <v>#VALUE!</v>
      </c>
      <c r="E85" s="11" t="e">
        <f t="shared" si="7"/>
        <v>#VALUE!</v>
      </c>
      <c r="F85" s="11"/>
      <c r="G85" s="24"/>
      <c r="H85" s="18"/>
      <c r="I85" s="22"/>
      <c r="J85" s="59" t="b">
        <v>0</v>
      </c>
      <c r="K85" s="60" t="b">
        <v>0</v>
      </c>
      <c r="L85" s="60" t="b">
        <v>0</v>
      </c>
      <c r="M85" s="30"/>
      <c r="N85" s="70"/>
    </row>
    <row r="86" spans="1:14" ht="149.44999999999999" customHeight="1" x14ac:dyDescent="0.3">
      <c r="A86" s="50" t="e">
        <f t="shared" si="8"/>
        <v>#VALUE!</v>
      </c>
      <c r="B86" s="14"/>
      <c r="C86" s="8"/>
      <c r="D86" s="17" t="e">
        <f t="shared" si="9"/>
        <v>#VALUE!</v>
      </c>
      <c r="E86" s="11" t="e">
        <f t="shared" si="7"/>
        <v>#VALUE!</v>
      </c>
      <c r="F86" s="11"/>
      <c r="G86" s="24"/>
      <c r="H86" s="18"/>
      <c r="I86" s="22"/>
      <c r="J86" s="59" t="b">
        <v>0</v>
      </c>
      <c r="K86" s="60" t="b">
        <v>0</v>
      </c>
      <c r="L86" s="60" t="b">
        <v>0</v>
      </c>
      <c r="M86" s="30"/>
      <c r="N86" s="70"/>
    </row>
    <row r="87" spans="1:14" ht="149.44999999999999" customHeight="1" x14ac:dyDescent="0.3">
      <c r="A87" s="50" t="e">
        <f t="shared" si="8"/>
        <v>#VALUE!</v>
      </c>
      <c r="B87" s="14"/>
      <c r="C87" s="8"/>
      <c r="D87" s="17" t="e">
        <f t="shared" si="9"/>
        <v>#VALUE!</v>
      </c>
      <c r="E87" s="11" t="e">
        <f t="shared" si="7"/>
        <v>#VALUE!</v>
      </c>
      <c r="F87" s="11"/>
      <c r="G87" s="24"/>
      <c r="H87" s="18"/>
      <c r="I87" s="22"/>
      <c r="J87" s="59" t="b">
        <v>0</v>
      </c>
      <c r="K87" s="60" t="b">
        <v>0</v>
      </c>
      <c r="L87" s="60" t="b">
        <v>0</v>
      </c>
      <c r="M87" s="30"/>
      <c r="N87" s="70"/>
    </row>
    <row r="88" spans="1:14" ht="149.44999999999999" customHeight="1" x14ac:dyDescent="0.3">
      <c r="A88" s="50" t="e">
        <f t="shared" si="8"/>
        <v>#VALUE!</v>
      </c>
      <c r="B88" s="14"/>
      <c r="C88" s="8"/>
      <c r="D88" s="17" t="e">
        <f t="shared" si="9"/>
        <v>#VALUE!</v>
      </c>
      <c r="E88" s="11" t="e">
        <f t="shared" si="7"/>
        <v>#VALUE!</v>
      </c>
      <c r="F88" s="11"/>
      <c r="G88" s="24"/>
      <c r="H88" s="18"/>
      <c r="I88" s="22"/>
      <c r="J88" s="59" t="b">
        <v>0</v>
      </c>
      <c r="K88" s="60" t="b">
        <v>0</v>
      </c>
      <c r="L88" s="60" t="b">
        <v>0</v>
      </c>
      <c r="M88" s="30"/>
      <c r="N88" s="70"/>
    </row>
    <row r="89" spans="1:14" ht="149.44999999999999" customHeight="1" x14ac:dyDescent="0.3">
      <c r="A89" s="50" t="e">
        <f t="shared" si="8"/>
        <v>#VALUE!</v>
      </c>
      <c r="B89" s="14"/>
      <c r="C89" s="8"/>
      <c r="D89" s="17" t="e">
        <f t="shared" si="9"/>
        <v>#VALUE!</v>
      </c>
      <c r="E89" s="11" t="e">
        <f t="shared" si="7"/>
        <v>#VALUE!</v>
      </c>
      <c r="F89" s="11"/>
      <c r="G89" s="24"/>
      <c r="H89" s="18"/>
      <c r="I89" s="22"/>
      <c r="J89" s="59" t="b">
        <v>0</v>
      </c>
      <c r="K89" s="60" t="b">
        <v>0</v>
      </c>
      <c r="L89" s="60" t="b">
        <v>0</v>
      </c>
      <c r="M89" s="30"/>
      <c r="N89" s="70"/>
    </row>
    <row r="90" spans="1:14" ht="149.44999999999999" customHeight="1" x14ac:dyDescent="0.3">
      <c r="A90" s="50" t="e">
        <f t="shared" si="8"/>
        <v>#VALUE!</v>
      </c>
      <c r="B90" s="14"/>
      <c r="C90" s="8"/>
      <c r="D90" s="17" t="e">
        <f t="shared" si="9"/>
        <v>#VALUE!</v>
      </c>
      <c r="E90" s="11" t="e">
        <f t="shared" si="7"/>
        <v>#VALUE!</v>
      </c>
      <c r="F90" s="11"/>
      <c r="G90" s="24"/>
      <c r="H90" s="18"/>
      <c r="I90" s="22"/>
      <c r="J90" s="59" t="b">
        <v>0</v>
      </c>
      <c r="K90" s="60" t="b">
        <v>0</v>
      </c>
      <c r="L90" s="60" t="b">
        <v>0</v>
      </c>
      <c r="M90" s="30"/>
      <c r="N90" s="70"/>
    </row>
    <row r="91" spans="1:14" ht="149.44999999999999" customHeight="1" x14ac:dyDescent="0.3">
      <c r="A91" s="50" t="e">
        <f t="shared" si="8"/>
        <v>#VALUE!</v>
      </c>
      <c r="B91" s="14"/>
      <c r="C91" s="8"/>
      <c r="D91" s="17" t="e">
        <f t="shared" si="9"/>
        <v>#VALUE!</v>
      </c>
      <c r="E91" s="11" t="e">
        <f t="shared" si="7"/>
        <v>#VALUE!</v>
      </c>
      <c r="F91" s="11"/>
      <c r="G91" s="24"/>
      <c r="H91" s="18"/>
      <c r="I91" s="22"/>
      <c r="J91" s="59" t="b">
        <v>0</v>
      </c>
      <c r="K91" s="60" t="b">
        <v>0</v>
      </c>
      <c r="L91" s="60" t="b">
        <v>0</v>
      </c>
      <c r="M91" s="30"/>
      <c r="N91" s="70"/>
    </row>
    <row r="92" spans="1:14" ht="149.44999999999999" customHeight="1" x14ac:dyDescent="0.3">
      <c r="A92" s="50" t="e">
        <f t="shared" si="8"/>
        <v>#VALUE!</v>
      </c>
      <c r="B92" s="14"/>
      <c r="C92" s="8"/>
      <c r="D92" s="17" t="e">
        <f t="shared" si="9"/>
        <v>#VALUE!</v>
      </c>
      <c r="E92" s="11" t="e">
        <f t="shared" si="7"/>
        <v>#VALUE!</v>
      </c>
      <c r="F92" s="11"/>
      <c r="G92" s="24"/>
      <c r="H92" s="18"/>
      <c r="I92" s="22"/>
      <c r="J92" s="59" t="b">
        <v>0</v>
      </c>
      <c r="K92" s="60" t="b">
        <v>0</v>
      </c>
      <c r="L92" s="60" t="b">
        <v>0</v>
      </c>
      <c r="M92" s="30"/>
      <c r="N92" s="70"/>
    </row>
    <row r="93" spans="1:14" ht="149.44999999999999" customHeight="1" x14ac:dyDescent="0.3">
      <c r="A93" s="50" t="e">
        <f t="shared" si="8"/>
        <v>#VALUE!</v>
      </c>
      <c r="B93" s="14"/>
      <c r="C93" s="8"/>
      <c r="D93" s="17" t="e">
        <f t="shared" si="9"/>
        <v>#VALUE!</v>
      </c>
      <c r="E93" s="11" t="e">
        <f t="shared" si="7"/>
        <v>#VALUE!</v>
      </c>
      <c r="F93" s="11"/>
      <c r="G93" s="24"/>
      <c r="H93" s="18"/>
      <c r="I93" s="22"/>
      <c r="J93" s="59" t="b">
        <v>0</v>
      </c>
      <c r="K93" s="60" t="b">
        <v>0</v>
      </c>
      <c r="L93" s="60" t="b">
        <v>0</v>
      </c>
      <c r="M93" s="30"/>
      <c r="N93" s="70"/>
    </row>
    <row r="94" spans="1:14" ht="149.44999999999999" customHeight="1" x14ac:dyDescent="0.3">
      <c r="A94" s="50" t="e">
        <f t="shared" si="8"/>
        <v>#VALUE!</v>
      </c>
      <c r="B94" s="14"/>
      <c r="C94" s="8"/>
      <c r="D94" s="17" t="e">
        <f t="shared" si="9"/>
        <v>#VALUE!</v>
      </c>
      <c r="E94" s="11" t="e">
        <f t="shared" si="7"/>
        <v>#VALUE!</v>
      </c>
      <c r="F94" s="11"/>
      <c r="G94" s="24"/>
      <c r="H94" s="18"/>
      <c r="I94" s="22"/>
      <c r="J94" s="59" t="b">
        <v>0</v>
      </c>
      <c r="K94" s="60" t="b">
        <v>0</v>
      </c>
      <c r="L94" s="60" t="b">
        <v>0</v>
      </c>
      <c r="M94" s="30"/>
      <c r="N94" s="70"/>
    </row>
    <row r="95" spans="1:14" ht="149.44999999999999" customHeight="1" x14ac:dyDescent="0.3">
      <c r="A95" s="50" t="e">
        <f t="shared" si="8"/>
        <v>#VALUE!</v>
      </c>
      <c r="B95" s="14"/>
      <c r="C95" s="8"/>
      <c r="D95" s="17" t="e">
        <f t="shared" si="9"/>
        <v>#VALUE!</v>
      </c>
      <c r="E95" s="11" t="e">
        <f t="shared" si="7"/>
        <v>#VALUE!</v>
      </c>
      <c r="F95" s="11"/>
      <c r="G95" s="24"/>
      <c r="H95" s="18"/>
      <c r="I95" s="22"/>
      <c r="J95" s="59" t="b">
        <v>0</v>
      </c>
      <c r="K95" s="60" t="b">
        <v>0</v>
      </c>
      <c r="L95" s="60" t="b">
        <v>0</v>
      </c>
      <c r="M95" s="30"/>
      <c r="N95" s="70"/>
    </row>
    <row r="96" spans="1:14" ht="149.44999999999999" customHeight="1" x14ac:dyDescent="0.3">
      <c r="A96" s="50" t="e">
        <f t="shared" si="8"/>
        <v>#VALUE!</v>
      </c>
      <c r="B96" s="14"/>
      <c r="C96" s="8"/>
      <c r="D96" s="17" t="e">
        <f t="shared" si="9"/>
        <v>#VALUE!</v>
      </c>
      <c r="E96" s="11" t="e">
        <f t="shared" si="7"/>
        <v>#VALUE!</v>
      </c>
      <c r="F96" s="11"/>
      <c r="G96" s="24"/>
      <c r="H96" s="18"/>
      <c r="I96" s="22"/>
      <c r="J96" s="59" t="b">
        <v>0</v>
      </c>
      <c r="K96" s="60" t="b">
        <v>0</v>
      </c>
      <c r="L96" s="60" t="b">
        <v>0</v>
      </c>
      <c r="M96" s="30"/>
      <c r="N96" s="70"/>
    </row>
  </sheetData>
  <autoFilter ref="A8:I9" xr:uid="{00000000-0009-0000-0000-000004000000}"/>
  <mergeCells count="12">
    <mergeCell ref="I8:I9"/>
    <mergeCell ref="J8:M8"/>
    <mergeCell ref="N8:N9"/>
    <mergeCell ref="D8:D9"/>
    <mergeCell ref="B8:B9"/>
    <mergeCell ref="A2:C3"/>
    <mergeCell ref="A8:A9"/>
    <mergeCell ref="E8:E9"/>
    <mergeCell ref="C8:C9"/>
    <mergeCell ref="H8:H9"/>
    <mergeCell ref="F8:F9"/>
    <mergeCell ref="G8:G9"/>
  </mergeCells>
  <conditionalFormatting sqref="B1">
    <cfRule type="containsText" dxfId="7" priority="3" operator="containsText" text="CLASH">
      <formula>NOT(ISERROR(SEARCH("CLASH",B1)))</formula>
    </cfRule>
    <cfRule type="containsText" dxfId="6" priority="4" operator="containsText" text="VISUAL CHECK">
      <formula>NOT(ISERROR(SEARCH("VISUAL CHECK",B1)))</formula>
    </cfRule>
  </conditionalFormatting>
  <conditionalFormatting sqref="B4:B1048576">
    <cfRule type="containsText" dxfId="5" priority="1" operator="containsText" text="CLASH">
      <formula>NOT(ISERROR(SEARCH("CLASH",B4)))</formula>
    </cfRule>
    <cfRule type="containsText" dxfId="4" priority="2" operator="containsText" text="VISUAL CHECK">
      <formula>NOT(ISERROR(SEARCH("VISUAL CHECK",B4)))</formula>
    </cfRule>
  </conditionalFormatting>
  <conditionalFormatting sqref="H1:H1048576">
    <cfRule type="containsText" dxfId="3" priority="5" operator="containsText" text="RESOLVED">
      <formula>NOT(ISERROR(SEARCH("RESOLVED",H1)))</formula>
    </cfRule>
    <cfRule type="containsText" dxfId="2" priority="6" operator="containsText" text="ACTIVE">
      <formula>NOT(ISERROR(SEARCH("ACTIVE",H1)))</formula>
    </cfRule>
    <cfRule type="containsText" dxfId="1" priority="7" operator="containsText" text="NEW">
      <formula>NOT(ISERROR(SEARCH("NEW",H1)))</formula>
    </cfRule>
    <cfRule type="containsText" dxfId="0" priority="8" operator="containsText" text="PENDING">
      <formula>NOT(ISERROR(SEARCH("PENDING",H1)))</formula>
    </cfRule>
  </conditionalFormatting>
  <printOptions horizontalCentered="1"/>
  <pageMargins left="0.45" right="0.45" top="0.8" bottom="0.3" header="0.3" footer="0.3"/>
  <pageSetup paperSize="9" scale="23" fitToHeight="0" orientation="portrait"/>
  <headerFooter scaleWithDoc="0">
    <oddHeader>&amp;L&amp;"FreesiaUPC,Regular"&amp;14 TP-BM-005
17 Sep 2025&amp;C&amp;"FreesiaUPC,Regular"&amp;14 CLASH SUMMARY REPORT&amp;R&amp;"FreesiaUPC,Regular"&amp;14 R00
&amp;P of &amp;N</oddHeader>
    <oddFooter>&amp;L&amp;8 &amp;A&amp;C&amp;8    Page &amp;P of &amp;N   
&amp;R&amp;8 &amp;F</oddFooter>
  </headerFooter>
  <rowBreaks count="1" manualBreakCount="1">
    <brk id="2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3:S51"/>
  <sheetViews>
    <sheetView topLeftCell="A28" zoomScaleNormal="100" workbookViewId="0">
      <selection activeCell="Q19" sqref="Q19"/>
    </sheetView>
  </sheetViews>
  <sheetFormatPr defaultRowHeight="14.25" x14ac:dyDescent="0.2"/>
  <cols>
    <col min="1" max="1" width="13.875" bestFit="1" customWidth="1"/>
    <col min="2" max="2" width="21.25" bestFit="1" customWidth="1"/>
    <col min="3" max="3" width="8" bestFit="1" customWidth="1"/>
    <col min="4" max="4" width="12" bestFit="1" customWidth="1"/>
    <col min="15" max="15" width="8.625" customWidth="1"/>
    <col min="16" max="16" width="50.5" bestFit="1" customWidth="1"/>
    <col min="17" max="17" width="23.875" bestFit="1" customWidth="1"/>
    <col min="18" max="18" width="14.875" bestFit="1" customWidth="1"/>
    <col min="19" max="19" width="15" bestFit="1" customWidth="1"/>
  </cols>
  <sheetData>
    <row r="3" spans="1:19" x14ac:dyDescent="0.2">
      <c r="A3" s="32" t="s">
        <v>79</v>
      </c>
      <c r="B3" t="s">
        <v>80</v>
      </c>
      <c r="P3" s="32" t="s">
        <v>79</v>
      </c>
      <c r="R3" t="s">
        <v>81</v>
      </c>
      <c r="S3" t="s">
        <v>82</v>
      </c>
    </row>
    <row r="4" spans="1:19" x14ac:dyDescent="0.2">
      <c r="A4" s="33" t="s">
        <v>3</v>
      </c>
      <c r="B4">
        <v>4</v>
      </c>
      <c r="P4" s="33" t="s">
        <v>83</v>
      </c>
      <c r="R4">
        <v>0</v>
      </c>
      <c r="S4">
        <v>5</v>
      </c>
    </row>
    <row r="5" spans="1:19" x14ac:dyDescent="0.2">
      <c r="A5" s="33" t="s">
        <v>4</v>
      </c>
      <c r="B5">
        <v>1</v>
      </c>
      <c r="P5" s="33" t="s">
        <v>84</v>
      </c>
    </row>
    <row r="6" spans="1:19" x14ac:dyDescent="0.2">
      <c r="A6" s="33" t="s">
        <v>85</v>
      </c>
      <c r="B6">
        <v>5</v>
      </c>
      <c r="P6" s="33" t="s">
        <v>86</v>
      </c>
    </row>
    <row r="7" spans="1:19" x14ac:dyDescent="0.2">
      <c r="P7" s="33" t="s">
        <v>87</v>
      </c>
    </row>
    <row r="8" spans="1:19" x14ac:dyDescent="0.2">
      <c r="P8" s="33" t="s">
        <v>88</v>
      </c>
    </row>
    <row r="9" spans="1:19" x14ac:dyDescent="0.2">
      <c r="P9" s="33" t="s">
        <v>89</v>
      </c>
    </row>
    <row r="10" spans="1:19" x14ac:dyDescent="0.2">
      <c r="P10" s="33" t="s">
        <v>90</v>
      </c>
    </row>
    <row r="11" spans="1:19" x14ac:dyDescent="0.2">
      <c r="P11" s="33" t="s">
        <v>85</v>
      </c>
    </row>
    <row r="22" spans="1:2" x14ac:dyDescent="0.2">
      <c r="A22" s="32" t="s">
        <v>79</v>
      </c>
      <c r="B22" t="s">
        <v>91</v>
      </c>
    </row>
    <row r="23" spans="1:2" x14ac:dyDescent="0.2">
      <c r="A23" s="33" t="s">
        <v>85</v>
      </c>
    </row>
    <row r="49" spans="1:2" x14ac:dyDescent="0.2">
      <c r="A49" s="32" t="s">
        <v>79</v>
      </c>
      <c r="B49" t="s">
        <v>92</v>
      </c>
    </row>
    <row r="50" spans="1:2" x14ac:dyDescent="0.2">
      <c r="A50" s="33" t="s">
        <v>93</v>
      </c>
      <c r="B50">
        <v>5</v>
      </c>
    </row>
    <row r="51" spans="1:2" x14ac:dyDescent="0.2">
      <c r="A51" s="33" t="s">
        <v>85</v>
      </c>
      <c r="B51">
        <v>5</v>
      </c>
    </row>
  </sheetData>
  <pageMargins left="0.7" right="0.7" top="0.75" bottom="0.75" header="0.3" footer="0.3"/>
  <pageSetup orientation="portrait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Cover Page</vt:lpstr>
      <vt:lpstr>Clash Summary</vt:lpstr>
      <vt:lpstr>FP2</vt:lpstr>
      <vt:lpstr>CCS</vt:lpstr>
      <vt:lpstr>Outside building</vt:lpstr>
      <vt:lpstr>Dashboard</vt:lpstr>
      <vt:lpstr>CCS!Print_Area</vt:lpstr>
      <vt:lpstr>'Cover Page'!Print_Area</vt:lpstr>
      <vt:lpstr>'FP2'!Print_Area</vt:lpstr>
      <vt:lpstr>'Outside building'!Print_Area</vt:lpstr>
      <vt:lpstr>CCS!Print_Titles</vt:lpstr>
      <vt:lpstr>'Clash Summary'!Print_Titles</vt:lpstr>
      <vt:lpstr>'FP2'!Print_Titles</vt:lpstr>
      <vt:lpstr>'Outside building'!Print_Titles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Prapaporn Kornwirat</dc:creator>
  <cp:lastModifiedBy>Ittichai Butsanam</cp:lastModifiedBy>
  <dcterms:created xsi:type="dcterms:W3CDTF">2023-11-24T11:00:25Z</dcterms:created>
  <dcterms:modified xsi:type="dcterms:W3CDTF">2026-05-18T04:32:24Z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0x0101002F90056FB38DFA4EA87360F6DB7BBF83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