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namedSheetViews/namedSheetView1.xml" ContentType="application/vnd.ms-excel.namedsheetviews+xml"/>
  <Override PartName="/xl/drawings/drawing4.xml" ContentType="application/vnd.openxmlformats-officedocument.drawing+xml"/>
  <Override PartName="/xl/namedSheetViews/namedSheetView2.xml" ContentType="application/vnd.ms-excel.namedsheetviews+xml"/>
  <Override PartName="/xl/drawings/drawing5.xml" ContentType="application/vnd.openxmlformats-officedocument.drawing+xml"/>
  <Override PartName="/xl/namedSheetViews/namedSheetView3.xml" ContentType="application/vnd.ms-excel.namedsheetviews+xml"/>
  <Override PartName="/xl/drawings/drawing6.xml" ContentType="application/vnd.openxmlformats-officedocument.drawing+xml"/>
  <Override PartName="/xl/namedSheetViews/namedSheetView4.xml" ContentType="application/vnd.ms-excel.namedsheetviews+xml"/>
  <Override PartName="/xl/drawings/drawing7.xml" ContentType="application/vnd.openxmlformats-officedocument.drawing+xml"/>
  <Override PartName="/xl/namedSheetViews/namedSheetView5.xml" ContentType="application/vnd.ms-excel.namedsheetviews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/>
  <mc:AlternateContent xmlns:mc="http://schemas.openxmlformats.org/markup-compatibility/2006">
    <mc:Choice Requires="x15">
      <x15ac:absPath xmlns:x15ac="http://schemas.microsoft.com/office/spreadsheetml/2010/11/ac" url="D:\itti\mtc\python\autoprojectinfo\"/>
    </mc:Choice>
  </mc:AlternateContent>
  <xr:revisionPtr revIDLastSave="0" documentId="13_ncr:1_{7E1586C5-BD27-48B3-8B31-1AEB5504723B}" xr6:coauthVersionLast="47" xr6:coauthVersionMax="47" xr10:uidLastSave="{00000000-0000-0000-0000-000000000000}"/>
  <bookViews>
    <workbookView xWindow="-28920" yWindow="-120" windowWidth="29040" windowHeight="15840" tabRatio="818" activeTab="7" xr2:uid="{36E6B06B-062D-47F8-BE52-99331FBFB3AF}"/>
  </bookViews>
  <sheets>
    <sheet name="Cover (1)" sheetId="104" r:id="rId1"/>
    <sheet name="Cover(2)" sheetId="47" r:id="rId2"/>
    <sheet name="1. CIVIL" sheetId="103" r:id="rId3"/>
    <sheet name="2. ARCHITECTURAL" sheetId="98" r:id="rId4"/>
    <sheet name="3. STRUCTURAL" sheetId="99" r:id="rId5"/>
    <sheet name="4. MECHANICAL" sheetId="100" r:id="rId6"/>
    <sheet name="5. ELECTRICAL" sheetId="101" r:id="rId7"/>
    <sheet name="Eng name" sheetId="89" r:id="rId8"/>
    <sheet name="Numbering System" sheetId="87" r:id="rId9"/>
    <sheet name="Subcover" sheetId="88" r:id="rId10"/>
  </sheets>
  <externalReferences>
    <externalReference r:id="rId11"/>
  </externalReferences>
  <definedNames>
    <definedName name="\a">#REF!</definedName>
    <definedName name="\i">#REF!</definedName>
    <definedName name="\j">#REF!</definedName>
    <definedName name="\M">#REF!</definedName>
    <definedName name="\n">#N/A</definedName>
    <definedName name="\R">#REF!</definedName>
    <definedName name="\S">#REF!</definedName>
    <definedName name="\t">#REF!</definedName>
    <definedName name="\w">#REF!</definedName>
    <definedName name="\x">#REF!</definedName>
    <definedName name="\Z">#REF!</definedName>
    <definedName name="___INDEX_SHEET___ASAP_Utilities">#REF!</definedName>
    <definedName name="__adj1">#REF!</definedName>
    <definedName name="__CPT1">#REF!</definedName>
    <definedName name="__sa01">#REF!</definedName>
    <definedName name="__sa07">#REF!</definedName>
    <definedName name="__sku08">#REF!</definedName>
    <definedName name="__sku09">#REF!</definedName>
    <definedName name="_1_date_prochain_jalon">#REF!</definedName>
    <definedName name="_1_fonction">#REF!</definedName>
    <definedName name="_1_Monnaie">#REF!</definedName>
    <definedName name="_1_Montant_charge">#REF!</definedName>
    <definedName name="_1_Montant_immo">#REF!</definedName>
    <definedName name="_1_Prochain_jalon">#REF!</definedName>
    <definedName name="_1_Produit">#REF!</definedName>
    <definedName name="_1_Projet">#REF!</definedName>
    <definedName name="_1_societe">#REF!</definedName>
    <definedName name="_1_Statut">#REF!</definedName>
    <definedName name="_1_titre">#REF!</definedName>
    <definedName name="_1_uot">#REF!</definedName>
    <definedName name="_1_x0">#REF!</definedName>
    <definedName name="_1_X1">#REF!</definedName>
    <definedName name="_1_x2">#REF!</definedName>
    <definedName name="_1_x3">#REF!</definedName>
    <definedName name="_1F" hidden="1">#REF!</definedName>
    <definedName name="_2_0_F" hidden="1">#REF!</definedName>
    <definedName name="_2_Monnaie">#REF!</definedName>
    <definedName name="_2_Projet">#REF!</definedName>
    <definedName name="_21PAGES">#REF!</definedName>
    <definedName name="_2BASE_DONNEES">#REF!</definedName>
    <definedName name="_2F" hidden="1">#REF!</definedName>
    <definedName name="_3_0_F" hidden="1">#REF!</definedName>
    <definedName name="_3_Date_jalon">#REF!</definedName>
    <definedName name="_3_Jalon">#REF!</definedName>
    <definedName name="_3_Monnaie">#REF!</definedName>
    <definedName name="_3_Montant_Charge">#REF!</definedName>
    <definedName name="_3_Montant_Immo">#REF!</definedName>
    <definedName name="_3_projet">#REF!</definedName>
    <definedName name="_3_Societe">#REF!</definedName>
    <definedName name="_3_sous_projet_1">#REF!</definedName>
    <definedName name="_3_sous_projet_2">#REF!</definedName>
    <definedName name="_4_0_0BASE_DONNEES">#REF!</definedName>
    <definedName name="_4_Projet">#REF!</definedName>
    <definedName name="_4_Sous_Projet_1">#REF!</definedName>
    <definedName name="_4_Sous_Projet_2">#REF!</definedName>
    <definedName name="_4BASE_DONNEES">#REF!</definedName>
    <definedName name="_6_0_0BASE_DONNEES">#REF!</definedName>
    <definedName name="_aaa1">#REF!</definedName>
    <definedName name="_adj1">#REF!</definedName>
    <definedName name="_API505">#REF!</definedName>
    <definedName name="_API506">#REF!</definedName>
    <definedName name="_avg2006">#REF!</definedName>
    <definedName name="_CPT1">#REF!</definedName>
    <definedName name="_DAT1">#REF!</definedName>
    <definedName name="_DAT10">#REF!</definedName>
    <definedName name="_DAT11">#REF!</definedName>
    <definedName name="_DAT12">#REF!</definedName>
    <definedName name="_DAT13">#REF!</definedName>
    <definedName name="_DAT14">#REF!</definedName>
    <definedName name="_DAT15">#REF!</definedName>
    <definedName name="_DAT16">#REF!</definedName>
    <definedName name="_DAT17">#REF!</definedName>
    <definedName name="_DAT18">#REF!</definedName>
    <definedName name="_DAT19">#REF!</definedName>
    <definedName name="_DAT2">#REF!</definedName>
    <definedName name="_DAT20">#REF!</definedName>
    <definedName name="_DAT21">#REF!</definedName>
    <definedName name="_DAT22">#REF!</definedName>
    <definedName name="_DAT23">#REF!</definedName>
    <definedName name="_DAT24">#REF!</definedName>
    <definedName name="_DAT3">#REF!</definedName>
    <definedName name="_DAT4">#REF!</definedName>
    <definedName name="_DAT5">#REF!</definedName>
    <definedName name="_DAT6">#REF!</definedName>
    <definedName name="_DAT7">#REF!</definedName>
    <definedName name="_DAT8">#REF!</definedName>
    <definedName name="_DAT9">#REF!</definedName>
    <definedName name="_DCF1" localSheetId="0" hidden="1">{#N/A,#N/A,FALSE,"Aging Summary";#N/A,#N/A,FALSE,"Ratio Analysis";#N/A,#N/A,FALSE,"Test 120 Day Accts";#N/A,#N/A,FALSE,"Tickmarks"}</definedName>
    <definedName name="_DCF1" hidden="1">{#N/A,#N/A,FALSE,"Aging Summary";#N/A,#N/A,FALSE,"Ratio Analysis";#N/A,#N/A,FALSE,"Test 120 Day Accts";#N/A,#N/A,FALSE,"Tickmarks"}</definedName>
    <definedName name="_Dist_Bin" hidden="1">#REF!</definedName>
    <definedName name="_Dist_Values" hidden="1">#REF!</definedName>
    <definedName name="_edu2" localSheetId="0" hidden="1">{#N/A,#N/A,FALSE,"CALCOC"}</definedName>
    <definedName name="_edu2" hidden="1">{#N/A,#N/A,FALSE,"CALCOC"}</definedName>
    <definedName name="_Fill" hidden="1">#REF!</definedName>
    <definedName name="_xlnm._FilterDatabase" hidden="1">#REF!</definedName>
    <definedName name="_Key1" hidden="1">#REF!</definedName>
    <definedName name="_Key2" hidden="1">#REF!</definedName>
    <definedName name="_Monnaie">#REF!</definedName>
    <definedName name="_N_Projet">#REF!</definedName>
    <definedName name="_N_Projet_1">#REF!</definedName>
    <definedName name="_N_Projet_2">#REF!</definedName>
    <definedName name="_NK02366">#REF!</definedName>
    <definedName name="_NK02573">#REF!</definedName>
    <definedName name="_NK02724">#REF!</definedName>
    <definedName name="_NK02843">#REF!</definedName>
    <definedName name="_NK02899">#REF!</definedName>
    <definedName name="_NK02979">#REF!</definedName>
    <definedName name="_NK07537">#REF!</definedName>
    <definedName name="_ns02" localSheetId="0" hidden="1">{"'Sheet1'!$L$16"}</definedName>
    <definedName name="_ns02" hidden="1">{"'Sheet1'!$L$16"}</definedName>
    <definedName name="_NSO2" localSheetId="0" hidden="1">{"'Sheet1'!$L$16"}</definedName>
    <definedName name="_NSO2" hidden="1">{"'Sheet1'!$L$16"}</definedName>
    <definedName name="_Order1" hidden="1">255</definedName>
    <definedName name="_Order2" hidden="1">255</definedName>
    <definedName name="_Parse_Out" hidden="1">#REF!</definedName>
    <definedName name="_Payback">#REF!</definedName>
    <definedName name="_pk3">#REF!</definedName>
    <definedName name="_PPI51">#REF!</definedName>
    <definedName name="_PPI512">#REF!</definedName>
    <definedName name="_PPI515">#REF!</definedName>
    <definedName name="_PPI516">#REF!</definedName>
    <definedName name="_PPI517">#REF!</definedName>
    <definedName name="_PPI518">#REF!</definedName>
    <definedName name="_PPI519">#REF!</definedName>
    <definedName name="_PPI52">#REF!</definedName>
    <definedName name="_PPI53">#REF!</definedName>
    <definedName name="_PPI54">#REF!</definedName>
    <definedName name="_PPI55">#REF!</definedName>
    <definedName name="_PPI56">#REF!</definedName>
    <definedName name="_PPI57">#REF!</definedName>
    <definedName name="_QUE1" localSheetId="0" hidden="1">{#N/A,#N/A,FALSE,"1.0";#N/A,#N/A,FALSE,"2.1";#N/A,#N/A,FALSE,"2.2";#N/A,#N/A,FALSE,"2.4";#N/A,#N/A,FALSE,"3.1";#N/A,#N/A,FALSE,"3.3";#N/A,#N/A,FALSE,"4.0";#N/A,#N/A,FALSE,"5.1";#N/A,#N/A,FALSE,"6.0";#N/A,#N/A,FALSE,"6.4";#N/A,#N/A,FALSE,"7.3";#N/A,#N/A,FALSE,"7.5";#N/A,#N/A,FALSE,"7.6";#N/A,#N/A,FALSE,"7.7";#N/A,#N/A,FALSE,"7.8";#N/A,#N/A,FALSE,"7.9";#N/A,#N/A,FALSE,"7.10";#N/A,#N/A,FALSE,"7.11";#N/A,#N/A,FALSE,"7.12";#N/A,#N/A,FALSE,"7.13";#N/A,#N/A,FALSE,"7.14"}</definedName>
    <definedName name="_QUE1" hidden="1">{#N/A,#N/A,FALSE,"1.0";#N/A,#N/A,FALSE,"2.1";#N/A,#N/A,FALSE,"2.2";#N/A,#N/A,FALSE,"2.4";#N/A,#N/A,FALSE,"3.1";#N/A,#N/A,FALSE,"3.3";#N/A,#N/A,FALSE,"4.0";#N/A,#N/A,FALSE,"5.1";#N/A,#N/A,FALSE,"6.0";#N/A,#N/A,FALSE,"6.4";#N/A,#N/A,FALSE,"7.3";#N/A,#N/A,FALSE,"7.5";#N/A,#N/A,FALSE,"7.6";#N/A,#N/A,FALSE,"7.7";#N/A,#N/A,FALSE,"7.8";#N/A,#N/A,FALSE,"7.9";#N/A,#N/A,FALSE,"7.10";#N/A,#N/A,FALSE,"7.11";#N/A,#N/A,FALSE,"7.12";#N/A,#N/A,FALSE,"7.13";#N/A,#N/A,FALSE,"7.14"}</definedName>
    <definedName name="_sa01">#REF!</definedName>
    <definedName name="_sa07">#REF!</definedName>
    <definedName name="_SF_2_annee">#REF!</definedName>
    <definedName name="_SF_2_charge">#REF!</definedName>
    <definedName name="_SF_2_immo">#REF!</definedName>
    <definedName name="_SF_2_materiel">#REF!</definedName>
    <definedName name="_SF_2_outil">#REF!</definedName>
    <definedName name="_SF_3_Annee">#REF!,#REF!</definedName>
    <definedName name="_SF_3_Charge">#REF!,#REF!</definedName>
    <definedName name="_SF_3_Immo">#REF!,#REF!</definedName>
    <definedName name="_SF_3_materiel">#REF!,#REF!</definedName>
    <definedName name="_SF_3_Outil">#REF!,#REF!</definedName>
    <definedName name="_SF_4_Agregat">#REF!,#REF!,#REF!,#REF!,#REF!,#REF!,#REF!,#REF!,#REF!,#REF!</definedName>
    <definedName name="_SF_4_Annee">#REF!,#REF!,#REF!,#REF!,#REF!,#REF!,#REF!,#REF!,#REF!,#REF!</definedName>
    <definedName name="_SF_4_Valeur">#REF!,#REF!,#REF!,#REF!,#REF!,#REF!,#REF!,#REF!,#REF!,#REF!</definedName>
    <definedName name="_SF_Annee">#REF!</definedName>
    <definedName name="_SF_Contribution">#REF!</definedName>
    <definedName name="_sku08">#REF!</definedName>
    <definedName name="_sku09">#REF!</definedName>
    <definedName name="_Sort" hidden="1">#REF!</definedName>
    <definedName name="_SUM2">#REF!</definedName>
    <definedName name="_tar1">#REF!</definedName>
    <definedName name="_tar2">#REF!</definedName>
    <definedName name="_tar3">#REF!</definedName>
    <definedName name="_tar4">#REF!</definedName>
    <definedName name="_tar5">#REF!</definedName>
    <definedName name="_tar6">#REF!</definedName>
    <definedName name="_tar7">#REF!</definedName>
    <definedName name="_TRA">#REF!</definedName>
    <definedName name="_XXX" hidden="1">#REF!</definedName>
    <definedName name="่5">#REF!</definedName>
    <definedName name="a" hidden="1">#REF!</definedName>
    <definedName name="á" localSheetId="0" hidden="1">{#N/A,#N/A,FALSE,"Aging Summary";#N/A,#N/A,FALSE,"Ratio Analysis";#N/A,#N/A,FALSE,"Test 120 Day Accts";#N/A,#N/A,FALSE,"Tickmarks"}</definedName>
    <definedName name="á" hidden="1">{#N/A,#N/A,FALSE,"Aging Summary";#N/A,#N/A,FALSE,"Ratio Analysis";#N/A,#N/A,FALSE,"Test 120 Day Accts";#N/A,#N/A,FALSE,"Tickmarks"}</definedName>
    <definedName name="a.a" localSheetId="0" hidden="1">{TRUE,TRUE,-1.25,-15.5,484.5,253.5,FALSE,TRUE,TRUE,TRUE,0,1,#N/A,1,#N/A,14.15,43.5714285714286,1,FALSE,FALSE,3,TRUE,1,FALSE,75,"Swvu.praes_d1.","ACwvu.praes_d1.",#N/A,FALSE,FALSE,0.5,0.5,0.67,0.73,2,"","&amp;L&amp;F&amp;CSeite &amp;P&amp;R&amp;D",FALSE,FALSE,FALSE,FALSE,1,#N/A,1,1,FALSE,FALSE,#N/A,"Cwvu.praes_d1.",FALSE,FALSE,FALSE,9,65532,65532,FALSE,FALSE,TRUE,TRUE,TRUE}</definedName>
    <definedName name="a.a" hidden="1">{TRUE,TRUE,-1.25,-15.5,484.5,253.5,FALSE,TRUE,TRUE,TRUE,0,1,#N/A,1,#N/A,14.15,43.5714285714286,1,FALSE,FALSE,3,TRUE,1,FALSE,75,"Swvu.praes_d1.","ACwvu.praes_d1.",#N/A,FALSE,FALSE,0.5,0.5,0.67,0.73,2,"","&amp;L&amp;F&amp;CSeite &amp;P&amp;R&amp;D",FALSE,FALSE,FALSE,FALSE,1,#N/A,1,1,FALSE,FALSE,#N/A,"Cwvu.praes_d1.",FALSE,FALSE,FALSE,9,65532,65532,FALSE,FALSE,TRUE,TRUE,TRUE}</definedName>
    <definedName name="aa">#REF!</definedName>
    <definedName name="aaa">#REF!</definedName>
    <definedName name="AB" localSheetId="0" hidden="1">{#N/A,#N/A,FALSE,"Aging Summary";#N/A,#N/A,FALSE,"Ratio Analysis";#N/A,#N/A,FALSE,"Test 120 Day Accts";#N/A,#N/A,FALSE,"Tickmarks"}</definedName>
    <definedName name="AB" hidden="1">{#N/A,#N/A,FALSE,"Aging Summary";#N/A,#N/A,FALSE,"Ratio Analysis";#N/A,#N/A,FALSE,"Test 120 Day Accts";#N/A,#N/A,FALSE,"Tickmarks"}</definedName>
    <definedName name="abc">#REF!</definedName>
    <definedName name="abcd">#REF!</definedName>
    <definedName name="ABS">#REF!</definedName>
    <definedName name="AC" localSheetId="0" hidden="1">{#N/A,#N/A,FALSE,"Aging Summary";#N/A,#N/A,FALSE,"Ratio Analysis";#N/A,#N/A,FALSE,"Test 120 Day Accts";#N/A,#N/A,FALSE,"Tickmarks"}</definedName>
    <definedName name="AC" hidden="1">{#N/A,#N/A,FALSE,"Aging Summary";#N/A,#N/A,FALSE,"Ratio Analysis";#N/A,#N/A,FALSE,"Test 120 Day Accts";#N/A,#N/A,FALSE,"Tickmarks"}</definedName>
    <definedName name="Ac_sale">#REF!</definedName>
    <definedName name="acc">#REF!</definedName>
    <definedName name="act">#REF!</definedName>
    <definedName name="ACTIS">#REF!</definedName>
    <definedName name="ACwvu.AG." hidden="1">#REF!</definedName>
    <definedName name="ACwvu.RESUME." hidden="1">#REF!</definedName>
    <definedName name="ACwvu.TCE_TL." hidden="1">#REF!</definedName>
    <definedName name="ACwvu.TCE_TY." hidden="1">#REF!</definedName>
    <definedName name="ACwvu.TOUT." hidden="1">#REF!</definedName>
    <definedName name="AD">#REF!</definedName>
    <definedName name="add">#REF!</definedName>
    <definedName name="ADI" localSheetId="0">#REF!</definedName>
    <definedName name="ADI">[1]Liste!$F$1:$F$3</definedName>
    <definedName name="adj">#REF!</definedName>
    <definedName name="ae">#REF!</definedName>
    <definedName name="affich_tout">#REF!</definedName>
    <definedName name="allocate">#REF!</definedName>
    <definedName name="anscount" hidden="1">1</definedName>
    <definedName name="APP">#REF!</definedName>
    <definedName name="aq">#REF!</definedName>
    <definedName name="AS2DocOpenMode" hidden="1">"AS2DocumentEdit"</definedName>
    <definedName name="AS2HasNoAutoHeaderFooter" hidden="1">" "</definedName>
    <definedName name="AS2ReportLS" hidden="1">1</definedName>
    <definedName name="AS2StaticLS" hidden="1">#REF!</definedName>
    <definedName name="AS2SyncStepLS" hidden="1">0</definedName>
    <definedName name="AS2TickmarkLS" hidden="1">#REF!</definedName>
    <definedName name="AS2VersionLS" hidden="1">300</definedName>
    <definedName name="asd">#REF!</definedName>
    <definedName name="asdf">#REF!</definedName>
    <definedName name="assss">#REF!</definedName>
    <definedName name="ATEL">#REF!</definedName>
    <definedName name="ATELIER">#REF!</definedName>
    <definedName name="Atelier_2R_MB">#REF!</definedName>
    <definedName name="Atelier_2R_MRSR">#REF!</definedName>
    <definedName name="Atelier_2R_SB">#REF!</definedName>
    <definedName name="Atelier_AG">#REF!</definedName>
    <definedName name="Atelier_AV_Bias">#REF!</definedName>
    <definedName name="Atelier_AV_Radial">#REF!</definedName>
    <definedName name="Atelier_GC">#REF!</definedName>
    <definedName name="Atelier_MAT_CPA">#REF!</definedName>
    <definedName name="Atelier_MAT_CPV">#REF!</definedName>
    <definedName name="Atelier_MAT_CPX">#REF!</definedName>
    <definedName name="Atelier_MAT_RM">#REF!</definedName>
    <definedName name="Atelier_MAT_RT">#REF!</definedName>
    <definedName name="Atelier_MAT_SF_Mélange">#REF!</definedName>
    <definedName name="Atelier_MAT_SF_Tissu">#REF!</definedName>
    <definedName name="Atelier_PL_NeufBias">#REF!</definedName>
    <definedName name="Atelier_PL_NeufRadial">#REF!</definedName>
    <definedName name="Atelier_PL_Rechapage">#REF!</definedName>
    <definedName name="Atelier_TC_LightTruck">#REF!</definedName>
    <definedName name="Atelier_TC_MiniSpare">#REF!</definedName>
    <definedName name="Atelier_TC_NeufRadial">#REF!</definedName>
    <definedName name="av">#REF!</definedName>
    <definedName name="available">#REF!</definedName>
    <definedName name="available_dates">#REF!,#REF!</definedName>
    <definedName name="awe">#REF!</definedName>
    <definedName name="aww">#REF!</definedName>
    <definedName name="azx">#REF!</definedName>
    <definedName name="b">#REF!</definedName>
    <definedName name="BAHT">#REF!</definedName>
    <definedName name="BASE_DONNEES_MI">#REF!</definedName>
    <definedName name="BB">#REF!</definedName>
    <definedName name="bbb">#REF!</definedName>
    <definedName name="BBBB">#REF!</definedName>
    <definedName name="BBBBB" hidden="1">#REF!</definedName>
    <definedName name="bbs">#REF!</definedName>
    <definedName name="BEx0017DGUEDPCFJUPUZOOLJCS2B" hidden="1">#REF!</definedName>
    <definedName name="BEx001CNWHJ5RULCSFM36ZCGJ1UH" hidden="1">#REF!</definedName>
    <definedName name="BEx004791UAJIJSN57OT7YBLNP82" hidden="1">#REF!</definedName>
    <definedName name="BEx008P2NVFDLBHL7IZ5WTMVOQ1F" hidden="1">#REF!</definedName>
    <definedName name="BEx009G00IN0JUIAQ4WE9NHTMQE2" hidden="1">#REF!</definedName>
    <definedName name="BEx00DXTY2JDVGWQKV8H7FG4SV30" hidden="1">#REF!</definedName>
    <definedName name="BEx00GHLTYRH5N2S6P78YW1CD30N" hidden="1">#REF!</definedName>
    <definedName name="BEx00JC31DY11L45SEU4B10BIN6W" hidden="1">#REF!</definedName>
    <definedName name="BEx00KZHZBHP3TDV1YMX4B19B95O" hidden="1">#REF!</definedName>
    <definedName name="BEx00O4PS6LRVJZ5YAM48TFUKNY4" hidden="1">#REF!</definedName>
    <definedName name="BEx00SRU9FMD0XJY0WQCOR4NY42S" hidden="1">#REF!</definedName>
    <definedName name="BEx01HY6E3GJ66ABU5ABN26V6Q13" hidden="1">#REF!</definedName>
    <definedName name="BEx01PW5YQKEGAR8JDDI5OARYXDF" hidden="1">#REF!</definedName>
    <definedName name="BEx01XJ94SHJ1YQ7ORPW0RQGKI2H" hidden="1">#REF!</definedName>
    <definedName name="BEx023TTVJYY4Q5H1DFT1A4M81ME" hidden="1">#REF!</definedName>
    <definedName name="BEx02G464OT9Y4E8MFMDFGETL4R8" hidden="1">#REF!</definedName>
    <definedName name="BEx02Q08R9G839Q4RFGG9026C7PX" hidden="1">#REF!</definedName>
    <definedName name="BEx02SEL3Z1QWGAHXDPUA9WLTTPS" hidden="1">#REF!</definedName>
    <definedName name="BEx02Y3KJZH5BGDM9QEZ1PVVI114" hidden="1">#REF!</definedName>
    <definedName name="BEx0313GRLLASDTVPW5DHTXHE74M" hidden="1">#REF!</definedName>
    <definedName name="BEx1F0SOZ3H5XUHXD7O01TCR8T6J" hidden="1">#REF!</definedName>
    <definedName name="BEx1F9HL824UCNCVZ2U62J4KZCX8" hidden="1">#REF!</definedName>
    <definedName name="BEx1FEVSJKTI1Q1Z874QZVFSJSVA" hidden="1">#REF!</definedName>
    <definedName name="BEx1FGDRUHHLI1GBHELT4PK0LY4V" hidden="1">#REF!</definedName>
    <definedName name="BEx1FJZ7GKO99IYTP6GGGF7EUL3Z" hidden="1">#REF!</definedName>
    <definedName name="BEx1FYYP894TZINIAQZ17MQGXXO5" hidden="1">#REF!</definedName>
    <definedName name="BEx1FZV2CM77TBH1R6YYV9P06KA2" hidden="1">#REF!</definedName>
    <definedName name="BEx1G59AY8195JTUM6P18VXUFJ3E" hidden="1">#REF!</definedName>
    <definedName name="BEx1GVMRHFXUP6XYYY9NR12PV5TF" hidden="1">#REF!</definedName>
    <definedName name="BEx1H6KIT7BHUH6MDDWC935V9N47" hidden="1">#REF!</definedName>
    <definedName name="BEx1HDGOOJ3SKHYMWUZJ1P0RQZ9N" hidden="1">#REF!</definedName>
    <definedName name="BEx1HDM5ZXSJG6JQEMSFV52PZ10V" hidden="1">#REF!</definedName>
    <definedName name="BEx1HETBBZVN5F43LKOFMC4QB0CR" hidden="1">#REF!</definedName>
    <definedName name="BEx1HGWNWPLNXICOTP90TKQVVE4E" hidden="1">#REF!</definedName>
    <definedName name="BEx1HIPLJZABY0EMUOTZN0EQMDPU" hidden="1">#REF!</definedName>
    <definedName name="BEx1HO94JIRX219MPWMB5E5XZ04X" hidden="1">#REF!</definedName>
    <definedName name="BEx1HOUO0CD37PV1Q02XQMZAPVBS" hidden="1">#REF!</definedName>
    <definedName name="BEx1HQNF6KHM21E3XLW0NMSSEI9S" hidden="1">#REF!</definedName>
    <definedName name="BEx1HSLNWIW4S97ZBYY7I7M5YVH4" hidden="1">#REF!</definedName>
    <definedName name="BEx1HT1RJA3H0P2GN41GW23EIGYC" hidden="1">#REF!</definedName>
    <definedName name="BEx1I26Q5JTZDWEYVZ2IDJOQUO9M" hidden="1">#REF!</definedName>
    <definedName name="BEx1I4QKTILCKZUSOJCVZN7SNHL5" hidden="1">#REF!</definedName>
    <definedName name="BEx1IE0ZP7RIFM9FI24S9I6AAJ14" hidden="1">#REF!</definedName>
    <definedName name="BEx1IGQ5B697MNDOE06MVSR0H58E" hidden="1">#REF!</definedName>
    <definedName name="BEx1IKRPW8MLB9Y485M1TL2IT9SH" hidden="1">#REF!</definedName>
    <definedName name="BEx1J0CSSHDJGBJUHVOEMCF2P4DL" hidden="1">#REF!</definedName>
    <definedName name="BEx1J6CIYF2H460KA5E0BD8K3UBS" hidden="1">#REF!</definedName>
    <definedName name="BEx1J7E8VCGLPYU82QXVUG5N3ZAI" hidden="1">#REF!</definedName>
    <definedName name="BEx1JGE2YQWH8S25USOY08XVGO0D" hidden="1">#REF!</definedName>
    <definedName name="BEx1JJJC9T1W7HY4V7HP1S1W4JO1" hidden="1">#REF!</definedName>
    <definedName name="BEx1JKKZSJ7DI4PTFVI9VVFMB1X2" hidden="1">#REF!</definedName>
    <definedName name="BEx1JUBQFRVMASSFK4B3V0AD7YP9" hidden="1">#REF!</definedName>
    <definedName name="BEx1JXBM5W4YRWNQ0P95QQS6JWD6" hidden="1">#REF!</definedName>
    <definedName name="BEx1KGY9QEHZ9QSARMQUTQKRK4UX" hidden="1">#REF!</definedName>
    <definedName name="BEx1KKP1ELIF2UII2FWVGL7M1X7J" hidden="1">#REF!</definedName>
    <definedName name="BEx1KUVWMB0QCWA3RBE4CADFVRIS" hidden="1">#REF!</definedName>
    <definedName name="BEx1L2OG1SDFK2TPXELJ77YP4NI2" hidden="1">#REF!</definedName>
    <definedName name="BEx1L6Q60MWRDJB4L20LK0XPA0Z2" hidden="1">#REF!</definedName>
    <definedName name="BEx1LD63FP2Z4BR9TKSHOZW9KKZ5" hidden="1">#REF!</definedName>
    <definedName name="BEx1LDMB9RW982DUILM2WPT5VWQ3" hidden="1">#REF!</definedName>
    <definedName name="BEx1LRPGDQCOEMW8YT80J1XCDCIV" hidden="1">#REF!</definedName>
    <definedName name="BEx1LRUSJW4JG54X07QWD9R27WV9" hidden="1">#REF!</definedName>
    <definedName name="BEx1M1WBK5T0LP1AK2JYV6W87ID6" hidden="1">#REF!</definedName>
    <definedName name="BEx1M3JK7VMVPX4SX921SVH3Y44A" hidden="1">#REF!</definedName>
    <definedName name="BEx1M51HHDYGIT8PON7U8ICL2S95" hidden="1">#REF!</definedName>
    <definedName name="BEx1M6ZQKCWQIL4DO35B8LGZAFMF" hidden="1">#REF!</definedName>
    <definedName name="BEx1MTRKKVCHOZ0YGID6HZ49LJTO" hidden="1">#REF!</definedName>
    <definedName name="BEx1N3CUJ3UX61X38ZAJVPEN4KMC" hidden="1">#REF!</definedName>
    <definedName name="BEx1N6NITQ0AEIMPKQATQUP4S84L" hidden="1">#REF!</definedName>
    <definedName name="BEx1NFY09LHD5S97ESGT6MCAA1L6" hidden="1">#REF!</definedName>
    <definedName name="BEx1NLC8GHAWPJJY0TF5U9PPSDI9" hidden="1">#REF!</definedName>
    <definedName name="BEx1NM34KQTO1LDNSAFD1L82UZFG" hidden="1">#REF!</definedName>
    <definedName name="BEx1NO6TXZVOGCUWCCRTXRXWW0XL" hidden="1">#REF!</definedName>
    <definedName name="BEx1NS8EU5P9FQV3S0WRTXI5L361" hidden="1">#REF!</definedName>
    <definedName name="BEx1NUBX5VUYZFKQH69FN6BTLWCR" hidden="1">#REF!</definedName>
    <definedName name="BEx1NZ4K1L8UON80Y2A4RASKWGNP" hidden="1">#REF!</definedName>
    <definedName name="BEx1OLAZ915OGYWP0QP1QQWDLCRX" hidden="1">#REF!</definedName>
    <definedName name="BEx1OO5ER042IS6IC4TLDI75JNVH" hidden="1">#REF!</definedName>
    <definedName name="BEx1OTE54CBSUT8FWKRALEDCUWN4" hidden="1">#REF!</definedName>
    <definedName name="BEx1OVSMPADTX95QUOX34KZQ8EDY" hidden="1">#REF!</definedName>
    <definedName name="BEx1OW8QA4GV5IKGLITARAKFBRTA" hidden="1">#REF!</definedName>
    <definedName name="BEx1OX544IO9FQJI7YYQGZCEHB3O" hidden="1">#REF!</definedName>
    <definedName name="BEx1OY6SVEUT2EQ26P7EKEND342G" hidden="1">#REF!</definedName>
    <definedName name="BEx1OYN1LPIPI12O9G6F7QAOS9T4" hidden="1">#REF!</definedName>
    <definedName name="BEx1P1HHKJA799O3YZXQAX6KFH58" hidden="1">#REF!</definedName>
    <definedName name="BEx1P34W467WGPOXPK292QFJIPHJ" hidden="1">#REF!</definedName>
    <definedName name="BEx1P7S1J4TKGVJ43C2Q2R3M9WRB" hidden="1">#REF!</definedName>
    <definedName name="BEx1PA11BLPVZM8RC5BL46WX8YB5" hidden="1">#REF!</definedName>
    <definedName name="BEx1PBZ4BEFIPGMQXT9T8S4PZ2IM" hidden="1">#REF!</definedName>
    <definedName name="BEx1PEO6GYPHDGGDNCHLTCRN5YGZ" hidden="1">#REF!</definedName>
    <definedName name="BEx1PLF2CFSXBZPVI6CJ534EIJDN" hidden="1">#REF!</definedName>
    <definedName name="BEx1PMWZB2DO6EM9BKLUICZJ65HD" hidden="1">#REF!</definedName>
    <definedName name="BEx1PWNKWWEDQ8A3Q82FHZY23JOE" hidden="1">#REF!</definedName>
    <definedName name="BEx1Q8XXLTNVCV5CO38UTDX0DRI4" hidden="1">#REF!</definedName>
    <definedName name="BEx1QA54J2A4I7IBQR19BTY28ZMR" hidden="1">#REF!</definedName>
    <definedName name="BEx1QMQAHG3KQUK59DVM68SWKZIZ" hidden="1">#REF!</definedName>
    <definedName name="BEx1QO2W9C14X1P1QEZZJWJPIRJ0" hidden="1">#REF!</definedName>
    <definedName name="BEx1R6256D5TFPGUPRWY5GR1I0LJ" hidden="1">#REF!</definedName>
    <definedName name="BEx1R9YFKJCMSEST8OVCAO5E47FO" hidden="1">#REF!</definedName>
    <definedName name="BEx1RBGC06B3T52OIC0EQ1KGVP1I" hidden="1">#REF!</definedName>
    <definedName name="BEx1RGUKPU2S72W33I9LN0C5K94P" hidden="1">#REF!</definedName>
    <definedName name="BEx1RHW96HHUUP6BI0Y3W6RDO3HO" hidden="1">#REF!</definedName>
    <definedName name="BEx1RRC7X4NI1CU4EO5XYE2GVARJ" hidden="1">#REF!</definedName>
    <definedName name="BEx1RZA1NCGT832L7EMR7GMF588W" hidden="1">#REF!</definedName>
    <definedName name="BEx1S0XGIPUSZQUCSGWSK10GKW7Y" hidden="1">#REF!</definedName>
    <definedName name="BEx1S5VFNKIXHTTCWSV60UC50EZ8" hidden="1">#REF!</definedName>
    <definedName name="BEx1SK3U02H0RGKEYXW7ZMCEOF3V" hidden="1">#REF!</definedName>
    <definedName name="BEx1SSNEZINBJT29QVS62VS1THT4" hidden="1">#REF!</definedName>
    <definedName name="BEx1SVNCHNANBJIDIQVB8AFK4HAN" hidden="1">#REF!</definedName>
    <definedName name="BEx1T11IIV3DNHCF1FBML7JOJQHJ" hidden="1">#REF!</definedName>
    <definedName name="BEx1T46XKAO4PAWCUMBLRC7AHVPN" hidden="1">#REF!</definedName>
    <definedName name="BEx1TJ0WLS9O7KNSGIPWTYHDYI1D" hidden="1">#REF!</definedName>
    <definedName name="BEx1U7WFO8OZKB1EBF4H386JW91L" hidden="1">#REF!</definedName>
    <definedName name="BEx1U87938YR9N6HYI24KVBKLOS3" hidden="1">#REF!</definedName>
    <definedName name="BEx1UESH4KDWHYESQU2IE55RS3LI" hidden="1">#REF!</definedName>
    <definedName name="BEx1UI8N9KTCPSOJ7RDW0T8UEBNP" hidden="1">#REF!</definedName>
    <definedName name="BEx1UML0HHJFHA5TBOYQ24I3RV1W" hidden="1">#REF!</definedName>
    <definedName name="BEx1UUDIQPZ23XQ79GUL0RAWRSCK" hidden="1">#REF!</definedName>
    <definedName name="BEx1UUJ03U3IG8FEIX81Z7ASXFHZ" hidden="1">#REF!</definedName>
    <definedName name="BEx1V67SEV778NVW68J8W5SND1J7" hidden="1">#REF!</definedName>
    <definedName name="BEx1VIY9SQLRESD11CC4PHYT0XSG" hidden="1">#REF!</definedName>
    <definedName name="BEx1VV3BQA9OXTWAAYII2IFLG8OH" hidden="1">#REF!</definedName>
    <definedName name="BEx1WC67EH10SC38QWX3WEA5KH3A" hidden="1">#REF!</definedName>
    <definedName name="BEx1WGYTKZZIPM1577W5FEYKFH3V" hidden="1">#REF!</definedName>
    <definedName name="BEx1WHPURIV3D3PTJJ359H1OP7ZV" hidden="1">#REF!</definedName>
    <definedName name="BEx1WLWY2CR1WRD694JJSWSDFAIR" hidden="1">#REF!</definedName>
    <definedName name="BEx1WMD1LWPWRIK6GGAJRJAHJM8I" hidden="1">#REF!</definedName>
    <definedName name="BEx1WR0D41MR174LBF3P9E3K0J51" hidden="1">#REF!</definedName>
    <definedName name="BEx1WUB1FAS5PHU33TJ60SUHR618" hidden="1">#REF!</definedName>
    <definedName name="BEx1WX04G0INSPPG9NTNR3DYR6PZ" hidden="1">#REF!</definedName>
    <definedName name="BEx1X3LHU9DPG01VWX2IF65TRATF" hidden="1">#REF!</definedName>
    <definedName name="BEx1X9QM3HLCPR5546KFYP03WDR5" hidden="1">#REF!</definedName>
    <definedName name="BEx1XK8AAMO0AH0Z1OUKW30CA7EQ" hidden="1">#REF!</definedName>
    <definedName name="BEx1XL4MZ7C80495GHQRWOBS16PQ" hidden="1">#REF!</definedName>
    <definedName name="BEx1Y2IGS2K95E1M51PEF9KJZ0KB" hidden="1">#REF!</definedName>
    <definedName name="BEx1Y3PKK83X2FN9SAALFHOWKMRQ" hidden="1">#REF!</definedName>
    <definedName name="BEx1YL3DJ7Y4AZ01ERCOGW0FJ26T" hidden="1">#REF!</definedName>
    <definedName name="BEx1Z2RYHSVD1H37817SN93VMURZ" hidden="1">#REF!</definedName>
    <definedName name="BEx3AMAKWI6458B67VKZO56MCNJW" hidden="1">#REF!</definedName>
    <definedName name="BEx3AOOVM42G82TNF53W0EKXLUSI" hidden="1">#REF!</definedName>
    <definedName name="BEx3AZH9W4SUFCAHNDOQ728R9V4L" hidden="1">#REF!</definedName>
    <definedName name="BEx3BNR9ES4KY7Q1DK83KC5NDGL8" hidden="1">#REF!</definedName>
    <definedName name="BEx3BQR5VZXNQ4H949ORM8ESU3B3" hidden="1">#REF!</definedName>
    <definedName name="BEx3BTLL3ASJN134DLEQTQM70VZM" hidden="1">#REF!</definedName>
    <definedName name="BEx3BW5CTV0DJU5AQS3ZQFK2VLF3" hidden="1">#REF!</definedName>
    <definedName name="BEx3BYP0FG369M7G3JEFLMMXAKTS" hidden="1">#REF!</definedName>
    <definedName name="BEx3C2QR0WUD19QSVO8EMIPNQJKH" hidden="1">#REF!</definedName>
    <definedName name="BEx3CKFCCPZZ6ROLAT5C1DZNIC1U" hidden="1">#REF!</definedName>
    <definedName name="BEx3CO0SVO4WLH0DO43DCHYDTH1P" hidden="1">#REF!</definedName>
    <definedName name="BEx3D9G6QTSPF9UYI4X0XY0VE896" hidden="1">#REF!</definedName>
    <definedName name="BEx3DCQU9PBRXIMLO62KS5RLH447" hidden="1">#REF!</definedName>
    <definedName name="BEx3DDHXAL4EH79TXF2C1KSD65VI" hidden="1">#REF!</definedName>
    <definedName name="BEx3EF99FD6QNNCNOKDEE67JHTUJ" hidden="1">#REF!</definedName>
    <definedName name="BEx3EHCSERZ2O2OAG8Y95UPG2IY9" hidden="1">#REF!</definedName>
    <definedName name="BEx3EJR3TCJDYS7ZXNDS5N9KTGIK" hidden="1">#REF!</definedName>
    <definedName name="BEx3ELJTTBS6P05CNISMGOJOA60V" hidden="1">#REF!</definedName>
    <definedName name="BEx3EQSLJBDDJRHNX19PBFCKNY2I" hidden="1">#REF!</definedName>
    <definedName name="BEx3EUUAX947Q5N6MY6W0KSNY78Y" hidden="1">#REF!</definedName>
    <definedName name="BEx3F2S6R7TE6SJBQC3463V75OV6" hidden="1">#REF!</definedName>
    <definedName name="BEx3FHMD1P5XBCH23ZKIFO6ZTCNB" hidden="1">#REF!</definedName>
    <definedName name="BEx3FI2G3YYIACQHXNXEA15M8ZK5" hidden="1">#REF!</definedName>
    <definedName name="BEx3FJ9MHSLDK8W91GO85FX1GX57" hidden="1">#REF!</definedName>
    <definedName name="BEx3FM41JZ51G2LSS0OGEFB7CSWE" hidden="1">#REF!</definedName>
    <definedName name="BEx3FR251HFU7A33PU01SJUENL2B" hidden="1">#REF!</definedName>
    <definedName name="BEx3FX7EJL47JSLSWP3EOC265WAE" hidden="1">#REF!</definedName>
    <definedName name="BEx3G201R8NLJ6FIHO2QS0SW9QVV" hidden="1">#REF!</definedName>
    <definedName name="BEx3G2LL2II66XY5YCDPG4JE13A3" hidden="1">#REF!</definedName>
    <definedName name="BEx3G2WA0DTYY9D8AGHHOBTPE2B2" hidden="1">#REF!</definedName>
    <definedName name="BEx3GCXR6IAS0B6WJ03GJVH7CO52" hidden="1">#REF!</definedName>
    <definedName name="BEx3GEVV18SEQDI1JGY7EN6D1GT1" hidden="1">#REF!</definedName>
    <definedName name="BEx3GJ8CECB42Z44KGF784I3TYQI" hidden="1">#REF!</definedName>
    <definedName name="BEx3GKFH64MKQX61S7DYTZ15JCPY" hidden="1">#REF!</definedName>
    <definedName name="BEx3GMJ1Y6UU02DLRL0QXCEKDA6C" hidden="1">#REF!</definedName>
    <definedName name="BEx3GN4LY0135CBDIN1TU2UEODGF" hidden="1">#REF!</definedName>
    <definedName name="BEx3GPDH2AH4QKT4OOSN563XUHBD" hidden="1">#REF!</definedName>
    <definedName name="BEx3GURP5REAKU7HN6E918B5JR38" hidden="1">#REF!</definedName>
    <definedName name="BEx3H5UX2GZFZZT657YR76RHW5I6" hidden="1">#REF!</definedName>
    <definedName name="BEx3HMSEFOP6DBM4R97XA6B7NFG6" hidden="1">#REF!</definedName>
    <definedName name="BEx3HU4V7M91749VOLX3QYCABSUB" hidden="1">#REF!</definedName>
    <definedName name="BEx3HWJ5SQSD2CVCQNR183X44FR8" hidden="1">#REF!</definedName>
    <definedName name="BEx3I09YVXO0G4X7KGSA4WGORM35" hidden="1">#REF!</definedName>
    <definedName name="BEx3I40PYD63FGT5USUFPEPF7MER" hidden="1">#REF!</definedName>
    <definedName name="BEx3ICF1GY8HQEBIU9S43PDJ90BX" hidden="1">#REF!</definedName>
    <definedName name="BEx3IPR311ANHBXRCFQAHINHWLAI" hidden="1">#REF!</definedName>
    <definedName name="BEx3IYAH2DEBFWO8F94H4MXE3RLY" hidden="1">#REF!</definedName>
    <definedName name="BEx3IZXXSYEW50379N2EAFWO8DZV" hidden="1">#REF!</definedName>
    <definedName name="BEx3J1VZVGTKT4ATPO9O5JCSFTTR" hidden="1">#REF!</definedName>
    <definedName name="BEx3JC2TY7JNAAC3L7QHVPQXLGQ8" hidden="1">#REF!</definedName>
    <definedName name="BEx3JC8C61RZ95Z4FA2S993O1NBN" hidden="1">#REF!</definedName>
    <definedName name="BEx3JX23SYDIGOGM4Y0CQFBW8ZBV" hidden="1">#REF!</definedName>
    <definedName name="BEx3JXCXCVBZJGV5VEG9MJEI01AL" hidden="1">#REF!</definedName>
    <definedName name="BEx3JYK2N7X59TPJSKYZ77ENY8SS" hidden="1">#REF!</definedName>
    <definedName name="BEx3K4EII7GU1CG0BN7UL15M6J8Z" hidden="1">#REF!</definedName>
    <definedName name="BEx3K4ZXQUQ2KYZF74B84SO48XMW" hidden="1">#REF!</definedName>
    <definedName name="BEx3KDUBONZQEJAFCOBG6C7LPD9S" hidden="1">#REF!</definedName>
    <definedName name="BEx3KEFXUCVNVPH7KSEGAZYX13B5" hidden="1">#REF!</definedName>
    <definedName name="BEx3KFXUAF6YXAA47B7Q6X9B3VGB" hidden="1">#REF!</definedName>
    <definedName name="BEx3KIXQYOGMPK4WJJAVBRX4NR28" hidden="1">#REF!</definedName>
    <definedName name="BEx3KJOMVOSFZVJUL3GKCNP6DQDS" hidden="1">#REF!</definedName>
    <definedName name="BEx3KP2VRBMORK0QEAZUYCXL3DHJ" hidden="1">#REF!</definedName>
    <definedName name="BEx3L4IKR3P54ALRNVJ2GKOHT1ZR" hidden="1">#REF!</definedName>
    <definedName name="BEx3L4IN3LI4C26SITKTGAH27CDU" hidden="1">#REF!</definedName>
    <definedName name="BEx3L4YQ0J7ZU0M5QM6YIPCEYC9K" hidden="1">#REF!</definedName>
    <definedName name="BEx3L60DJOR7NQN42G7YSAODP1EX" hidden="1">#REF!</definedName>
    <definedName name="BEx3L7D0PI38HWZ7VADU16C9E33D" hidden="1">#REF!</definedName>
    <definedName name="BEx3LHEK4X459HHL7TZPV84SUBBF" hidden="1">#REF!</definedName>
    <definedName name="BEx3LM1PR4Y7KINKMTMKR984GX8Q" hidden="1">#REF!</definedName>
    <definedName name="BEx3LPCEZ1C0XEKNCM3YT09JWCUO" hidden="1">#REF!</definedName>
    <definedName name="BEx3M1MR1K1NQD03H74BFWOK4MWQ" hidden="1">#REF!</definedName>
    <definedName name="BEx3M1MSO0QEAFFZ9J9YZ94JMQ5J" hidden="1">#REF!</definedName>
    <definedName name="BEx3M4H77MYUKOOD31H9F80NMVK8" hidden="1">#REF!</definedName>
    <definedName name="BEx3M9VFX329PZWYC4DMZ6P3W9R2" hidden="1">#REF!</definedName>
    <definedName name="BEx3MCQ0VEBV0CZXDS505L38EQ8N" hidden="1">#REF!</definedName>
    <definedName name="BEx3MEYV5LQY0BAL7V3CFAFVOM3T" hidden="1">#REF!</definedName>
    <definedName name="BEx3MREOFWJQEYMCMBL7ZE06NBN6" hidden="1">#REF!</definedName>
    <definedName name="BEx3N9331PKMMEEORSND851ULBS1" hidden="1">#REF!</definedName>
    <definedName name="BEx3NHS774Z0MYI7NO80PIPQZHEQ" hidden="1">#REF!</definedName>
    <definedName name="BEx3NKXF7GYXHBK75UI6MDRUSU0J" hidden="1">#REF!</definedName>
    <definedName name="BEx3NLIZ7PHF2XE59ECZ3MD04ZG1" hidden="1">#REF!</definedName>
    <definedName name="BEx3NMQ4BVC94728AUM7CCX7UHTU" hidden="1">#REF!</definedName>
    <definedName name="BEx3NR2I4OUFP3Z2QZEDU2PIFIDI" hidden="1">#REF!</definedName>
    <definedName name="BEx3O19B8FTTAPVT5DZXQGQXWFR8" hidden="1">#REF!</definedName>
    <definedName name="BEx3O85IKWARA6NCJOLRBRJFMEWW" hidden="1">#REF!</definedName>
    <definedName name="BEx3OJZSCGFRW7SVGBFI0X9DNVMM" hidden="1">#REF!</definedName>
    <definedName name="BEx3ORSBUXAF21MKEY90YJV9AY9A" hidden="1">#REF!</definedName>
    <definedName name="BEx3OV8BH6PYNZT7C246LOAU9SVX" hidden="1">#REF!</definedName>
    <definedName name="BEx3OXRYJZUEY6E72UJU0PHLMYAR" hidden="1">#REF!</definedName>
    <definedName name="BEx3P59TTRSGQY888P5C1O7M2PQT" hidden="1">#REF!</definedName>
    <definedName name="BEx3P6X3SN5XQDQOPM6RISZ57A6R" hidden="1">#REF!</definedName>
    <definedName name="BEx3PDNRRNKD5GOUBUQFXAHIXLD9" hidden="1">#REF!</definedName>
    <definedName name="BEx3PDT8GNPWLLN02IH1XPV90XYK" hidden="1">#REF!</definedName>
    <definedName name="BEx3PKEMDW8KZEP11IL927C5O7I2" hidden="1">#REF!</definedName>
    <definedName name="BEx3PKJZ1Z7L9S6KV8KXVS6B2FX4" hidden="1">#REF!</definedName>
    <definedName name="BEx3PMNG53Z5HY138H99QOMTX8W3" hidden="1">#REF!</definedName>
    <definedName name="BEx3PP1RRSFZ8UC0JC9R91W6LNKW" hidden="1">#REF!</definedName>
    <definedName name="BEx3PVXYZC8WB9ZJE7OCKUXZ46EA" hidden="1">#REF!</definedName>
    <definedName name="BEx3Q0VWPU5EQECK7MQ47TYJ3SWW" hidden="1">#REF!</definedName>
    <definedName name="BEx3Q7BZ9PUXK2RLIOFSIS9AHU1B" hidden="1">#REF!</definedName>
    <definedName name="BEx3Q8J42S9VU6EAN2Y28MR6DF88" hidden="1">#REF!</definedName>
    <definedName name="BEx3QEDFOYFY5NBTININ5W4RLD4Q" hidden="1">#REF!</definedName>
    <definedName name="BEx3QGX8EAPN1OPFJBVO0HXIAI3G" hidden="1">#REF!</definedName>
    <definedName name="BEx3QIKJ3U962US1Q564NZDLU8LD" hidden="1">#REF!</definedName>
    <definedName name="BEx3QR9D45DHW50VQ7Y3Q1AXPOB9" hidden="1">#REF!</definedName>
    <definedName name="BEx3QSWT2S5KWG6U2V9711IYDQBM" hidden="1">#REF!</definedName>
    <definedName name="BEx3QVGG7Q2X4HZHJAM35A8T3VR7" hidden="1">#REF!</definedName>
    <definedName name="BEx3R0JUB9YN8PHPPQTAMIT1IHWK" hidden="1">#REF!</definedName>
    <definedName name="BEx3R81NFRO7M81VHVKOBFT0QBIL" hidden="1">#REF!</definedName>
    <definedName name="BEx3RAQR9PRQJ2Z0JYZSJ9V2ZX4U" hidden="1">#REF!</definedName>
    <definedName name="BEx3RHC2ZD5UFS6QD4OPFCNNMWH1" hidden="1">#REF!</definedName>
    <definedName name="BEx3RQ10QIWBAPHALAA91BUUCM2X" hidden="1">#REF!</definedName>
    <definedName name="BEx3RV4E1WT43SZBUN09RTB8EK1O" hidden="1">#REF!</definedName>
    <definedName name="BEx3RXYU0QLFXSFTM5EB20GD03W5" hidden="1">#REF!</definedName>
    <definedName name="BEx3RYKLC3QQO3XTUN7BEW2AQL98" hidden="1">#REF!</definedName>
    <definedName name="BEx3SICJ45BYT6FHBER86PJT25FC" hidden="1">#REF!</definedName>
    <definedName name="BEx3SMUCMJVGQ2H4EHQI5ZFHEF0P" hidden="1">#REF!</definedName>
    <definedName name="BEx3SN56F03CPDRDA7LZ763V0N4I" hidden="1">#REF!</definedName>
    <definedName name="BEx3SPE6N1ORXPRCDL3JPZD73Z9F" hidden="1">#REF!</definedName>
    <definedName name="BEx3T29ZTULQE0OMSMWUMZDU9ZZ0" hidden="1">#REF!</definedName>
    <definedName name="BEx3T6MJ1QDJ929WMUDVZ0O3UW0Y" hidden="1">#REF!</definedName>
    <definedName name="BEx3TMICN1OQ9F33P9Q7WUBXK4DP" hidden="1">#REF!</definedName>
    <definedName name="BEx3TPCSI16OAB2L9M9IULQMQ9J9" hidden="1">#REF!</definedName>
    <definedName name="BEx3U64YUOZ419BAJS2W78UMATAW" hidden="1">#REF!</definedName>
    <definedName name="BEx3U94WCEA5DKMWBEX1GU0LKYG2" hidden="1">#REF!</definedName>
    <definedName name="BEx3U9VZ8SQVYS6ZA038J7AP7ZGW" hidden="1">#REF!</definedName>
    <definedName name="BEx3UIQ5WRJBGNTFCCLOR4N7B1OQ" hidden="1">#REF!</definedName>
    <definedName name="BEx3UJMIX2NUSSWGMSI25A5DM4CH" hidden="1">#REF!</definedName>
    <definedName name="BEx3UKOCOQG7S1YQ436S997K1KWV" hidden="1">#REF!</definedName>
    <definedName name="BEx3UYM19VIXLA0EU7LB9NHA77PB" hidden="1">#REF!</definedName>
    <definedName name="BEx3VML7CG70HPISMVYIUEN3711Q" hidden="1">#REF!</definedName>
    <definedName name="BEx56ZID5H04P9AIYLP1OASFGV56" hidden="1">#REF!</definedName>
    <definedName name="BEx587EYSS57E3PI8DT973HLJM9E" hidden="1">#REF!</definedName>
    <definedName name="BEx587KFQ3VKCOCY1SA5F24PQGUI" hidden="1">#REF!</definedName>
    <definedName name="BEx58O780PQ05NF0Z1SKKRB3N099" hidden="1">#REF!</definedName>
    <definedName name="BEx58XHO7ZULLF2EUD7YIS0MGQJ5" hidden="1">#REF!</definedName>
    <definedName name="BEx58ZFWUYORXG84631SOXQ0R32S" hidden="1">#REF!</definedName>
    <definedName name="BEx58ZW0HAIGIPEX9CVA1PQQTR6X" hidden="1">#REF!</definedName>
    <definedName name="BEx597OJVX5C7BV3OTN47S2KAQGU" hidden="1">#REF!</definedName>
    <definedName name="BEx59BA1KH3RG6K1LHL7YS2VB79N" hidden="1">#REF!</definedName>
    <definedName name="BEx59E9WABJP2TN71QAIKK79HPK9" hidden="1">#REF!</definedName>
    <definedName name="BEx59NPVBUGAMJGAK79MNNZ5TUJA" hidden="1">#REF!</definedName>
    <definedName name="BEx59P7MAPNU129ZTC5H3EH892G1" hidden="1">#REF!</definedName>
    <definedName name="BEx59UWNB9MTM9PN64OVG4BVY09O" hidden="1">#REF!</definedName>
    <definedName name="BEx5A11WZRQSIE089QE119AOX9ZG" hidden="1">#REF!</definedName>
    <definedName name="BEx5A7CIGCOTHJKHGUBDZG91JGPZ" hidden="1">#REF!</definedName>
    <definedName name="BEx5A8UFLT2SWVSG5COFA9B8P376" hidden="1">#REF!</definedName>
    <definedName name="BEx5AFFTN3IXIBHDKM0FYC4OFL1S" hidden="1">#REF!</definedName>
    <definedName name="BEx5AOFIO8KVRHIZ1RII337AA8ML" hidden="1">#REF!</definedName>
    <definedName name="BEx5AP6DPVRHI1M1UCKV05488KA0" hidden="1">#REF!</definedName>
    <definedName name="BEx5APRZ66L5BWHFE8E4YYNEDTI4" hidden="1">#REF!</definedName>
    <definedName name="BEx5AUVDSQ35VO4BD9AKKGBM5S7D" hidden="1">#REF!</definedName>
    <definedName name="BEx5B4RHHX0J1BF2FZKEA0SPP29O" hidden="1">#REF!</definedName>
    <definedName name="BEx5B5YMSWP0OVI5CIQRP5V18D0C" hidden="1">#REF!</definedName>
    <definedName name="BEx5B825RW35M5H0UB2IZGGRS4ER" hidden="1">#REF!</definedName>
    <definedName name="BEx5BAWPMY0TL684WDXX6KKJLRCN" hidden="1">#REF!</definedName>
    <definedName name="BEx5BBI61U4Y65GD0ARMTALPP7SJ" hidden="1">#REF!</definedName>
    <definedName name="BEx5BDR56MEV4IHY6CIH2SVNG1UB" hidden="1">#REF!</definedName>
    <definedName name="BEx5BECRBGJVQSXWFDINCMUCW3Z1" hidden="1">#REF!</definedName>
    <definedName name="BEx5BESZC5H329SKHGJOHZFILYJJ" hidden="1">#REF!</definedName>
    <definedName name="BEx5BHSQ42B50IU1TEQFUXFX9XQD" hidden="1">#REF!</definedName>
    <definedName name="BEx5BKSM4UN4C1DM3EYKM79MRC5K" hidden="1">#REF!</definedName>
    <definedName name="BEx5BNN8NPH9KVOBARB9CDD9WLB6" hidden="1">#REF!</definedName>
    <definedName name="BEx5BR8NZJYICFIRO5VNRGAUP93U" hidden="1">#REF!</definedName>
    <definedName name="BEx5BYFMZ80TDDN2EZO8CF39AIAC" hidden="1">#REF!</definedName>
    <definedName name="BEx5C2BWFW6SHZBFDEISKGXHZCQW" hidden="1">#REF!</definedName>
    <definedName name="BEx5C49ZFH8TO9ZU55729C3F7XG7" hidden="1">#REF!</definedName>
    <definedName name="BEx5C8GZQK13G60ZM70P63I5OS0L" hidden="1">#REF!</definedName>
    <definedName name="BEx5CAPTVN2NBT3UOMA1UFAL1C2R" hidden="1">#REF!</definedName>
    <definedName name="BEx5CEM3SYF9XP0ZZVE0GEPCLV3F" hidden="1">#REF!</definedName>
    <definedName name="BEx5CFYQ0F1Z6P8SCVJ0I3UPVFE4" hidden="1">#REF!</definedName>
    <definedName name="BEx5CHM7EOP16LT90RLZDNGR1IWF" hidden="1">#REF!</definedName>
    <definedName name="BEx5CINUDCSDCAJSNNV7XVNU8Q79" hidden="1">#REF!</definedName>
    <definedName name="BEx5CIT5SUDWRJVJLU8FRFLEZ705" hidden="1">#REF!</definedName>
    <definedName name="BEx5CNLUIOYU8EODGA03Z3547I9T" hidden="1">#REF!</definedName>
    <definedName name="BEx5CPEKNSJORIPFQC2E1LTRYY8L" hidden="1">#REF!</definedName>
    <definedName name="BEx5CSUOL05D8PAM2TRDA9VRJT1O" hidden="1">#REF!</definedName>
    <definedName name="BEx5CUNFOO4YDFJ22HCMI2QKIGKM" hidden="1">#REF!</definedName>
    <definedName name="BEx5D8L47OF0WHBPFWXGZINZWUBZ" hidden="1">#REF!</definedName>
    <definedName name="BEx5DAJAHQ2SKUPCKSCR3PYML67L" hidden="1">#REF!</definedName>
    <definedName name="BEx5DC18JM1KJCV44PF18E0LNRKA" hidden="1">#REF!</definedName>
    <definedName name="BEx5DJIZBTNS011R9IIG2OQ2L6ZX" hidden="1">#REF!</definedName>
    <definedName name="BEx5DUGQ6ATU0VWSU59H9B77H3ST" hidden="1">#REF!</definedName>
    <definedName name="BEx5E123OLO9WQUOIRIDJ967KAGK" hidden="1">#REF!</definedName>
    <definedName name="BEx5E2UU5NES6W779W2OZTZOB4O7" hidden="1">#REF!</definedName>
    <definedName name="BEx5E4CSE5G83J5K32WENF7BXL82" hidden="1">#REF!</definedName>
    <definedName name="BEx5ELQL9B0VR6UT18KP11DHOTFX" hidden="1">#REF!</definedName>
    <definedName name="BEx5ER4TJTFPN7IB1MNEB1ZFR5M6" hidden="1">#REF!</definedName>
    <definedName name="BEx5F6V72QTCK7O39Y59R0EVM6CW" hidden="1">#REF!</definedName>
    <definedName name="BEx5F7RKA3F5TJGTGDP0ROZ8SIJ8" hidden="1">#REF!</definedName>
    <definedName name="BEx5FBD0LKPWP8RW5QM1TRN861AU" hidden="1">#REF!</definedName>
    <definedName name="BEx5FGLQVACD5F5YZG4DGSCHCGO2" hidden="1">#REF!</definedName>
    <definedName name="BEx5FLJWHLW3BTZILDPN5NMA449V" hidden="1">#REF!</definedName>
    <definedName name="BEx5FNI2O10YN2SI1NO4X5GP3GTF" hidden="1">#REF!</definedName>
    <definedName name="BEx5FO8YRFSZCG3L608EHIHIHFY4" hidden="1">#REF!</definedName>
    <definedName name="BEx5FQNA6V4CNYSH013K45RI4BCV" hidden="1">#REF!</definedName>
    <definedName name="BEx5FVQPPEU32CPNV9RRQ9MNLLVE" hidden="1">#REF!</definedName>
    <definedName name="BEx5G08KGMG5X2AQKDGPFYG5GH94" hidden="1">#REF!</definedName>
    <definedName name="BEx5G1A7S3FH45PD2VBCNRSAPRB9" hidden="1">#REF!</definedName>
    <definedName name="BEx5G1A8TFN4C4QII35U9DKYNIS8" hidden="1">#REF!</definedName>
    <definedName name="BEx5G1L0QO91KEPDMV1D8OT4BT73" hidden="1">#REF!</definedName>
    <definedName name="BEx5G7KUFKADQWPFSL4AIIT4H92P" hidden="1">#REF!</definedName>
    <definedName name="BEx5G86DZL1VYUX6KWODAP3WFAWP" hidden="1">#REF!</definedName>
    <definedName name="BEx5G8BV2GIOCM3C7IUFK8L04A6M" hidden="1">#REF!</definedName>
    <definedName name="BEx5GID9MVBUPFFT9M8K8B5MO9NV" hidden="1">#REF!</definedName>
    <definedName name="BEx5GN0EWA9SCQDPQ7NTUQH82QVK" hidden="1">#REF!</definedName>
    <definedName name="BEx5GNBCU4WZ74I0UXFL9ZG2XSGJ" hidden="1">#REF!</definedName>
    <definedName name="BEx5GUCTYC7QCWGWU5BTO7Y7HDZX" hidden="1">#REF!</definedName>
    <definedName name="BEx5GYUPJULJQ624TEESYFG1NFOH" hidden="1">#REF!</definedName>
    <definedName name="BEx5H0NEE0AIN5E2UHJ9J9ISU9N1" hidden="1">#REF!</definedName>
    <definedName name="BEx5H1UJSEUQM2K8QHQXO5THVHSO" hidden="1">#REF!</definedName>
    <definedName name="BEx5HAOT9XWUF7XIFRZZS8B9F5TZ" hidden="1">#REF!</definedName>
    <definedName name="BEx5HE4XRF9BUY04MENWY9CHHN5H" hidden="1">#REF!</definedName>
    <definedName name="BEx5HFHMABAT0H9KKS754X4T304E" hidden="1">#REF!</definedName>
    <definedName name="BEx5HGDZ7MX1S3KNXLRL9WU565V4" hidden="1">#REF!</definedName>
    <definedName name="BEx5HJZ9FAVNZSSBTAYRPZDYM9NU" hidden="1">#REF!</definedName>
    <definedName name="BEx5HRRT16NNYBWXVDP16HXR7GUG" hidden="1">#REF!</definedName>
    <definedName name="BEx5HZ9JMKHNLFWLVUB1WP5B39BL" hidden="1">#REF!</definedName>
    <definedName name="BEx5I244LQHZTF3XI66J8705R9XX" hidden="1">#REF!</definedName>
    <definedName name="BEx5I8PBP4LIXDGID5BP0THLO0AQ" hidden="1">#REF!</definedName>
    <definedName name="BEx5I8USVUB3JP4S9OXGMZVMOQXR" hidden="1">#REF!</definedName>
    <definedName name="BEx5I9GDQSYIAL65UQNDMNFQCS9Y" hidden="1">#REF!</definedName>
    <definedName name="BEx5IBUPG9AWNW5PK7JGRGEJ4OLM" hidden="1">#REF!</definedName>
    <definedName name="BEx5IC06RVN8BSAEPREVKHKLCJ2L" hidden="1">#REF!</definedName>
    <definedName name="BEx5J0FFP1KS4NGY20AEJI8VREEA" hidden="1">#REF!</definedName>
    <definedName name="BEx5JF3ZXLDIS8VNKDCY7ZI7H1CI" hidden="1">#REF!</definedName>
    <definedName name="BEx5JHCZJ8G6OOOW6EF3GABXKH6F" hidden="1">#REF!</definedName>
    <definedName name="BEx5JJB6W446THXQCRUKD3I7RKLP" hidden="1">#REF!</definedName>
    <definedName name="BEx5JNCT8Z7XSSPD5EMNAJELCU2V" hidden="1">#REF!</definedName>
    <definedName name="BEx5JQCNT9Y4RM306CHC8IPY3HBZ" hidden="1">#REF!</definedName>
    <definedName name="BEx5K08PYKE6JOKBYIB006TX619P" hidden="1">#REF!</definedName>
    <definedName name="BEx5K51DSERT1TR7B4A29R41W4NX" hidden="1">#REF!</definedName>
    <definedName name="BEx5KYER580I4T7WTLMUN7NLNP5K" hidden="1">#REF!</definedName>
    <definedName name="BEx5KZWPE5FW5YOERQJ2QO9M1YQL" hidden="1">#REF!</definedName>
    <definedName name="BEx5LHLB3M6K4ZKY2F42QBZT30ZH" hidden="1">#REF!</definedName>
    <definedName name="BEx5LMJ89MNE6K008N1XJDBEQ40V" hidden="1">#REF!</definedName>
    <definedName name="BEx5LRMNU3HXIE1BUMDHRU31F7JJ" hidden="1">#REF!</definedName>
    <definedName name="BEx5LSJ1LPUAX3ENSPECWPG4J7D1" hidden="1">#REF!</definedName>
    <definedName name="BEx5LTKQ8RQWJE4BC88OP928893U" hidden="1">#REF!</definedName>
    <definedName name="BEx5M0GWB521OUUXW6OX35KBPKR0" hidden="1">#REF!</definedName>
    <definedName name="BEx5MB9BR71LZDG7XXQ2EO58JC5F" hidden="1">#REF!</definedName>
    <definedName name="BEx5MLQZM68YQSKARVWTTPINFQ2C" hidden="1">#REF!</definedName>
    <definedName name="BEx5MVXTKNBXHNWTL43C670E4KXC" hidden="1">#REF!</definedName>
    <definedName name="BEx5N4XI4PWB1W9PMZ4O5R0HWTYD" hidden="1">#REF!</definedName>
    <definedName name="BEx5NA68N6FJFX9UJXK4M14U487F" hidden="1">#REF!</definedName>
    <definedName name="BEx5NIKBG2GDJOYGE3WCXKU7YY51" hidden="1">#REF!</definedName>
    <definedName name="BEx5NV06L5J5IMKGOMGKGJ4PBZCD" hidden="1">#REF!</definedName>
    <definedName name="BEx5NZSSQ6PY99ZX2D7Q9IGOR34W" hidden="1">#REF!</definedName>
    <definedName name="BEx5O3ZUQ2OARA1CDOZ3NC4UE5AA" hidden="1">#REF!</definedName>
    <definedName name="BEx5OAFS0NJ2CB86A02E1JYHMLQ1" hidden="1">#REF!</definedName>
    <definedName name="BEx5OG4RPU8W1ETWDWM234NYYYEN" hidden="1">#REF!</definedName>
    <definedName name="BEx5OP9Y43F99O2IT69MKCCXGL61" hidden="1">#REF!</definedName>
    <definedName name="BEx5P2WSLOW6A5STMJNW968UD6KN" hidden="1">#REF!</definedName>
    <definedName name="BEx5P9Y9RDXNUAJ6CZ2LHMM8IM7T" hidden="1">#REF!</definedName>
    <definedName name="BEx5PHWB2C0D5QLP3BZIP3UO7DIZ" hidden="1">#REF!</definedName>
    <definedName name="BEx5PJP02W68K2E46L5C5YBSNU6T" hidden="1">#REF!</definedName>
    <definedName name="BEx5PLCA8DOMAU315YCS5275L2HS" hidden="1">#REF!</definedName>
    <definedName name="BEx5PRXMZ5M65Z732WNNGV564C2J" hidden="1">#REF!</definedName>
    <definedName name="BEx5QPSW4IPLH50WSR87HRER05RF" hidden="1">#REF!</definedName>
    <definedName name="BEx73V0EP8EMNRC3EZJJKKVKWQVB" hidden="1">#REF!</definedName>
    <definedName name="BEx741WJHIJVXUX131SBXTVW8D71" hidden="1">#REF!</definedName>
    <definedName name="BEx74Q6H3O7133AWQXWC21MI2UFT" hidden="1">#REF!</definedName>
    <definedName name="BEx74W6BJ8ENO3J25WNM5H5APKA3" hidden="1">#REF!</definedName>
    <definedName name="BEx755GRRD9BL27YHLH5QWIYLWB7" hidden="1">#REF!</definedName>
    <definedName name="BEx759D1D5SXS5ELLZVBI0SXYUNF" hidden="1">#REF!</definedName>
    <definedName name="BEx75GJZSZHUDN6OOAGQYFUDA2LP" hidden="1">#REF!</definedName>
    <definedName name="BEx75HGCCV5K4UCJWYV8EV9AG5YT" hidden="1">#REF!</definedName>
    <definedName name="BEx75PZT8TY5P13U978NVBUXKHT4" hidden="1">#REF!</definedName>
    <definedName name="BEx75T55F7GML8V1DMWL26WRT006" hidden="1">#REF!</definedName>
    <definedName name="BEx75VJGR07JY6UUWURQ4PJ29UKC" hidden="1">#REF!</definedName>
    <definedName name="BEx76P7IX7FTU0MKQNO8Y3YUAROP" hidden="1">#REF!</definedName>
    <definedName name="BEx7741OUGLA0WJQLQRUJSL4DE00" hidden="1">#REF!</definedName>
    <definedName name="BEx774N83DXLJZ54Q42PWIJZ2DN1" hidden="1">#REF!</definedName>
    <definedName name="BEx779QNIY3061ZV9BR462WKEGRW" hidden="1">#REF!</definedName>
    <definedName name="BEx77G19QU9A95CNHE6QMVSQR2T3" hidden="1">#REF!</definedName>
    <definedName name="BEx77P0S3GVMS7BJUL9OWUGJ1B02" hidden="1">#REF!</definedName>
    <definedName name="BEx77QDESURI6WW5582YXSK3A972" hidden="1">#REF!</definedName>
    <definedName name="BEx77VBI9XOPFHKEWU5EHQ9J675Y" hidden="1">#REF!</definedName>
    <definedName name="BEx7809GQOCLHSNH95VOYIX7P1TV" hidden="1">#REF!</definedName>
    <definedName name="BEx780K8XAXUHGVZGZWQ74DK4CI3" hidden="1">#REF!</definedName>
    <definedName name="BEx78226TN58UE0CTY98YEDU0LSL" hidden="1">#REF!</definedName>
    <definedName name="BEx7881ZZBWHRAX6W2GY19J8MGEQ" hidden="1">#REF!</definedName>
    <definedName name="BEx78HHRIWDLHQX2LG0HWFRYEL1T" hidden="1">#REF!</definedName>
    <definedName name="BEx78IJLNSF261GYTUGH8U92QTXL" hidden="1">#REF!</definedName>
    <definedName name="BEx78QMXZ2P1ZB3HJ9O50DWHCMXR" hidden="1">#REF!</definedName>
    <definedName name="BEx78SFO5VR28677DWZEMDN7G86X" hidden="1">#REF!</definedName>
    <definedName name="BEx78SFOYH1Z0ZDTO47W2M60TW6K" hidden="1">#REF!</definedName>
    <definedName name="BEx78SL0IVB9NANSY849BGFAMYYI" hidden="1">#REF!</definedName>
    <definedName name="BEx79JK3E6JO8MX4O35A5G8NZCC8" hidden="1">#REF!</definedName>
    <definedName name="BEx79OCP4HQ6XP8EWNGEUDLOZBBS" hidden="1">#REF!</definedName>
    <definedName name="BEx79SEAYKUZB0H4LYBCD6WWJBG2" hidden="1">#REF!</definedName>
    <definedName name="BEx79SJRHTLS9PYM69O9BWW1FMJK" hidden="1">#REF!</definedName>
    <definedName name="BEx79YJJLBELICW9F9FRYSCQ101L" hidden="1">#REF!</definedName>
    <definedName name="BEx79YUC7B0V77FSBGIRCY1BR4VK" hidden="1">#REF!</definedName>
    <definedName name="BEx7A06T3RC2891FUX05G3QPRAUE" hidden="1">#REF!</definedName>
    <definedName name="BEx7A9S3JA1X7FH4CFSQLTZC4691" hidden="1">#REF!</definedName>
    <definedName name="BEx7ABA2C9IWH5VSLVLLLCY62161" hidden="1">#REF!</definedName>
    <definedName name="BEx7AE4LPLX8N85BYB0WCO5S7ZPV" hidden="1">#REF!</definedName>
    <definedName name="BEx7AR5WEFND47RYOWCDANRGF1ED" hidden="1">#REF!</definedName>
    <definedName name="BEx7ASD1I654MEDCO6GGWA95PXSC" hidden="1">#REF!</definedName>
    <definedName name="BEx7AURD2AFGLUVP9VQM5B6PAJ60" hidden="1">#REF!</definedName>
    <definedName name="BEx7AVCX9S5RJP3NSZ4QM4E6ERDT" hidden="1">#REF!</definedName>
    <definedName name="BEx7AVYIGP0930MV5JEBWRYCJN68" hidden="1">#REF!</definedName>
    <definedName name="BEx7AX0DJQ0S9AJVOB5HZFNL3C23" hidden="1">#REF!</definedName>
    <definedName name="BEx7B6LH6917TXOSAAQ6U7HVF018" hidden="1">#REF!</definedName>
    <definedName name="BEx7BPXFZXJ79FQ0E8AQE21PGVHA" hidden="1">#REF!</definedName>
    <definedName name="BEx7C04AM39DQMC1TIX7CFZ2ADHX" hidden="1">#REF!</definedName>
    <definedName name="BEx7C40F0PQURHPI6YQ39NFIR86Z" hidden="1">#REF!</definedName>
    <definedName name="BEx7C57SEZX16NXDA4AGH5ZMSCI5" hidden="1">#REF!</definedName>
    <definedName name="BEx7C93VR7SYRIJS1JO8YZKSFAW9" hidden="1">#REF!</definedName>
    <definedName name="BEx7CCPC6R1KQQZ2JQU6EFI1G0RM" hidden="1">#REF!</definedName>
    <definedName name="BEx7CIJST9GLS2QD383UK7VUDTGL" hidden="1">#REF!</definedName>
    <definedName name="BEx7CO8T2XKC7GHDSYNAWTZ9L7YR" hidden="1">#REF!</definedName>
    <definedName name="BEx7CW1CF00DO8A36UNC2X7K65C2" hidden="1">#REF!</definedName>
    <definedName name="BEx7CW6NFRL2P4XWP0MWHIYA97KF" hidden="1">#REF!</definedName>
    <definedName name="BEx7D5RWKRS4W71J4NZ6ZSFHPKFT" hidden="1">#REF!</definedName>
    <definedName name="BEx7D8H1TPOX1UN17QZYEV7Q58GA" hidden="1">#REF!</definedName>
    <definedName name="BEx7DGF13H2074LRWFZQ45PZ6JPX" hidden="1">#REF!</definedName>
    <definedName name="BEx7DKWUXEDIISSX4GDD4YYT887F" hidden="1">#REF!</definedName>
    <definedName name="BEx7DMUYR2HC26WW7AOB1TULERMB" hidden="1">#REF!</definedName>
    <definedName name="BEx7DVJTRV44IMJIBFXELE67SZ7S" hidden="1">#REF!</definedName>
    <definedName name="BEx7DVUMFCI5INHMVFIJ44RTTSTT" hidden="1">#REF!</definedName>
    <definedName name="BEx7E2QT2U8THYOKBPXONB1B47WH" hidden="1">#REF!</definedName>
    <definedName name="BEx7E5QP7W6UKO74F5Y0VJ741HS5" hidden="1">#REF!</definedName>
    <definedName name="BEx7E6N29HGH3I47AFB2DCS6MVS6" hidden="1">#REF!</definedName>
    <definedName name="BEx7EBA8IYHQKT7IQAOAML660SYA" hidden="1">#REF!</definedName>
    <definedName name="BEx7EI6C8MCRZFEQYUBE5FSUTIHK" hidden="1">#REF!</definedName>
    <definedName name="BEx7EI6DL1Z6UWLFBXAKVGZTKHWJ" hidden="1">#REF!</definedName>
    <definedName name="BEx7EP2K2KNW6GCFMA5YT7IF1W6X" hidden="1">#REF!</definedName>
    <definedName name="BEx7EQKHX7GZYOLXRDU534TT4H64" hidden="1">#REF!</definedName>
    <definedName name="BEx7ETV6L1TM7JSXJIGK3FC6RVZW" hidden="1">#REF!</definedName>
    <definedName name="BEx7EYYLHMBYQTH6I377FCQS7CSX" hidden="1">#REF!</definedName>
    <definedName name="BEx7FACMMAOL6REFA8STF9VP2YHG" hidden="1">#REF!</definedName>
    <definedName name="BEx7FCLG1RYI2SNOU1Y2GQZNZSWA" hidden="1">#REF!</definedName>
    <definedName name="BEx7FN32ZGWOAA4TTH79KINTDWR9" hidden="1">#REF!</definedName>
    <definedName name="BEx7FV6E84VJ3Y64LIP8CZ5KWCTB" hidden="1">#REF!</definedName>
    <definedName name="BEx7G82CKM3NIY1PHNFK28M09PCH" hidden="1">#REF!</definedName>
    <definedName name="BEx7GR3ENYWRXXS5IT0UMEGOLGUH" hidden="1">#REF!</definedName>
    <definedName name="BEx7GSAL6P7TASL8MB63RFST1LJL" hidden="1">#REF!</definedName>
    <definedName name="BEx7H0JD6I5I8WQLLWOYWY5YWPQE" hidden="1">#REF!</definedName>
    <definedName name="BEx7H14XCXH7WEXEY1HVO53A6AGH" hidden="1">#REF!</definedName>
    <definedName name="BEx7HFTIA8AC8BR8HKIN81VE1SGW" hidden="1">#REF!</definedName>
    <definedName name="BEx7HGVBEF4LEIF6RC14N3PSU461" hidden="1">#REF!</definedName>
    <definedName name="BEx7HQ5T9FZ42QWS09UO4DT42Y0R" hidden="1">#REF!</definedName>
    <definedName name="BEx7HRCZE3CVGON1HV07MT5MNDZ3" hidden="1">#REF!</definedName>
    <definedName name="BEx7HWGE2CANG5M17X4C8YNC3N8F" hidden="1">#REF!</definedName>
    <definedName name="BEx7IBVYN47SFZIA0K4MDKQZNN9V" hidden="1">#REF!</definedName>
    <definedName name="BEx7IV2IJ5WT7UC0UG7WP0WF2JZI" hidden="1">#REF!</definedName>
    <definedName name="BEx7IXGU74GE5E4S6W4Z13AR092Y" hidden="1">#REF!</definedName>
    <definedName name="BEx7J4YL8Q3BI1MLH16YYQ18IJRD" hidden="1">#REF!</definedName>
    <definedName name="BEx7J90BQ4W1LNFEW4JZSMA21COM" hidden="1">#REF!</definedName>
    <definedName name="BEx7JH3HGBPI07OHZ5LFYK0UFZQR" hidden="1">#REF!</definedName>
    <definedName name="BEx7JUQHGM0FW6VMHCRGARWAQQ1P" hidden="1">#REF!</definedName>
    <definedName name="BEx7JV194190CNM6WWGQ3UBJ3CHH" hidden="1">#REF!</definedName>
    <definedName name="BEx7K7GZ607XQOGB81A1HINBTGOZ" hidden="1">#REF!</definedName>
    <definedName name="BEx7KEYPBDXSNROH8M6CDCBN6B50" hidden="1">#REF!</definedName>
    <definedName name="BEx7KSAS8BZT6H8OQCZ5DNSTMO07" hidden="1">#REF!</definedName>
    <definedName name="BEx7KWHTBD21COXVI4HNEQH0Z3L8" hidden="1">#REF!</definedName>
    <definedName name="BEx7KXUGRMRSUXCM97Z7VRZQ9JH2" hidden="1">#REF!</definedName>
    <definedName name="BEx7L21IQVP1N1TTQLRMANSSLSLE" hidden="1">#REF!</definedName>
    <definedName name="BEx7L5C6U8MP6IZ67BD649WQYJEK" hidden="1">#REF!</definedName>
    <definedName name="BEx7L8HEYEVTATR0OG5JJO647KNI" hidden="1">#REF!</definedName>
    <definedName name="BEx7L8XOV64OMS15ZFURFEUXLMWF" hidden="1">#REF!</definedName>
    <definedName name="BEx7M8G6819VFDEZCEM0OOL6ZI6K" hidden="1">#REF!</definedName>
    <definedName name="BEx7MAUI1JJFDIJGDW4RWY5384LY" hidden="1">#REF!</definedName>
    <definedName name="BEx7MJZO3UKAMJ53UWOJ5ZD4GGMQ" hidden="1">#REF!</definedName>
    <definedName name="BEx7MT4MFNXIVQGAT6D971GZW7CA" hidden="1">#REF!</definedName>
    <definedName name="BEx7NI062THZAM6I8AJWTFJL91CS" hidden="1">#REF!</definedName>
    <definedName name="BEx904S75BPRYMHF0083JF7ES4NG" hidden="1">#REF!</definedName>
    <definedName name="BEx90HDD4RWF7JZGA8GCGG7D63MG" hidden="1">#REF!</definedName>
    <definedName name="BEx90K2HOBQV4X5K66VTEATA4868" hidden="1">#REF!</definedName>
    <definedName name="BEx90VGH5H09ON2QXYC9WIIEU98T" hidden="1">#REF!</definedName>
    <definedName name="BEx9175B70QXYAU5A8DJPGZQ46L9" hidden="1">#REF!</definedName>
    <definedName name="BEx91AQQRTV87AO27VWHSFZAD4ZR" hidden="1">#REF!</definedName>
    <definedName name="BEx91IZDWU9D3DQJ0B707MQOCTHL" hidden="1">#REF!</definedName>
    <definedName name="BEx91L8FLL5CWLA2CDHKCOMGVDZN" hidden="1">#REF!</definedName>
    <definedName name="BEx91OTVH9ZDBC3QTORU8RZX4EOC" hidden="1">#REF!</definedName>
    <definedName name="BEx91QH5JRZKQP1GPN2SQMR3CKAG" hidden="1">#REF!</definedName>
    <definedName name="BEx91ROALDNHO7FI4X8L61RH4UJE" hidden="1">#REF!</definedName>
    <definedName name="BEx91TMID71GVYH0U16QM1RV3PX0" hidden="1">#REF!</definedName>
    <definedName name="BEx91VF2D78PAF337E3L2L81K9W2" hidden="1">#REF!</definedName>
    <definedName name="BEx921PNZ46VORG2VRMWREWIC0SE" hidden="1">#REF!</definedName>
    <definedName name="BEx92DPEKL5WM5A3CN8674JI0PR3" hidden="1">#REF!</definedName>
    <definedName name="BEx92ER2RMY93TZK0D9L9T3H0GI5" hidden="1">#REF!</definedName>
    <definedName name="BEx92FI04PJT4LI23KKIHRXWJDTT" hidden="1">#REF!</definedName>
    <definedName name="BEx92HR14HQ9D5JXCSPA4SS4RT62" hidden="1">#REF!</definedName>
    <definedName name="BEx92HWA2D6A5EX9MFG68G0NOMSN" hidden="1">#REF!</definedName>
    <definedName name="BEx92PUBDIXAU1FW5ZAXECMAU0LN" hidden="1">#REF!</definedName>
    <definedName name="BEx92S8MHFFIVRQ2YSHZNQGOFUHD" hidden="1">#REF!</definedName>
    <definedName name="BEx93B9OULL2YGC896XXYAAJSTRK" hidden="1">#REF!</definedName>
    <definedName name="BEx93DTB2GY1M3AUUUPGRO91AC3H" hidden="1">#REF!</definedName>
    <definedName name="BEx93FRKF99NRT3LH99UTIH7AAYF" hidden="1">#REF!</definedName>
    <definedName name="BEx93LGJSX56KRQHFLGX0XQY8A9X" hidden="1">#REF!</definedName>
    <definedName name="BEx93M7FSHP50OG34A4W8W8DF12U" hidden="1">#REF!</definedName>
    <definedName name="BEx93OLWY2O3PRA74U41VG5RXT4Q" hidden="1">#REF!</definedName>
    <definedName name="BEx93RWFAF6YJGYUTITVM445C02U" hidden="1">#REF!</definedName>
    <definedName name="BEx93SY9RWG3HUV4YXQKXJH9FH14" hidden="1">#REF!</definedName>
    <definedName name="BEx93TJUX3U0FJDBG6DDSNQ91R5J" hidden="1">#REF!</definedName>
    <definedName name="BEx93UWCFR02M4QWOMDQJ1V55VQY" hidden="1">#REF!</definedName>
    <definedName name="BEx942UCRHMI4B0US31HO95GSC2X" hidden="1">#REF!</definedName>
    <definedName name="BEx948ZFFQWVIDNG4AZAUGGGEB5U" hidden="1">#REF!</definedName>
    <definedName name="BEx94CKXG92OMURH41SNU6IOHK4J" hidden="1">#REF!</definedName>
    <definedName name="BEx94GXG30CIVB6ZQN3X3IK6BZXQ" hidden="1">#REF!</definedName>
    <definedName name="BEx94HZ5LURYM9ST744ALV6ZCKYP" hidden="1">#REF!</definedName>
    <definedName name="BEx94IQ75E90YUMWJ9N591LR7DQQ" hidden="1">#REF!</definedName>
    <definedName name="BEx94N7W5T3U7UOE97D6OVIBUCXS" hidden="1">#REF!</definedName>
    <definedName name="BEx94WD0TZ1257JHUKRI5CJHWI4B" hidden="1">#REF!</definedName>
    <definedName name="BEx955NIAWX5OLAHMTV6QFUZPR30" hidden="1">#REF!</definedName>
    <definedName name="BEx9581TYVI2M5TT4ISDAJV4W7Z6" hidden="1">#REF!</definedName>
    <definedName name="BEx95AW919PPPOWZLUNKRJZPXLK2" hidden="1">#REF!</definedName>
    <definedName name="BEx95NHF4RVUE0YDOAFZEIVBYJXD" hidden="1">#REF!</definedName>
    <definedName name="BEx95QBZMG0E2KQ9BERJ861QLYN3" hidden="1">#REF!</definedName>
    <definedName name="BEx95QHBVDN795UNQJLRXG3RDU49" hidden="1">#REF!</definedName>
    <definedName name="BEx95TBVUWV7L7OMFMZDQEXGVHU6" hidden="1">#REF!</definedName>
    <definedName name="BEx95U89DZZSVO39TGS62CX8G9N4" hidden="1">#REF!</definedName>
    <definedName name="BEx95YQ45UMWVAKH2U5J5GXQWO5X" hidden="1">#REF!</definedName>
    <definedName name="BEx9602K2GHNBUEUVT9ONRQU1GMD" hidden="1">#REF!</definedName>
    <definedName name="BEx962BL3Y4LA53EBYI64ZYMZE8U" hidden="1">#REF!</definedName>
    <definedName name="BEx966D5OSUFP8N7WWGWP064G009" hidden="1">#REF!</definedName>
    <definedName name="BEx96KR21O7H9R29TN0S45Y3QPUK" hidden="1">#REF!</definedName>
    <definedName name="BEx96SUFKHHFE8XQ6UUO6ILDOXHO" hidden="1">#REF!</definedName>
    <definedName name="BEx96UN4YWXBDEZ1U1ZUIPP41Z7I" hidden="1">#REF!</definedName>
    <definedName name="BEx970MYCPJ6DQ44TKLOIGZO5LHH" hidden="1">#REF!</definedName>
    <definedName name="BEx978KSD61YJH3S9DGO050R2EHA" hidden="1">#REF!</definedName>
    <definedName name="BEx97H9O1NAKAPK4MX4PKO34ICL5" hidden="1">#REF!</definedName>
    <definedName name="BEx97HVA5F2I0D6ID81KCUDEQOIH" hidden="1">#REF!</definedName>
    <definedName name="BEx97MNUZQ1Z0AO2FL7XQYVNCPR7" hidden="1">#REF!</definedName>
    <definedName name="BEx97NPQBACJVD9K1YXI08RTW9E2" hidden="1">#REF!</definedName>
    <definedName name="BEx97RWQLXS0OORDCN69IGA58CWU" hidden="1">#REF!</definedName>
    <definedName name="BEx97YNGGDFIXHTMGFL2IHAQX9MI" hidden="1">#REF!</definedName>
    <definedName name="BEx9811RDVINICYQ0P3YZDX0FV9D" hidden="1">#REF!</definedName>
    <definedName name="BEx981HW73BUZWT14TBTZHC0ZTJ4" hidden="1">#REF!</definedName>
    <definedName name="BEx9871KU0N99P0900EAK69VFYT2" hidden="1">#REF!</definedName>
    <definedName name="BEx98IFKNJFGZFLID1YTRFEG1SXY" hidden="1">#REF!</definedName>
    <definedName name="BEx9915UVD4G7RA3IMLFZ0LG3UA2" hidden="1">#REF!</definedName>
    <definedName name="BEx992CZON8AO7U7V88VN1JBO0MG" hidden="1">#REF!</definedName>
    <definedName name="BEx9939EWYUN8R4Y8FG22U9H31OH" hidden="1">#REF!</definedName>
    <definedName name="BEx9952469XMFGSPXL7CMXHPJF90" hidden="1">#REF!</definedName>
    <definedName name="BEx99B77I7TUSHRR4HIZ9FU2EIUT" hidden="1">#REF!</definedName>
    <definedName name="BEx99Q6PH5F3OQKCCAAO75PYDEFN" hidden="1">#REF!</definedName>
    <definedName name="BEx99UOIXUHQ7Q8ZM9M3BAWW70YX" hidden="1">#REF!</definedName>
    <definedName name="BEx99WBYT2D6UUC1PT7A40ENYID4" hidden="1">#REF!</definedName>
    <definedName name="BEx99ZRZ4I7FHDPGRAT5VW7NVBPU" hidden="1">#REF!</definedName>
    <definedName name="BEx9AM3QH1HMZ20KQ13ILFYT6QH8" hidden="1">#REF!</definedName>
    <definedName name="BEx9ASEAK4E0UODDPWD4IAA7Z7LP" hidden="1">#REF!</definedName>
    <definedName name="BEx9AT5E3ZSHKSOL35O38L8HF9TH" hidden="1">#REF!</definedName>
    <definedName name="BEx9AV8W1FAWF5BHATYEN47X12JN" hidden="1">#REF!</definedName>
    <definedName name="BEx9B8A5186FNTQQNLIO5LK02ABI" hidden="1">#REF!</definedName>
    <definedName name="BEx9B8VR20E2CILU4CDQUQQ9ONXK" hidden="1">#REF!</definedName>
    <definedName name="BEx9B917EUP13X6FQ3NPQL76XM5V" hidden="1">#REF!</definedName>
    <definedName name="BEx9BAJ5WYEQ623HUT9NNCMP3RUG" hidden="1">#REF!</definedName>
    <definedName name="BEx9BYSYW7QCPXS2NAVLFAU5Y2Z2" hidden="1">#REF!</definedName>
    <definedName name="BEx9C590HJ2O31IWJB73C1HR74AI" hidden="1">#REF!</definedName>
    <definedName name="BEx9CCQRMYYOGIOYTOM73VKDIPS1" hidden="1">#REF!</definedName>
    <definedName name="BEx9CX4B8JLF5TK7YLDERLT00IC5" hidden="1">#REF!</definedName>
    <definedName name="BEx9D1BC9FT19KY0INAABNDBAMR1" hidden="1">#REF!</definedName>
    <definedName name="BEx9DN6ZMF18Q39MPMXSDJTZQNJ3" hidden="1">#REF!</definedName>
    <definedName name="BEx9E14TDNSEMI784W0OTIEQMWN6" hidden="1">#REF!</definedName>
    <definedName name="BEx9E2BZ2B1R41FMGJCJ7JLGLUAJ" hidden="1">#REF!</definedName>
    <definedName name="BEx9EG9KBJ77M8LEOR9ITOKN5KXY" hidden="1">#REF!</definedName>
    <definedName name="BEx9EMK6HAJJMVYZTN5AUIV7O1E6" hidden="1">#REF!</definedName>
    <definedName name="BEx9EQLVZHYQ1TPX7WH3SOWXCZLE" hidden="1">#REF!</definedName>
    <definedName name="BEx9ETLU0EK5LGEM1QCNYN2S8O5F" hidden="1">#REF!</definedName>
    <definedName name="BEx9F0Y2ESUNE3U7TQDLMPE9BO67" hidden="1">#REF!</definedName>
    <definedName name="BEx9F5W18ZGFOKGRE8PR6T1MO6GT" hidden="1">#REF!</definedName>
    <definedName name="BEx9F78N4HY0XFGBQ4UJRD52L1EI" hidden="1">#REF!</definedName>
    <definedName name="BEx9FF16LOQP5QIR4UHW5EIFGQB8" hidden="1">#REF!</definedName>
    <definedName name="BEx9FJTSRCZ3ZXT3QVBJT5NF8T7V" hidden="1">#REF!</definedName>
    <definedName name="BEx9FOX8U6DZNRYMU8R59O4LAI9V" hidden="1">#REF!</definedName>
    <definedName name="BEx9FRBEEYPS5HLS3XT34AKZN94G" hidden="1">#REF!</definedName>
    <definedName name="BEx9GDY4D8ZPQJCYFIMYM0V0C51Y" hidden="1">#REF!</definedName>
    <definedName name="BEx9GGY04V0ZWI6O9KZH4KSBB389" hidden="1">#REF!</definedName>
    <definedName name="BEx9GNOPB6OZ2RH3FCDNJR38RJOS" hidden="1">#REF!</definedName>
    <definedName name="BEx9GUQALUWCD30UKUQGSWW8KBQ7" hidden="1">#REF!</definedName>
    <definedName name="BEx9GY6BVFQGCLMOWVT6PIC9WP5X" hidden="1">#REF!</definedName>
    <definedName name="BEx9GZ2P3FDHKXEBXX2VS0BG2NP2" hidden="1">#REF!</definedName>
    <definedName name="BEx9H04IB14E1437FF2OIRRWBSD7" hidden="1">#REF!</definedName>
    <definedName name="BEx9H5O1KDZJCW91Q29VRPY5YS6P" hidden="1">#REF!</definedName>
    <definedName name="BEx9H8YR0E906F1JXZMBX3LNT004" hidden="1">#REF!</definedName>
    <definedName name="BEx9I8XIG7E5NB48QQHXP23FIN60" hidden="1">#REF!</definedName>
    <definedName name="BEx9IQRF01ATLVK0YE60ARKQJ68L" hidden="1">#REF!</definedName>
    <definedName name="BEx9IT5QNZWKM6YQ5WER0DC2PMMU" hidden="1">#REF!</definedName>
    <definedName name="BEx9IW5MFLXTVCJHVUZTUH93AXOS" hidden="1">#REF!</definedName>
    <definedName name="BEx9IXCSPSZC80YZUPRCYTG326KV" hidden="1">#REF!</definedName>
    <definedName name="BEx9IZR39NHDGOM97H4E6F81RTQW" hidden="1">#REF!</definedName>
    <definedName name="BEx9J6CH5E7YZPER7HXEIOIKGPCA" hidden="1">#REF!</definedName>
    <definedName name="BEx9JJTZKVUJAVPTRE0RAVTEH41G" hidden="1">#REF!</definedName>
    <definedName name="BEx9JLBYK239B3F841C7YG1GT7ST" hidden="1">#REF!</definedName>
    <definedName name="BEx9KMHVLYBKAC6GPMF07IV6DC6S" hidden="1">#REF!</definedName>
    <definedName name="BExAW4IIW5D0MDY6TJ3G4FOLPYIR" hidden="1">#REF!</definedName>
    <definedName name="BExAX410NB4F2XOB84OR2197H8M5" hidden="1">#REF!</definedName>
    <definedName name="BExAX8TNG8LQ5Q4904SAYQIPGBSV" hidden="1">#REF!</definedName>
    <definedName name="BExAXZ1N71I0VLU9MQ2EB6U3QD70" hidden="1">#REF!</definedName>
    <definedName name="BExAY0EAT2LXR5MFGM0DLIB45PLO" hidden="1">#REF!</definedName>
    <definedName name="BExAYE6LNIEBR9DSNI5JGNITGKIT" hidden="1">#REF!</definedName>
    <definedName name="BExAYHMLXGGO25P8HYB2S75DEB4F" hidden="1">#REF!</definedName>
    <definedName name="BExAYKXAUWGDOPG952TEJ2UKZKWN" hidden="1">#REF!</definedName>
    <definedName name="BExAYP9TDTI2MBP6EYE0H39CPMXN" hidden="1">#REF!</definedName>
    <definedName name="BExAYP9TG60ESDTDNHGI7C5Q4516" hidden="1">#REF!</definedName>
    <definedName name="BExAYPPWJPWDKU59O051WMGB7O0J" hidden="1">#REF!</definedName>
    <definedName name="BExAYR2JZCJBUH6F1LZC2A7JIVRJ" hidden="1">#REF!</definedName>
    <definedName name="BExAYTGVRD3DLKO75RFPMBKCIWB8" hidden="1">#REF!</definedName>
    <definedName name="BExAYY9H9COOT46HJLPVDLTO12UL" hidden="1">#REF!</definedName>
    <definedName name="BExAZCNEGB4JYHC8CZ51KTN890US" hidden="1">#REF!</definedName>
    <definedName name="BExAZFCI302YFYRDJYQDWQQL0Q0O" hidden="1">#REF!</definedName>
    <definedName name="BExAZLHLST9OP89R1HJMC1POQG8H" hidden="1">#REF!</definedName>
    <definedName name="BExAZMDYMIAA7RX1BMCKU1VLBRGY" hidden="1">#REF!</definedName>
    <definedName name="BExAZNL6BHI8DCQWXOX4I2P839UX" hidden="1">#REF!</definedName>
    <definedName name="BExAZRMWSONMCG9KDUM4KAQ7BONM" hidden="1">#REF!</definedName>
    <definedName name="BExAZTFG4SJRG4TW6JXRF7N08JFI" hidden="1">#REF!</definedName>
    <definedName name="BExAZUS4A8OHDZK0MWAOCCCKTH73" hidden="1">#REF!</definedName>
    <definedName name="BExAZX6FECVK3E07KXM2XPYKGM6U" hidden="1">#REF!</definedName>
    <definedName name="BExB012NJ8GASTNNPBRRFTLHIOC9" hidden="1">#REF!</definedName>
    <definedName name="BExB029V2GAEDC925RRUQPIYTJ96" hidden="1">#REF!</definedName>
    <definedName name="BExB072HHXVMUC0VYNGG48GRSH5Q" hidden="1">#REF!</definedName>
    <definedName name="BExB0CLZOGQ7PO4KHYVT1JYPUZGW" hidden="1">#REF!</definedName>
    <definedName name="BExB0FRDEYDEUEAB1W8KD6D965XA" hidden="1">#REF!</definedName>
    <definedName name="BExB0KPCN7YJORQAYUCF4YKIKPMC" hidden="1">#REF!</definedName>
    <definedName name="BExB0WE4PI3NOBXXVO9CTEN4DIU2" hidden="1">#REF!</definedName>
    <definedName name="BExB10QNIVITUYS55OAEKK3VLJFE" hidden="1">#REF!</definedName>
    <definedName name="BExB15ZDRY4CIJ911DONP0KCY9KU" hidden="1">#REF!</definedName>
    <definedName name="BExB16VQY0O0RLZYJFU3OFEONVTE" hidden="1">#REF!</definedName>
    <definedName name="BExB1FKNY2UO4W5FUGFHJOA2WFGG" hidden="1">#REF!</definedName>
    <definedName name="BExB1GMD0PIDGTFBGQOPRWQSP9I4" hidden="1">#REF!</definedName>
    <definedName name="BExB1Q29OO6LNFNT1EQLA3KYE7MX" hidden="1">#REF!</definedName>
    <definedName name="BExB1TNRV5EBWZEHYLHI76T0FVA7" hidden="1">#REF!</definedName>
    <definedName name="BExB1WI6M8I0EEP1ANUQZCFY24EV" hidden="1">#REF!</definedName>
    <definedName name="BExB203OWC9QZA3BYOKQ18L4FUJE" hidden="1">#REF!</definedName>
    <definedName name="BExB2CJHTU7C591BR4WRL5L2F2K6" hidden="1">#REF!</definedName>
    <definedName name="BExB2K1AV4PGNS1O6C7D7AO411AX" hidden="1">#REF!</definedName>
    <definedName name="BExB2O2UYHKI324YE324E1N7FVIB" hidden="1">#REF!</definedName>
    <definedName name="BExB2Q0VJ0MU2URO3JOVUAVHEI3V" hidden="1">#REF!</definedName>
    <definedName name="BExB30IP1DNKNQ6PZ5ERUGR5MK4Z" hidden="1">#REF!</definedName>
    <definedName name="BExB3WFQ66F2A4NRS8KWCFWUUH5E" hidden="1">#REF!</definedName>
    <definedName name="BExB442RX0T3L6HUL6X5T21CENW6" hidden="1">#REF!</definedName>
    <definedName name="BExB4ADD0L7417CII901XTFKXD1J" hidden="1">#REF!</definedName>
    <definedName name="BExB4DO1V1NL2AVK5YE1RSL5RYHL" hidden="1">#REF!</definedName>
    <definedName name="BExB4DYU06HCGRIPBSWRCXK804UM" hidden="1">#REF!</definedName>
    <definedName name="BExB4L5SCDKB0XCUIYONDFHUWDZO" hidden="1">#REF!</definedName>
    <definedName name="BExB4Z3EZBGYYI33U0KQ8NEIH8PY" hidden="1">#REF!</definedName>
    <definedName name="BExB55368XW7UX657ZSPC6BFE92S" hidden="1">#REF!</definedName>
    <definedName name="BExB57MZEPL2SA2ONPK66YFLZWJU" hidden="1">#REF!</definedName>
    <definedName name="BExB5833OAOJ22VK1YK47FHUSVK2" hidden="1">#REF!</definedName>
    <definedName name="BExB58JDIHS42JZT9DJJMKA8QFCO" hidden="1">#REF!</definedName>
    <definedName name="BExB58U5FQC5JWV9CGC83HLLZUZI" hidden="1">#REF!</definedName>
    <definedName name="BExB5EDO9XUKHF74X3HAU2WPPHZH" hidden="1">#REF!</definedName>
    <definedName name="BExB5G6EH68AYEP1UT0GHUEL3SLN" hidden="1">#REF!</definedName>
    <definedName name="BExB5QYVEZWFE5DQVHAM760EV05X" hidden="1">#REF!</definedName>
    <definedName name="BExB5TD67T0BW16PZV2XO3BC8QM9" hidden="1">#REF!</definedName>
    <definedName name="BExB5U9IRH14EMOE0YGIE3WIVLFS" hidden="1">#REF!</definedName>
    <definedName name="BExB5VWYMOV6BAIH7XUBBVPU7MMD" hidden="1">#REF!</definedName>
    <definedName name="BExB610DZWIJP1B72U9QM42COH2B" hidden="1">#REF!</definedName>
    <definedName name="BExB6C3FUAKK9ML5T767NMWGA9YB" hidden="1">#REF!</definedName>
    <definedName name="BExB6C8X6JYRLKZKK17VE3QUNL3D" hidden="1">#REF!</definedName>
    <definedName name="BExB6HN3QRFPXM71MDUK21BKM7PF" hidden="1">#REF!</definedName>
    <definedName name="BExB6IZMHCZ3LB7N73KD90YB1HBZ" hidden="1">#REF!</definedName>
    <definedName name="BExB719SGNX4Y8NE6JEXC555K596" hidden="1">#REF!</definedName>
    <definedName name="BExB7265DCHKS7V2OWRBXCZTEIW9" hidden="1">#REF!</definedName>
    <definedName name="BExB74PS5P9G0P09Y6DZSCX0FLTJ" hidden="1">#REF!</definedName>
    <definedName name="BExB7742OHB726R60K08OSKIBELR" hidden="1">#REF!</definedName>
    <definedName name="BExB78RH79J0MIF7H8CAZ0CFE88Q" hidden="1">#REF!</definedName>
    <definedName name="BExB7ELT09HGDVO5BJC1ZY9D09GZ" hidden="1">#REF!</definedName>
    <definedName name="BExB806PAXX70XUTA3ZI7OORD78R" hidden="1">#REF!</definedName>
    <definedName name="BExB8HF4UBVZKQCSRFRUQL2EE6VL" hidden="1">#REF!</definedName>
    <definedName name="BExB8HKHKZ1ORJZUYGG2M4VSCC39" hidden="1">#REF!</definedName>
    <definedName name="BExB8QPH8DC5BESEVPSMBCWVN6PO" hidden="1">#REF!</definedName>
    <definedName name="BExB8U5N0D85YR8APKN3PPKG0FWP" hidden="1">#REF!</definedName>
    <definedName name="BExB9470J854BDC3JQDW5S1M4YCD" hidden="1">#REF!</definedName>
    <definedName name="BExB96LB6P8GCP3MEZ3FQ3F1MKY9" hidden="1">#REF!</definedName>
    <definedName name="BExB9DHI5I2TJ2LXYPM98EE81L27" hidden="1">#REF!</definedName>
    <definedName name="BExB9JH9789SWZM5JDOKUNAAU0K1" hidden="1">#REF!</definedName>
    <definedName name="BExB9Q2MZZHBGW8QQKVEYIMJBPIE" hidden="1">#REF!</definedName>
    <definedName name="BExBA1GON0EZRJ20UYPILAPLNQWM" hidden="1">#REF!</definedName>
    <definedName name="BExBA69ASGYRZW1G1DYIS9QRRTBN" hidden="1">#REF!</definedName>
    <definedName name="BExBA6K42582A14WFFWQ3Q8QQWB6" hidden="1">#REF!</definedName>
    <definedName name="BExBA8I5D4R8R2PYQ1K16TWGTOEP" hidden="1">#REF!</definedName>
    <definedName name="BExBA93PE0DGUUTA7LLSIGBIXWE5" hidden="1">#REF!</definedName>
    <definedName name="BExBAI8X0FKDQJ6YZJQDTTG4ZCWY" hidden="1">#REF!</definedName>
    <definedName name="BExBAKN7XIBAXCF9PCNVS038PCQO" hidden="1">#REF!</definedName>
    <definedName name="BExBAKXZ7PBW3DDKKA5MWC1ZUC7O" hidden="1">#REF!</definedName>
    <definedName name="BExBAO8NLXZXHO6KCIECSFCH3RR0" hidden="1">#REF!</definedName>
    <definedName name="BExBAOOT1KBSIEISN1ADL4RMY879" hidden="1">#REF!</definedName>
    <definedName name="BExBAVKX8Q09370X1GCZWJ4E91YJ" hidden="1">#REF!</definedName>
    <definedName name="BExBAX2X2ENJYO4QTR5VAIQ86L7B" hidden="1">#REF!</definedName>
    <definedName name="BExBAZ13D3F1DVJQ6YJ8JGUYEYJE" hidden="1">#REF!</definedName>
    <definedName name="BExBBTG649R9I0CT042JLL8LXV18" hidden="1">#REF!</definedName>
    <definedName name="BExBBUCJQRR74Q7GPWDEZXYK2KJL" hidden="1">#REF!</definedName>
    <definedName name="BExBBV8XVMD9CKZY711T0BN7H3PM" hidden="1">#REF!</definedName>
    <definedName name="BExBBXN905WYBXR4FKWZ7BDI9PSE" hidden="1">#REF!</definedName>
    <definedName name="BExBC78HXWXHO3XAB6E8NVTBGLJS" hidden="1">#REF!</definedName>
    <definedName name="BExBCKKJTIRKC1RZJRTK65HHLX4W" hidden="1">#REF!</definedName>
    <definedName name="BExBCLMEPAN3XXX174TU8SS0627Q" hidden="1">#REF!</definedName>
    <definedName name="BExBCRBEYR2KZ8FAQFZ2NHY13WIY" hidden="1">#REF!</definedName>
    <definedName name="BExBCUREMPZ80WT16LWCXSDQ8VM2" hidden="1">#REF!</definedName>
    <definedName name="BExBD4I559NXSV6J07Q343TKYMVJ" hidden="1">#REF!</definedName>
    <definedName name="BExBDBZQLTX3OGFYGULQFK5WEZU5" hidden="1">#REF!</definedName>
    <definedName name="BExBDJS9TUEU8Z84IV59E5V4T8K6" hidden="1">#REF!</definedName>
    <definedName name="BExBDKOMSVH4XMH52CFJ3F028I9R" hidden="1">#REF!</definedName>
    <definedName name="BExBDSRXVZQ0W5WXQMP5XD00GRRL" hidden="1">#REF!</definedName>
    <definedName name="BExBDTTRX1I42B9GU8OU12ZYF7CP" hidden="1">#REF!</definedName>
    <definedName name="BExBDUVGK3E1J4JY9ZYTS7V14BLY" hidden="1">#REF!</definedName>
    <definedName name="BExBE09PBVY5GCG2FT5M0ZN9VHNU" hidden="1">#REF!</definedName>
    <definedName name="BExBE162OSBKD30I7T1DKKPT3I9I" hidden="1">#REF!</definedName>
    <definedName name="BExBEC9ATLQZF86W1M3APSM4HEOH" hidden="1">#REF!</definedName>
    <definedName name="BExBEECTSDHAWLIKFFMD1K8CP1PY" hidden="1">#REF!</definedName>
    <definedName name="BExBEK7A7F2CEGVZ88BDWA5ED5OJ" hidden="1">#REF!</definedName>
    <definedName name="BExBEYFQJE9YK12A6JBMRFKEC7RN" hidden="1">#REF!</definedName>
    <definedName name="BExBG1ED81J2O4A2S5F5Y3BPHMCR" hidden="1">#REF!</definedName>
    <definedName name="BExCRLIHS7466WFJ3RPIUGGXYESZ" hidden="1">#REF!</definedName>
    <definedName name="BExCS1EDDUEAEWHVYXHIP9I1WCJH" hidden="1">#REF!</definedName>
    <definedName name="BExCS6SLRCBH006GNRE27HFRHP40" hidden="1">#REF!</definedName>
    <definedName name="BExCS7ZPMHFJ4UJDAL8CQOLSZ13B" hidden="1">#REF!</definedName>
    <definedName name="BExCS8W4NJUZH9S1CYB6XSDLEPBW" hidden="1">#REF!</definedName>
    <definedName name="BExCSAE1M6G20R41J0Y24YNN0YC1" hidden="1">#REF!</definedName>
    <definedName name="BExCSAOUZOYKHN7HV511TO8VDJ02" hidden="1">#REF!</definedName>
    <definedName name="BExCSMOFTXSUEC1T46LR1UPYRCX5" hidden="1">#REF!</definedName>
    <definedName name="BExCSSDG3TM6TPKS19E9QYJEELZ6" hidden="1">#REF!</definedName>
    <definedName name="BExCSZV7U67UWXL2HKJNM5W1E4OO" hidden="1">#REF!</definedName>
    <definedName name="BExCT4NSDT61OCH04Y2QIFIOP75H" hidden="1">#REF!</definedName>
    <definedName name="BExCT5EPXX7XWB6CN0FCV36GBGKP" hidden="1">#REF!</definedName>
    <definedName name="BExCTW8G3VCZ55S09HTUGXKB1P2M" hidden="1">#REF!</definedName>
    <definedName name="BExCTYS2KX0QANOLT8LGZ9WV3S3T" hidden="1">#REF!</definedName>
    <definedName name="BExCTZZ9JNES4EDHW97NP0EGQALX" hidden="1">#REF!</definedName>
    <definedName name="BExCU0A1V6NMZQ9ASYJ8QIVQ5UR2" hidden="1">#REF!</definedName>
    <definedName name="BExCU2834920JBHSPCRC4UF80OLL" hidden="1">#REF!</definedName>
    <definedName name="BExCU8O54I3P3WRYWY1CRP3S78QY" hidden="1">#REF!</definedName>
    <definedName name="BExCUDRJO23YOKT8GPWOVQ4XEHF5" hidden="1">#REF!</definedName>
    <definedName name="BExCUPAXFR16YMWL30ME3F3BSRDZ" hidden="1">#REF!</definedName>
    <definedName name="BExCUR94DHCE47PUUWEMT5QZOYR2" hidden="1">#REF!</definedName>
    <definedName name="BExCV634L7SVHGB0UDDTRRQ2Q72H" hidden="1">#REF!</definedName>
    <definedName name="BExCVBXGSXT9FWJRG62PX9S1RK83" hidden="1">#REF!</definedName>
    <definedName name="BExCVHBNLOHNFS0JAV3I1XGPNH9W" hidden="1">#REF!</definedName>
    <definedName name="BExCVI86R31A2IOZIEBY1FJLVILD" hidden="1">#REF!</definedName>
    <definedName name="BExCVKGZXE0I9EIXKBZVSGSEY2RR" hidden="1">#REF!</definedName>
    <definedName name="BExCVV44WY5807WGMTGKPW0GT256" hidden="1">#REF!</definedName>
    <definedName name="BExCVZ5PN4V6MRBZ04PZJW3GEF8S" hidden="1">#REF!</definedName>
    <definedName name="BExCW13R0GWJYGXZBNCPAHQN4NR2" hidden="1">#REF!</definedName>
    <definedName name="BExCW9Y5HWU4RJTNX74O6L24VGCK" hidden="1">#REF!</definedName>
    <definedName name="BExCWCHRNV200F4AEZLHF0TV0921" hidden="1">#REF!</definedName>
    <definedName name="BExCWPDPESGZS07QGBLSBWDNVJLZ" hidden="1">#REF!</definedName>
    <definedName name="BExCWTVKHIVCRHF8GC39KI58YM5K" hidden="1">#REF!</definedName>
    <definedName name="BExCWVZ3S12P8KS96DJEMDX4UY9B" hidden="1">#REF!</definedName>
    <definedName name="BExCX2KGRZBRVLZNM8SUSIE6A0RL" hidden="1">#REF!</definedName>
    <definedName name="BExCX3X451T70LZ1VF95L7W4Y4TM" hidden="1">#REF!</definedName>
    <definedName name="BExCX4NZ2N1OUGXM7EV0U7VULJMM" hidden="1">#REF!</definedName>
    <definedName name="BExCXB9DX5VJ0W8RM8CGP1YQLUMD" hidden="1">#REF!</definedName>
    <definedName name="BExCXILMURGYMAH6N5LF5DV6K3GM" hidden="1">#REF!</definedName>
    <definedName name="BExCXQUFBMXQ1650735H48B1AZT3" hidden="1">#REF!</definedName>
    <definedName name="BExCY2DQO9VLA77Q7EG3T0XNXX4F" hidden="1">#REF!</definedName>
    <definedName name="BExCY6VMJ68MX3C981R5Q0BX5791" hidden="1">#REF!</definedName>
    <definedName name="BExCYAH2SAZCPW6XCB7V7PMMCAWO" hidden="1">#REF!</definedName>
    <definedName name="BExCYJBB52X8B3AREHCC1L5QNPX7" hidden="1">#REF!</definedName>
    <definedName name="BExCYPRC5HJE6N2XQTHCT6NXGP8N" hidden="1">#REF!</definedName>
    <definedName name="BExCYUK0I3UEXZNFDW71G6Z6D8XR" hidden="1">#REF!</definedName>
    <definedName name="BExCZFZCXMLY5DWESYJ9NGTJYQ8M" hidden="1">#REF!</definedName>
    <definedName name="BExCZJ4P8WS0BDT31WDXI0ROE7D6" hidden="1">#REF!</definedName>
    <definedName name="BExCZKH6NI0EE02L995IFVBD1J59" hidden="1">#REF!</definedName>
    <definedName name="BExCZUD9FEOJBKDJ51Z3JON9LKJ8" hidden="1">#REF!</definedName>
    <definedName name="BExD0508DAALLU00PHFPBC8SRRKT" hidden="1">#REF!</definedName>
    <definedName name="BExD0HALIN0JR4JTPGDEVAEE5EX5" hidden="1">#REF!</definedName>
    <definedName name="BExD0LCCDPG16YLY5WQSZF1XI5DA" hidden="1">#REF!</definedName>
    <definedName name="BExD0RMWSB4TRECEHTH6NN4K9DFZ" hidden="1">#REF!</definedName>
    <definedName name="BExD0U6KG10QGVDI1XSHK0J10A2V" hidden="1">#REF!</definedName>
    <definedName name="BExD13RUIBGRXDL4QDZ305UKUR12" hidden="1">#REF!</definedName>
    <definedName name="BExD14DETV5R4OOTMAXD5NAKWRO3" hidden="1">#REF!</definedName>
    <definedName name="BExD1EERIFC6EPJ9PIVDG3Y91XCM" hidden="1">#REF!</definedName>
    <definedName name="BExD1OAU9OXQAZA4D70HP72CU6GB" hidden="1">#REF!</definedName>
    <definedName name="BExD1Y1JV61416YA1XRQHKWPZIE7" hidden="1">#REF!</definedName>
    <definedName name="BExD2CFHIRMBKN5KXE5QP4XXEWFS" hidden="1">#REF!</definedName>
    <definedName name="BExD2DMHH1HWXQ9W0YYMDP8AAX8Q" hidden="1">#REF!</definedName>
    <definedName name="BExD2HTPC7IWBAU6OSQ67MQA8BYZ" hidden="1">#REF!</definedName>
    <definedName name="BExD363H2VGFIQUCE6LS4AC5J0ZT" hidden="1">#REF!</definedName>
    <definedName name="BExD3A588E939V61P1XEW0FI5Q0S" hidden="1">#REF!</definedName>
    <definedName name="BExD3CJJDKVR9M18XI3WDZH80WL6" hidden="1">#REF!</definedName>
    <definedName name="BExD3ESD9WYJIB3TRDPJ1CKXRAVL" hidden="1">#REF!</definedName>
    <definedName name="BExD3F368X5S25MWSUNIV57RDB57" hidden="1">#REF!</definedName>
    <definedName name="BExD3IJ5IT335SOSNV9L85WKAOSI" hidden="1">#REF!</definedName>
    <definedName name="BExD3KBVUY57GMMQTOFEU6S6G1AY" hidden="1">#REF!</definedName>
    <definedName name="BExD3NMR7AW2Z6V8SC79VQR37NA6" hidden="1">#REF!</definedName>
    <definedName name="BExD3QXA2UQ2W4N7NYLUEOG40BZB" hidden="1">#REF!</definedName>
    <definedName name="BExD3U2N041TEJ7GCN005UTPHNXY" hidden="1">#REF!</definedName>
    <definedName name="BExD40O0CFTNJFOFMMM1KH0P7BUI" hidden="1">#REF!</definedName>
    <definedName name="BExD4BR9HJ3MWWZ5KLVZWX9FJAUS" hidden="1">#REF!</definedName>
    <definedName name="BExD4E02IPQ79ZLENZ003ZXIAOI6" hidden="1">#REF!</definedName>
    <definedName name="BExD4F1WTKT3H0N9MF4H1LX7MBSY" hidden="1">#REF!</definedName>
    <definedName name="BExD4G92DJ2M04588GJNYZE486W3" hidden="1">#REF!</definedName>
    <definedName name="BExD4H5GQWXBS6LUL3TSP36DVO38" hidden="1">#REF!</definedName>
    <definedName name="BExD4JJSS3QDBLABCJCHD45SRNPI" hidden="1">#REF!</definedName>
    <definedName name="BExD4R1I0MKF033I5LPUYIMTZ6E8" hidden="1">#REF!</definedName>
    <definedName name="BExD50MT3M6XZLNUP9JL93EG6D9R" hidden="1">#REF!</definedName>
    <definedName name="BExD5EV7KDSVF1CJT38M4IBPFLPY" hidden="1">#REF!</definedName>
    <definedName name="BExD5FRK547OESJRYAW574DZEZ7J" hidden="1">#REF!</definedName>
    <definedName name="BExD5I5X2YA2YNCTCDSMEL4CWF4N" hidden="1">#REF!</definedName>
    <definedName name="BExD5QUSRFJWRQ1ZM50WYLCF74DF" hidden="1">#REF!</definedName>
    <definedName name="BExD5SSUIF6AJQHBHK8PNMFBPRYB" hidden="1">#REF!</definedName>
    <definedName name="BExD623C9LRX18BE0W2V6SZLQUXX" hidden="1">#REF!</definedName>
    <definedName name="BExD6CQA7UMJBXV7AIFAIHUF2ICX" hidden="1">#REF!</definedName>
    <definedName name="BExD6FKVK8WJWNYPVENR7Q8Q30PK" hidden="1">#REF!</definedName>
    <definedName name="BExD6GMP0LK8WKVWMIT1NNH8CHLF" hidden="1">#REF!</definedName>
    <definedName name="BExD6H2TE0WWAUIWVSSCLPZ6B88N" hidden="1">#REF!</definedName>
    <definedName name="BExD6M67XSKT37UQLWJQIH55IDYB" hidden="1">#REF!</definedName>
    <definedName name="BExD71LTOE015TV5RSAHM8NT8GVW" hidden="1">#REF!</definedName>
    <definedName name="BExD73USXVADC7EHGHVTQNCT06ZA" hidden="1">#REF!</definedName>
    <definedName name="BExD7GAIGULTB3YHM1OS9RBQOTEC" hidden="1">#REF!</definedName>
    <definedName name="BExD7IE1DHIS52UFDCTSKPJQNRD5" hidden="1">#REF!</definedName>
    <definedName name="BExD7IUBGUWHYC9UNZ1IY5XFYKQN" hidden="1">#REF!</definedName>
    <definedName name="BExD7JQOJ35HGL8U2OCEI2P2JT7I" hidden="1">#REF!</definedName>
    <definedName name="BExD7KSDKNDNH95NDT3S7GM3MUU2" hidden="1">#REF!</definedName>
    <definedName name="BExD8H5O087KQVWIVPUUID5VMGMS" hidden="1">#REF!</definedName>
    <definedName name="BExD8OCLZMFN5K3VZYI4Q4ITVKUA" hidden="1">#REF!</definedName>
    <definedName name="BExD93C1R6LC0631ECHVFYH0R0PD" hidden="1">#REF!</definedName>
    <definedName name="BExD966IBZJ2GL5BFY9GS84J47AR" hidden="1">#REF!</definedName>
    <definedName name="BExD97TXIO0COVNN4OH3DEJ33YLM" hidden="1">#REF!</definedName>
    <definedName name="BExD99RZ1RFIMK6O1ZHSPJ68X9Y5" hidden="1">#REF!</definedName>
    <definedName name="BExD9L0ID3VSOU609GKWYTA5BFMA" hidden="1">#REF!</definedName>
    <definedName name="BExD9M7SEMG0JK2FUTTZXWIEBTKB" hidden="1">#REF!</definedName>
    <definedName name="BExD9MNYBYB1AICQL5165G472IE2" hidden="1">#REF!</definedName>
    <definedName name="BExD9PNSYT7GASEGUVL48MUQ02WO" hidden="1">#REF!</definedName>
    <definedName name="BExD9TK2MIWFH5SKUYU9ZKF4NPHQ" hidden="1">#REF!</definedName>
    <definedName name="BExDA301WL1B7VEIAZLG41Q0OA20" hidden="1">#REF!</definedName>
    <definedName name="BExDA6LD9061UULVKUUI4QP8SK13" hidden="1">#REF!</definedName>
    <definedName name="BExDAGMVMNLQ6QXASB9R6D8DIT12" hidden="1">#REF!</definedName>
    <definedName name="BExDAYBHU9ADLXI8VRC7F608RVGM" hidden="1">#REF!</definedName>
    <definedName name="BExDB8NNRF9S24ITZS787DFAU99M" hidden="1">#REF!</definedName>
    <definedName name="BExDBDR1XR0FV0CYUCB2OJ7CJCZU" hidden="1">#REF!</definedName>
    <definedName name="BExDC0TVW0QO7MGU3FBZPHDE4ZWE" hidden="1">#REF!</definedName>
    <definedName name="BExDC7F818VN0S18ID7XRCRVYPJ4" hidden="1">#REF!</definedName>
    <definedName name="BExDCL7K96PC9VZYB70ZW3QPVIJE" hidden="1">#REF!</definedName>
    <definedName name="BExDCP3UZ3C2O4C1F7KMU0Z9U32N" hidden="1">#REF!</definedName>
    <definedName name="BExEOBX3WECDMYCV9RLN49APTXMM" hidden="1">#REF!</definedName>
    <definedName name="BExEP4E3ZQ53Y7MZR1SSHSPE1NP7" hidden="1">#REF!</definedName>
    <definedName name="BExEP4E4F36662JDI0TOD85OP7X9" hidden="1">#REF!</definedName>
    <definedName name="BExEPEA6GYQLQFDO1ZI7HZBA1Q5V" hidden="1">#REF!</definedName>
    <definedName name="BExEPG87RY947GJ2N7V3JI1CGRTQ" hidden="1">#REF!</definedName>
    <definedName name="BExEPN9VIYI0FVL0HLZQXJFO6TT0" hidden="1">#REF!</definedName>
    <definedName name="BExEPPIOK55LPRRWZC8UVRUUHIZB" hidden="1">#REF!</definedName>
    <definedName name="BExEPYT6VDSMR8MU2341Q5GM2Y9V" hidden="1">#REF!</definedName>
    <definedName name="BExEQ2ENYLMY8K1796XBB31CJHNN" hidden="1">#REF!</definedName>
    <definedName name="BExEQ2PFE4N40LEPGDPS90WDL6BN" hidden="1">#REF!</definedName>
    <definedName name="BExEQ2PFURT24NQYGYVE8NKX1EGA" hidden="1">#REF!</definedName>
    <definedName name="BExEQB8ZWXO6IIGOEPWTLOJGE2NR" hidden="1">#REF!</definedName>
    <definedName name="BExEQBZX0EL6LIKPY01197ACK65H" hidden="1">#REF!</definedName>
    <definedName name="BExEQDXZALJLD4OBF74IKZBR13SR" hidden="1">#REF!</definedName>
    <definedName name="BExEQFLE2RPWGMWQAI4JMKUEFRPT" hidden="1">#REF!</definedName>
    <definedName name="BExEQTZAP8R69U31W4LKGTKKGKQE" hidden="1">#REF!</definedName>
    <definedName name="BExER2O72H1F9WV6S1J04C15PXX7" hidden="1">#REF!</definedName>
    <definedName name="BExERF3VXCEWDL77HVFFXI6H5QV2" hidden="1">#REF!</definedName>
    <definedName name="BExERJAYST7L3XL1AFTK3GJMH77L" hidden="1">#REF!</definedName>
    <definedName name="BExERRUIKIOATPZ9U4HQ0V52RJAU" hidden="1">#REF!</definedName>
    <definedName name="BExERSANFNM1O7T65PC5MJ301YET" hidden="1">#REF!</definedName>
    <definedName name="BExERWCEBKQRYWRQLYJ4UCMMKTHG" hidden="1">#REF!</definedName>
    <definedName name="BExES44RHHDL3V7FLV6M20834WF1" hidden="1">#REF!</definedName>
    <definedName name="BExES4A7VE2X3RYYTVRLKZD4I7WU" hidden="1">#REF!</definedName>
    <definedName name="BExES6ZC8R7PHJ21OVJFLIR7DY30" hidden="1">#REF!</definedName>
    <definedName name="BExES92VXRQ9LN9AAM5VPXNMTNYM" hidden="1">#REF!</definedName>
    <definedName name="BExESA4OLYHURCK7WLG8VHL95Q5P" hidden="1">#REF!</definedName>
    <definedName name="BExESMKD95A649M0WRSG6CXXP326" hidden="1">#REF!</definedName>
    <definedName name="BExESR27ZXJG5VMY4PR9D940VS7T" hidden="1">#REF!</definedName>
    <definedName name="BExESZ03KXL8DQ2591HLR56ZML94" hidden="1">#REF!</definedName>
    <definedName name="BExESZAW5N443NRTKIP59OEI1CR6" hidden="1">#REF!</definedName>
    <definedName name="BExET3HXQ60A4O2OLKX8QNXRI6LQ" hidden="1">#REF!</definedName>
    <definedName name="BExETA3B1FCIOA80H94K90FWXQKE" hidden="1">#REF!</definedName>
    <definedName name="BExETAZOYT4CJIT8RRKC9F2HJG1D" hidden="1">#REF!</definedName>
    <definedName name="BExETF6QD5A9GEINE1KZRRC2LXWM" hidden="1">#REF!</definedName>
    <definedName name="BExETO0X38V91M4BT7K18A7D816I" hidden="1">#REF!</definedName>
    <definedName name="BExETQ9XRXLUACN82805SPSPNKHI" hidden="1">#REF!</definedName>
    <definedName name="BExETR0YRMOR63E6DHLEHV9QVVON" hidden="1">#REF!</definedName>
    <definedName name="BExETVTGY38YXYYF7N73OYN6FYY3" hidden="1">#REF!</definedName>
    <definedName name="BExEUNE4T242Y59C6MS28MXEUGCP" hidden="1">#REF!</definedName>
    <definedName name="BExEV2TP7NA3ZR6RJGH5ER370OUM" hidden="1">#REF!</definedName>
    <definedName name="BExEV69UGV6UHIH4PJI16YX8MRFX" hidden="1">#REF!</definedName>
    <definedName name="BExEV69USLNYO2QRJRC0J92XUF00" hidden="1">#REF!</definedName>
    <definedName name="BExEV6KNTQOCFD7GV726XQEVQ7R6" hidden="1">#REF!</definedName>
    <definedName name="BExEV6VGM4POO9QT9KH3QA3VYCWM" hidden="1">#REF!</definedName>
    <definedName name="BExEVET98G3FU6QBF9LHYWSAMV0O" hidden="1">#REF!</definedName>
    <definedName name="BExEVNCUT0PDUYNJH7G6BSEWZOT2" hidden="1">#REF!</definedName>
    <definedName name="BExEVPGF4V5J0WQRZKUM8F9TTKZJ" hidden="1">#REF!</definedName>
    <definedName name="BExEVVLIEVWYRF2UUC1H0H5QU1CP" hidden="1">#REF!</definedName>
    <definedName name="BExEVWCKO8T84GW9Z3X47915XKSH" hidden="1">#REF!</definedName>
    <definedName name="BExEVZSJWMZ5L2ZE7AZC57CXKW6T" hidden="1">#REF!</definedName>
    <definedName name="BExEW0JL1GFFCXMDGW54CI7Y8FZN" hidden="1">#REF!</definedName>
    <definedName name="BExEW68M9WL8214QH9C7VCK7BN08" hidden="1">#REF!</definedName>
    <definedName name="BExEW8HFKH6F47KIHYBDRUEFZ2ZZ" hidden="1">#REF!</definedName>
    <definedName name="BExEWC2XFUYD4DAFD2MDU73I15LJ" hidden="1">#REF!</definedName>
    <definedName name="BExEWLIQ0JZVAL80G2LAV8Y53YV4" hidden="1">#REF!</definedName>
    <definedName name="BExEWLO75K95C6IRKHXSP7VP81T4" hidden="1">#REF!</definedName>
    <definedName name="BExEWNBGQS1U2LW3W84T4LSJ9K00" hidden="1">#REF!</definedName>
    <definedName name="BExEWO7STL7HNZSTY8VQBPTX1WK6" hidden="1">#REF!</definedName>
    <definedName name="BExEWOO46MEYJJ7XW1D9QF0IWNCL" hidden="1">#REF!</definedName>
    <definedName name="BExEWQ0M1N3KMKTDJ73H10QSG4W1" hidden="1">#REF!</definedName>
    <definedName name="BExEX85F3OSW8NSCYGYPS9372Z1Q" hidden="1">#REF!</definedName>
    <definedName name="BExEX9HWY2G6928ZVVVQF77QCM2C" hidden="1">#REF!</definedName>
    <definedName name="BExEXBQWAYKMVBRJRHB8PFCSYFVN" hidden="1">#REF!</definedName>
    <definedName name="BExEXHFWQE36TICCHQPH6WVLIVHO" hidden="1">#REF!</definedName>
    <definedName name="BExEXRBZ0DI9E2UFLLKYWGN66B61" hidden="1">#REF!</definedName>
    <definedName name="BExEYB9E3TTKEULD1CF8SWCHRKCM" hidden="1">#REF!</definedName>
    <definedName name="BExEYLG9FL9V1JPPNZ3FUDNSEJ4V" hidden="1">#REF!</definedName>
    <definedName name="BExEYOW8C1B3OUUCIGEC7L8OOW1Z" hidden="1">#REF!</definedName>
    <definedName name="BExEYTJKE88DKRVDZN30B40M5UNX" hidden="1">#REF!</definedName>
    <definedName name="BExEYUQJXZT6N5HJH8ACJF6SRWEE" hidden="1">#REF!</definedName>
    <definedName name="BExEYYSA0W9ZFKP4FWXROSJIDPHP" hidden="1">#REF!</definedName>
    <definedName name="BExEZ1S6VZCG01ZPLBSS9Z1SBOJ2" hidden="1">#REF!</definedName>
    <definedName name="BExEZGBFNJR8DLPN0V11AU22L6WY" hidden="1">#REF!</definedName>
    <definedName name="BExEZZ75L67EYSYWP3FWPLNAK8XR" hidden="1">#REF!</definedName>
    <definedName name="BExF02Y3V3QEPO2XLDSK47APK9XJ" hidden="1">#REF!</definedName>
    <definedName name="BExF09OS91RT7N7IW8JLMZ121ZP3" hidden="1">#REF!</definedName>
    <definedName name="BExF0LOEHV42P2DV7QL8O7HOQ3N9" hidden="1">#REF!</definedName>
    <definedName name="BExF0WRM9VO25RLSO03ZOCE8H7K5" hidden="1">#REF!</definedName>
    <definedName name="BExF0ZRI7W4RSLIDLHTSM0AWXO3S" hidden="1">#REF!</definedName>
    <definedName name="BExF19CT3MMZZ2T5EWMDNG3UOJ01" hidden="1">#REF!</definedName>
    <definedName name="BExF1M38U6NX17YJA8YU359B5Z4M" hidden="1">#REF!</definedName>
    <definedName name="BExF1MU4W3NPEY0OHRDWP5IANCBB" hidden="1">#REF!</definedName>
    <definedName name="BExF1MZN8MWMOKOARHJ1QAF9HPGT" hidden="1">#REF!</definedName>
    <definedName name="BExF1US4ZIQYSU5LBFYNRA9N0K2O" hidden="1">#REF!</definedName>
    <definedName name="BExF1Y2TJITOPH7KZY7PGUAK780N" hidden="1">#REF!</definedName>
    <definedName name="BExF2B9LP39TKZX3EHDF4S82UPSO" hidden="1">#REF!</definedName>
    <definedName name="BExF2CWZN6E87RGTBMD4YQI2QT7R" hidden="1">#REF!</definedName>
    <definedName name="BExF2DYO1WQ7GMXSTAQRDBW1NSFG" hidden="1">#REF!</definedName>
    <definedName name="BExF2MSWNUY9Z6BZJQZ538PPTION" hidden="1">#REF!</definedName>
    <definedName name="BExF2QZYWHTYGUTTXR15CKCV3LS7" hidden="1">#REF!</definedName>
    <definedName name="BExF2T8Y6TSJ74RMSZOA9CEH4OZ6" hidden="1">#REF!</definedName>
    <definedName name="BExF31N3YM4F37EOOY8M8VI1KXN8" hidden="1">#REF!</definedName>
    <definedName name="BExF37C1YKBT79Z9SOJAG5MXQGTU" hidden="1">#REF!</definedName>
    <definedName name="BExF3A6HPA6DGYALZNHHJPMCUYZR" hidden="1">#REF!</definedName>
    <definedName name="BExF3I9T44X7DV9HHV51DVDDPPZG" hidden="1">#REF!</definedName>
    <definedName name="BExF3JMFX5DILOIFUDIO1HZUK875" hidden="1">#REF!</definedName>
    <definedName name="BExF3NTC4BGZEM6B87TCFX277QCS" hidden="1">#REF!</definedName>
    <definedName name="BExF3OEXD5F5M9E2CRAONJH5COIA" hidden="1">#REF!</definedName>
    <definedName name="BExF3Q7NI90WT31QHYSJDIG0LLLJ" hidden="1">#REF!</definedName>
    <definedName name="BExF3QD55TIY1MSBSRK9TUJKBEWO" hidden="1">#REF!</definedName>
    <definedName name="BExF3QT8J6RIF1L3R700MBSKIOKW" hidden="1">#REF!</definedName>
    <definedName name="BExF42SSBVPMLK2UB3B7FPEIY9TU" hidden="1">#REF!</definedName>
    <definedName name="BExF46UL7A3Q0DMZ98APEC6GTA0Z" hidden="1">#REF!</definedName>
    <definedName name="BExF4HXSWB50BKYPWA0HTT8W56H6" hidden="1">#REF!</definedName>
    <definedName name="BExF4KHF04IWW4LQ95FHQPFE4Y9K" hidden="1">#REF!</definedName>
    <definedName name="BExF4MVQM5Y0QRDLDFSKWWTF709C" hidden="1">#REF!</definedName>
    <definedName name="BExF4PVMZYV36E8HOYY06J81AMBI" hidden="1">#REF!</definedName>
    <definedName name="BExF4SF9NEX1FZE9N8EXT89PM54D" hidden="1">#REF!</definedName>
    <definedName name="BExF52GTGP8MHGII4KJ8TJGR8W8U" hidden="1">#REF!</definedName>
    <definedName name="BExF57K7L3UC1I2FSAWURR4SN0UN" hidden="1">#REF!</definedName>
    <definedName name="BExF5HR2GFV7O8LKG9SJ4BY78LYA" hidden="1">#REF!</definedName>
    <definedName name="BExF5ZFO2A29GHWR5ES64Z9OS16J" hidden="1">#REF!</definedName>
    <definedName name="BExF63S045JO7H2ZJCBTBVH3SUIF" hidden="1">#REF!</definedName>
    <definedName name="BExF642TEGTXCI9A61ZOONJCB0U1" hidden="1">#REF!</definedName>
    <definedName name="BExF67O951CF8UJF3KBDNR0E83C1" hidden="1">#REF!</definedName>
    <definedName name="BExF6CX0OMG8AUV36CXJRV5TXJAK" hidden="1">#REF!</definedName>
    <definedName name="BExF6D2INI2OK3WCUMJ1E7CIGXRM" hidden="1">#REF!</definedName>
    <definedName name="BExF6EV7I35NVMIJGYTB6E24YVPA" hidden="1">#REF!</definedName>
    <definedName name="BExF6FGUF393KTMBT40S5BYAFG00" hidden="1">#REF!</definedName>
    <definedName name="BExF6GNYXWY8A0SY4PW1B6KJMMTM" hidden="1">#REF!</definedName>
    <definedName name="BExF6IB8K74Z0AFT05GPOKKZW7C9" hidden="1">#REF!</definedName>
    <definedName name="BExF6NUXJI11W2IAZNAM1QWC0459" hidden="1">#REF!</definedName>
    <definedName name="BExF6RR76KNVIXGJOVFO8GDILKGZ" hidden="1">#REF!</definedName>
    <definedName name="BExF6ZE8D5CMPJPRWT6S4HM56LPF" hidden="1">#REF!</definedName>
    <definedName name="BExF76FV8SF7AJK7B35AL7VTZF6D" hidden="1">#REF!</definedName>
    <definedName name="BExF7EOIMC1OYL1N7835KGOI0FIZ" hidden="1">#REF!</definedName>
    <definedName name="BExF7K88K7ASGV6RAOAGH52G04VR" hidden="1">#REF!</definedName>
    <definedName name="BExF7OVDRP3LHNAF2CX4V84CKKIR" hidden="1">#REF!</definedName>
    <definedName name="BExF7QO41X2A2SL8UXDNP99GY7U9" hidden="1">#REF!</definedName>
    <definedName name="BExF81GI8B8WBHXFTET68A9358BR" hidden="1">#REF!</definedName>
    <definedName name="BExGL97US0Y3KXXASUTVR26XLT70" hidden="1">#REF!</definedName>
    <definedName name="BExGLC7R4C33RO0PID97ZPPVCW4M" hidden="1">#REF!</definedName>
    <definedName name="BExGLFIF7HCFSHNQHKEV6RY0WCO3" hidden="1">#REF!</definedName>
    <definedName name="BExGLTARRL0J772UD2TXEYAVPY6E" hidden="1">#REF!</definedName>
    <definedName name="BExGLVP1IU8K5A8J1340XFMYPR88" hidden="1">#REF!</definedName>
    <definedName name="BExGLYE6RZTAAWHJBG2QFJPTDS2Q" hidden="1">#REF!</definedName>
    <definedName name="BExGM4DZ65OAQP7MA4LN6QMYZOFF" hidden="1">#REF!</definedName>
    <definedName name="BExGM78DFJ7SA50ULZNZLE894CED" hidden="1">#REF!</definedName>
    <definedName name="BExGMCXCWEC9XNUOEMZ61TMI6CUO" hidden="1">#REF!</definedName>
    <definedName name="BExGMJDGIH0MEPC2TUSFUCY2ROTB" hidden="1">#REF!</definedName>
    <definedName name="BExGMKPW2HPKN0M0XKF3AZ8YP0D6" hidden="1">#REF!</definedName>
    <definedName name="BExGMP2F175LGL6QVSJGP6GKYHHA" hidden="1">#REF!</definedName>
    <definedName name="BExGMPIIP8GKML2VVA8OEFL43NCS" hidden="1">#REF!</definedName>
    <definedName name="BExGMV7KDH0OGAL48HP5D7GF7WRP" hidden="1">#REF!</definedName>
    <definedName name="BExGMZ3SRIXLXMWBVOXXV3M4U4YL" hidden="1">#REF!</definedName>
    <definedName name="BExGMZ3UBN48IXU1ZEFYECEMZ1IM" hidden="1">#REF!</definedName>
    <definedName name="BExGN4I0QATXNZCLZJM1KH1OIJQH" hidden="1">#REF!</definedName>
    <definedName name="BExGN9FZ2RWCMSY1YOBJKZMNIM9R" hidden="1">#REF!</definedName>
    <definedName name="BExGNDSIMTHOCXXG6QOGR6DA8SGG" hidden="1">#REF!</definedName>
    <definedName name="BExGNN2YQ9BDAZXT2GLCSAPXKIM7" hidden="1">#REF!</definedName>
    <definedName name="BExGNSS0CKRPKHO25R3TDBEL2NHX" hidden="1">#REF!</definedName>
    <definedName name="BExGNYH0MO8NOVS85L15G0RWX4GW" hidden="1">#REF!</definedName>
    <definedName name="BExGNZO44DEG8CGIDYSEGDUQ531R" hidden="1">#REF!</definedName>
    <definedName name="BExGO2O0V6UYDY26AX8OSN72F77N" hidden="1">#REF!</definedName>
    <definedName name="BExGO2YUBOVLYHY1QSIHRE1KLAFV" hidden="1">#REF!</definedName>
    <definedName name="BExGO70E2O70LF46V8T26YFPL4V8" hidden="1">#REF!</definedName>
    <definedName name="BExGOB25QJMQCQE76MRW9X58OIOO" hidden="1">#REF!</definedName>
    <definedName name="BExGODAZKJ9EXMQZNQR5YDBSS525" hidden="1">#REF!</definedName>
    <definedName name="BExGODR8ZSMUC11I56QHSZ686XV5" hidden="1">#REF!</definedName>
    <definedName name="BExGOSQQF3IAHU8LBOKIYLAKFQLA" hidden="1">#REF!</definedName>
    <definedName name="BExGOTXQU0J90CGFN535GR11UYS8" hidden="1">#REF!</definedName>
    <definedName name="BExGOXJDHUDPDT8I8IVGVW9J0R5Q" hidden="1">#REF!</definedName>
    <definedName name="BExGP5H77UHTWV5AWJAQHDG9JPHZ" hidden="1">#REF!</definedName>
    <definedName name="BExGPHGT5KDOCMV2EFS4OVKTWBRD" hidden="1">#REF!</definedName>
    <definedName name="BExGPID72Y4Y619LWASUQZKZHJNC" hidden="1">#REF!</definedName>
    <definedName name="BExGPPENQIANVGLVQJ77DK5JPRTB" hidden="1">#REF!</definedName>
    <definedName name="BExGQ1ZU4967P72AHF4V1D0FOL5C" hidden="1">#REF!</definedName>
    <definedName name="BExGQ36ZOMR9GV8T05M605MMOY3Y" hidden="1">#REF!</definedName>
    <definedName name="BExGQ61DTJ0SBFMDFBAK3XZ9O0ZO" hidden="1">#REF!</definedName>
    <definedName name="BExGQ6SG9XEOD0VMBAR22YPZWSTA" hidden="1">#REF!</definedName>
    <definedName name="BExGQGJ1A7LNZUS8QSMOG8UNGLMK" hidden="1">#REF!</definedName>
    <definedName name="BExGQPO7ENFEQC0NC6MC9OZR2LHY" hidden="1">#REF!</definedName>
    <definedName name="BExGQX0H4EZMXBJTKJJE4ICJWN5O" hidden="1">#REF!</definedName>
    <definedName name="BExGR4CW3WRIID17GGX4MI9ZDHFE" hidden="1">#REF!</definedName>
    <definedName name="BExGR65GJX27MU2OL6NI5PB8XVB4" hidden="1">#REF!</definedName>
    <definedName name="BExGR6LQ97HETGS3CT96L4IK0JSH" hidden="1">#REF!</definedName>
    <definedName name="BExGR9ATP2LVT7B9OCPSLJ11H9SX" hidden="1">#REF!</definedName>
    <definedName name="BExGRAST1ORDC1B43RZ1RPDSF3S4" hidden="1">#REF!</definedName>
    <definedName name="BExGRGCBQZJSV5ZF2CK8N3MECVL4" hidden="1">#REF!</definedName>
    <definedName name="BExGRP1E4TXNHEBH8CCMX88OXR94" hidden="1">#REF!</definedName>
    <definedName name="BExGRUKVVKDL8483WI70VN2QZDGD" hidden="1">#REF!</definedName>
    <definedName name="BExGS2IWR5DUNJ1U9PAKIV8CMBNI" hidden="1">#REF!</definedName>
    <definedName name="BExGS69P9FFTEOPDS0MWFKF45G47" hidden="1">#REF!</definedName>
    <definedName name="BExGS6F1JFHM5MUJ1RFO50WP6D05" hidden="1">#REF!</definedName>
    <definedName name="BExGSA5YB5ZGE4NHDVCZ55TQAJTL" hidden="1">#REF!</definedName>
    <definedName name="BExGSCEUCQQVDEEKWJ677QTGUVTE" hidden="1">#REF!</definedName>
    <definedName name="BExGSQY65LH1PCKKM5WHDW83F35O" hidden="1">#REF!</definedName>
    <definedName name="BExGSYW1GKISF0PMUAK3XJK9PEW9" hidden="1">#REF!</definedName>
    <definedName name="BExGT0DZJB6LSF6L693UUB9EY1VQ" hidden="1">#REF!</definedName>
    <definedName name="BExGTA4Q9R21114UEK845AA0M2ZD" hidden="1">#REF!</definedName>
    <definedName name="BExGTGVFIF8HOQXR54SK065A8M4K" hidden="1">#REF!</definedName>
    <definedName name="BExGTH0RH45OFG5TNB22S9RQ9JBF" hidden="1">#REF!</definedName>
    <definedName name="BExGTIYX3OWPIINOGY1E4QQYSKHP" hidden="1">#REF!</definedName>
    <definedName name="BExGTKGUN0KUU3C0RL2LK98D8MEK" hidden="1">#REF!</definedName>
    <definedName name="BExGTZ046J7VMUG4YPKFN2K8TWB7" hidden="1">#REF!</definedName>
    <definedName name="BExGU1P7A0UK2GJKU7471L7A2C82" hidden="1">#REF!</definedName>
    <definedName name="BExGU2G9OPRZRIU9YGF6NX9FUW0J" hidden="1">#REF!</definedName>
    <definedName name="BExGU6HTKLRZO8UOI3DTAM5RFDBA" hidden="1">#REF!</definedName>
    <definedName name="BExGUDDZXFFQHAF4UZF8ZB1HO7H6" hidden="1">#REF!</definedName>
    <definedName name="BExGUIBXBRHGM97ZX6GBA4ZDQ79C" hidden="1">#REF!</definedName>
    <definedName name="BExGUM8D91UNPCOO4TKP9FGX85TF" hidden="1">#REF!</definedName>
    <definedName name="BExGUQ9ZLP9L39D4VUVR6DIRO4K4" hidden="1">#REF!</definedName>
    <definedName name="BExGUQF9N9FKI7S0H30WUAEB5LPD" hidden="1">#REF!</definedName>
    <definedName name="BExGUR6BA03XPBK60SQUW197GJ5X" hidden="1">#REF!</definedName>
    <definedName name="BExGUVIP60TA4B7X2PFGMBFUSKGX" hidden="1">#REF!</definedName>
    <definedName name="BExGUZKF06F209XL1IZWVJEQ82EE" hidden="1">#REF!</definedName>
    <definedName name="BExGV2EVT380QHD4AP2RL9MR8L5L" hidden="1">#REF!</definedName>
    <definedName name="BExGVA7E5B7QSOHFO0X550ZIPANI" hidden="1">#REF!</definedName>
    <definedName name="BExGVJHVODWWI4WU2JGVG0KKOQJR" hidden="1">#REF!</definedName>
    <definedName name="BExGVV6OOLDQ3TXZK51TTF3YX0WN" hidden="1">#REF!</definedName>
    <definedName name="BExGW0KVS7U0C87XFZ78QW991IEV" hidden="1">#REF!</definedName>
    <definedName name="BExGW2Z7AMPG6H9EXA9ML6EZVGGA" hidden="1">#REF!</definedName>
    <definedName name="BExGWABG5VT5XO1A196RK61AXA8C" hidden="1">#REF!</definedName>
    <definedName name="BExGWCEZ0TASZ6O3311FQP9DL2D9" hidden="1">#REF!</definedName>
    <definedName name="BExGWEO0JDG84NYLEAV5NSOAGMJZ" hidden="1">#REF!</definedName>
    <definedName name="BExGWLEOC70Z8QAJTPT2PDHTNM4L" hidden="1">#REF!</definedName>
    <definedName name="BExGWNCXLCRTLBVMTXYJ5PHQI6SS" hidden="1">#REF!</definedName>
    <definedName name="BExGX6U988MCFIGDA1282F92U9AA" hidden="1">#REF!</definedName>
    <definedName name="BExGX7FTB1CKAT5HUW6H531FIY6I" hidden="1">#REF!</definedName>
    <definedName name="BExGX9DVACJQIZ4GH6YAD2A7F70O" hidden="1">#REF!</definedName>
    <definedName name="BExGXDVP2S2Y8Z8Q43I78RCIK3DD" hidden="1">#REF!</definedName>
    <definedName name="BExGXJ9W5JU7TT9S0BKL5Y6VVB39" hidden="1">#REF!</definedName>
    <definedName name="BExGXWB73RJ4BASBQTQ8EY0EC1EB" hidden="1">#REF!</definedName>
    <definedName name="BExGXZ0ABB43C7SMRKZHWOSU9EQX" hidden="1">#REF!</definedName>
    <definedName name="BExGY6SU3SYVCJ3AG2ITY59SAZ5A" hidden="1">#REF!</definedName>
    <definedName name="BExGY6YA4P5KMY2VHT0DYK3YTFAX" hidden="1">#REF!</definedName>
    <definedName name="BExGY8G88PVVRYHPHRPJZFSX6HSC" hidden="1">#REF!</definedName>
    <definedName name="BExGYC718HTZ80PNKYPVIYGRJVF6" hidden="1">#REF!</definedName>
    <definedName name="BExGYCNATXZY2FID93B17YWIPPRD" hidden="1">#REF!</definedName>
    <definedName name="BExGYGJJJ3BBCQAOA51WHP01HN73" hidden="1">#REF!</definedName>
    <definedName name="BExGYOS6TV2C72PLRFU8RP1I58GY" hidden="1">#REF!</definedName>
    <definedName name="BExGZJ78ZWZCVHZ3BKEKFJZ6MAEO" hidden="1">#REF!</definedName>
    <definedName name="BExGZOLH2QV73J3M9IWDDPA62TP4" hidden="1">#REF!</definedName>
    <definedName name="BExGZP1PWGFKVVVN4YDIS22DZPCR" hidden="1">#REF!</definedName>
    <definedName name="BExH00L21GZX5YJJGVMOAWBERLP5" hidden="1">#REF!</definedName>
    <definedName name="BExH02ZD6VAY1KQLAQYBBI6WWIZB" hidden="1">#REF!</definedName>
    <definedName name="BExH08Z6LQCGGSGSAILMHX4X7JMD" hidden="1">#REF!</definedName>
    <definedName name="BExH0I9NTA9MISX78A3IQ7BCEPID" hidden="1">#REF!</definedName>
    <definedName name="BExH0KT9Z8HEVRRQRGQ8YHXRLIJA" hidden="1">#REF!</definedName>
    <definedName name="BExH0M0FDN12YBOCKL3XL2Z7T7Y8" hidden="1">#REF!</definedName>
    <definedName name="BExH0O9G06YPZ5TN9RYT326I1CP2" hidden="1">#REF!</definedName>
    <definedName name="BExH0WNJAKTJRCKMTX8O4KNMIIJM" hidden="1">#REF!</definedName>
    <definedName name="BExH12Y4WX542WI3ZEM15AK4UM9J" hidden="1">#REF!</definedName>
    <definedName name="BExH1FDTQXR9QQ31WDB7OPXU7MPT" hidden="1">#REF!</definedName>
    <definedName name="BExH1FOMEUIJNIDJAUY0ZQFBJSY9" hidden="1">#REF!</definedName>
    <definedName name="BExH1JFFHEBFX9BWJMNIA3N66R3Z" hidden="1">#REF!</definedName>
    <definedName name="BExH1NH5XQQHUNBB1ZMIR2LR6LDB" hidden="1">#REF!</definedName>
    <definedName name="BExH1Z0GIUSVTF2H1G1I3PDGBNK2" hidden="1">#REF!</definedName>
    <definedName name="BExH225UTM6S9FW4MUDZS7F1PQSH" hidden="1">#REF!</definedName>
    <definedName name="BExH23271RF7AYZ542KHQTH68GQ7" hidden="1">#REF!</definedName>
    <definedName name="BExH2GJQR4JALNB314RY0LDI49VH" hidden="1">#REF!</definedName>
    <definedName name="BExH2JZR49T7644JFVE7B3N7RZM9" hidden="1">#REF!</definedName>
    <definedName name="BExH2UHF0QTJG107MULYB16WBJM9" hidden="1">#REF!</definedName>
    <definedName name="BExH2WKXV8X5S2GSBBTWGI0NLNAH" hidden="1">#REF!</definedName>
    <definedName name="BExH2XBYKHNUIX5WX8GRTUCCQ6SV" hidden="1">#REF!</definedName>
    <definedName name="BExH2XS1UFYFGU0S0EBXX90W2WE8" hidden="1">#REF!</definedName>
    <definedName name="BExH2XS2TND9SB0GC295R4FP6K5Y" hidden="1">#REF!</definedName>
    <definedName name="BExH2ZA0SZ4SSITL50NA8LZ3OEX6" hidden="1">#REF!</definedName>
    <definedName name="BExH31Z3JNVJPESWKXHILGXZHP2M" hidden="1">#REF!</definedName>
    <definedName name="BExH39RNJMKV02N9U1JU33BH0GFD" hidden="1">#REF!</definedName>
    <definedName name="BExH3E9HZ3QJCDZW7WI7YACFQCHE" hidden="1">#REF!</definedName>
    <definedName name="BExH3FRFESTGG9IRONAPY3QSPCSB" hidden="1">#REF!</definedName>
    <definedName name="BExH3IRB6764RQ5HBYRLH6XCT29X" hidden="1">#REF!</definedName>
    <definedName name="BExH47XODP0Y9B49MMCK5NEXDH0Z" hidden="1">#REF!</definedName>
    <definedName name="BExIG2U8V6RSB47SXLCQG3Q68YRO" hidden="1">#REF!</definedName>
    <definedName name="BExIGJBO8R13LV7CZ7C1YCP974NN" hidden="1">#REF!</definedName>
    <definedName name="BExIGWT86FPOEYTI8GXCGU5Y3KGK" hidden="1">#REF!</definedName>
    <definedName name="BExIHBHXA7E7VUTBVHXXXCH3A5CL" hidden="1">#REF!</definedName>
    <definedName name="BExIHCUD6LK7SDW11ZCCP01BCWZ7" hidden="1">#REF!</definedName>
    <definedName name="BExIHKC3JG4RX353BELDMIEZPU88" hidden="1">#REF!</definedName>
    <definedName name="BExIHPQCQTGEW8QOJVIQ4VX0P6DX" hidden="1">#REF!</definedName>
    <definedName name="BExII1KN91Q7DLW0UB7W2TJ5ACT9" hidden="1">#REF!</definedName>
    <definedName name="BExII50LI8I0CDOOZEMIVHVA2V95" hidden="1">#REF!</definedName>
    <definedName name="BExIIXMY38TQD12CVV4S57L3I809" hidden="1">#REF!</definedName>
    <definedName name="BExIIY37NEVU2LGS1JE4VR9AN6W4" hidden="1">#REF!</definedName>
    <definedName name="BExIIYJAGXR8TPZ1KCYM7EGJ79UW" hidden="1">#REF!</definedName>
    <definedName name="BExIJ3160YCWGAVEU0208ZGXXG3P" hidden="1">#REF!</definedName>
    <definedName name="BExIJFGZJ5ED9D6KAY4PGQYLELAX" hidden="1">#REF!</definedName>
    <definedName name="BExIJM2D656T6D2JN8WH2HMVTACX" hidden="1">#REF!</definedName>
    <definedName name="BExIJQK80ZEKSTV62E59AYJYUNLI" hidden="1">#REF!</definedName>
    <definedName name="BExIJRLX3M0YQLU1D5Y9V7HM5QNM" hidden="1">#REF!</definedName>
    <definedName name="BExIJV22J0QA7286KNPMHO1ZUCB3" hidden="1">#REF!</definedName>
    <definedName name="BExIJVI6OC7B6ZE9V4PAOYZXKNER" hidden="1">#REF!</definedName>
    <definedName name="BExIJWK0NGTGQ4X7D5VIVXD14JHI" hidden="1">#REF!</definedName>
    <definedName name="BExIJWPCIYINEJUTXU74VK7WG031" hidden="1">#REF!</definedName>
    <definedName name="BExIK0LLGURVZ0XW0KNJDK0XGI1K" hidden="1">#REF!</definedName>
    <definedName name="BExIKD1B60U6665MOC1I0NIS7MCZ" hidden="1">#REF!</definedName>
    <definedName name="BExIKHTXPZR5A8OHB6HDP6QWDHAD" hidden="1">#REF!</definedName>
    <definedName name="BExIKMMJOETSAXJYY1SIKM58LMA2" hidden="1">#REF!</definedName>
    <definedName name="BExIKRF6AQ6VOO9KCIWSM6FY8M7D" hidden="1">#REF!</definedName>
    <definedName name="BExIKTYZESFT3LC0ASFMFKSE0D1X" hidden="1">#REF!</definedName>
    <definedName name="BExIKXVA6M8K0PTRYAGXS666L335" hidden="1">#REF!</definedName>
    <definedName name="BExIL0PMZ2SXK9R6MLP43KBU1J2P" hidden="1">#REF!</definedName>
    <definedName name="BExIL5CTISLN9AMSIUHXDN7TC2G9" hidden="1">#REF!</definedName>
    <definedName name="BExILAAXRTRAD18K74M6MGUEEPUM" hidden="1">#REF!</definedName>
    <definedName name="BExILG5F338C0FFLMVOKMKF8X5ZP" hidden="1">#REF!</definedName>
    <definedName name="BExILGQTQM0HOD0BJI90YO7GOIN3" hidden="1">#REF!</definedName>
    <definedName name="BExILIE9GPIBUV38QJIG0TGBPBBA" hidden="1">#REF!</definedName>
    <definedName name="BExIM9DBUB7ZGF4B20FVUO9QGOX2" hidden="1">#REF!</definedName>
    <definedName name="BExIMGK9Z94TFPWWZFMD10HV0IF6" hidden="1">#REF!</definedName>
    <definedName name="BExIMPEGKG18TELVC33T4OQTNBWC" hidden="1">#REF!</definedName>
    <definedName name="BExIN4OR435DL1US13JQPOQK8GD5" hidden="1">#REF!</definedName>
    <definedName name="BExINI6A7H3KSFRFA6UBBDPKW37F" hidden="1">#REF!</definedName>
    <definedName name="BExINIMK8XC3JOBT2EXYFHHH52H0" hidden="1">#REF!</definedName>
    <definedName name="BExINJO8UP58X18X23UGMAMKQZ44" hidden="1">#REF!</definedName>
    <definedName name="BExINLX401ZKEGWU168DS4JUM2J6" hidden="1">#REF!</definedName>
    <definedName name="BExINMYYJO1FTV1CZF6O5XCFAMQX" hidden="1">#REF!</definedName>
    <definedName name="BExINP2H4KI05FRFV5PKZFE00HKO" hidden="1">#REF!</definedName>
    <definedName name="BExINZELVWYGU876QUUZCIMXPBQC" hidden="1">#REF!</definedName>
    <definedName name="BExIO5UOZN2KH1S4IBDOLRM9ZJUY" hidden="1">#REF!</definedName>
    <definedName name="BExIOCQUQHKUU1KONGSDOLQTQEIC" hidden="1">#REF!</definedName>
    <definedName name="BExIOFL8Y5O61VLKTB4H20IJNWS1" hidden="1">#REF!</definedName>
    <definedName name="BExIOGSEA027CJQSVM9QK98SXAOV" hidden="1">#REF!</definedName>
    <definedName name="BExIOMBXRW5NS4ZPYX9G5QREZ5J6" hidden="1">#REF!</definedName>
    <definedName name="BExIORA3GK78T7C7SNBJJUONJ0LS" hidden="1">#REF!</definedName>
    <definedName name="BExIORFDXP4AVIEBLSTZ8ETSXMNM" hidden="1">#REF!</definedName>
    <definedName name="BExIOTZ5EFZ2NASVQ05RH15HRSW6" hidden="1">#REF!</definedName>
    <definedName name="BExIP8YNN6UUE1GZ223SWH7DLGKO" hidden="1">#REF!</definedName>
    <definedName name="BExIPAB4AOL592OJCC1CFAXTLF1A" hidden="1">#REF!</definedName>
    <definedName name="BExIPB25DKX4S2ZCKQN7KWSC3JBF" hidden="1">#REF!</definedName>
    <definedName name="BExIPDLT8JYAMGE5HTN4D1YHZF3V" hidden="1">#REF!</definedName>
    <definedName name="BExIPG040Q08EWIWL6CAVR3GRI43" hidden="1">#REF!</definedName>
    <definedName name="BExIPKNFUDPDKOSH5GHDVNA8D66S" hidden="1">#REF!</definedName>
    <definedName name="BExIQ1VS9A2FHVD9TUHKG9K8EVVP" hidden="1">#REF!</definedName>
    <definedName name="BExIQ3J19L30PSQ2CXNT6IHW0I7V" hidden="1">#REF!</definedName>
    <definedName name="BExIQ3OHEJ7G3A6LKI825J9CA6PI" hidden="1">#REF!</definedName>
    <definedName name="BExIQ3OJ7M04XCY276IO0LJA5XUK" hidden="1">#REF!</definedName>
    <definedName name="BExIQ5S19ITB0NDRUN4XV7B905ED" hidden="1">#REF!</definedName>
    <definedName name="BExIQ9TMQT2EIXSVQW7GVSOAW2VJ" hidden="1">#REF!</definedName>
    <definedName name="BExIQA9VNAINKHRAEC9CB93VBMCC" hidden="1">#REF!</definedName>
    <definedName name="BExIQBMDE1L6J4H27K1FMSHQKDSE" hidden="1">#REF!</definedName>
    <definedName name="BExIQE65LVXUOF3UZFO7SDHFJH22" hidden="1">#REF!</definedName>
    <definedName name="BExIQF2J8TBKTBFKNNS1T2ATWA2Z" hidden="1">#REF!</definedName>
    <definedName name="BExIQG9OO2KKBOWTMD1OXY36TEGA" hidden="1">#REF!</definedName>
    <definedName name="BExIQX1XBB31HZTYEEVOBSE3C5A6" hidden="1">#REF!</definedName>
    <definedName name="BExIQYP5T1TPAQYW7QU1Q98BKX7W" hidden="1">#REF!</definedName>
    <definedName name="BExIR2ALYRP9FW99DK2084J7IIDC" hidden="1">#REF!</definedName>
    <definedName name="BExIR4OYLXP4HNF8C2O5X48CW2GM" hidden="1">#REF!</definedName>
    <definedName name="BExIR8FQETPTQYW37DBVDWG3J4JW" hidden="1">#REF!</definedName>
    <definedName name="BExIRRBGTY01OQOI3U5SW59RFDFI" hidden="1">#REF!</definedName>
    <definedName name="BExIS4T0DRF57HYO7OGG72KBOFOI" hidden="1">#REF!</definedName>
    <definedName name="BExIS77BJDDK18PGI9DSEYZPIL7P" hidden="1">#REF!</definedName>
    <definedName name="BExIS8USL1T3Z97CZ30HJ98E2GXQ" hidden="1">#REF!</definedName>
    <definedName name="BExISC5B700MZUBFTQ9K4IKTF7HR" hidden="1">#REF!</definedName>
    <definedName name="BExISDHXS49S1H56ENBPRF1NLD5C" hidden="1">#REF!</definedName>
    <definedName name="BExISM1JLV54A21A164IURMPGUMU" hidden="1">#REF!</definedName>
    <definedName name="BExISRFKJYUZ4AKW44IJF7RF9Y90" hidden="1">#REF!</definedName>
    <definedName name="BExIT1MK8TBAK3SNP36A8FKDQSOK" hidden="1">#REF!</definedName>
    <definedName name="BExITBNYANV2S8KD56GOGCKW393R" hidden="1">#REF!</definedName>
    <definedName name="BExIUD4OJGH65NFNQ4VMCE3R4J1X" hidden="1">#REF!</definedName>
    <definedName name="BExIUTB5OAAXYW0OFMP0PS40SPOB" hidden="1">#REF!</definedName>
    <definedName name="BExIUUT2MHIOV6R3WHA0DPM1KBKY" hidden="1">#REF!</definedName>
    <definedName name="BExIUYPDT1AM6MWGWQS646PIZIWC" hidden="1">#REF!</definedName>
    <definedName name="BExIV0I2O9F8D1UK1SI8AEYR6U0A" hidden="1">#REF!</definedName>
    <definedName name="BExIV2LM38XPLRTWT0R44TMQ59E5" hidden="1">#REF!</definedName>
    <definedName name="BExIV3HY4S0YRV1F7XEMF2YHAR2I" hidden="1">#REF!</definedName>
    <definedName name="BExIV6HUZFRIFLXW2SICKGTAH1PV" hidden="1">#REF!</definedName>
    <definedName name="BExIVC6WZMHRBRGIBUVX0CO2RK05" hidden="1">#REF!</definedName>
    <definedName name="BExIVCXWL6H5LD9DHDIA4F5U9TQL" hidden="1">#REF!</definedName>
    <definedName name="BExIVFSCBGYKLJ9RSOQIHL49O6K1" hidden="1">#REF!</definedName>
    <definedName name="BExIVMOIPSEWSIHIDDLOXESQ28A0" hidden="1">#REF!</definedName>
    <definedName name="BExIVNVNJX9BYDLC88NG09YF5XQ6" hidden="1">#REF!</definedName>
    <definedName name="BExIVQVKLMGSRYT1LFZH0KUIA4OR" hidden="1">#REF!</definedName>
    <definedName name="BExIVW4B2L9624E0CDHURG2U8KLZ" hidden="1">#REF!</definedName>
    <definedName name="BExIVYTFI35KNR2XSA6N8OJYUTUR" hidden="1">#REF!</definedName>
    <definedName name="BExIW17QEY6EZKYIHTKUI7UCLHOM" hidden="1">#REF!</definedName>
    <definedName name="BExIW83X3AOHR1HI6RAHTWY1R62A" hidden="1">#REF!</definedName>
    <definedName name="BExIWB3SY3WRIVIOF988DNNODBOA" hidden="1">#REF!</definedName>
    <definedName name="BExIWB99CG0H52LRD6QWPN4L6DV2" hidden="1">#REF!</definedName>
    <definedName name="BExIWCGFHB2CWNAX4FIF720SBYPN" hidden="1">#REF!</definedName>
    <definedName name="BExIWG1W7XP9DFYYSZAIOSHM0QLQ" hidden="1">#REF!</definedName>
    <definedName name="BExIWH3KUK94B7833DD4TB0Y6KP9" hidden="1">#REF!</definedName>
    <definedName name="BExIWJHX1XSEYQ9CUCS89L10XFH6" hidden="1">#REF!</definedName>
    <definedName name="BExIWKE9MGIDWORBI43AWTUNYFAN" hidden="1">#REF!</definedName>
    <definedName name="BExIWX4RFHBVB73B92DG5QDMCL77" hidden="1">#REF!</definedName>
    <definedName name="BExIX34PM5DBTRHRQWP6PL6WIX88" hidden="1">#REF!</definedName>
    <definedName name="BExIX5OAP9KSUE5SIZCW9P39Q4WE" hidden="1">#REF!</definedName>
    <definedName name="BExIXGRJPVJMUDGSG7IHPXPNO69B" hidden="1">#REF!</definedName>
    <definedName name="BExIXM5R87ZL3FHALWZXYCPHGX3E" hidden="1">#REF!</definedName>
    <definedName name="BExIXS036ZCKT2Z8XZKLZ8PFWQGL" hidden="1">#REF!</definedName>
    <definedName name="BExIXY5CF9PFM0P40AZ4U51TMWV0" hidden="1">#REF!</definedName>
    <definedName name="BExIYEXJBK8JDWIRSVV4RJSKZVV1" hidden="1">#REF!</definedName>
    <definedName name="BExIYI2RH0K4225XO970K2IQ1E79" hidden="1">#REF!</definedName>
    <definedName name="BExIYMPZ0KS2KOJFQAUQJ77L7701" hidden="1">#REF!</definedName>
    <definedName name="BExIYP9Q6FV9T0R9G3UDKLS4TTYX" hidden="1">#REF!</definedName>
    <definedName name="BExIYQWZL98GN2WIAAC7E9ENVM5P" hidden="1">#REF!</definedName>
    <definedName name="BExIYS9M65SCALW9VQ0N195UTNYV" hidden="1">#REF!</definedName>
    <definedName name="BExIYZGLDQ1TN7BIIN4RLDP31GIM" hidden="1">#REF!</definedName>
    <definedName name="BExIZ4K0EZJK6PW3L8SVKTJFSWW9" hidden="1">#REF!</definedName>
    <definedName name="BExIZAECOEZGBAO29QMV14E6XDIV" hidden="1">#REF!</definedName>
    <definedName name="BExIZBLGCAXEBOHUPTCWJJXYG7M5" hidden="1">#REF!</definedName>
    <definedName name="BExIZKVXYD5O2JBU81F2UFJZLLSI" hidden="1">#REF!</definedName>
    <definedName name="BExIZPZDHC8HGER83WHCZAHOX7LK" hidden="1">#REF!</definedName>
    <definedName name="BExIZX6BINJXWM2OBQ04WZG5K94G" hidden="1">#REF!</definedName>
    <definedName name="BExIZY2PUZ0OF9YKK1B13IW0VS6G" hidden="1">#REF!</definedName>
    <definedName name="BExJ08KBRR2XMWW3VZMPSQKXHZUH" hidden="1">#REF!</definedName>
    <definedName name="BExJ0DYJWXGE7DA39PYL3WM05U9O" hidden="1">#REF!</definedName>
    <definedName name="BExJ0MY8SY5J5V50H3UKE78ODTVB" hidden="1">#REF!</definedName>
    <definedName name="BExJ0YC98G37ML4N8FLP8D95EFRF" hidden="1">#REF!</definedName>
    <definedName name="BExJ16FJH1WJBQ39KH4N6JZ8CG3H" hidden="1">#REF!</definedName>
    <definedName name="BExKCDYKAEV45AFXHVHZZ62E5BM3" hidden="1">#REF!</definedName>
    <definedName name="BExKD7MRZ3AEBOUB4M62BBKE6Y80" hidden="1">#REF!</definedName>
    <definedName name="BExKDF4HV2ZWVHM0FKKI18UWYZMH" hidden="1">#REF!</definedName>
    <definedName name="BExKDKO0W4AGQO1V7K6Q4VM750FT" hidden="1">#REF!</definedName>
    <definedName name="BExKDLF10G7W77J87QWH3ZGLUCLW" hidden="1">#REF!</definedName>
    <definedName name="BExKEDL9OODO4HQMBBE9MBSFSPPF" hidden="1">#REF!</definedName>
    <definedName name="BExKEFE0I3MT6ZLC4T1L9465HKTN" hidden="1">#REF!</definedName>
    <definedName name="BExKEK6O5BVJP4VY02FY7JNAZ6BT" hidden="1">#REF!</definedName>
    <definedName name="BExKEKXK6E6QX339ELPXDIRZSJE0" hidden="1">#REF!</definedName>
    <definedName name="BExKEOOIBMP7N8033EY2CJYCBX6H" hidden="1">#REF!</definedName>
    <definedName name="BExKEUISU46MF7P1DW2093EEYTPR" hidden="1">#REF!</definedName>
    <definedName name="BExKEW0RR5LA3VC46A2BEOOMQE56" hidden="1">#REF!</definedName>
    <definedName name="BExKFA3VI1CZK21SM0N3LZWT9LA1" hidden="1">#REF!</definedName>
    <definedName name="BExKFGUKWGWF7EE3XAZOK89QK7DY" hidden="1">#REF!</definedName>
    <definedName name="BExKFINBFV5J2NFRCL4YUO3YF0ZE" hidden="1">#REF!</definedName>
    <definedName name="BExKFISRBFACTAMJSALEYMY66F6X" hidden="1">#REF!</definedName>
    <definedName name="BExKFOSK5DJ151C4E8544UWMYTOC" hidden="1">#REF!</definedName>
    <definedName name="BExKFYJC4EVEV54F82K6VKP7Q3OU" hidden="1">#REF!</definedName>
    <definedName name="BExKG4IYHBKQQ8J8FN10GB2IKO33" hidden="1">#REF!</definedName>
    <definedName name="BExKGF0L44S78D33WMQ1A75TRKB9" hidden="1">#REF!</definedName>
    <definedName name="BExKGFRN31B3G20LMQ4LRF879J68" hidden="1">#REF!</definedName>
    <definedName name="BExKGJD3U3ADZILP20U3EURP0UQP" hidden="1">#REF!</definedName>
    <definedName name="BExKGNK5YGKP0YHHTAAOV17Z9EIM" hidden="1">#REF!</definedName>
    <definedName name="BExKGV77YH9YXIQTRKK2331QGYKF" hidden="1">#REF!</definedName>
    <definedName name="BExKH3FTZ5VGTB86W9M4AB39R0G8" hidden="1">#REF!</definedName>
    <definedName name="BExKH3FV5U5O6XZM7STS3NZKQFGJ" hidden="1">#REF!</definedName>
    <definedName name="BExKHAMUH8NR3HRV0V6FHJE3ROLN" hidden="1">#REF!</definedName>
    <definedName name="BExKHCFKOWFHO2WW0N7Y5XDXEWAO" hidden="1">#REF!</definedName>
    <definedName name="BExKHIVLONZ46HLMR50DEXKEUNEP" hidden="1">#REF!</definedName>
    <definedName name="BExKHPM9XA0ADDK7TUR0N38EXWEP" hidden="1">#REF!</definedName>
    <definedName name="BExKI4076KXCDE5KXL79KT36OKLO" hidden="1">#REF!</definedName>
    <definedName name="BExKI7LO70WYISR7Q0Y1ZDWO9M3B" hidden="1">#REF!</definedName>
    <definedName name="BExKIGQV6TXIZG039HBOJU62WP2U" hidden="1">#REF!</definedName>
    <definedName name="BExKILE008SF3KTAN8WML3XKI1NZ" hidden="1">#REF!</definedName>
    <definedName name="BExKINSBB6RS7I489QHMCOMU4Z2X" hidden="1">#REF!</definedName>
    <definedName name="BExKIU87ZKSOC2DYZWFK6SAK9I8E" hidden="1">#REF!</definedName>
    <definedName name="BExKIY4GWMBSASATHITHELFYPK9F" hidden="1">#REF!</definedName>
    <definedName name="BExKJ449HLYX2DJ9UF0H9GTPSQ73" hidden="1">#REF!</definedName>
    <definedName name="BExKJELX2RUC8UEC56IZPYYZXHA7" hidden="1">#REF!</definedName>
    <definedName name="BExKJINMXS61G2TZEXCJAWVV4F57" hidden="1">#REF!</definedName>
    <definedName name="BExKJK5ME8KB7HA0180L7OUZDDGV" hidden="1">#REF!</definedName>
    <definedName name="BExKJN5IF0VMDILJ5K8ZENF2QYV1" hidden="1">#REF!</definedName>
    <definedName name="BExKJUSJPFUIK20FTVAFJWR2OUYX" hidden="1">#REF!</definedName>
    <definedName name="BExKJY383GUDLMREK0A5YXLXZFW2" hidden="1">#REF!</definedName>
    <definedName name="BExKK8VP5RS3D0UXZVKA37C4SYBP" hidden="1">#REF!</definedName>
    <definedName name="BExKKIM9NPF6B3SPMPIQB27HQME4" hidden="1">#REF!</definedName>
    <definedName name="BExKKIX1BCBQ4R3K41QD8NTV0OV0" hidden="1">#REF!</definedName>
    <definedName name="BExKKQ3ZWADYV03YHMXDOAMU90EB" hidden="1">#REF!</definedName>
    <definedName name="BExKKU08FOAZHI2Q2DKQBA12RPJM" hidden="1">#REF!</definedName>
    <definedName name="BExKKUGD2HMJWQEYZ8H3X1BMXFS9" hidden="1">#REF!</definedName>
    <definedName name="BExKKWK0IEBMFS3QQVR5DFS5T4GB" hidden="1">#REF!</definedName>
    <definedName name="BExKKX05KCZZZPKOR1NE5A8RGVT4" hidden="1">#REF!</definedName>
    <definedName name="BExKLD6S9L66QYREYHBE5J44OK7X" hidden="1">#REF!</definedName>
    <definedName name="BExKLEZK32L28GYJWVO63BZ5E1JD" hidden="1">#REF!</definedName>
    <definedName name="BExKLF4U1UW0GZDW4SCVOJDKP5JL" hidden="1">#REF!</definedName>
    <definedName name="BExKLLKVVHT06LA55JB2FC871DC5" hidden="1">#REF!</definedName>
    <definedName name="BExKMOOVDZF4SFUK8NGRHQ4VFJQ3" hidden="1">#REF!</definedName>
    <definedName name="BExKMWBX4EH3EYJ07UFEM08NB40Z" hidden="1">#REF!</definedName>
    <definedName name="BExKNBGV2IR3S7M0BX4810KZB4V3" hidden="1">#REF!</definedName>
    <definedName name="BExKNCTBZTSY3MO42VU5PLV6YUHZ" hidden="1">#REF!</definedName>
    <definedName name="BExKNGV2YY749C42AQ2T9QNIE5C3" hidden="1">#REF!</definedName>
    <definedName name="BExKNV8UOHVWEHDJWI2WMJ9X6QHZ" hidden="1">#REF!</definedName>
    <definedName name="BExKNZLD7UATC1MYRNJD8H2NH4KU" hidden="1">#REF!</definedName>
    <definedName name="BExKNZQUKQQG2Y97R74G4O4BJP1L" hidden="1">#REF!</definedName>
    <definedName name="BExKO06X0EAD3ABEG1E8PWLDWHBA" hidden="1">#REF!</definedName>
    <definedName name="BExKO2AHHSGNI1AZOIOW21KPXKPE" hidden="1">#REF!</definedName>
    <definedName name="BExKO2FXWJWC5IZLDN8JHYILQJ2N" hidden="1">#REF!</definedName>
    <definedName name="BExKO438WZ8FKOU00NURGFMOYXWN" hidden="1">#REF!</definedName>
    <definedName name="BExKODIZGWW2EQD0FEYW6WK6XLCM" hidden="1">#REF!</definedName>
    <definedName name="BExKOPO2HPWVQGAKW8LOZMPIDEFG" hidden="1">#REF!</definedName>
    <definedName name="BExKOUB7LSU1H8TO3GRP1IIH4S1V" hidden="1">#REF!</definedName>
    <definedName name="BExKP9AOXH56ZVF248489DWNB7CG" hidden="1">#REF!</definedName>
    <definedName name="BExKPEZP0QTKOTLIMMIFSVTHQEEK" hidden="1">#REF!</definedName>
    <definedName name="BExKPEZQ2IEFR9TP9B9BI1PO62VM" hidden="1">#REF!</definedName>
    <definedName name="BExKPLQJX0HJ8OTXBXH9IC9J2V0W" hidden="1">#REF!</definedName>
    <definedName name="BExKPN8C7GN36ZJZHLOB74LU6KT0" hidden="1">#REF!</definedName>
    <definedName name="BExKPX9VZ1J5021Q98K60HMPJU58" hidden="1">#REF!</definedName>
    <definedName name="BExKQJGAAWNM3NT19E9I0CQDBTU0" hidden="1">#REF!</definedName>
    <definedName name="BExKQKHZ501P33K0G8CYQRD0IXX5" hidden="1">#REF!</definedName>
    <definedName name="BExKQM5GJ1ZN5REKFE7YVBQ0KXWF" hidden="1">#REF!</definedName>
    <definedName name="BExKQOEA7HV9U5DH9C8JXFD62EKH" hidden="1">#REF!</definedName>
    <definedName name="BExKQQ71278061G7ZFYGPWOMOMY2" hidden="1">#REF!</definedName>
    <definedName name="BExKQTXRG3ECU8NT47UR7643LO5G" hidden="1">#REF!</definedName>
    <definedName name="BExKQVL7HPOIZ4FHANDFMVOJLEPR" hidden="1">#REF!</definedName>
    <definedName name="BExKR32XG1WY77WDT8KW9FJPGQTU" hidden="1">#REF!</definedName>
    <definedName name="BExKR8RZSEHW184G0Z56B4EGNU72" hidden="1">#REF!</definedName>
    <definedName name="BExKRVUSQ6PA7ZYQSTEQL3X7PB9P" hidden="1">#REF!</definedName>
    <definedName name="BExKRWAVM9R8EPT5RR1I6FM0EPDS" hidden="1">#REF!</definedName>
    <definedName name="BExKRY3KZ7F7RB2KH8HXSQ85IEQO" hidden="1">#REF!</definedName>
    <definedName name="BExKSA37DZTCK6H13HPIKR0ZFVL8" hidden="1">#REF!</definedName>
    <definedName name="BExKSFMOMSZYDE0WNC94F40S6636" hidden="1">#REF!</definedName>
    <definedName name="BExKSHQ9K79S8KYUWIV5M5LAHHF1" hidden="1">#REF!</definedName>
    <definedName name="BExKSIS3VA1NCEFCZZSIK8B3YIBZ" hidden="1">#REF!</definedName>
    <definedName name="BExKSJTWG9L3FCX8FLK4EMUJMF27" hidden="1">#REF!</definedName>
    <definedName name="BExKSU0MKNAVZYYPKCYTZDWQX4R8" hidden="1">#REF!</definedName>
    <definedName name="BExKSX60G1MUS689FXIGYP2F7C62" hidden="1">#REF!</definedName>
    <definedName name="BExKT2UZ7Y2VWF5NQE18SJRLD2RN" hidden="1">#REF!</definedName>
    <definedName name="BExKT3GJFNGAM09H5F615E36A38C" hidden="1">#REF!</definedName>
    <definedName name="BExKTQZGN8GI3XGSEXMPCCA3S19H" hidden="1">#REF!</definedName>
    <definedName name="BExKTUKYYU0F6TUW1RXV24LRAZFE" hidden="1">#REF!</definedName>
    <definedName name="BExKTYXBBDLM939X3UKU3H423BSV" hidden="1">#REF!</definedName>
    <definedName name="BExKU3FBLHQBIUTN6XEZW5GC9OG1" hidden="1">#REF!</definedName>
    <definedName name="BExKU82I99FEUIZLODXJDOJC96CQ" hidden="1">#REF!</definedName>
    <definedName name="BExKUDM0DFSCM3D91SH0XLXJSL18" hidden="1">#REF!</definedName>
    <definedName name="BExKULEKJLA77AUQPDUHSM94Y76Z" hidden="1">#REF!</definedName>
    <definedName name="BExKV08R85MKI3MAX9E2HERNQUNL" hidden="1">#REF!</definedName>
    <definedName name="BExKV4AAUNNJL5JWD7PX6BFKVS6O" hidden="1">#REF!</definedName>
    <definedName name="BExKVDVK6HN74GQPTXICP9BFC8CF" hidden="1">#REF!</definedName>
    <definedName name="BExKVFZ3ZZGIC1QI8XN6BYFWN0ZY" hidden="1">#REF!</definedName>
    <definedName name="BExKVG4KGO28KPGTAFL1R8TTZ10N" hidden="1">#REF!</definedName>
    <definedName name="BExKW0CSH7DA02YSNV64PSEIXB2P" hidden="1">#REF!</definedName>
    <definedName name="BExM9NUG3Q31X01AI9ZJCZIX25CS" hidden="1">#REF!</definedName>
    <definedName name="BExM9OG182RP30MY23PG49LVPZ1C" hidden="1">#REF!</definedName>
    <definedName name="BExMA64MW1S18NH8DCKPCCEI5KCB" hidden="1">#REF!</definedName>
    <definedName name="BExMALEWFUEM8Y686IT03ECURUBR" hidden="1">#REF!</definedName>
    <definedName name="BExMAOPLAQ97S89ECTCFRSZHWUNM" hidden="1">#REF!</definedName>
    <definedName name="BExMAXJS82ZJ8RS22VLE0V0LDUII" hidden="1">#REF!</definedName>
    <definedName name="BExMB4QRS0R3MTB4CMUHFZ84LNZQ" hidden="1">#REF!</definedName>
    <definedName name="BExMBC35WKQY5CWQJLV4D05O6971" hidden="1">#REF!</definedName>
    <definedName name="BExMBFTZV4Q1A5KG25C1N9PHQNSW" hidden="1">#REF!</definedName>
    <definedName name="BExMBK6ISK3U7KHZKUJXIDKGF6VW" hidden="1">#REF!</definedName>
    <definedName name="BExMBYPQDG9AYDQ5E8IECVFREPO6" hidden="1">#REF!</definedName>
    <definedName name="BExMC8AZUTX8LG89K2JJR7ZG62XX" hidden="1">#REF!</definedName>
    <definedName name="BExMCA96YR10V72G2R0SCIKPZLIZ" hidden="1">#REF!</definedName>
    <definedName name="BExMCB5JU5I2VQDUBS4O42BTEVKI" hidden="1">#REF!</definedName>
    <definedName name="BExMCFSQFSEMPY5IXDIRKZDASDBR" hidden="1">#REF!</definedName>
    <definedName name="BExMCMZOEYWVOOJ98TBHTTCS7XB8" hidden="1">#REF!</definedName>
    <definedName name="BExMCS8EF2W3FS9QADNKREYSI8P0" hidden="1">#REF!</definedName>
    <definedName name="BExMCUS7GSOM96J0HJ7EH0FFM2AC" hidden="1">#REF!</definedName>
    <definedName name="BExMCYOHJ0OW9EWHYDRPS7XT8OQ9" hidden="1">#REF!</definedName>
    <definedName name="BExMCYTT6TVDWMJXO1NZANRTVNAN" hidden="1">#REF!</definedName>
    <definedName name="BExMD5F6IAV108XYJLXUO9HD0IT6" hidden="1">#REF!</definedName>
    <definedName name="BExMDANV66W9T3XAXID40XFJ0J93" hidden="1">#REF!</definedName>
    <definedName name="BExMDGD1KQP7NNR78X2ZX4FCBQ1S" hidden="1">#REF!</definedName>
    <definedName name="BExMDIRDK0DI8P86HB7WPH8QWLSQ" hidden="1">#REF!</definedName>
    <definedName name="BExMDPI2FVMORSWDDCVAJ85WYAYO" hidden="1">#REF!</definedName>
    <definedName name="BExMDUWB7VWHFFR266QXO46BNV2S" hidden="1">#REF!</definedName>
    <definedName name="BExME2U47N8LZG0BPJ49ANY5QVV2" hidden="1">#REF!</definedName>
    <definedName name="BExME5ZH5BXAGVEQHYIJHK7I0ZA7" hidden="1">#REF!</definedName>
    <definedName name="BExME88BRP5CL0X5DZEYOEH07CQV" hidden="1">#REF!</definedName>
    <definedName name="BExME88DH5DUKMUFI9FNVECXFD2E" hidden="1">#REF!</definedName>
    <definedName name="BExME9A7MOGAK7YTTQYXP5DL6VYA" hidden="1">#REF!</definedName>
    <definedName name="BExMEOV9YFRY5C3GDLU60GIX10BY" hidden="1">#REF!</definedName>
    <definedName name="BExMEY09ESM4H2YGKEQQRYUD114R" hidden="1">#REF!</definedName>
    <definedName name="BExMF4G4IUPQY1Y5GEY5N3E04CL6" hidden="1">#REF!</definedName>
    <definedName name="BExMF9UIGYMOAQK0ELUWP0S0HZZY" hidden="1">#REF!</definedName>
    <definedName name="BExMFDLBSWFMRDYJ2DZETI3EXKN2" hidden="1">#REF!</definedName>
    <definedName name="BExMFLDTMRTCHKA37LQW67BG8D5C" hidden="1">#REF!</definedName>
    <definedName name="BExMG5M2N5L9OA0JKHCMQL9HUJ15" hidden="1">#REF!</definedName>
    <definedName name="BExMGG3PFIHPHX7NXB7HDFI3N12L" hidden="1">#REF!</definedName>
    <definedName name="BExMH3H9TW5TJCNU5Z1EWXP3BAEP" hidden="1">#REF!</definedName>
    <definedName name="BExMHOWPB34KPZ76M2KIX2C9R2VB" hidden="1">#REF!</definedName>
    <definedName name="BExMHSSYC6KVHA3QDTSYPN92TWMI" hidden="1">#REF!</definedName>
    <definedName name="BExMI0WA793SF41LQ40A28U8OXQY" hidden="1">#REF!</definedName>
    <definedName name="BExMI3AJ9477KDL4T9DHET4LJJTW" hidden="1">#REF!</definedName>
    <definedName name="BExMI6L9KX05GAK523JFKICJMTA5" hidden="1">#REF!</definedName>
    <definedName name="BExMI6QQ20XHD0NWJUN741B37182" hidden="1">#REF!</definedName>
    <definedName name="BExMI8JB94SBD9EMNJEK7Y2T6GYU" hidden="1">#REF!</definedName>
    <definedName name="BExMI8OS85YTW3KYVE4YD0R7Z6UV" hidden="1">#REF!</definedName>
    <definedName name="BExMIBOOZU40JS3F89OMPSRCE9MM" hidden="1">#REF!</definedName>
    <definedName name="BExMIIQ5MBWSIHTFWAQADXMZC22Q" hidden="1">#REF!</definedName>
    <definedName name="BExMIL4I2GE866I25CR5JBLJWJ6A" hidden="1">#REF!</definedName>
    <definedName name="BExMIRKIPF27SNO82SPFSB3T5U17" hidden="1">#REF!</definedName>
    <definedName name="BExMIV0KC8555D5E42ZGWG15Y0MO" hidden="1">#REF!</definedName>
    <definedName name="BExMIZT6AN7E6YMW2S87CTCN2UXH" hidden="1">#REF!</definedName>
    <definedName name="BExMJ15T9F3475M0896SG60TN0SR" hidden="1">#REF!</definedName>
    <definedName name="BExMJNC8ZFB9DRFOJ961ZAJ8U3A8" hidden="1">#REF!</definedName>
    <definedName name="BExMJTBV8A3D31W2IQHP9RDFPPHQ" hidden="1">#REF!</definedName>
    <definedName name="BExMK2RTXN4QJWEUNX002XK8VQP8" hidden="1">#REF!</definedName>
    <definedName name="BExMK6O30NPXQFEQFI7ANEN8KIVK" hidden="1">#REF!</definedName>
    <definedName name="BExMKBGQDUZ8AWXYHA3QVMSDVZ3D" hidden="1">#REF!</definedName>
    <definedName name="BExMKBM1467553LDFZRRKVSHN374" hidden="1">#REF!</definedName>
    <definedName name="BExMKGK5FJUC0AU8MABRGDC5ZM70" hidden="1">#REF!</definedName>
    <definedName name="BExMKTW7R5SOV4PHAFGHU3W73DYE" hidden="1">#REF!</definedName>
    <definedName name="BExMKU7051J2W1RQXGZGE62NBRUZ" hidden="1">#REF!</definedName>
    <definedName name="BExMKUN3WPECJR2XRID2R7GZRGNX" hidden="1">#REF!</definedName>
    <definedName name="BExMKZ535P011X4TNV16GCOH4H21" hidden="1">#REF!</definedName>
    <definedName name="BExML3XQNDIMX55ZCHHXKUV3D6E6" hidden="1">#REF!</definedName>
    <definedName name="BExML5QGSWHLI18BGY4CGOTD3UWH" hidden="1">#REF!</definedName>
    <definedName name="BExMLFX78LBQ1ZBSS9YWTQNFFE2Z" hidden="1">#REF!</definedName>
    <definedName name="BExMLO5Z61RE85X8HHX2G4IU3AZW" hidden="1">#REF!</definedName>
    <definedName name="BExMLVI7UORSHM9FMO8S2EI0TMTS" hidden="1">#REF!</definedName>
    <definedName name="BExMM5UCOT2HSSN0ZIPZW55GSOVO" hidden="1">#REF!</definedName>
    <definedName name="BExMM8ZRS5RQ8H1H55RVPVTDL5NL" hidden="1">#REF!</definedName>
    <definedName name="BExMMH8EAZB09XXQ5X4LR0P4NHG9" hidden="1">#REF!</definedName>
    <definedName name="BExMMIQH5BABNZVCIQ7TBCQ10AY5" hidden="1">#REF!</definedName>
    <definedName name="BExMMNIZ2T7M22WECMUQXEF4NJ71" hidden="1">#REF!</definedName>
    <definedName name="BExMMPMIOU7BURTV0L1K6ACW9X73" hidden="1">#REF!</definedName>
    <definedName name="BExMMQ835AJDHS4B419SS645P67Q" hidden="1">#REF!</definedName>
    <definedName name="BExMMQIUVPCOBISTEJJYNCCLUCPY" hidden="1">#REF!</definedName>
    <definedName name="BExMMTIXETA5VAKBSOFDD5SRU887" hidden="1">#REF!</definedName>
    <definedName name="BExMMV0P6P5YS3C35G0JYYHI7992" hidden="1">#REF!</definedName>
    <definedName name="BExMNDR4V2VG5RFZDGTAGD3Q9PPG" hidden="1">#REF!</definedName>
    <definedName name="BExMNJLFWZBRN9PZF1IO9CYWV1B2" hidden="1">#REF!</definedName>
    <definedName name="BExMNKCJ0FA57YEUUAJE43U1QN5P" hidden="1">#REF!</definedName>
    <definedName name="BExMNKN5D1WEF2OOJVP6LZ6DLU3Y" hidden="1">#REF!</definedName>
    <definedName name="BExMNR38HMPLWAJRQ9MMS3ZAZ9IU" hidden="1">#REF!</definedName>
    <definedName name="BExMNRDZULKJMVY2VKIIRM2M5A1M" hidden="1">#REF!</definedName>
    <definedName name="BExMO5RWQVY9K6OD0UC65WT3OA88" hidden="1">#REF!</definedName>
    <definedName name="BExMO9IOWKTWHO8LQJJQI5P3INWY" hidden="1">#REF!</definedName>
    <definedName name="BExMOI29DOEK5R1A5QZPUDKF7N6T" hidden="1">#REF!</definedName>
    <definedName name="BExMOLNQV6VLJ8HM46QAV22LAQCR" hidden="1">#REF!</definedName>
    <definedName name="BExMP2QMEONLI1M0E0AVCU68FSY9" hidden="1">#REF!</definedName>
    <definedName name="BExMP9C4AX7JEN2LLW3WWRU7OUMO" hidden="1">#REF!</definedName>
    <definedName name="BExMPAJ5AJAXGKGK3F6H3ODS6RF4" hidden="1">#REF!</definedName>
    <definedName name="BExMPD2X55FFBVJ6CBUKNPROIOEU" hidden="1">#REF!</definedName>
    <definedName name="BExMPGZ848E38FUH1JBQN97DGWAT" hidden="1">#REF!</definedName>
    <definedName name="BExMPMTICOSMQENOFKQ18K0ZT4S8" hidden="1">#REF!</definedName>
    <definedName name="BExMPMZ07II0R4KGWQQ7PGS3RZS4" hidden="1">#REF!</definedName>
    <definedName name="BExMPOBH04JMDO6Z8DMSEJZM4ANN" hidden="1">#REF!</definedName>
    <definedName name="BExMPSD77XQ3HA6A4FZOJK8G2JP3" hidden="1">#REF!</definedName>
    <definedName name="BExMQ4I3Q7F0BMPHSFMFW9TZ87UD" hidden="1">#REF!</definedName>
    <definedName name="BExMQ4SWDWI4N16AZ0T5CJ6HH8WC" hidden="1">#REF!</definedName>
    <definedName name="BExMQ71WHW50GVX45JU951AGPLFQ" hidden="1">#REF!</definedName>
    <definedName name="BExMQGXSLPT4A6N47LE6FBVHWBOF" hidden="1">#REF!</definedName>
    <definedName name="BExMQSBR7PL4KLB1Q4961QO45Y4G" hidden="1">#REF!</definedName>
    <definedName name="BExMR1MA4I1X77714ZEPUVC8W398" hidden="1">#REF!</definedName>
    <definedName name="BExMR8YQHA7N77HGHY4Y6R30I3XT" hidden="1">#REF!</definedName>
    <definedName name="BExMRENOIARWRYOIVPDIEBVNRDO7" hidden="1">#REF!</definedName>
    <definedName name="BExMRNY71NC6UL62ZF3BISFRSBNC" hidden="1">#REF!</definedName>
    <definedName name="BExMRRJNUMGRSDD5GGKKGEIZ6FTS" hidden="1">#REF!</definedName>
    <definedName name="BExMRU3ACIU0RD2BNWO55LH5U2BR" hidden="1">#REF!</definedName>
    <definedName name="BExMSQRCC40AP8BDUPL2I2DNC210" hidden="1">#REF!</definedName>
    <definedName name="BExO4J9LR712G00TVA82VNTG8O7H" hidden="1">#REF!</definedName>
    <definedName name="BExO55G2KVZ7MIJ30N827CLH0I2A" hidden="1">#REF!</definedName>
    <definedName name="BExO5A8PZD9EUHC5CMPU6N3SQ15L" hidden="1">#REF!</definedName>
    <definedName name="BExO5XMAHL7CY3X0B1OPKZ28DCJ5" hidden="1">#REF!</definedName>
    <definedName name="BExO66LZJKY4PTQVREELI6POS4AY" hidden="1">#REF!</definedName>
    <definedName name="BExO6LLHCYTF7CIVHKAO0NMET14Q" hidden="1">#REF!</definedName>
    <definedName name="BExO770VBJDRNX03NC8WQFIKSQG6" hidden="1">#REF!</definedName>
    <definedName name="BExO7OUQS3XTUQ2LDKGQ8AAQ3OJJ" hidden="1">#REF!</definedName>
    <definedName name="BExO7RUSODZC2NQZMT2AFSMV2ONF" hidden="1">#REF!</definedName>
    <definedName name="BExO7UP83L29R6IVHBRN7EKHRWX1" hidden="1">#REF!</definedName>
    <definedName name="BExO85HMYXZJ7SONWBKKIAXMCI3C" hidden="1">#REF!</definedName>
    <definedName name="BExO863922O4PBGQMUNEQKGN3K96" hidden="1">#REF!</definedName>
    <definedName name="BExO89ZIOXN0HOKHY24F7HDZ87UT" hidden="1">#REF!</definedName>
    <definedName name="BExO8CDTBCABLEUD6PE2UM2EZ6C4" hidden="1">#REF!</definedName>
    <definedName name="BExO8IZ05ZG0XVOL3W41KBQE176A" hidden="1">#REF!</definedName>
    <definedName name="BExO8UTAGQWDBQZEEF4HUNMLQCVU" hidden="1">#REF!</definedName>
    <definedName name="BExO937E20IHMGQOZMECL3VZC7OX" hidden="1">#REF!</definedName>
    <definedName name="BExO94UTJKQQ7TJTTJRTSR70YVJC" hidden="1">#REF!</definedName>
    <definedName name="BExO9J3A438976RXIUX5U9SU5T55" hidden="1">#REF!</definedName>
    <definedName name="BExO9RS5RXFJ1911HL3CCK6M74EP" hidden="1">#REF!</definedName>
    <definedName name="BExO9SDRI1M6KMHXSG3AE5L0F2U3" hidden="1">#REF!</definedName>
    <definedName name="BExO9V2U2YXAY904GYYGU6TD8Y7M" hidden="1">#REF!</definedName>
    <definedName name="BExOA0H32VE5TW4ETHODTIGBYCXP" hidden="1">#REF!</definedName>
    <definedName name="BExOA9M1PCTBET8WSVEZ2MZ35D3B" hidden="1">#REF!</definedName>
    <definedName name="BExOAA7MTHTEEH4R8SWX08J16LTA" hidden="1">#REF!</definedName>
    <definedName name="BExOAQ3GKCT7YZW1EMVU3EILSZL2" hidden="1">#REF!</definedName>
    <definedName name="BExOB9KT2THGV4SPLDVFTFXS4B14" hidden="1">#REF!</definedName>
    <definedName name="BExOBEZ0IE2WBEYY3D3CMRI72N1K" hidden="1">#REF!</definedName>
    <definedName name="BExOBG0PZ3O51AL42C4TMUPUM42G" hidden="1">#REF!</definedName>
    <definedName name="BExOBIPU8760ITY0C8N27XZ3KWEF" hidden="1">#REF!</definedName>
    <definedName name="BExOBM0I5L0MZ1G4H9MGMD87SBMZ" hidden="1">#REF!</definedName>
    <definedName name="BExOBOUXMP88KJY2BX2JLUJH5N0K" hidden="1">#REF!</definedName>
    <definedName name="BExOBP0FKQ4SVR59FB48UNLKCOR6" hidden="1">#REF!</definedName>
    <definedName name="BExOBYAVUCQ0IGM0Y6A75QHP0Q1A" hidden="1">#REF!</definedName>
    <definedName name="BExOC3UEHB1CZNINSQHZANWJYKR8" hidden="1">#REF!</definedName>
    <definedName name="BExOCBSF3XGO9YJ23LX2H78VOUR7" hidden="1">#REF!</definedName>
    <definedName name="BExOCKXFMOW6WPFEVX1I7R7FNDSS" hidden="1">#REF!</definedName>
    <definedName name="BExOCYEXOB95DH5NOB0M5NOYX398" hidden="1">#REF!</definedName>
    <definedName name="BExOD4ERMDMFD8X1016N4EXOUR0S" hidden="1">#REF!</definedName>
    <definedName name="BExOD55RS7BQUHRQ6H3USVGKR0P7" hidden="1">#REF!</definedName>
    <definedName name="BExODEWDDEABM4ZY3XREJIBZ8IVP" hidden="1">#REF!</definedName>
    <definedName name="BExODME5IWAKMSYIOONJIIYIEFNG" hidden="1">#REF!</definedName>
    <definedName name="BExODZFEIWV26E8RFU7XQYX1J458" hidden="1">#REF!</definedName>
    <definedName name="BExOEBKAHRKA7KH5YKJ5GVWDPTYP" hidden="1">#REF!</definedName>
    <definedName name="BExOEBKG55EROA2VL360A06LKASE" hidden="1">#REF!</definedName>
    <definedName name="BExOERG5LWXYYEN1DY1H2FWRJS9T" hidden="1">#REF!</definedName>
    <definedName name="BExOEV1S6JJVO5PP4BZ20SNGZR7D" hidden="1">#REF!</definedName>
    <definedName name="BExOFEDNCYI2TPTMQ8SJN3AW4YMF" hidden="1">#REF!</definedName>
    <definedName name="BExOFKO8GB6UMYY12I4E2U7W71RW" hidden="1">#REF!</definedName>
    <definedName name="BExOFVLXVD6RVHSQO8KZOOACSV24" hidden="1">#REF!</definedName>
    <definedName name="BExOG2SW3XOGP9VAPQ3THV3VWV12" hidden="1">#REF!</definedName>
    <definedName name="BExOG402B56BQ245EQPTOEB7OTW7" hidden="1">#REF!</definedName>
    <definedName name="BExOG45J81K4OPA40KW5VQU54KY3" hidden="1">#REF!</definedName>
    <definedName name="BExOG63KK3ICJQ5PHSCK01GFLFEY" hidden="1">#REF!</definedName>
    <definedName name="BExOGFE2SCL8HHT4DFAXKLUTJZOG" hidden="1">#REF!</definedName>
    <definedName name="BExOGT6D0LJ3C22RDW8COECKB1J5" hidden="1">#REF!</definedName>
    <definedName name="BExOGTMI1HT31M1RGWVRAVHAK7DE" hidden="1">#REF!</definedName>
    <definedName name="BExOGXO9JE5XSE9GC3I6O21UEKAO" hidden="1">#REF!</definedName>
    <definedName name="BExOH9ICZ13C1LAW8OTYTR9S7ZP3" hidden="1">#REF!</definedName>
    <definedName name="BExOHI79DBT9IUXCXKR8I0GYMAE6" hidden="1">#REF!</definedName>
    <definedName name="BExOHL75H3OT4WAKKPUXIVXWFVDS" hidden="1">#REF!</definedName>
    <definedName name="BExOHLHXXJL6363CC082M9M5VVXQ" hidden="1">#REF!</definedName>
    <definedName name="BExOHNAO5UDXSO73BK2ARHWKS90Y" hidden="1">#REF!</definedName>
    <definedName name="BExOHR1G1I9A9CI1HG94EWBLWNM2" hidden="1">#REF!</definedName>
    <definedName name="BExOHTQPP8LQ98L6PYUI6QW08YID" hidden="1">#REF!</definedName>
    <definedName name="BExOHX6Q6NJI793PGX59O5EKTP4G" hidden="1">#REF!</definedName>
    <definedName name="BExOI5VMTHH7Y8MQQ1N635CHYI0P" hidden="1">#REF!</definedName>
    <definedName name="BExOIEVCP4Y6VDS23AK84MCYYHRT" hidden="1">#REF!</definedName>
    <definedName name="BExOIHPQIXR0NDR5WD01BZKPKEO3" hidden="1">#REF!</definedName>
    <definedName name="BExOIM7L0Z3LSII9P7ZTV4KJ8RMA" hidden="1">#REF!</definedName>
    <definedName name="BExOIWJVMJ6MG6JC4SPD1L00OHU1" hidden="1">#REF!</definedName>
    <definedName name="BExOIYCN8Z4JK3OOG86KYUCV0ME8" hidden="1">#REF!</definedName>
    <definedName name="BExOJ3AKZ9BCBZT3KD8WMSLK6MN2" hidden="1">#REF!</definedName>
    <definedName name="BExOJ7XQK71I4YZDD29AKOOWZ47E" hidden="1">#REF!</definedName>
    <definedName name="BExOJM0W6XGSW5MXPTTX0GNF6SFT" hidden="1">#REF!</definedName>
    <definedName name="BExOJXEUJJ9SYRJXKYYV2NCCDT2R" hidden="1">#REF!</definedName>
    <definedName name="BExOK0EQYM9JUMAGWOUN7QDH7VMZ" hidden="1">#REF!</definedName>
    <definedName name="BExOK4WM9O7QNG6O57FOASI5QSN1" hidden="1">#REF!</definedName>
    <definedName name="BExOKKHOPWUVRJGQJ5ONR2U40JX8" hidden="1">#REF!</definedName>
    <definedName name="BExOKTXMJP351VXKH8VT6SXUNIMF" hidden="1">#REF!</definedName>
    <definedName name="BExOKU8GMLOCNVORDE329819XN67" hidden="1">#REF!</definedName>
    <definedName name="BExOL0Z30FFHMBWVHMYTX05HRW40" hidden="1">#REF!</definedName>
    <definedName name="BExOL0Z3Z7IAMHPB91EO2MF49U57" hidden="1">#REF!</definedName>
    <definedName name="BExOL7KH12VAR0LG741SIOJTLWFD" hidden="1">#REF!</definedName>
    <definedName name="BExOLICXFHJLILCJVFMJE5MGGWKR" hidden="1">#REF!</definedName>
    <definedName name="BExOLOI0WJS3QC12I3ISL0D9AWOF" hidden="1">#REF!</definedName>
    <definedName name="BExOLYZNG5RBD0BTS1OEZJNU92Q5" hidden="1">#REF!</definedName>
    <definedName name="BExOM3HIJ3UZPOKJI68KPBJAHPDC" hidden="1">#REF!</definedName>
    <definedName name="BExOMA86JTNPUXDQ2VD0Z99G17GQ" hidden="1">#REF!</definedName>
    <definedName name="BExOMKPURE33YQ3K1JG9NVQD4W49" hidden="1">#REF!</definedName>
    <definedName name="BExOMP7NGCLUNFK50QD2LPKRG078" hidden="1">#REF!</definedName>
    <definedName name="BExOMPYP7KL1TWQFWA8IP6U9EQVD" hidden="1">#REF!</definedName>
    <definedName name="BExOMU0A6XMY48SZRYL4WQZD13BI" hidden="1">#REF!</definedName>
    <definedName name="BExOMVT0HSNC59DJP4CLISASGHKL" hidden="1">#REF!</definedName>
    <definedName name="BExON0AX35F2SI0UCVMGWGVIUNI3" hidden="1">#REF!</definedName>
    <definedName name="BExON41U4296DV3DPG6I5EF3OEYF" hidden="1">#REF!</definedName>
    <definedName name="BExONB3A7CO4YD8RB41PHC93BQ9M" hidden="1">#REF!</definedName>
    <definedName name="BExONCL8LEFINUSX1OJXUDG62CAY" hidden="1">#REF!</definedName>
    <definedName name="BExONFQH6UUXF8V0GI4BRIST9RFO" hidden="1">#REF!</definedName>
    <definedName name="BExONIL31DZWU7IFVN3VV0XTXJA1" hidden="1">#REF!</definedName>
    <definedName name="BExONJ1BU17R0F5A2UP1UGJBOGKS" hidden="1">#REF!</definedName>
    <definedName name="BExONNZ9VMHVX3J6NLNJY7KZA61O" hidden="1">#REF!</definedName>
    <definedName name="BExONRQ1BAA4F3TXP2MYQ4YCZ09S" hidden="1">#REF!</definedName>
    <definedName name="BExOO1WWIZSGB0YTGKESB45TSVMZ" hidden="1">#REF!</definedName>
    <definedName name="BExOO4B8FPAFYPHCTYTX37P1TQM5" hidden="1">#REF!</definedName>
    <definedName name="BExOOFEFBAB5QCDKZREYBYC87LHY" hidden="1">#REF!</definedName>
    <definedName name="BExOOIULUDOJRMYABWV5CCL906X6" hidden="1">#REF!</definedName>
    <definedName name="BExOOTN0KTXJCL7E476XBN1CJ553" hidden="1">#REF!</definedName>
    <definedName name="BExOP9DEBV5W5P4Q25J3XCJBP5S9" hidden="1">#REF!</definedName>
    <definedName name="BExOPFNYRBL0BFM23LZBJTADNOE4" hidden="1">#REF!</definedName>
    <definedName name="BExOPINVFSIZMCVT9YGT2AODVCX3" hidden="1">#REF!</definedName>
    <definedName name="BExOPWG71R61W9GCT9CX73EE60YZ" hidden="1">#REF!</definedName>
    <definedName name="BExOQ1JN4SAC44RTMZIGHSW023WA" hidden="1">#REF!</definedName>
    <definedName name="BExOQ256YMF115DJL3KBPNKABJ90" hidden="1">#REF!</definedName>
    <definedName name="BExQ19DEUOLC11IW32E2AMVZLFF1" hidden="1">#REF!</definedName>
    <definedName name="BExQ1FD6KISGYU1JWEQ4G243ZPVD" hidden="1">#REF!</definedName>
    <definedName name="BExQ29C73XR33S3668YYSYZAIHTG" hidden="1">#REF!</definedName>
    <definedName name="BExQ2FS228IUDUP2023RA1D4AO4C" hidden="1">#REF!</definedName>
    <definedName name="BExQ2KQ6E98O9FOHULC6ND4D9ESH" hidden="1">#REF!</definedName>
    <definedName name="BExQ2L0XYWLY9VPZWXYYFRIRQRJ1" hidden="1">#REF!</definedName>
    <definedName name="BExQ2M841F5Z1BQYR8DG5FKK0LIU" hidden="1">#REF!</definedName>
    <definedName name="BExQ300G8I8TK45A0MVHV15422EU" hidden="1">#REF!</definedName>
    <definedName name="BExQ39R28MXSG2SEV956F0KZ20AN" hidden="1">#REF!</definedName>
    <definedName name="BExQ3D1P3M5Z3HLMEZ17E0BLEE4U" hidden="1">#REF!</definedName>
    <definedName name="BExQ3N8KA99X516IA7GFKRDL9IRC" hidden="1">#REF!</definedName>
    <definedName name="BExQ3O4W7QF8BOXTUT4IOGF6YKUD" hidden="1">#REF!</definedName>
    <definedName name="BExQ3PXOWSN8561ZR8IEY8ZASI3B" hidden="1">#REF!</definedName>
    <definedName name="BExQ3TZF04IPY0B0UG9CQQ5736UA" hidden="1">#REF!</definedName>
    <definedName name="BExQ42IU9MNDYLODP41DL6YTZMAR" hidden="1">#REF!</definedName>
    <definedName name="BExQ452HF7N1HYPXJXQ8WD6SOWUV" hidden="1">#REF!</definedName>
    <definedName name="BExQ499KBJ5W7A1G293A0K14EVQB" hidden="1">#REF!</definedName>
    <definedName name="BExQ4BTBSHPHVEDRCXC2ROW8PLFC" hidden="1">#REF!</definedName>
    <definedName name="BExQ4DGKF54SRKQUTUT4B1CZSS62" hidden="1">#REF!</definedName>
    <definedName name="BExQ4T74LQ5PYTV1MUQUW75A4BDY" hidden="1">#REF!</definedName>
    <definedName name="BExQ4XJHD7EJCNH7S1MJDZJ2MNWG" hidden="1">#REF!</definedName>
    <definedName name="BExQ5039ZCEWBUJHU682G4S89J03" hidden="1">#REF!</definedName>
    <definedName name="BExQ56Z9W6YHZHRXOFFI8EFA7CDI" hidden="1">#REF!</definedName>
    <definedName name="BExQ5KX3Z668H1KUCKZ9J24HUQ1F" hidden="1">#REF!</definedName>
    <definedName name="BExQ5SPMSOCJYLAY20NB5A6O32RE" hidden="1">#REF!</definedName>
    <definedName name="BExQ5UICMGTMK790KTLK49MAGXRC" hidden="1">#REF!</definedName>
    <definedName name="BExQ5YUUK9FD0QGTY4WD0W90O7OL" hidden="1">#REF!</definedName>
    <definedName name="BExQ63793YQ9BH7JLCNRIATIGTRG" hidden="1">#REF!</definedName>
    <definedName name="BExQ6CN1EF2UPZ57ZYMGK8TUJQSS" hidden="1">#REF!</definedName>
    <definedName name="BExQ6M2YXJ8AMRJF3QGHC40ADAHZ" hidden="1">#REF!</definedName>
    <definedName name="BExQ6M8B0X44N9TV56ATUVHGDI00" hidden="1">#REF!</definedName>
    <definedName name="BExQ6POH065GV0I74XXVD0VUPBJW" hidden="1">#REF!</definedName>
    <definedName name="BExQ6WV9KPSMXPPLGZ3KK4WNYTHU" hidden="1">#REF!</definedName>
    <definedName name="BExQ783XTMM2A9I3UKCFWJH1PP2N" hidden="1">#REF!</definedName>
    <definedName name="BExQ79LX01ZPQB8EGD1ZHR2VK2H3" hidden="1">#REF!</definedName>
    <definedName name="BExQ7B3V9MGDK2OIJ61XXFBFLJFZ" hidden="1">#REF!</definedName>
    <definedName name="BExQ7CB046NVPF9ZXDGA7OXOLSLX" hidden="1">#REF!</definedName>
    <definedName name="BExQ7IWDCGGOO1HTJ97YGO1CK3R9" hidden="1">#REF!</definedName>
    <definedName name="BExQ7JNFIEGS2HKNBALH3Q2N5G7Z" hidden="1">#REF!</definedName>
    <definedName name="BExQ7MY3U2Z1IZ71U5LJUD00VVB4" hidden="1">#REF!</definedName>
    <definedName name="BExQ7XL2Q1GVUFL1F9KK0K0EXMWG" hidden="1">#REF!</definedName>
    <definedName name="BExQ8469L3ZRZ3KYZPYMSJIDL7Y5" hidden="1">#REF!</definedName>
    <definedName name="BExQ84MJB94HL3BWRN50M4NCB6Z0" hidden="1">#REF!</definedName>
    <definedName name="BExQ8583ZE00NW7T9OF11OT9IA14" hidden="1">#REF!</definedName>
    <definedName name="BExQ8A0RPE3IMIFIZLUE7KD2N21W" hidden="1">#REF!</definedName>
    <definedName name="BExQ8ABK6H1ADV2R2OYT8NFFYG2N" hidden="1">#REF!</definedName>
    <definedName name="BExQ8DM90XJ6GCJIK9LC5O82I2TJ" hidden="1">#REF!</definedName>
    <definedName name="BExQ8G0K46ZORA0QVQTDI7Z8LXGF" hidden="1">#REF!</definedName>
    <definedName name="BExQ8O3WEU8HNTTGKTW5T0QSKCLP" hidden="1">#REF!</definedName>
    <definedName name="BExQ8ZCEDBOBJA3D9LDP5TU2WYGR" hidden="1">#REF!</definedName>
    <definedName name="BExQ8ZCEXT2N5H019SBZLJBRKF0Q" hidden="1">#REF!</definedName>
    <definedName name="BExQ94LAW6MAQBWY25WTBFV5PPZJ" hidden="1">#REF!</definedName>
    <definedName name="BExQ97QIPOSSRK978N8P234Y1XA4" hidden="1">#REF!</definedName>
    <definedName name="BExQ9E6FBAXTHGF3RXANFIA77GXP" hidden="1">#REF!</definedName>
    <definedName name="BExQ9F2YH4UUCCMQITJ475B3S3NP" hidden="1">#REF!</definedName>
    <definedName name="BExQ9KX9734KIAK7IMRLHCPYDHO2" hidden="1">#REF!</definedName>
    <definedName name="BExQ9L81FF4I7816VTPFBDWVU4CW" hidden="1">#REF!</definedName>
    <definedName name="BExQ9M4E2ACZOWWWP1JJIQO8AHUM" hidden="1">#REF!</definedName>
    <definedName name="BExQ9UTANMJCK7LJ4OQMD6F2Q01L" hidden="1">#REF!</definedName>
    <definedName name="BExQ9ZLYHWABXAA9NJDW8ZS0UQ9P" hidden="1">#REF!</definedName>
    <definedName name="BExQA324HSCK40ENJUT9CS9EC71B" hidden="1">#REF!</definedName>
    <definedName name="BExQA55GY0STSNBWQCWN8E31ZXCS" hidden="1">#REF!</definedName>
    <definedName name="BExQA9HZIN9XEMHEEVHT99UU9Z82" hidden="1">#REF!</definedName>
    <definedName name="BExQAELFYH92K8CJL155181UDORO" hidden="1">#REF!</definedName>
    <definedName name="BExQAG8PP8R5NJKNQD1U4QOSD6X5" hidden="1">#REF!</definedName>
    <definedName name="BExQBDICMZTSA1X73TMHNO4JSFLN" hidden="1">#REF!</definedName>
    <definedName name="BExQBEER6CRCRPSSL61S0OMH57ZA" hidden="1">#REF!</definedName>
    <definedName name="BExQBIGGY5TXI2FJVVZSLZ0LTZYH" hidden="1">#REF!</definedName>
    <definedName name="BExQBM1RUSIQ85LLMM2159BYDPIP" hidden="1">#REF!</definedName>
    <definedName name="BExQBPSOZ47V81YAEURP0NQJNTJH" hidden="1">#REF!</definedName>
    <definedName name="BExQBUW5BJAR87U47T1IZD7HMUCO" hidden="1">#REF!</definedName>
    <definedName name="BExQC5TWT21CGBKD0IHAXTIN2QB8" hidden="1">#REF!</definedName>
    <definedName name="BExQC64NLJIH9C4O8PW9F0D9ZHHE" hidden="1">#REF!</definedName>
    <definedName name="BExQC94JL9F5GW4S8DQCAF4WB2DA" hidden="1">#REF!</definedName>
    <definedName name="BExQCKTD8AT0824LGWREXM1B5D1X" hidden="1">#REF!</definedName>
    <definedName name="BExQD571YWOXKR2SX85K5MKQ0AO2" hidden="1">#REF!</definedName>
    <definedName name="BExQDB6VCHN8PNX8EA6JNIEQ2JC2" hidden="1">#REF!</definedName>
    <definedName name="BExQDE1B6U2Q9B73KBENABP71YM1" hidden="1">#REF!</definedName>
    <definedName name="BExQDGQCN7ZW41QDUHOBJUGQAX40" hidden="1">#REF!</definedName>
    <definedName name="BExQE2B8FRHPVWIVXO571BIOD9BE" hidden="1">#REF!</definedName>
    <definedName name="BExQEC7BRIJ30PTU3UPFOIP2HPE3" hidden="1">#REF!</definedName>
    <definedName name="BExQEMUA4HEFM4OVO8M8MA8PIAW1" hidden="1">#REF!</definedName>
    <definedName name="BExQEQ4XZQFIKUXNU9H7WE7AMZ1U" hidden="1">#REF!</definedName>
    <definedName name="BExQF1OEB07CRAP6ALNNMJNJ3P2D" hidden="1">#REF!</definedName>
    <definedName name="BExQF5F7DCCJ8DSOD7LWGIAMYLTO" hidden="1">#REF!</definedName>
    <definedName name="BExQF9X2AQPFJZTCHTU5PTTR0JAH" hidden="1">#REF!</definedName>
    <definedName name="BExQFC0M9KKFMQKPLPEO2RQDB7MM" hidden="1">#REF!</definedName>
    <definedName name="BExQFCM6GMY8P7A5QN8MDGKWQFC1" hidden="1">#REF!</definedName>
    <definedName name="BExQFEEV7627R8TYZCM28C6V6WHE" hidden="1">#REF!</definedName>
    <definedName name="BExQFEK8NUD04X2OBRA275ADPSDL" hidden="1">#REF!</definedName>
    <definedName name="BExQFGYIWDR4W0YF7XR6E4EWWJ02" hidden="1">#REF!</definedName>
    <definedName name="BExQFPNFKA36IAPS22LAUMBDI4KE" hidden="1">#REF!</definedName>
    <definedName name="BExQFPSWEMA8WBUZ4WK20LR13VSU" hidden="1">#REF!</definedName>
    <definedName name="BExQFVSPOSCCPF1TLJPIWYWYB8A9" hidden="1">#REF!</definedName>
    <definedName name="BExQFWJQXNQAW6LUMOEDS6KMJMYL" hidden="1">#REF!</definedName>
    <definedName name="BExQG8DU4JQV2Z9IHH1WV0GRE2S2" hidden="1">#REF!</definedName>
    <definedName name="BExQG8TYRD2G42UA5ZPCRLNKUDMX" hidden="1">#REF!</definedName>
    <definedName name="BExQGH82EJUCVV06NA4P57QS1H3Q" hidden="1">#REF!</definedName>
    <definedName name="BExQGO48J9MPCDQ96RBB9UN9AIGT" hidden="1">#REF!</definedName>
    <definedName name="BExQGSBB6MJWDW7AYWA0MSFTXKRR" hidden="1">#REF!</definedName>
    <definedName name="BExQH0UURAJ13AVO5UI04HSRGVYW" hidden="1">#REF!</definedName>
    <definedName name="BExQH6ZZY0NR8SE48PSI9D0CU1TC" hidden="1">#REF!</definedName>
    <definedName name="BExQH9P2MCXAJOVEO4GFQT6MNW22" hidden="1">#REF!</definedName>
    <definedName name="BExQHCZSBYUY8OKKJXFYWKBBM6AH" hidden="1">#REF!</definedName>
    <definedName name="BExQHPKXZ1K33V2F90NZIQRZYIAW" hidden="1">#REF!</definedName>
    <definedName name="BExQHVF9KD06AG2RXUQJ9X4PVGX4" hidden="1">#REF!</definedName>
    <definedName name="BExQHZBHVN2L4HC7ACTR73T5OCV0" hidden="1">#REF!</definedName>
    <definedName name="BExQI85V9TNLDJT5LTRZS10Y26SG" hidden="1">#REF!</definedName>
    <definedName name="BExQIAPKHVEV8CU1L3TTHJW67FJ5" hidden="1">#REF!</definedName>
    <definedName name="BExQIBB4I3Z6AUU0HYV1DHRS13M4" hidden="1">#REF!</definedName>
    <definedName name="BExQIBWPAXU7HJZLKGJZY3EB7MIS" hidden="1">#REF!</definedName>
    <definedName name="BExQIS8O6R36CI01XRY9ISM99TW9" hidden="1">#REF!</definedName>
    <definedName name="BExQIS8SVCVKMOQK387M412GX58C" hidden="1">#REF!</definedName>
    <definedName name="BExQITAIZYRYGYQ71TBUC3TUMZNQ" hidden="1">#REF!</definedName>
    <definedName name="BExQIVJB9MJ25NDUHTCVMSODJY2C" hidden="1">#REF!</definedName>
    <definedName name="BExQJBF7LAX128WR7VTMJC88ZLPG" hidden="1">#REF!</definedName>
    <definedName name="BExQJEVCKX6KZHNCLYXY7D0MX5KN" hidden="1">#REF!</definedName>
    <definedName name="BExQJJYSDX8B0J1QGF2HL071KKA3" hidden="1">#REF!</definedName>
    <definedName name="BExQK1HV6SQQ7CP8H8IUKI9TYXTD" hidden="1">#REF!</definedName>
    <definedName name="BExQK3LE5CSBW1E4H4KHW548FL2R" hidden="1">#REF!</definedName>
    <definedName name="BExQKG6LD6PLNDGNGO9DJXY865BR" hidden="1">#REF!</definedName>
    <definedName name="BExQLE1TOW3A287TQB0AVWENT8O1" hidden="1">#REF!</definedName>
    <definedName name="BExRYOYB4A3E5F6MTROY69LR0PMG" hidden="1">#REF!</definedName>
    <definedName name="BExRYZLA9EW71H4SXQR525S72LLP" hidden="1">#REF!</definedName>
    <definedName name="BExRZ66M8G9FQ0VFP077QSZBSOA5" hidden="1">#REF!</definedName>
    <definedName name="BExRZ8FMQQL46I8AQWU17LRNZD5T" hidden="1">#REF!</definedName>
    <definedName name="BExRZIRRIXRUMZ5GOO95S7460BMP" hidden="1">#REF!</definedName>
    <definedName name="BExRZK9RAHMM0ZLTNSK7A4LDC42D" hidden="1">#REF!</definedName>
    <definedName name="BExRZOGSR69INI6GAEPHDWSNK5Q4" hidden="1">#REF!</definedName>
    <definedName name="BExS0ASQBKRTPDWFK0KUDFOS9LE5" hidden="1">#REF!</definedName>
    <definedName name="BExS0GHQUF6YT0RU3TKDEO8CSJYB" hidden="1">#REF!</definedName>
    <definedName name="BExS0K8IHC45I78DMZBOJ1P13KQA" hidden="1">#REF!</definedName>
    <definedName name="BExS152B2LFCRAUHSLI5T6QRNII0" hidden="1">#REF!</definedName>
    <definedName name="BExS15IJV0WW662NXQUVT3FGP4ST" hidden="1">#REF!</definedName>
    <definedName name="BExS194110MR25BYJI3CJ2EGZ8XT" hidden="1">#REF!</definedName>
    <definedName name="BExS1BNVGNSGD4EP90QL8WXYWZ66" hidden="1">#REF!</definedName>
    <definedName name="BExS1UE39N6NCND7MAARSBWXS6HU" hidden="1">#REF!</definedName>
    <definedName name="BExS226HTWL5WVC76MP5A1IBI8WD" hidden="1">#REF!</definedName>
    <definedName name="BExS26OI2QNNAH2WMDD95Z400048" hidden="1">#REF!</definedName>
    <definedName name="BExS2DF6B4ZUF3VZLI4G6LJ3BF38" hidden="1">#REF!</definedName>
    <definedName name="BExS2GF3GW5EUGNW3HORJ8QT179F" hidden="1">#REF!</definedName>
    <definedName name="BExS2QB5FS5LYTFYO4BROTWG3OV5" hidden="1">#REF!</definedName>
    <definedName name="BExS2TLU1HONYV6S3ZD9T12D7CIG" hidden="1">#REF!</definedName>
    <definedName name="BExS318UV9I2FXPQQWUKKX00QLPJ" hidden="1">#REF!</definedName>
    <definedName name="BExS3LBS0SMTHALVM4NRI1BAV1NP" hidden="1">#REF!</definedName>
    <definedName name="BExS3MTQ75VBXDGEBURP6YT8RROE" hidden="1">#REF!</definedName>
    <definedName name="BExS3OBNS6ZMNQSO5VF452T1EN0A" hidden="1">#REF!</definedName>
    <definedName name="BExS3OMGYO0DFN5186UFKEXZ2RX3" hidden="1">#REF!</definedName>
    <definedName name="BExS3SDERJ27OER67TIGOVZU13A2" hidden="1">#REF!</definedName>
    <definedName name="BExS46R5WDNU5KL04FKY5LHJUCB8" hidden="1">#REF!</definedName>
    <definedName name="BExS47NNNURCQ6FY88SP5RBQEZEJ" hidden="1">#REF!</definedName>
    <definedName name="BExS4ASWKM93XA275AXHYP8AG6SU" hidden="1">#REF!</definedName>
    <definedName name="BExS4JN3Y6SVBKILQK0R9HS45Y52" hidden="1">#REF!</definedName>
    <definedName name="BExS4P6S41O6Z6BED77U3GD9PNH1" hidden="1">#REF!</definedName>
    <definedName name="BExS51H0N51UT0FZOPZRCF1GU063" hidden="1">#REF!</definedName>
    <definedName name="BExS54X72TJFC41FJK72MLRR2OO7" hidden="1">#REF!</definedName>
    <definedName name="BExS59F0PA1V2ZC7S5TN6IT41SXP" hidden="1">#REF!</definedName>
    <definedName name="BExS5DRER9US6NXY9ATYT41KZII3" hidden="1">#REF!</definedName>
    <definedName name="BExS5L3TGB8JVW9ROYWTKYTUPW27" hidden="1">#REF!</definedName>
    <definedName name="BExS5NSWBWNCMMOV0MMHUHR3H7QE" hidden="1">#REF!</definedName>
    <definedName name="BExS62HMOWQEJY7ML47VGJRFZ8J0" hidden="1">#REF!</definedName>
    <definedName name="BExS6GKQ96EHVLYWNJDWXZXUZW90" hidden="1">#REF!</definedName>
    <definedName name="BExS6ITKSZFRR01YD5B0F676SYN7" hidden="1">#REF!</definedName>
    <definedName name="BExS6N0LI574IAC89EFW6CLTCQ33" hidden="1">#REF!</definedName>
    <definedName name="BExS6Q60J5DZ3R1A1X19J3GKSFB2" hidden="1">#REF!</definedName>
    <definedName name="BExS6TLZFDQ4QMQCYL9ZRQHKCV33" hidden="1">#REF!</definedName>
    <definedName name="BExS6WRDBF3ST86ZOBBUL3GTCR11" hidden="1">#REF!</definedName>
    <definedName name="BExS6XNRKR0C3MTA0LV5B60UB908" hidden="1">#REF!</definedName>
    <definedName name="BExS7A8QUU4CNZADWOI15E5HUVLP" hidden="1">#REF!</definedName>
    <definedName name="BExS7TKQYLRZGM93UY3ZJZJBQNFJ" hidden="1">#REF!</definedName>
    <definedName name="BExS7Y2LNGVHSIBKC7C3R6X4LDR6" hidden="1">#REF!</definedName>
    <definedName name="BExS81TE0EY44Y3W2M4Z4MGNP5OM" hidden="1">#REF!</definedName>
    <definedName name="BExS81YPDZDVJJVS15HV2HDXAC3Y" hidden="1">#REF!</definedName>
    <definedName name="BExS82PRVNUTEKQZS56YT2DVF6C2" hidden="1">#REF!</definedName>
    <definedName name="BExS8BPG5A0GR5AO1U951NDGGR0L" hidden="1">#REF!</definedName>
    <definedName name="BExS8GSUS17UY50TEM2AWF36BR9Z" hidden="1">#REF!</definedName>
    <definedName name="BExS8HJRBVG0XI6PWA9KTMJZMQXK" hidden="1">#REF!</definedName>
    <definedName name="BExS8R51C8RM2FS6V6IRTYO9GA4A" hidden="1">#REF!</definedName>
    <definedName name="BExS8WDX408F60MH1X9B9UZ2H4R7" hidden="1">#REF!</definedName>
    <definedName name="BExS8Z2W2QEC3MH0BZIYLDFQNUIP" hidden="1">#REF!</definedName>
    <definedName name="BExS92DKGRFFCIA9C0IXDOLO57EP" hidden="1">#REF!</definedName>
    <definedName name="BExS95ODUHNCJ2RPKGQ49O30IQ3R" hidden="1">#REF!</definedName>
    <definedName name="BExS98OB4321YCHLCQ022PXKTT2W" hidden="1">#REF!</definedName>
    <definedName name="BExS9C9N8GFISC6HUERJ0EI06GB2" hidden="1">#REF!</definedName>
    <definedName name="BExS9DX13CACP3J8JDREK30JB1SQ" hidden="1">#REF!</definedName>
    <definedName name="BExS9FPRS2KRRCS33SE6WFNF5GYL" hidden="1">#REF!</definedName>
    <definedName name="BExS9WI0A6PSEB8N9GPXF2Z7MWHM" hidden="1">#REF!</definedName>
    <definedName name="BExSA5HP306TN9XJS0TU619DLRR7" hidden="1">#REF!</definedName>
    <definedName name="BExSAAVWQOOIA6B3JHQVGP08HFEM" hidden="1">#REF!</definedName>
    <definedName name="BExSAFJ3IICU2M7QPVE4ARYMXZKX" hidden="1">#REF!</definedName>
    <definedName name="BExSAH6ID8OHX379UXVNGFO8J6KQ" hidden="1">#REF!</definedName>
    <definedName name="BExSAQBHIXGQRNIRGCJMBXUPCZQA" hidden="1">#REF!</definedName>
    <definedName name="BExSAUTCT4P7JP57NOR9MTX33QJZ" hidden="1">#REF!</definedName>
    <definedName name="BExSAY9CA9TFXQ9M9FBJRGJO9T9E" hidden="1">#REF!</definedName>
    <definedName name="BExSB4JYKQ3MINI7RAYK5M8BLJDC" hidden="1">#REF!</definedName>
    <definedName name="BExSBMOS41ZRLWYLOU29V6Y7YORR" hidden="1">#REF!</definedName>
    <definedName name="BExSBRBXXQMBU1TYDW1BXTEVEPRU" hidden="1">#REF!</definedName>
    <definedName name="BExSC54998WTZ21DSL0R8UN0Y9JH" hidden="1">#REF!</definedName>
    <definedName name="BExSC60N7WR9PJSNC9B7ORCX9NGY" hidden="1">#REF!</definedName>
    <definedName name="BExSCE99EZTILTTCE4NJJF96OYYM" hidden="1">#REF!</definedName>
    <definedName name="BExSCHUQZ2HFEWS54X67DIS8OSXZ" hidden="1">#REF!</definedName>
    <definedName name="BExSCOG41SKKG4GYU76WRWW1CTE6" hidden="1">#REF!</definedName>
    <definedName name="BExSCVC9P86YVFMRKKUVRV29MZXZ" hidden="1">#REF!</definedName>
    <definedName name="BExSCZU4RYKVAUT1TCOIYJDQSZGW" hidden="1">#REF!</definedName>
    <definedName name="BExSD233CH4MU9ZMGNRF97ZV7KWU" hidden="1">#REF!</definedName>
    <definedName name="BExSD2U0F3BN6IN9N4R2DTTJG15H" hidden="1">#REF!</definedName>
    <definedName name="BExSD6A6NY15YSMFH51ST6XJY429" hidden="1">#REF!</definedName>
    <definedName name="BExSD9KV26PMJXP5X0319LXGMT33" hidden="1">#REF!</definedName>
    <definedName name="BExSD9VH6PF6RQ135VOEE08YXPAW" hidden="1">#REF!</definedName>
    <definedName name="BExSDP5Y04WWMX2WWRITWOX8R5I9" hidden="1">#REF!</definedName>
    <definedName name="BExSDSGM203BJTNS9MKCBX453HMD" hidden="1">#REF!</definedName>
    <definedName name="BExSDT20XUFXTDM37M148AXAP7HN" hidden="1">#REF!</definedName>
    <definedName name="BExSEEHK1VLWD7JBV9SVVVIKQZ3I" hidden="1">#REF!</definedName>
    <definedName name="BExSEJKZLX37P3V33TRTFJ30BFRK" hidden="1">#REF!</definedName>
    <definedName name="BExSEP9UVOAI6TMXKNK587PQ3328" hidden="1">#REF!</definedName>
    <definedName name="BExSF07QFLZCO4P6K6QF05XG7PH1" hidden="1">#REF!</definedName>
    <definedName name="BExSFELNPJYUZX393PKWKNNZYV1N" hidden="1">#REF!</definedName>
    <definedName name="BExSFJ8ZAGQ63A4MVMZRQWLVRGQ5" hidden="1">#REF!</definedName>
    <definedName name="BExSFKQRST2S9KXWWLCXYLKSF4G1" hidden="1">#REF!</definedName>
    <definedName name="BExSFYDRRTAZVPXRWUF5PDQ97WFF" hidden="1">#REF!</definedName>
    <definedName name="BExSFZVPFTXA3F0IJ2NGH1GXX9R7" hidden="1">#REF!</definedName>
    <definedName name="BExSG90Q4ZUU2IPGDYOM169NJV9S" hidden="1">#REF!</definedName>
    <definedName name="BExSG9X3DU845PNXYJGGLBQY2UHG" hidden="1">#REF!</definedName>
    <definedName name="BExSGE45J27MDUUNXW7Z8Q33UAON" hidden="1">#REF!</definedName>
    <definedName name="BExSGE9LY91Q0URHB4YAMX0UAMYI" hidden="1">#REF!</definedName>
    <definedName name="BExSGLB2URTLBCKBB4Y885W925F2" hidden="1">#REF!</definedName>
    <definedName name="BExSGOAYG73SFWOPAQV80P710GID" hidden="1">#REF!</definedName>
    <definedName name="BExSGOGGQLHP241FRKUHY909ZIE1" hidden="1">#REF!</definedName>
    <definedName name="BExSGOWJHRW7FWKLO2EHUOOGHNAF" hidden="1">#REF!</definedName>
    <definedName name="BExSGOWJTAP41ZV5Q23H7MI9C76W" hidden="1">#REF!</definedName>
    <definedName name="BExSGR5JQVX2HQ0PKCGZNSSUM1RV" hidden="1">#REF!</definedName>
    <definedName name="BExSGVHX69GJZHD99DKE4RZ042B1" hidden="1">#REF!</definedName>
    <definedName name="BExSGZJO4J4ZO04E2N2ECVYS9DEZ" hidden="1">#REF!</definedName>
    <definedName name="BExSHAHFHS7MMNJR8JPVABRGBVIT" hidden="1">#REF!</definedName>
    <definedName name="BExSHDS3J0DJULWAC9FJ081GT7QX" hidden="1">#REF!</definedName>
    <definedName name="BExSHGH88QZWW4RNAX4YKAZ5JEBL" hidden="1">#REF!</definedName>
    <definedName name="BExSHOKK1OO3CX9Z28C58E5J1D9W" hidden="1">#REF!</definedName>
    <definedName name="BExSHQD8KYLTQGDXIRKCHQQ7MKIH" hidden="1">#REF!</definedName>
    <definedName name="BExSHVGPIAHXI97UBLI9G4I4M29F" hidden="1">#REF!</definedName>
    <definedName name="BExSI0K2YL3HTCQAD8A7TR4QCUR6" hidden="1">#REF!</definedName>
    <definedName name="BExSIFUDNRWXWIWNGCCFOOD8WIAZ" hidden="1">#REF!</definedName>
    <definedName name="BExTTZNS2PBCR93C9IUW49UZ4I6T" hidden="1">#REF!</definedName>
    <definedName name="BExTU2YFQ25JQ6MEMRHHN66VLTPJ" hidden="1">#REF!</definedName>
    <definedName name="BExTU75IOII1V5O0C9X2VAYYVJUG" hidden="1">#REF!</definedName>
    <definedName name="BExTUA5F7V4LUIIAM17J3A8XF3JE" hidden="1">#REF!</definedName>
    <definedName name="BExTUJ53ANGZ3H1KDK4CR4Q0OD6P" hidden="1">#REF!</definedName>
    <definedName name="BExTUKXSZBM7C57G6NGLWGU4WOHY" hidden="1">#REF!</definedName>
    <definedName name="BExTUSQCFFYZCDNHWHADBC2E1ZP1" hidden="1">#REF!</definedName>
    <definedName name="BExTUVFGOJEYS28JURA5KHQFDU5J" hidden="1">#REF!</definedName>
    <definedName name="BExTUW10U40QCYGHM5NJ3YR1O5SP" hidden="1">#REF!</definedName>
    <definedName name="BExTUWXFQHINU66YG82BI20ATMB5" hidden="1">#REF!</definedName>
    <definedName name="BExTUY9WNSJ91GV8CP0SKJTEIV82" hidden="1">#REF!</definedName>
    <definedName name="BExTV67VIM8PV6KO253M4DUBJQLC" hidden="1">#REF!</definedName>
    <definedName name="BExTVEB75D6G8AL6TN9P3LYH4V9D" hidden="1">#REF!</definedName>
    <definedName name="BExTVELZCF2YA5L6F23BYZZR6WHF" hidden="1">#REF!</definedName>
    <definedName name="BExTVGPIQZ99YFXUC8OONUX5BD42" hidden="1">#REF!</definedName>
    <definedName name="BExTVZQLP9VFLEYQ9280W13X7E8K" hidden="1">#REF!</definedName>
    <definedName name="BExTWB4LA1PODQOH4LDTHQKBN16K" hidden="1">#REF!</definedName>
    <definedName name="BExTWI0Q8AWXUA3ZN7I5V3QK2KM1" hidden="1">#REF!</definedName>
    <definedName name="BExTWJTIA3WUW1PUWXAOP9O8NKLZ" hidden="1">#REF!</definedName>
    <definedName name="BExTWVNKZ2NY4VGJ19PTBP5O665W" hidden="1">#REF!</definedName>
    <definedName name="BExTWW95OX07FNA01WF5MSSSFQLX" hidden="1">#REF!</definedName>
    <definedName name="BExTX476KI0RNB71XI5TYMANSGBG" hidden="1">#REF!</definedName>
    <definedName name="BExTXJ6HBAIXMMWKZTJNFDYVZCAY" hidden="1">#REF!</definedName>
    <definedName name="BExTXT812NQT8GAEGH738U29BI0D" hidden="1">#REF!</definedName>
    <definedName name="BExTXTO50ICPIZ2IEHR8BBKDNA9A" hidden="1">#REF!</definedName>
    <definedName name="BExTXWIP2TFPTQ76NHFOB72NICRZ" hidden="1">#REF!</definedName>
    <definedName name="BExTY5T62H651VC86QM4X7E28JVA" hidden="1">#REF!</definedName>
    <definedName name="BExTYHCJJ2NWRM1RV59FYR41534U" hidden="1">#REF!</definedName>
    <definedName name="BExTYKCEFJ83LZM95M1V7CSFQVEA" hidden="1">#REF!</definedName>
    <definedName name="BExTYPLA9N640MFRJJQPKXT7P88M" hidden="1">#REF!</definedName>
    <definedName name="BExTZ7F71SNTOX4LLZCK5R9VUMIJ" hidden="1">#REF!</definedName>
    <definedName name="BExTZ8X5G9S3PA4FPSNK7T69W7QT" hidden="1">#REF!</definedName>
    <definedName name="BExTZ97Y0RMR8V5BI9F2H4MFB77O" hidden="1">#REF!</definedName>
    <definedName name="BExTZE0KKY7PVL68B2Q1L8JRTMZN" hidden="1">#REF!</definedName>
    <definedName name="BExTZGEW2IBYJ3NRIERTPG85BWXJ" hidden="1">#REF!</definedName>
    <definedName name="BExTZK5PMCAXJL4DUIGL6H9Y8U4C" hidden="1">#REF!</definedName>
    <definedName name="BExTZKB6L5SXV5UN71YVTCBEIGWY" hidden="1">#REF!</definedName>
    <definedName name="BExTZLICVKK4NBJFEGL270GJ2VQO" hidden="1">#REF!</definedName>
    <definedName name="BExTZO2596CBZKPI7YNA1QQNPAIJ" hidden="1">#REF!</definedName>
    <definedName name="BExTZY8TDV4U7FQL7O10G6VKWKPJ" hidden="1">#REF!</definedName>
    <definedName name="BExU02QNT4LT7H9JPUC4FXTLVGZT" hidden="1">#REF!</definedName>
    <definedName name="BExU0BFJJQO1HJZKI14QGOQ6JROO" hidden="1">#REF!</definedName>
    <definedName name="BExU0FH5WTGW8MRFUFMDDSMJ6YQ5" hidden="1">#REF!</definedName>
    <definedName name="BExU0GDOIL9U33QGU9ZU3YX3V1I4" hidden="1">#REF!</definedName>
    <definedName name="BExU0HKTO8WJDQDWRTUK5TETM3HS" hidden="1">#REF!</definedName>
    <definedName name="BExU0MTJQPE041ZN7H8UKGV6MZT7" hidden="1">#REF!</definedName>
    <definedName name="BExU0ZUUFYHLUK4M4E8GLGIBBNT0" hidden="1">#REF!</definedName>
    <definedName name="BExU147D6RPG6ZVTSXRKFSVRHSBG" hidden="1">#REF!</definedName>
    <definedName name="BExU16R10W1SOAPNG4CDJ01T7JRE" hidden="1">#REF!</definedName>
    <definedName name="BExU17CKOR3GNIHDNVLH9L1IOJS9" hidden="1">#REF!</definedName>
    <definedName name="BExU1GXUTLRPJN4MRINLAPHSZQFG" hidden="1">#REF!</definedName>
    <definedName name="BExU1IL9AOHFO85BZB6S60DK3N8H" hidden="1">#REF!</definedName>
    <definedName name="BExU1NOPS09CLFZL1O31RAF9BQNQ" hidden="1">#REF!</definedName>
    <definedName name="BExU1PH9MOEX1JZVZ3D5M9DXB191" hidden="1">#REF!</definedName>
    <definedName name="BExU1QZEEKJA35IMEOLOJ3ODX0ZA" hidden="1">#REF!</definedName>
    <definedName name="BExU1VRURIWWVJ95O40WA23LMTJD" hidden="1">#REF!</definedName>
    <definedName name="BExU2942HCD0Z7NBGOWTUKA7U4BY" hidden="1">#REF!</definedName>
    <definedName name="BExU2M5CK6XK55UIHDVYRXJJJRI4" hidden="1">#REF!</definedName>
    <definedName name="BExU2TXVT25ZTOFQAF6CM53Z1RLF" hidden="1">#REF!</definedName>
    <definedName name="BExU2XZLYIU19G7358W5T9E87AFR" hidden="1">#REF!</definedName>
    <definedName name="BExU2ZC2GGSSWKKDXZXS0DPUOB46" hidden="1">#REF!</definedName>
    <definedName name="BExU3B66MCKJFSKT3HL8B5EJGVX0" hidden="1">#REF!</definedName>
    <definedName name="BExU3UNI9NR1RNZR07NSLSZMDOQQ" hidden="1">#REF!</definedName>
    <definedName name="BExU3XI36HAEKYAVD6FWWDBRMP7W" hidden="1">#REF!</definedName>
    <definedName name="BExU401R18N6XKZKL7CNFOZQCM14" hidden="1">#REF!</definedName>
    <definedName name="BExU42QVGY7TK39W1BIN6CDRG2OE" hidden="1">#REF!</definedName>
    <definedName name="BExU44P2AEX6PD8VC4ISCROUCQSP" hidden="1">#REF!</definedName>
    <definedName name="BExU47OZMS6TCWMEHHF0UCSFLLPI" hidden="1">#REF!</definedName>
    <definedName name="BExU4D36E8TXN0M8KSNGEAFYP4DQ" hidden="1">#REF!</definedName>
    <definedName name="BExU4G31RRVLJ3AC6E1FNEFMXM3O" hidden="1">#REF!</definedName>
    <definedName name="BExU4GDVLPUEWBA4MRYRTQAUNO7B" hidden="1">#REF!</definedName>
    <definedName name="BExU4I148DA7PRCCISLWQ6ABXFK6" hidden="1">#REF!</definedName>
    <definedName name="BExU4L101H2KQHVKCKQ4PBAWZV6K" hidden="1">#REF!</definedName>
    <definedName name="BExU4NA00RRRBGRT6TOB0MXZRCRZ" hidden="1">#REF!</definedName>
    <definedName name="BExU4TF4SZKN74WPZ2G62SCRE5V1" hidden="1">#REF!</definedName>
    <definedName name="BExU51IFNZXPBDES28457LR8X60M" hidden="1">#REF!</definedName>
    <definedName name="BExU529I6YHVOG83TJHWSILIQU1S" hidden="1">#REF!</definedName>
    <definedName name="BExU57YCIKPRD8QWL6EU0YR3NG3J" hidden="1">#REF!</definedName>
    <definedName name="BExU5DSTBWXLN6E59B757KRWRI6E" hidden="1">#REF!</definedName>
    <definedName name="BExU5TDWM8NNDHYPQ7OQODTQ368A" hidden="1">#REF!</definedName>
    <definedName name="BExU5X4OX1V1XHS6WSSORVQPP6Z3" hidden="1">#REF!</definedName>
    <definedName name="BExU5XVPARTFMRYHNUTBKDIL4UJN" hidden="1">#REF!</definedName>
    <definedName name="BExU5ZOGFXJ0VTFPZ1JYRNJKBBTF" hidden="1">#REF!</definedName>
    <definedName name="BExU66KMFBAP8JCVG9VM1RD1TNFF" hidden="1">#REF!</definedName>
    <definedName name="BExU68IOM3CB3TACNAE9565TW7SH" hidden="1">#REF!</definedName>
    <definedName name="BExU6AM82KN21E82HMWVP3LWP9IL" hidden="1">#REF!</definedName>
    <definedName name="BExU6E26EQX1RZDPHRJQ6IHCNSOK" hidden="1">#REF!</definedName>
    <definedName name="BExU6FEU1MRHU98R9YOJC5OKUJ6L" hidden="1">#REF!</definedName>
    <definedName name="BExU6KIAJ663Y8W8QMU4HCF183DF" hidden="1">#REF!</definedName>
    <definedName name="BExU6KT19B4PG6SHXFBGBPLM66KT" hidden="1">#REF!</definedName>
    <definedName name="BExU6PAVKIOAIMQ9XQIHHF1SUAGO" hidden="1">#REF!</definedName>
    <definedName name="BExU6WXXC7SSQDMHSLUN5C2V4IYX" hidden="1">#REF!</definedName>
    <definedName name="BExU73387E74XE8A9UKZLZNJYY65" hidden="1">#REF!</definedName>
    <definedName name="BExU76ZHCJM8I7VSICCMSTC33O6U" hidden="1">#REF!</definedName>
    <definedName name="BExU7BBTUF8BQ42DSGM94X5TG5GF" hidden="1">#REF!</definedName>
    <definedName name="BExU7HH4EAHFQHT4AXKGWAWZP3I0" hidden="1">#REF!</definedName>
    <definedName name="BExU7MF1ZVPDHOSMCAXOSYICHZ4I" hidden="1">#REF!</definedName>
    <definedName name="BExU7O2BJ6D5YCKEL6FD2EFCWYRX" hidden="1">#REF!</definedName>
    <definedName name="BExU7Q0JS9YIUKUPNSSAIDK2KJAV" hidden="1">#REF!</definedName>
    <definedName name="BExU80I6AE5OU7P7F5V7HWIZBJ4P" hidden="1">#REF!</definedName>
    <definedName name="BExU86NB26MCPYIISZ36HADONGT2" hidden="1">#REF!</definedName>
    <definedName name="BExU885EZZNSZV3GP298UJ8LB7OL" hidden="1">#REF!</definedName>
    <definedName name="BExU8FSAUP9TUZ1NO9WXK80QPHWV" hidden="1">#REF!</definedName>
    <definedName name="BExU8HFPF6X7KISTFGZ4MU6RJE1B" hidden="1">#REF!</definedName>
    <definedName name="BExU8KFLAN778MBN93NYZB0FV30G" hidden="1">#REF!</definedName>
    <definedName name="BExU8NQASCY9472BNNI2ZAFRPC61" hidden="1">#REF!</definedName>
    <definedName name="BExU8UX9JX3XLB47YZ8GFXE0V7R2" hidden="1">#REF!</definedName>
    <definedName name="BExU91DC3DGKPZD6LTER2IRTF89C" hidden="1">#REF!</definedName>
    <definedName name="BExU96M1J7P9DZQ3S9H0C12KGYTW" hidden="1">#REF!</definedName>
    <definedName name="BExU9F05OR1GZ3057R6UL3WPEIYI" hidden="1">#REF!</definedName>
    <definedName name="BExU9GCSO5YILIKG6VAHN13DL75K" hidden="1">#REF!</definedName>
    <definedName name="BExU9JNBTYHIH0Q4RERJN9N4BUUI" hidden="1">#REF!</definedName>
    <definedName name="BExU9KJOZLO15N11MJVN782NFGJ0" hidden="1">#REF!</definedName>
    <definedName name="BExU9LG29XU2K1GNKRO4438JYQZE" hidden="1">#REF!</definedName>
    <definedName name="BExU9RW36I5Z6JIXUIUB3PJH86LT" hidden="1">#REF!</definedName>
    <definedName name="BExUA28AO7OWDG3H23Q0CL4B7BHW" hidden="1">#REF!</definedName>
    <definedName name="BExUA5O923FFNEBY8BPO1TU3QGBM" hidden="1">#REF!</definedName>
    <definedName name="BExUA6Q4K25VH452AQ3ZIRBCMS61" hidden="1">#REF!</definedName>
    <definedName name="BExUAFV4JMBSM2SKBQL9NHL0NIBS" hidden="1">#REF!</definedName>
    <definedName name="BExUAMWQODKBXMRH1QCMJLJBF8M7" hidden="1">#REF!</definedName>
    <definedName name="BExUAX3LVNPUEKTEQN0UEQJ2IW0N" hidden="1">#REF!</definedName>
    <definedName name="BExUAX8WS5OPVLCDXRGKTU2QMTFO" hidden="1">#REF!</definedName>
    <definedName name="BExUB8HLEXSBVPZ5AXNQEK96F1N4" hidden="1">#REF!</definedName>
    <definedName name="BExUBCDVZIEA7YT0LPSMHL5ZSERQ" hidden="1">#REF!</definedName>
    <definedName name="BExUBKXBUCN760QYU7Q8GESBWOQH" hidden="1">#REF!</definedName>
    <definedName name="BExUBL83ED0P076RN9RJ8P1MZ299" hidden="1">#REF!</definedName>
    <definedName name="BExUC623BDYEODBN0N4DO6PJQ7NU" hidden="1">#REF!</definedName>
    <definedName name="BExUC8WH8TCKBB5313JGYYQ1WFLT" hidden="1">#REF!</definedName>
    <definedName name="BExUCFCDK6SPH86I6STXX8X3WMC4" hidden="1">#REF!</definedName>
    <definedName name="BExUCLC6AQ5KR6LXSAXV4QQ8ASVG" hidden="1">#REF!</definedName>
    <definedName name="BExUD0H3N2YA4AMG7Q11XTOG0PHA" hidden="1">#REF!</definedName>
    <definedName name="BExUD4IOJ12X3PJG5WXNNGDRCKAP" hidden="1">#REF!</definedName>
    <definedName name="BExUD9WX9BWK72UWVSLYZJLAY5VY" hidden="1">#REF!</definedName>
    <definedName name="BExUDBEUJH9IACZDBL1VAUWPG0QW" hidden="1">#REF!</definedName>
    <definedName name="BExUDEPJ6OJZLL2WOXRVK2M11MBY" hidden="1">#REF!</definedName>
    <definedName name="BExUDEV0CYVO7Y5IQQBEJ6FUY9S6" hidden="1">#REF!</definedName>
    <definedName name="BExUDWOXQGIZW0EAIIYLQUPXF8YV" hidden="1">#REF!</definedName>
    <definedName name="BExUDXAIC17W1FUU8Z10XUAVB7CS" hidden="1">#REF!</definedName>
    <definedName name="BExUE5OMY7OAJQ9WR8C8HG311ORP" hidden="1">#REF!</definedName>
    <definedName name="BExUEFKOQWXXGRNLAOJV2BJ66UB8" hidden="1">#REF!</definedName>
    <definedName name="BExUEJGX3OQQP5KFRJSRCZ70EI9V" hidden="1">#REF!</definedName>
    <definedName name="BExUEYR71COFS2X8PDNU21IPMQEU" hidden="1">#REF!</definedName>
    <definedName name="BExVPRLJ9I6RX45EDVFSQGCPJSOK" hidden="1">#REF!</definedName>
    <definedName name="BExVREXVEKQJZS14NJ9HZH85Z03O" hidden="1">#REF!</definedName>
    <definedName name="BExVSAUV5NQJEJWVDDYUH0J8KFM8" hidden="1">#REF!</definedName>
    <definedName name="BExVSL787C8E4HFQZ2NVLT35I2XV" hidden="1">#REF!</definedName>
    <definedName name="BExVSTFTVV14SFGHQUOJL5SQ5TX9" hidden="1">#REF!</definedName>
    <definedName name="BExVSV8LDE9TDVLGL9WBW30QAHAZ" hidden="1">#REF!</definedName>
    <definedName name="BExVT3MPE8LQ5JFN3HQIFKSQ80U4" hidden="1">#REF!</definedName>
    <definedName name="BExVT7TRK3NZHPME2TFBXOF1WBR9" hidden="1">#REF!</definedName>
    <definedName name="BExVT9H0R0T7WGQAAC0HABMG54YM" hidden="1">#REF!</definedName>
    <definedName name="BExVTA820J87OJRS28R07VP5WIRZ" hidden="1">#REF!</definedName>
    <definedName name="BExVTCMDDEDGLUIMUU6BSFHEWTOP" hidden="1">#REF!</definedName>
    <definedName name="BExVTCMDQMLKRA2NQR72XU6Y54IK" hidden="1">#REF!</definedName>
    <definedName name="BExVTCRUVUJ9TATYL9TM5JWQUI0M" hidden="1">#REF!</definedName>
    <definedName name="BExVTCRV8FQ5U9OYWWL44N6KFNHU" hidden="1">#REF!</definedName>
    <definedName name="BExVTNESHPVG0A0KZ7BRX26MS0PF" hidden="1">#REF!</definedName>
    <definedName name="BExVTTJVTNRSBHBTUZ78WG2JM5MK" hidden="1">#REF!</definedName>
    <definedName name="BExVTXLMYR87BC04D1ERALPUFVPG" hidden="1">#REF!</definedName>
    <definedName name="BExVUL9V3H8ZF6Y72LQBBN639YAA" hidden="1">#REF!</definedName>
    <definedName name="BExVUNDFQ7ET87AJAUZH2Q7VMBW8" hidden="1">#REF!</definedName>
    <definedName name="BExVUYRF5FK9U0ZHIW73FKNWA199" hidden="1">#REF!</definedName>
    <definedName name="BExVV5T14N2HZIK7HQ4P2KG09U0J" hidden="1">#REF!</definedName>
    <definedName name="BExVV7R410VYLADLX9LNG63ID6H1" hidden="1">#REF!</definedName>
    <definedName name="BExVVCEED4JEKF59OV0G3T4XFMFO" hidden="1">#REF!</definedName>
    <definedName name="BExVVJ531BC3CU9M13MUP8XUR187" hidden="1">#REF!</definedName>
    <definedName name="BExVVPFO2J7FMSRPD36909HN4BZJ" hidden="1">#REF!</definedName>
    <definedName name="BExVVQ19AQ3VCARJOC38SF7OYE9Y" hidden="1">#REF!</definedName>
    <definedName name="BExVVQ19TAECID45CS4HXT1RD3AQ" hidden="1">#REF!</definedName>
    <definedName name="BExVVZ6AF1E2IU25SCLW2ISEVSLH" hidden="1">#REF!</definedName>
    <definedName name="BExVW3YV5XGIVJ97UUPDJGJ2P15B" hidden="1">#REF!</definedName>
    <definedName name="BExVW5X571GEYR5SCU1Z2DHKWM79" hidden="1">#REF!</definedName>
    <definedName name="BExVW6YTKA098AF57M4PHNQ54XMH" hidden="1">#REF!</definedName>
    <definedName name="BExVWINKCH0V0NUWH363SMXAZE62" hidden="1">#REF!</definedName>
    <definedName name="BExVWM93CE8OYS845DPKB0MWTJIH" hidden="1">#REF!</definedName>
    <definedName name="BExVWPP8Z9R0KJZ0K4WM47OJ4JT7" hidden="1">#REF!</definedName>
    <definedName name="BExVWQQX3C0N5EMMW88HBR35RDZ3" hidden="1">#REF!</definedName>
    <definedName name="BExVWYU8EK669NP172GEIGCTVPPA" hidden="1">#REF!</definedName>
    <definedName name="BExVX3MVJ0GHWPP1EL59ZQNKMX0B" hidden="1">#REF!</definedName>
    <definedName name="BExVX3XN2DRJKL8EDBIG58RYQ36R" hidden="1">#REF!</definedName>
    <definedName name="BExVX78D75378DSFB7HD9ZJCGN0N" hidden="1">#REF!</definedName>
    <definedName name="BExVXDZ63PUART77BBR5SI63TPC6" hidden="1">#REF!</definedName>
    <definedName name="BExVXHKI6LFYMGWISMPACMO247HL" hidden="1">#REF!</definedName>
    <definedName name="BExVXLX2BZ5EF2X6R41BTKRJR1NM" hidden="1">#REF!</definedName>
    <definedName name="BExVXMNYAH953BD1X4EALU83UPRL" hidden="1">#REF!</definedName>
    <definedName name="BExVY11V7U1SAY4QKYE0PBSPD7LW" hidden="1">#REF!</definedName>
    <definedName name="BExVY1SV37DL5YU59HS4IG3VBCP4" hidden="1">#REF!</definedName>
    <definedName name="BExVY3WFGJKSQA08UF9NCMST928Y" hidden="1">#REF!</definedName>
    <definedName name="BExVY954UOEVQEIC5OFO4NEWVKAQ" hidden="1">#REF!</definedName>
    <definedName name="BExVYHDYIV5397LC02V4FEP8VD6W" hidden="1">#REF!</definedName>
    <definedName name="BExVYOVIZDA18YIQ0A30Q052PCAK" hidden="1">#REF!</definedName>
    <definedName name="BExVYQIXPEM6J4JVP78BRHIC05PV" hidden="1">#REF!</definedName>
    <definedName name="BExVYVGWN7SONLVDH9WJ2F1JS264" hidden="1">#REF!</definedName>
    <definedName name="BExVZ9EO732IK6MNMG17Y1EFTJQC" hidden="1">#REF!</definedName>
    <definedName name="BExVZB1Y5J4UL2LKK0363EU7GIJ1" hidden="1">#REF!</definedName>
    <definedName name="BExVZC3TUR0B6XBLDB7PTKZJA0NH" hidden="1">#REF!</definedName>
    <definedName name="BExVZJQVO5LQ0BJH5JEN5NOBIAF6" hidden="1">#REF!</definedName>
    <definedName name="BExVZNXWS91RD7NXV5NE2R3C8WW7" hidden="1">#REF!</definedName>
    <definedName name="BExW0386REQRCQCVT9BCX80UPTRY" hidden="1">#REF!</definedName>
    <definedName name="BExW0FYP4WXY71CYUG40SUBG9UWU" hidden="1">#REF!</definedName>
    <definedName name="BExW0RI61B4VV0ARXTFVBAWRA1C5" hidden="1">#REF!</definedName>
    <definedName name="BExW1BVUYQTKMOR56MW7RVRX4L1L" hidden="1">#REF!</definedName>
    <definedName name="BExW1F1220628FOMTW5UAATHRJHK" hidden="1">#REF!</definedName>
    <definedName name="BExW1TKA0Z9OP2DTG50GZR5EG8C7" hidden="1">#REF!</definedName>
    <definedName name="BExW1U0JLKQ094DW5MMOI8UHO09V" hidden="1">#REF!</definedName>
    <definedName name="BExW283NP9D366XFPXLGSCI5UB0L" hidden="1">#REF!</definedName>
    <definedName name="BExW2H3C8WJSBW5FGTFKVDVJC4CL" hidden="1">#REF!</definedName>
    <definedName name="BExW2MSCKPGF5K3I7TL4KF5ISUOL" hidden="1">#REF!</definedName>
    <definedName name="BExW2MXNCQ4E28FDMVICBCKHE1MG" hidden="1">#REF!</definedName>
    <definedName name="BExW2SMO90FU9W8DVVES6Q4E6BZR" hidden="1">#REF!</definedName>
    <definedName name="BExW36V9N91OHCUMGWJQL3I5P4JK" hidden="1">#REF!</definedName>
    <definedName name="BExW3EIBA1J9Q9NA9VCGZGRS8WV7" hidden="1">#REF!</definedName>
    <definedName name="BExW3FEO8FI8N6AGQKYEG4SQVJWB" hidden="1">#REF!</definedName>
    <definedName name="BExW3GB28STOMJUSZEIA7YKYNS4Y" hidden="1">#REF!</definedName>
    <definedName name="BExW3T1K638HT5E0Y8MMK108P5JT" hidden="1">#REF!</definedName>
    <definedName name="BExW41L40KJNW7OZ4VMT6PW5BNGM" hidden="1">#REF!</definedName>
    <definedName name="BExW4217ZHL9VO39POSTJOD090WU" hidden="1">#REF!</definedName>
    <definedName name="BExW4GPW71EBF8XPS2QGVQHBCDX3" hidden="1">#REF!</definedName>
    <definedName name="BExW4JKC5837JBPCOJV337ZVYYY3" hidden="1">#REF!</definedName>
    <definedName name="BExW4QR9FV9MP5K610THBSM51RYO" hidden="1">#REF!</definedName>
    <definedName name="BExW4Z029R9E19ZENN3WEA3VDAD1" hidden="1">#REF!</definedName>
    <definedName name="BExW5AZNT6IAZGNF2C879ODHY1B8" hidden="1">#REF!</definedName>
    <definedName name="BExW5BAFOPN1W43BK1I6OG33TRQ6" hidden="1">#REF!</definedName>
    <definedName name="BExW5WPU27WD4NWZOT0ZEJIDLX5J" hidden="1">#REF!</definedName>
    <definedName name="BExW660AV1TUV2XNUPD65RZR3QOO" hidden="1">#REF!</definedName>
    <definedName name="BExW66LVVZK656PQY1257QMHP2AY" hidden="1">#REF!</definedName>
    <definedName name="BExW6EJPHAP1TWT380AZLXNHR22P" hidden="1">#REF!</definedName>
    <definedName name="BExW6G1PJ38H10DVLL8WPQ736OEB" hidden="1">#REF!</definedName>
    <definedName name="BExW6Z2WM58X5HO30RB4I8P0XOXN" hidden="1">#REF!</definedName>
    <definedName name="BExW794A74Z5F2K8LVQLD6VSKXUE" hidden="1">#REF!</definedName>
    <definedName name="BExW8K0SSIPSKBVP06IJ71600HJZ" hidden="1">#REF!</definedName>
    <definedName name="BExW8K695KPUY1GP3E2LWXH6MUZS" hidden="1">#REF!</definedName>
    <definedName name="BExW8T0GVY3ZYO4ACSBLHS8SH895" hidden="1">#REF!</definedName>
    <definedName name="BExW8YEP73JMMU9HZ08PM4WHJQZ4" hidden="1">#REF!</definedName>
    <definedName name="BExW937AT53OZQRHNWQZ5BVH24IE" hidden="1">#REF!</definedName>
    <definedName name="BExW95LN5N0LYFFVP7GJEGDVDLF0" hidden="1">#REF!</definedName>
    <definedName name="BExW967733Q8RAJOHR2GJ3HO8JIW" hidden="1">#REF!</definedName>
    <definedName name="BExW9POK1KIOI0ALS5MZIKTDIYMA" hidden="1">#REF!</definedName>
    <definedName name="BExXLDE6PN4ESWT3LXJNQCY94NE4" hidden="1">#REF!</definedName>
    <definedName name="BExXLQVPK2H3IF0NDDA5CT612EUK" hidden="1">#REF!</definedName>
    <definedName name="BExXLR6IO70TYTACKQH9M5PGV24J" hidden="1">#REF!</definedName>
    <definedName name="BExXM065WOLYRYHGHOJE0OOFXA4M" hidden="1">#REF!</definedName>
    <definedName name="BExXM3GUNXVDM82KUR17NNUMQCNI" hidden="1">#REF!</definedName>
    <definedName name="BExXMA28M8SH7MKIGETSDA72WUIZ" hidden="1">#REF!</definedName>
    <definedName name="BExXMOLHIAHDLFSA31PUB36SC3I9" hidden="1">#REF!</definedName>
    <definedName name="BExXMT8T5Z3M2JBQN65X2LKH0YQI" hidden="1">#REF!</definedName>
    <definedName name="BExXN1XNO7H60M9X1E7EVWFJDM5N" hidden="1">#REF!</definedName>
    <definedName name="BExXN22ZOTIW49GPLWFYKVM90FNZ" hidden="1">#REF!</definedName>
    <definedName name="BExXN2U1URIKMT1OK6R1CNRVOYOO" hidden="1">#REF!</definedName>
    <definedName name="BExXN6QAP8UJQVN4R4BQKPP4QK35" hidden="1">#REF!</definedName>
    <definedName name="BExXNBOA39T2X6Y5Y5GZ5DDNA1AX" hidden="1">#REF!</definedName>
    <definedName name="BExXND6872VJ3M2PGT056WQMWBHD" hidden="1">#REF!</definedName>
    <definedName name="BExXNMRHH7FHBS02CSH93W6YNWW9" hidden="1">#REF!</definedName>
    <definedName name="BExXNPM24UN2PGVL9D1TUBFRIKR4" hidden="1">#REF!</definedName>
    <definedName name="BExXNWYB165VO9MHARCL5WLCHWS0" hidden="1">#REF!</definedName>
    <definedName name="BExXO278QHQN8JDK5425EJ615ECC" hidden="1">#REF!</definedName>
    <definedName name="BExXOBHOP0WGFHI2Y9AO4L440UVQ" hidden="1">#REF!</definedName>
    <definedName name="BExXOEC4OHPMV8Z1Q6QVFN3U9V6F" hidden="1">#REF!</definedName>
    <definedName name="BExXOHSAD2NSHOLLMZ2JWA4I3I1R" hidden="1">#REF!</definedName>
    <definedName name="BExXP19GJ6RYTRM6CDTHICR186JS" hidden="1">#REF!</definedName>
    <definedName name="BExXP80B5FGA00JCM7UXKPI3PB7Y" hidden="1">#REF!</definedName>
    <definedName name="BExXP85M4WXYVN1UVHUTOEKEG5XS" hidden="1">#REF!</definedName>
    <definedName name="BExXPELOTHOAG0OWILLAH94OZV5J" hidden="1">#REF!</definedName>
    <definedName name="BExXPS31W1VD2NMIE4E37LHVDF0L" hidden="1">#REF!</definedName>
    <definedName name="BExXPZKYEMVF5JOC14HYOOYQK6JK" hidden="1">#REF!</definedName>
    <definedName name="BExXQ89PA10X79WBWOEP1AJX1OQM" hidden="1">#REF!</definedName>
    <definedName name="BExXQCGQGGYSI0LTRVR73MUO50AW" hidden="1">#REF!</definedName>
    <definedName name="BExXQEEXFHDQ8DSRAJSB5ET6J004" hidden="1">#REF!</definedName>
    <definedName name="BExXQH41O5HZAH8BO6HCFY8YC3TU" hidden="1">#REF!</definedName>
    <definedName name="BExXQIRBLQSLAJTFL7224FCFUTKH" hidden="1">#REF!</definedName>
    <definedName name="BExXQJIEF5R3QQ6D8HO3NGPU0IQC" hidden="1">#REF!</definedName>
    <definedName name="BExXQU00K9ER4I1WM7T9J0W1E7ZC" hidden="1">#REF!</definedName>
    <definedName name="BExXQU00KOR7XLM8B13DGJ1MIQDY" hidden="1">#REF!</definedName>
    <definedName name="BExXQXG18PS8HGBOS03OSTQ0KEYC" hidden="1">#REF!</definedName>
    <definedName name="BExXQXQT4OAFQT5B0YB3USDJOJOB" hidden="1">#REF!</definedName>
    <definedName name="BExXR0QOESGI11OMK437ODTSNVNK" hidden="1">#REF!</definedName>
    <definedName name="BExXR3FSEXAHSXEQNJORWFCPX86N" hidden="1">#REF!</definedName>
    <definedName name="BExXR3W3FKYQBLR299HO9RZ70C43" hidden="1">#REF!</definedName>
    <definedName name="BExXR46U23CRRBV6IZT982MAEQKI" hidden="1">#REF!</definedName>
    <definedName name="BExXR8OKAVX7O70V5IYG2PRKXSTI" hidden="1">#REF!</definedName>
    <definedName name="BExXRA6N6XCLQM6XDV724ZIH6G93" hidden="1">#REF!</definedName>
    <definedName name="BExXRABZ1CNKCG6K1MR6OUFHF7J9" hidden="1">#REF!</definedName>
    <definedName name="BExXRBOFETC0OTJ6WY3VPMFH03VB" hidden="1">#REF!</definedName>
    <definedName name="BExXRD13K1S9Y3JGR7CXSONT7RJZ" hidden="1">#REF!</definedName>
    <definedName name="BExXRIFB4QQ87QIGA9AG0NXP577K" hidden="1">#REF!</definedName>
    <definedName name="BExXRIQ2JF2CVTRDQX2D9SPH7FTN" hidden="1">#REF!</definedName>
    <definedName name="BExXRO4A6VUH1F4XV8N1BRJ4896W" hidden="1">#REF!</definedName>
    <definedName name="BExXRO9N1SNJZGKD90P4K7FU1J0P" hidden="1">#REF!</definedName>
    <definedName name="BExXRV5QP3Z0KAQ1EQT9JYT2FV0L" hidden="1">#REF!</definedName>
    <definedName name="BExXRZ20LZZCW8LVGDK0XETOTSAI" hidden="1">#REF!</definedName>
    <definedName name="BExXRZNM651EJ5HJPGKGTVYLAZQ1" hidden="1">#REF!</definedName>
    <definedName name="BExXS63O4OMWMNXXAODZQFSDG33N" hidden="1">#REF!</definedName>
    <definedName name="BExXSBSP1TOY051HSPEPM0AEIO2M" hidden="1">#REF!</definedName>
    <definedName name="BExXSC8RFK5D68FJD2HI4K66SA6I" hidden="1">#REF!</definedName>
    <definedName name="BExXSG526J5US1OESSULMO0PY3RW" hidden="1">#REF!</definedName>
    <definedName name="BExXSNHC88W4UMXEOIOOATJAIKZO" hidden="1">#REF!</definedName>
    <definedName name="BExXSTBS08WIA9TLALV3UQ2Z3MRG" hidden="1">#REF!</definedName>
    <definedName name="BExXSVQ2WOJJ73YEO8Q2FK60V4G8" hidden="1">#REF!</definedName>
    <definedName name="BExXTHLRNL82GN7KZY3TOLO508N7" hidden="1">#REF!</definedName>
    <definedName name="BExXTL72MKEQSQH9L2OTFLU8DM2B" hidden="1">#REF!</definedName>
    <definedName name="BExXTM3M4RTCRSX7VGAXGQNPP668" hidden="1">#REF!</definedName>
    <definedName name="BExXTOCF78J7WY6FOVBRY1N2RBBR" hidden="1">#REF!</definedName>
    <definedName name="BExXTP3GYO6Z9RTKKT10XA0UTV3T" hidden="1">#REF!</definedName>
    <definedName name="BExXTZKZ4CG92ZQLIRKEXXH9BFIR" hidden="1">#REF!</definedName>
    <definedName name="BExXU4J2BM2964GD5UZHM752Q4NS" hidden="1">#REF!</definedName>
    <definedName name="BExXU6XDTT7RM93KILIDEYPA9XKF" hidden="1">#REF!</definedName>
    <definedName name="BExXU8VLZA7WLPZ3RAQZGNERUD26" hidden="1">#REF!</definedName>
    <definedName name="BExXUB9RSLSCNN5ETLXY72DAPZZM" hidden="1">#REF!</definedName>
    <definedName name="BExXUFRM82XQIN2T8KGLDQL1IBQW" hidden="1">#REF!</definedName>
    <definedName name="BExXUQEQBF6FI240ZGIF9YXZSRAU" hidden="1">#REF!</definedName>
    <definedName name="BExXUYND6EJO7CJ5KRICV4O1JNWK" hidden="1">#REF!</definedName>
    <definedName name="BExXV6FWG4H3S2QEUJZYIXILNGJ7" hidden="1">#REF!</definedName>
    <definedName name="BExXVK87BMMO6LHKV0CFDNIQVIBS" hidden="1">#REF!</definedName>
    <definedName name="BExXVKZ9WXPGL6IVY6T61IDD771I" hidden="1">#REF!</definedName>
    <definedName name="BExXW0K72T1Y8K1I4VZT87UY9S2G" hidden="1">#REF!</definedName>
    <definedName name="BExXW27MMXHXUXX78SDTBE1JYTHT" hidden="1">#REF!</definedName>
    <definedName name="BExXW2YIM2MYBSHRIX0RP9D4PRMN" hidden="1">#REF!</definedName>
    <definedName name="BExXWBNE4KTFSXKVSRF6WX039WPB" hidden="1">#REF!</definedName>
    <definedName name="BExXWFP5AYE7EHYTJWBZSQ8PQ0YX" hidden="1">#REF!</definedName>
    <definedName name="BExXWVFIBQT8OY1O41FRFPFGXQHK" hidden="1">#REF!</definedName>
    <definedName name="BExXWWXHBZHA9J3N8K47F84X0M0L" hidden="1">#REF!</definedName>
    <definedName name="BExXXBM521DL8R4ZX7NZ3DBCUOR5" hidden="1">#REF!</definedName>
    <definedName name="BExXXC7OZI33XZ03NRMEP7VRLQK4" hidden="1">#REF!</definedName>
    <definedName name="BExXXH5N3NKBQ7BCJPJTBF8CYM2Q" hidden="1">#REF!</definedName>
    <definedName name="BExXXKWLM4D541BH6O8GOJMHFHMW" hidden="1">#REF!</definedName>
    <definedName name="BExXXPPA1Q87XPI97X0OXCPBPDON" hidden="1">#REF!</definedName>
    <definedName name="BExXXVUDA98IZTQ6MANKU4MTTDVR" hidden="1">#REF!</definedName>
    <definedName name="BExXXZQNZY6IZI45DJXJK0MQZWA7" hidden="1">#REF!</definedName>
    <definedName name="BExXY5QFG6QP94SFT3935OBM8Y4K" hidden="1">#REF!</definedName>
    <definedName name="BExXY7TYEBFXRYUYIFHTN65RJ8EW" hidden="1">#REF!</definedName>
    <definedName name="BExXYLBHANUXC5FCTDDTGOVD3GQS" hidden="1">#REF!</definedName>
    <definedName name="BExXYMNYAYH3WA2ZCFAYKZID9ZCI" hidden="1">#REF!</definedName>
    <definedName name="BExXYYT12SVN2VDMLVNV4P3ISD8T" hidden="1">#REF!</definedName>
    <definedName name="BExXZEDWUYH25UZMW2QU2RXFILJE" hidden="1">#REF!</definedName>
    <definedName name="BExXZFVV4YB42AZ3H1I40YG3JAPU" hidden="1">#REF!</definedName>
    <definedName name="BExXZHJ9T2JELF12CHHGD54J1B0C" hidden="1">#REF!</definedName>
    <definedName name="BExXZNJ2X1TK2LRK5ZY3MX49H5T7" hidden="1">#REF!</definedName>
    <definedName name="BExXZOVPCEP495TQSON6PSRQ8XCY" hidden="1">#REF!</definedName>
    <definedName name="BExXZXKH7NBARQQAZM69Z57IH1MM" hidden="1">#REF!</definedName>
    <definedName name="BExY07WSDH5QEVM7BJXJK2ZRAI1O" hidden="1">#REF!</definedName>
    <definedName name="BExY0C3UBVC4M59JIRXVQ8OWAJC1" hidden="1">#REF!</definedName>
    <definedName name="BExY0OE8GFHMLLTEAFIOQTOPEVPB" hidden="1">#REF!</definedName>
    <definedName name="BExY0OJHW85S0VKBA8T4HTYPYBOS" hidden="1">#REF!</definedName>
    <definedName name="BExY0T1E034D7XAXNC6F7540LLIE" hidden="1">#REF!</definedName>
    <definedName name="BExY0X8FADBF6Q2UHEA1RYKLMMHV" hidden="1">#REF!</definedName>
    <definedName name="BExY0XTZLHN49J2JH94BYTKBJLT3" hidden="1">#REF!</definedName>
    <definedName name="BExY11FH9TXHERUYGG8FE50U7H7J" hidden="1">#REF!</definedName>
    <definedName name="BExY180UKNW5NIAWD6ZUYTFEH8QS" hidden="1">#REF!</definedName>
    <definedName name="BExY1DPTV4LSY9MEOUGXF8X052NA" hidden="1">#REF!</definedName>
    <definedName name="BExY1GK9ELBEKDD7O6HR6DUO8YGO" hidden="1">#REF!</definedName>
    <definedName name="BExY1IYKE0JCU103K005X9VQMFXP" hidden="1">#REF!</definedName>
    <definedName name="BExY1NWOXXFV9GGZ3PX444LZ8TVX" hidden="1">#REF!</definedName>
    <definedName name="BExY1OI8SEM01TOYDTE4WIJL4WYK" hidden="1">#REF!</definedName>
    <definedName name="BExY1UCL0RND63LLSM9X5SFRG117" hidden="1">#REF!</definedName>
    <definedName name="BExY1WAT3937L08HLHIRQHMP2A3H" hidden="1">#REF!</definedName>
    <definedName name="BExY1YEBOSLMID7LURP8QB46AI91" hidden="1">#REF!</definedName>
    <definedName name="BExY2FS4LFX9OHOTQT7SJ2PXAC25" hidden="1">#REF!</definedName>
    <definedName name="BExY2GDPCZPVU0IQ6IJIB1YQQRQ6" hidden="1">#REF!</definedName>
    <definedName name="BExY2GTSZ3VA9TXLY7KW1LIAKJ61" hidden="1">#REF!</definedName>
    <definedName name="BExY2IXBR1SGYZH08T7QHKEFS8HA" hidden="1">#REF!</definedName>
    <definedName name="BExY2Q4B5FUDA5VU4VRUHX327QN0" hidden="1">#REF!</definedName>
    <definedName name="BExY2TEYSSPDVFS2XW74F5EY7ULK" hidden="1">#REF!</definedName>
    <definedName name="BExY3AI16K96R9YFSDVQ7997OM3X" hidden="1">#REF!</definedName>
    <definedName name="BExY3HOSK7YI364K15OX70AVR6F1" hidden="1">#REF!</definedName>
    <definedName name="BExY3T89AUR83SOAZZ3OMDEJDQ39" hidden="1">#REF!</definedName>
    <definedName name="BExY3UA42D0BZEEUO61TSQTAN6WD" hidden="1">#REF!</definedName>
    <definedName name="BExY4MG771JQ84EMIVB6HQGGHZY7" hidden="1">#REF!</definedName>
    <definedName name="BExY4PWCSFB8P3J3TBQB2MD67263" hidden="1">#REF!</definedName>
    <definedName name="BExY4Q74YMI0KPBO6UESWM9OHXKX" hidden="1">#REF!</definedName>
    <definedName name="BExY4RZW3KK11JLYBA4DWZ92M6LQ" hidden="1">#REF!</definedName>
    <definedName name="BExY4XOVTTNVZ577RLIEC7NZQFIX" hidden="1">#REF!</definedName>
    <definedName name="BExY50JAF5CG01GTHAUS7I4ZLUDC" hidden="1">#REF!</definedName>
    <definedName name="BExY53J7EXFEOFTRNAHLK7IH3ACB" hidden="1">#REF!</definedName>
    <definedName name="BExY5515SJTJS3VM80M3YYR0WF37" hidden="1">#REF!</definedName>
    <definedName name="BExY5515WE39FQ3EG5QHG67V9C0O" hidden="1">#REF!</definedName>
    <definedName name="BExY5986WNAD8NFCPXC9TVLBU4FG" hidden="1">#REF!</definedName>
    <definedName name="BExY5DF9MS25IFNWGJ1YAS5MDN8R" hidden="1">#REF!</definedName>
    <definedName name="BExY5ERVGL3UM2MGT8LJ0XPKTZEK" hidden="1">#REF!</definedName>
    <definedName name="BExY5EX6NJFK8W754ZVZDN5DS04K" hidden="1">#REF!</definedName>
    <definedName name="BExY5IIP0MSEV75PB8PSNB53N552" hidden="1">#REF!</definedName>
    <definedName name="BExY5S3XD1NJT109CV54IFOHVLQ6" hidden="1">#REF!</definedName>
    <definedName name="BExY6KVS1MMZ2R34PGEFR2BMTU9W" hidden="1">#REF!</definedName>
    <definedName name="BExY6Q9YY7LW745GP7CYOGGSPHGE" hidden="1">#REF!</definedName>
    <definedName name="BExZIA3C8LKJTEH3MKQ57KJH5TA2" hidden="1">#REF!</definedName>
    <definedName name="BExZIIHH3QNQE3GFMHEE4UMHY6WQ" hidden="1">#REF!</definedName>
    <definedName name="BExZIYO22G5UXOB42GDLYGVRJ6U7" hidden="1">#REF!</definedName>
    <definedName name="BExZJ7I9T8XU4MZRKJ1VVU76V2LZ" hidden="1">#REF!</definedName>
    <definedName name="BExZJMY170JCUU1RWASNZ1HJPRTA" hidden="1">#REF!</definedName>
    <definedName name="BExZJOQR77H0P4SUKVYACDCFBBXO" hidden="1">#REF!</definedName>
    <definedName name="BExZJS6RG34ODDY9HMZ0O34MEMSB" hidden="1">#REF!</definedName>
    <definedName name="BExZK34NR4BAD7HJAP7SQ926UQP3" hidden="1">#REF!</definedName>
    <definedName name="BExZK3FGPHH5H771U7D5XY7XBS6E" hidden="1">#REF!</definedName>
    <definedName name="BExZK3VK3PFCDMEP940E16J2P7LR" hidden="1">#REF!</definedName>
    <definedName name="BExZKHYORG3O8C772XPFHM1N8T80" hidden="1">#REF!</definedName>
    <definedName name="BExZKJRF2IRR57DG9CLC7MSHWNNN" hidden="1">#REF!</definedName>
    <definedName name="BExZKN7LF027TBQ9BWEFPMTCR1JM" hidden="1">#REF!</definedName>
    <definedName name="BExZKV5GYXO0X760SBD9TWTIQHGI" hidden="1">#REF!</definedName>
    <definedName name="BExZL6E4YVXRUN7ZGF2BIGIXFR8K" hidden="1">#REF!</definedName>
    <definedName name="BExZLGVLMKTPFXG42QYT0PO81G7F" hidden="1">#REF!</definedName>
    <definedName name="BExZLKMK7LRK14S09WLMH7MXSQXM" hidden="1">#REF!</definedName>
    <definedName name="BExZM7JVLG0W8EG5RBU915U3SKBY" hidden="1">#REF!</definedName>
    <definedName name="BExZM85FOVUFF110XMQ9O2ODSJUK" hidden="1">#REF!</definedName>
    <definedName name="BExZMF1MMTZ1TA14PZ8ASSU2CBSP" hidden="1">#REF!</definedName>
    <definedName name="BExZMKL5YQZD7F0FUCSVFGLPFK52" hidden="1">#REF!</definedName>
    <definedName name="BExZMOC3VNZALJM71X2T6FV91GTB" hidden="1">#REF!</definedName>
    <definedName name="BExZMXH39OB0I43XEL3K11U3G9PM" hidden="1">#REF!</definedName>
    <definedName name="BExZMZQ3RBKDHT5GLFNLS52OSJA0" hidden="1">#REF!</definedName>
    <definedName name="BExZN2F7Y2J2L2LN5WZRG949MS4A" hidden="1">#REF!</definedName>
    <definedName name="BExZN847WUWKRYTZWG9TCQZJS3OL" hidden="1">#REF!</definedName>
    <definedName name="BExZNH3VISFF4NQI11BZDP5IQ7VG" hidden="1">#REF!</definedName>
    <definedName name="BExZNJYCFYVMAOI62GB2BABK1ELE" hidden="1">#REF!</definedName>
    <definedName name="BExZNNEHSTE5YRYPSNI46BXX8BGF" hidden="1">#REF!</definedName>
    <definedName name="BExZNV707LIU6Z5H6QI6H67LHTI1" hidden="1">#REF!</definedName>
    <definedName name="BExZNVCBKB930QQ9QW7KSGOZ0V1M" hidden="1">#REF!</definedName>
    <definedName name="BExZNW8QJ18X0RSGFDWAE9ZSDX39" hidden="1">#REF!</definedName>
    <definedName name="BExZNZDWRS6Q40L8OCWFEIVI0A1O" hidden="1">#REF!</definedName>
    <definedName name="BExZOBO9NYLGVJQ31LVQ9XS2ZT4N" hidden="1">#REF!</definedName>
    <definedName name="BExZOETNB1CJ3Y2RKLI1ZK0S8Z6H" hidden="1">#REF!</definedName>
    <definedName name="BExZOL9K1RUXBTLZ6FJ65BIE9G5R" hidden="1">#REF!</definedName>
    <definedName name="BExZOREMVSK4E5VSWM838KHUB8AI" hidden="1">#REF!</definedName>
    <definedName name="BExZOVR745T5P1KS9NV2PXZPZVRG" hidden="1">#REF!</definedName>
    <definedName name="BExZOZSWGLSY2XYVRIS6VSNJDSGD" hidden="1">#REF!</definedName>
    <definedName name="BExZP7AIJKLM6C6CSUIIFAHFBNX2" hidden="1">#REF!</definedName>
    <definedName name="BExZPIZGYF0DYLJUAZD2NW3HGCIW" hidden="1">#REF!</definedName>
    <definedName name="BExZPQ0XY507N8FJMVPKCTK8HC9H" hidden="1">#REF!</definedName>
    <definedName name="BExZQ37OVBR25U32CO2YYVPZOMR5" hidden="1">#REF!</definedName>
    <definedName name="BExZQ3NT7H06VO0AR48WHZULZB93" hidden="1">#REF!</definedName>
    <definedName name="BExZQ7PJU07SEJMDX18U9YVDC2GU" hidden="1">#REF!</definedName>
    <definedName name="BExZQIHTGHK7OOI2Y2PN3JYBY82I" hidden="1">#REF!</definedName>
    <definedName name="BExZQJJMGU5MHQOILGXGJPAQI5XI" hidden="1">#REF!</definedName>
    <definedName name="BExZQJJNBCLSS2GLGE60KG1BYC22" hidden="1">#REF!</definedName>
    <definedName name="BExZQSOTBY6DWRHIY80W1NCZVRL3" hidden="1">#REF!</definedName>
    <definedName name="BExZQXBYEBN28QUH1KOVW6KKA5UM" hidden="1">#REF!</definedName>
    <definedName name="BExZQZKT146WEN8FTVZ7Y5TSB8L5" hidden="1">#REF!</definedName>
    <definedName name="BExZR485AKBH93YZ08CMUC3WROED" hidden="1">#REF!</definedName>
    <definedName name="BExZR7TL98P2PPUVGIZYR5873DWW" hidden="1">#REF!</definedName>
    <definedName name="BExZRGD1603X5ACFALUUDKCD7X48" hidden="1">#REF!</definedName>
    <definedName name="BExZRP1X6UVLN1UOLHH5VF4STP1O" hidden="1">#REF!</definedName>
    <definedName name="BExZRQ930U6OCYNV00CH5I0Q4LPE" hidden="1">#REF!</definedName>
    <definedName name="BExZRW8W514W8OZ72YBONYJ64GXF" hidden="1">#REF!</definedName>
    <definedName name="BExZRWJP2BUVFJPO8U8ATQEP0LZU" hidden="1">#REF!</definedName>
    <definedName name="BExZS2OY9JTSSP01ZQ6V2T2LO5R9" hidden="1">#REF!</definedName>
    <definedName name="BExZSGRVZLUFN84YTPCVADCKOH27" hidden="1">#REF!</definedName>
    <definedName name="BExZSI9USDLZAN8LI8M4YYQL24GZ" hidden="1">#REF!</definedName>
    <definedName name="BExZSS0LA2JY4ZLJ1Z5YCMLJJZCH" hidden="1">#REF!</definedName>
    <definedName name="BExZTAQV2QVSZY5Y3VCCWUBSBW9P" hidden="1">#REF!</definedName>
    <definedName name="BExZTHSI2FX56PWRSNX9H5EWTZFO" hidden="1">#REF!</definedName>
    <definedName name="BExZTJL3HVBFY139H6CJHEQCT1EL" hidden="1">#REF!</definedName>
    <definedName name="BExZTLOL8OPABZI453E0KVNA1GJS" hidden="1">#REF!</definedName>
    <definedName name="BExZTT6J3X0TOX0ZY6YPLUVMCW9X" hidden="1">#REF!</definedName>
    <definedName name="BExZTW6ECBRA0BBITWBQ8R93RMCL" hidden="1">#REF!</definedName>
    <definedName name="BExZU2BHYAOKSCBM3C5014ZF6IXS" hidden="1">#REF!</definedName>
    <definedName name="BExZU2RMJTXOCS0ROPMYPE6WTD87" hidden="1">#REF!</definedName>
    <definedName name="BExZUF7G8FENTJKH9R1XUWXM6CWD" hidden="1">#REF!</definedName>
    <definedName name="BExZUNARUJBIZ08VCAV3GEVBIR3D" hidden="1">#REF!</definedName>
    <definedName name="BExZUSZT5496UMBP4LFSLTR1GVEW" hidden="1">#REF!</definedName>
    <definedName name="BExZUT54340I38GVCV79EL116WR0" hidden="1">#REF!</definedName>
    <definedName name="BExZUYDULCX65H9OZ9JHPBNKF3MI" hidden="1">#REF!</definedName>
    <definedName name="BExZV2QD5ZDK3AGDRULLA7JB46C3" hidden="1">#REF!</definedName>
    <definedName name="BExZVBQ29OM0V8XAL3HL0JIM0MMU" hidden="1">#REF!</definedName>
    <definedName name="BExZVBVCIXAFQW1TBZ229QDZQE3F" hidden="1">#REF!</definedName>
    <definedName name="BExZVLM4T9ORS4ZWHME46U4Q103C" hidden="1">#REF!</definedName>
    <definedName name="BExZVM7OZWPPRH5YQW50EYMMIW1A" hidden="1">#REF!</definedName>
    <definedName name="BExZVPYGX2C5OSHMZ6F0KBKZ6B1S" hidden="1">#REF!</definedName>
    <definedName name="BExZW5UARC8W9AQNLJX2I5WQWS5F" hidden="1">#REF!</definedName>
    <definedName name="BExZW7HRGN6A9YS41KI2B2UUMJ7X" hidden="1">#REF!</definedName>
    <definedName name="BExZW8ZPNV43UXGOT98FDNIBQHZY" hidden="1">#REF!</definedName>
    <definedName name="BExZWAHMXL5R7V4CU4SEILDA50PG" hidden="1">#REF!</definedName>
    <definedName name="BExZWEDY1KQO38ZFW3C6WHV55J3Z" hidden="1">#REF!</definedName>
    <definedName name="BExZWKZ5N3RDXU8MZ8HQVYYD8O0F" hidden="1">#REF!</definedName>
    <definedName name="BExZWSMC9T48W74GFGQCIUJ8ZPP3" hidden="1">#REF!</definedName>
    <definedName name="BExZWUF2V4HY3HI8JN9ZVPRWK1H3" hidden="1">#REF!</definedName>
    <definedName name="BExZWX45URTK9KYDJHEXL1OTZ833" hidden="1">#REF!</definedName>
    <definedName name="BExZWX9HZ0GTO4E25RKPJU6LWRMM" hidden="1">#REF!</definedName>
    <definedName name="BExZX0EWQEZO86WDAD9A4EAEZ012" hidden="1">#REF!</definedName>
    <definedName name="BExZX2T6ZT2DZLYSDJJBPVIT5OK2" hidden="1">#REF!</definedName>
    <definedName name="BExZXOJDELULNLEH7WG0OYJT0NJ4" hidden="1">#REF!</definedName>
    <definedName name="BExZXOOTRNUK8LGEAZ8ZCFW9KXQ1" hidden="1">#REF!</definedName>
    <definedName name="BExZXT6JOXNKEDU23DKL8XZAJZIH" hidden="1">#REF!</definedName>
    <definedName name="BExZXUTYW1HWEEZ1LIX4OQWC7HL1" hidden="1">#REF!</definedName>
    <definedName name="BExZXY4NKQL9QD76YMQJ15U1C2G8" hidden="1">#REF!</definedName>
    <definedName name="BExZXYQ7U5G08FQGUIGYT14QCBOF" hidden="1">#REF!</definedName>
    <definedName name="BExZY02V77YJBMODJSWZOYCMPS5X" hidden="1">#REF!</definedName>
    <definedName name="BExZY49QRZIR6CA41LFA9LM6EULU" hidden="1">#REF!</definedName>
    <definedName name="BExZYZ53591SA8ZKOQ8JETOPHOQC" hidden="1">#REF!</definedName>
    <definedName name="BExZZ2FQA9A8C7CJKMEFQ9VPSLCE" hidden="1">#REF!</definedName>
    <definedName name="BExZZ7TZ9IPTVMREZD0DBCM7E1YX" hidden="1">#REF!</definedName>
    <definedName name="BExZZCHAVHW8C2H649KRGVQ0WVRT" hidden="1">#REF!</definedName>
    <definedName name="BExZZOGQRJ9I76XPDJZJBWPYCFP2" hidden="1">#REF!</definedName>
    <definedName name="BExZZTK54OTLF2YB68BHGOS27GEN" hidden="1">#REF!</definedName>
    <definedName name="BExZZXB3JQQG4SIZS4MRU6NNW7HI" hidden="1">#REF!</definedName>
    <definedName name="BExZZZEMIIFKMLLV4DJKX5TB9R5V" hidden="1">#REF!</definedName>
    <definedName name="BG_Del" hidden="1">15</definedName>
    <definedName name="BG_Ins" hidden="1">4</definedName>
    <definedName name="BG_Mod" hidden="1">6</definedName>
    <definedName name="BHT">#REF!</definedName>
    <definedName name="Block">#REF!</definedName>
    <definedName name="BLPB10" hidden="1">#REF!</definedName>
    <definedName name="BLPB11" hidden="1">#REF!</definedName>
    <definedName name="BLPB6" hidden="1">#REF!</definedName>
    <definedName name="BLPB7" hidden="1">#REF!</definedName>
    <definedName name="BLPB8" hidden="1">#REF!</definedName>
    <definedName name="BLPB9" hidden="1">#REF!</definedName>
    <definedName name="BLPH1" hidden="1">#REF!</definedName>
    <definedName name="BLPH10" hidden="1">#REF!</definedName>
    <definedName name="BLPH11" hidden="1">#REF!</definedName>
    <definedName name="BLPH12" hidden="1">#REF!</definedName>
    <definedName name="BLPH13" hidden="1">#REF!</definedName>
    <definedName name="BLPH14" hidden="1">#REF!</definedName>
    <definedName name="BLPH15" hidden="1">#REF!</definedName>
    <definedName name="BLPH16" hidden="1">#REF!</definedName>
    <definedName name="BLPH17" hidden="1">#REF!</definedName>
    <definedName name="BLPH18" hidden="1">#REF!</definedName>
    <definedName name="BLPH19" hidden="1">#REF!</definedName>
    <definedName name="BLPH2" hidden="1">#REF!</definedName>
    <definedName name="BLPH20" hidden="1">#REF!</definedName>
    <definedName name="BLPH200001" hidden="1">#REF!</definedName>
    <definedName name="BLPH3" hidden="1">#REF!</definedName>
    <definedName name="BLPH4" hidden="1">#REF!</definedName>
    <definedName name="BLPH5" hidden="1">#REF!</definedName>
    <definedName name="BLPH6" hidden="1">#REF!</definedName>
    <definedName name="BLPH7" hidden="1">#REF!</definedName>
    <definedName name="BLPH8" hidden="1">#REF!</definedName>
    <definedName name="BLPH9" hidden="1">#REF!</definedName>
    <definedName name="bnm">#REF!</definedName>
    <definedName name="bob">#REF!</definedName>
    <definedName name="BOM">#REF!</definedName>
    <definedName name="boom">#REF!</definedName>
    <definedName name="boy">#REF!</definedName>
    <definedName name="BPOS">#REF!</definedName>
    <definedName name="BPP" hidden="1">#REF!</definedName>
    <definedName name="BT">#REF!</definedName>
    <definedName name="btdc2" hidden="1">#REF!</definedName>
    <definedName name="bui">#REF!</definedName>
    <definedName name="bulk">#REF!</definedName>
    <definedName name="BUSCA">#REF!</definedName>
    <definedName name="C_HEAD">#REF!</definedName>
    <definedName name="cc">#REF!</definedName>
    <definedName name="CHAMPS">#REF!</definedName>
    <definedName name="CLE_OCA">#REF!</definedName>
    <definedName name="CLE_OP">#REF!</definedName>
    <definedName name="CLE_OPK">#REF!</definedName>
    <definedName name="CLE_OT1_7">#REF!</definedName>
    <definedName name="CLE_OT2_3">#REF!</definedName>
    <definedName name="CLE_TOTAL">#REF!</definedName>
    <definedName name="CLE_VO">#REF!</definedName>
    <definedName name="CLE_Z">#REF!</definedName>
    <definedName name="code">#REF!</definedName>
    <definedName name="Code_RM">#REF!</definedName>
    <definedName name="CODELOT">#REF!</definedName>
    <definedName name="codesize">#REF!</definedName>
    <definedName name="COLLAB">#REF!</definedName>
    <definedName name="Collapse_Expand">#REF!</definedName>
    <definedName name="COMPARE">#REF!</definedName>
    <definedName name="Confidentiality">#REF!</definedName>
    <definedName name="Consensus">#REF!</definedName>
    <definedName name="Consensus_Nov">#REF!</definedName>
    <definedName name="CRIT1">#REF!</definedName>
    <definedName name="crit1997">#REF!</definedName>
    <definedName name="cVisAApp">#REF!</definedName>
    <definedName name="cVisAApp2">#REF!</definedName>
    <definedName name="cVisAApp3">#REF!</definedName>
    <definedName name="cVisAApp4">#REF!</definedName>
    <definedName name="CVISASIG">#REF!</definedName>
    <definedName name="CVISASIG2">#REF!</definedName>
    <definedName name="CVISASIG3">#REF!</definedName>
    <definedName name="CVISASIG4">#REF!</definedName>
    <definedName name="D_E">#REF!</definedName>
    <definedName name="D_I">#REF!</definedName>
    <definedName name="da">#REF!</definedName>
    <definedName name="Data">#REF!</definedName>
    <definedName name="Data_AC">#REF!</definedName>
    <definedName name="Data_BLOCK">#REF!</definedName>
    <definedName name="Data_capa">#REF!</definedName>
    <definedName name="data0">#REF!</definedName>
    <definedName name="data01">#REF!</definedName>
    <definedName name="data02">#REF!</definedName>
    <definedName name="data03">#REF!</definedName>
    <definedName name="data10">#REF!</definedName>
    <definedName name="data15">#REF!</definedName>
    <definedName name="Data2019">#REF!</definedName>
    <definedName name="Data2021">#REF!</definedName>
    <definedName name="data2022">#REF!</definedName>
    <definedName name="data4">#REF!</definedName>
    <definedName name="DATA7">#REF!</definedName>
    <definedName name="_xlnm.Database">#REF!</definedName>
    <definedName name="date">#REF!</definedName>
    <definedName name="date2">#REF!</definedName>
    <definedName name="DATEVALEUR">#REF!</definedName>
    <definedName name="dbase">#REF!</definedName>
    <definedName name="DCF" localSheetId="0" hidden="1">{#N/A,#N/A,FALSE,"Aging Summary";#N/A,#N/A,FALSE,"Ratio Analysis";#N/A,#N/A,FALSE,"Test 120 Day Accts";#N/A,#N/A,FALSE,"Tickmarks"}</definedName>
    <definedName name="DCF" hidden="1">{#N/A,#N/A,FALSE,"Aging Summary";#N/A,#N/A,FALSE,"Ratio Analysis";#N/A,#N/A,FALSE,"Test 120 Day Accts";#N/A,#N/A,FALSE,"Tickmarks"}</definedName>
    <definedName name="DD">#REF!</definedName>
    <definedName name="ddd">#REF!</definedName>
    <definedName name="dddd">#REF!</definedName>
    <definedName name="ddddd" localSheetId="0" hidden="1">{#N/A,#N/A,FALSE,"CALCOC"}</definedName>
    <definedName name="ddddd" hidden="1">{#N/A,#N/A,FALSE,"CALCOC"}</definedName>
    <definedName name="default_start_values">#REF!,#REF!</definedName>
    <definedName name="dema">#REF!</definedName>
    <definedName name="Demand">#REF!</definedName>
    <definedName name="Demand20">#REF!</definedName>
    <definedName name="demandsku">#REF!</definedName>
    <definedName name="DETAIL_MH">#REF!</definedName>
    <definedName name="DISPLAY">#REF!</definedName>
    <definedName name="DIVMONTHLY">#REF!</definedName>
    <definedName name="DIVTOTAL">#REF!</definedName>
    <definedName name="DMS">#REF!</definedName>
    <definedName name="Dólar">#REF!</definedName>
    <definedName name="Domaine">#REF!</definedName>
    <definedName name="dr">#REF!</definedName>
    <definedName name="dsa">#REF!</definedName>
    <definedName name="dsfs" localSheetId="0" hidden="1">{#N/A,#N/A,FALSE,"Aging Summary";#N/A,#N/A,FALSE,"Ratio Analysis";#N/A,#N/A,FALSE,"Test 120 Day Accts";#N/A,#N/A,FALSE,"Tickmarks"}</definedName>
    <definedName name="dsfs" hidden="1">{#N/A,#N/A,FALSE,"Aging Summary";#N/A,#N/A,FALSE,"Ratio Analysis";#N/A,#N/A,FALSE,"Test 120 Day Accts";#N/A,#N/A,FALSE,"Tickmarks"}</definedName>
    <definedName name="ECART">#REF!</definedName>
    <definedName name="Ecarts">#REF!</definedName>
    <definedName name="edu" localSheetId="0" hidden="1">{#N/A,#N/A,FALSE,"CALCOC"}</definedName>
    <definedName name="edu" hidden="1">{#N/A,#N/A,FALSE,"CALCOC"}</definedName>
    <definedName name="ee">#REF!</definedName>
    <definedName name="EFF_AGT_LIGNES">#REF!</definedName>
    <definedName name="EFF_COL_AGT">#REF!</definedName>
    <definedName name="EFF_COL_LIGNES">#REF!</definedName>
    <definedName name="EFF_PROD">#REF!</definedName>
    <definedName name="EFFECTIF">#REF!</definedName>
    <definedName name="eficacia">#REF!</definedName>
    <definedName name="er">#REF!</definedName>
    <definedName name="esc">#REF!</definedName>
    <definedName name="Euro">#REF!</definedName>
    <definedName name="EV__ALLOWSTOPEXPAND__" hidden="1">1</definedName>
    <definedName name="EV__DECIMALSYMBOL__" hidden="1">"."</definedName>
    <definedName name="EV__EVCOM_OPTIONS__" hidden="1">8</definedName>
    <definedName name="EV__EXPOPTIONS__" hidden="1">0</definedName>
    <definedName name="EV__LASTREFTIME__" hidden="1">39345.6358101852</definedName>
    <definedName name="EV__LOCKEDCVW__AGRONOMY" hidden="1">"BUDGET,CropTotal,Final,PotatoCost,Weight,PTTTotal,2003.TOTAL,PERIODIC,"</definedName>
    <definedName name="EV__LOCKEDCVW__CAPEX" hidden="1">"AllAsset,CapexConfig,ACTUAL,Final,01,AllResponsibility,THB,2004.TOTAL,PERIODIC,"</definedName>
    <definedName name="EV__LOCKEDCVW__CONSOL" hidden="1">"BS.Company,ACTUAL,THB,Final,99,F_ERR,AllIntCo,AllResponsibility,2004.TOTAL,PERIODIC,"</definedName>
    <definedName name="EV__LOCKEDCVW__FINANCE" hidden="1">"H740000,BUDGET,1011,Input,2009.TOTAL,PERIODIC,"</definedName>
    <definedName name="EV__LOCKEDCVW__GROUPFIN" hidden="1">"BS.Company,LE2007,Final,05.0000,AllProduct,NoIntCo,AllResponsibility,THB,2007.TOTAL,PERIODIC,"</definedName>
    <definedName name="EV__LOCKEDCVW__OWNERSHIP" hidden="1">"ACTUAL,THB,99,AllIntCo,POWN,2004.TOTAL,PERIODIC,"</definedName>
    <definedName name="EV__LOCKEDCVW__RATE" hidden="1">"ACTUAL,THB,Avg,GLOBAL,2004.TOTAL,PERIODIC,"</definedName>
    <definedName name="EV__LOCKEDCVW__SALES" hidden="1">"BUDGET,Final,Quantity,ProductAll,TotalChannel,2003.TOTAL,PERIODIC,"</definedName>
    <definedName name="EV__LOCKSTATUS__" hidden="1">4</definedName>
    <definedName name="EV__MAXEXPCOLS__" hidden="1">100</definedName>
    <definedName name="EV__MAXEXPROWS__" hidden="1">1000</definedName>
    <definedName name="EV__MEMORYCVW__" hidden="1">0</definedName>
    <definedName name="EV__WBEVMODE__" hidden="1">1</definedName>
    <definedName name="EV__WBREFOPTIONS__" hidden="1">134217736</definedName>
    <definedName name="EV__WBVERSION__" hidden="1">0</definedName>
    <definedName name="EV__WSINFO__" hidden="1">"alan"</definedName>
    <definedName name="Exchange">#REF!</definedName>
    <definedName name="Exec_Sum_TCAF">#REF!</definedName>
    <definedName name="EXPBM">#REF!</definedName>
    <definedName name="EXPBMM">#REF!</definedName>
    <definedName name="EXPED">#REF!</definedName>
    <definedName name="EXPEDM">#REF!</definedName>
    <definedName name="EXPENSE">#REF!</definedName>
    <definedName name="expo">#REF!</definedName>
    <definedName name="export">#REF!</definedName>
    <definedName name="FACTOR">#REF!</definedName>
    <definedName name="fad">#REF!</definedName>
    <definedName name="ff">#REF!</definedName>
    <definedName name="fff" localSheetId="0" hidden="1">{"'Sheet1'!$L$16"}</definedName>
    <definedName name="fff" hidden="1">{"'Sheet1'!$L$16"}</definedName>
    <definedName name="FGGTF" localSheetId="0" hidden="1">{#N/A,#N/A,FALSE,"Aging Summary";#N/A,#N/A,FALSE,"Ratio Analysis";#N/A,#N/A,FALSE,"Test 120 Day Accts";#N/A,#N/A,FALSE,"Tickmarks"}</definedName>
    <definedName name="FGGTF" hidden="1">{#N/A,#N/A,FALSE,"Aging Summary";#N/A,#N/A,FALSE,"Ratio Analysis";#N/A,#N/A,FALSE,"Test 120 Day Accts";#N/A,#N/A,FALSE,"Tickmarks"}</definedName>
    <definedName name="fichagt">#REF!</definedName>
    <definedName name="findmthpend">#REF!</definedName>
    <definedName name="FLCAB30SC">#REF!</definedName>
    <definedName name="foc">#REF!</definedName>
    <definedName name="FORECAST">#REF!</definedName>
    <definedName name="frt">#REF!</definedName>
    <definedName name="G1éà">#REF!</definedName>
    <definedName name="gec">#REF!</definedName>
    <definedName name="GERARRELATÓRIO">#REF!</definedName>
    <definedName name="gg">#REF!</definedName>
    <definedName name="ggg">#REF!</definedName>
    <definedName name="giam" localSheetId="0" hidden="1">{#N/A,#N/A,FALSE,"Aging Summary";#N/A,#N/A,FALSE,"Ratio Analysis";#N/A,#N/A,FALSE,"Test 120 Day Accts";#N/A,#N/A,FALSE,"Tickmarks"}</definedName>
    <definedName name="giam" hidden="1">{#N/A,#N/A,FALSE,"Aging Summary";#N/A,#N/A,FALSE,"Ratio Analysis";#N/A,#N/A,FALSE,"Test 120 Day Accts";#N/A,#N/A,FALSE,"Tickmarks"}</definedName>
    <definedName name="god">#REF!</definedName>
    <definedName name="golf">#REF!</definedName>
    <definedName name="Graph">"Graphique 10"</definedName>
    <definedName name="guide">#REF!</definedName>
    <definedName name="H">INDEX(#REF!,0,MATCH(#REF!,#REF!,0))</definedName>
    <definedName name="H_BHT">#REF!</definedName>
    <definedName name="H_MH">#REF!</definedName>
    <definedName name="H_SUM">#REF!</definedName>
    <definedName name="half">#REF!</definedName>
    <definedName name="hh" localSheetId="0" hidden="1">{#N/A,#N/A,FALSE,"Aging Summary";#N/A,#N/A,FALSE,"Ratio Analysis";#N/A,#N/A,FALSE,"Test 120 Day Accts";#N/A,#N/A,FALSE,"Tickmarks"}</definedName>
    <definedName name="hh" hidden="1">{#N/A,#N/A,FALSE,"Aging Summary";#N/A,#N/A,FALSE,"Ratio Analysis";#N/A,#N/A,FALSE,"Test 120 Day Accts";#N/A,#N/A,FALSE,"Tickmarks"}</definedName>
    <definedName name="hhh">#REF!</definedName>
    <definedName name="HIDDEN">#REF!,#REF!,#REF!,#REF!,#REF!,#REF!,#REF!,#REF!,#REF!,#REF!</definedName>
    <definedName name="hide">#REF!</definedName>
    <definedName name="hist">#REF!</definedName>
    <definedName name="hold">#REF!</definedName>
    <definedName name="howToChange">#REF!</definedName>
    <definedName name="howToCheck">#REF!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ICE_CUM">#REF!</definedName>
    <definedName name="ICE_RPT">#REF!</definedName>
    <definedName name="ICE_SUM">#REF!</definedName>
    <definedName name="ICE_WKS">#REF!</definedName>
    <definedName name="icee">#REF!</definedName>
    <definedName name="IciDépart" localSheetId="0">#REF!</definedName>
    <definedName name="idocddif">#REF!</definedName>
    <definedName name="idocddif2">#REF!</definedName>
    <definedName name="idocddif3">#REF!</definedName>
    <definedName name="idocddif4">#REF!</definedName>
    <definedName name="iDocObjRev">#REF!</definedName>
    <definedName name="iDocObjRev2">#REF!</definedName>
    <definedName name="iDocObjRev3">#REF!</definedName>
    <definedName name="iDocObjRev4">#REF!</definedName>
    <definedName name="iDocRev">#REF!</definedName>
    <definedName name="iDocRev2">#REF!</definedName>
    <definedName name="iDocRev3">#REF!</definedName>
    <definedName name="iDocRev4">#REF!</definedName>
    <definedName name="ii">#REF!</definedName>
    <definedName name="iii">#REF!</definedName>
    <definedName name="IK" localSheetId="0" hidden="1">{#N/A,#N/A,FALSE,"Aging Summary";#N/A,#N/A,FALSE,"Ratio Analysis";#N/A,#N/A,FALSE,"Test 120 Day Accts";#N/A,#N/A,FALSE,"Tickmarks"}</definedName>
    <definedName name="IK" hidden="1">{#N/A,#N/A,FALSE,"Aging Summary";#N/A,#N/A,FALSE,"Ratio Analysis";#N/A,#N/A,FALSE,"Test 120 Day Accts";#N/A,#N/A,FALSE,"Tickmarks"}</definedName>
    <definedName name="IMPRES">#REF!</definedName>
    <definedName name="imprimer_tout">#REF!</definedName>
    <definedName name="InfoPane">#REF!</definedName>
    <definedName name="InformationPane">#REF!</definedName>
    <definedName name="InfpPane">#REF!</definedName>
    <definedName name="INPUT">#REF!</definedName>
    <definedName name="INS">#REF!</definedName>
    <definedName name="INTEREST">#REF!</definedName>
    <definedName name="INTMONTHLY">#REF!</definedName>
    <definedName name="ioi">#REF!</definedName>
    <definedName name="iop">#REF!</definedName>
    <definedName name="IQ_ACCOUNT_CHANGE" hidden="1">"c1449"</definedName>
    <definedName name="IQ_ACCOUNTS_PAY" hidden="1">"c1343"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"c1341"</definedName>
    <definedName name="IQ_ACCT_RECV_10YR_ANN_GROWTH" hidden="1">"c1924"</definedName>
    <definedName name="IQ_ACCT_RECV_1YR_ANN_GROWTH" hidden="1">"c1919"</definedName>
    <definedName name="IQ_ACCT_RECV_2YR_ANN_GROWTH" hidden="1">"c1920"</definedName>
    <definedName name="IQ_ACCT_RECV_3YR_ANN_GROWTH" hidden="1">"c1921"</definedName>
    <definedName name="IQ_ACCT_RECV_5YR_ANN_GROWTH" hidden="1">"c1922"</definedName>
    <definedName name="IQ_ACCT_RECV_7YR_ANN_GROWTH" hidden="1">"c1923"</definedName>
    <definedName name="IQ_ACCUM_DEP" hidden="1">"c1340"</definedName>
    <definedName name="IQ_ACCUMULATED_PENSION_OBLIGATION" hidden="1">"c2244"</definedName>
    <definedName name="IQ_ACQ_COST_SUB" hidden="1">"c2125"</definedName>
    <definedName name="IQ_ACQ_COSTS_CAPITALIZED" hidden="1">"c5"</definedName>
    <definedName name="IQ_ACQUIRE_REAL_ESTATE_CF" hidden="1">"c6"</definedName>
    <definedName name="IQ_ACQUISITION_RE_ASSETS" hidden="1">"c1628"</definedName>
    <definedName name="IQ_AD" hidden="1">"c7"</definedName>
    <definedName name="IQ_ADD_PAID_IN" hidden="1">"c1344"</definedName>
    <definedName name="IQ_ADVERTISING" hidden="1">"c2246"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IT" hidden="1">"c13"</definedName>
    <definedName name="IQ_AE_UTI" hidden="1">"c14"</definedName>
    <definedName name="IQ_ALLOW_BORROW_CONST" hidden="1">"c15"</definedName>
    <definedName name="IQ_ALLOW_CONST" hidden="1">"c1342"</definedName>
    <definedName name="IQ_ALLOW_DOUBT_ACCT" hidden="1">"c2092"</definedName>
    <definedName name="IQ_ALLOW_EQUITY_CONST" hidden="1">"c16"</definedName>
    <definedName name="IQ_ALLOW_LL" hidden="1">"c17"</definedName>
    <definedName name="IQ_ALLOWANCE_10YR_ANN_GROWTH" hidden="1">"c18"</definedName>
    <definedName name="IQ_ALLOWANCE_1YR_ANN_GROWTH" hidden="1">"c19"</definedName>
    <definedName name="IQ_ALLOWANCE_2YR_ANN_GROWTH" hidden="1">"c20"</definedName>
    <definedName name="IQ_ALLOWANCE_3YR_ANN_GROWTH" hidden="1">"c21"</definedName>
    <definedName name="IQ_ALLOWANCE_5YR_ANN_GROWTH" hidden="1">"c22"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ORTIZATION" hidden="1">"c1591"</definedName>
    <definedName name="IQ_AMT_OUT" hidden="1">"c2145"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IT" hidden="1">"c60"</definedName>
    <definedName name="IQ_ASSET_WRITEDOWN_UTI" hidden="1">"c61"</definedName>
    <definedName name="IQ_ASSETS_CAP_LEASE_DEPR" hidden="1">"c2068"</definedName>
    <definedName name="IQ_ASSETS_CAP_LEASE_GROSS" hidden="1">"c2069"</definedName>
    <definedName name="IQ_ASSETS_OPER_LEASE_DEPR" hidden="1">"c2070"</definedName>
    <definedName name="IQ_ASSETS_OPER_LEASE_GROSS" hidden="1">"c2071"</definedName>
    <definedName name="IQ_AUDITOR_NAME" hidden="1">"c1539"</definedName>
    <definedName name="IQ_AUDITOR_OPINION" hidden="1">"c1540"</definedName>
    <definedName name="IQ_AUTO_WRITTEN" hidden="1">"c62"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NO" hidden="1">"c64"</definedName>
    <definedName name="IQ_AVG_DAILY_VOL" hidden="1">"c65"</definedName>
    <definedName name="IQ_AVG_INT_BEAR_LIAB" hidden="1">"c66"</definedName>
    <definedName name="IQ_AVG_INT_BEAR_LIAB_10YR_ANN_GROWTH" hidden="1">"c67"</definedName>
    <definedName name="IQ_AVG_INT_BEAR_LIAB_1YR_ANN_GROWTH" hidden="1">"c68"</definedName>
    <definedName name="IQ_AVG_INT_BEAR_LIAB_2YR_ANN_GROWTH" hidden="1">"c69"</definedName>
    <definedName name="IQ_AVG_INT_BEAR_LIAB_3YR_ANN_GROWTH" hidden="1">"c70"</definedName>
    <definedName name="IQ_AVG_INT_BEAR_LIAB_5YR_ANN_GROWTH" hidden="1">"c71"</definedName>
    <definedName name="IQ_AVG_INT_BEAR_LIAB_7YR_ANN_GROWTH" hidden="1">"c72"</definedName>
    <definedName name="IQ_AVG_INT_EARN_ASSETS" hidden="1">"c73"</definedName>
    <definedName name="IQ_AVG_INT_EARN_ASSETS_10YR_ANN_GROWTH" hidden="1">"c74"</definedName>
    <definedName name="IQ_AVG_INT_EARN_ASSETS_1YR_ANN_GROWTH" hidden="1">"c75"</definedName>
    <definedName name="IQ_AVG_INT_EARN_ASSETS_2YR_ANN_GROWTH" hidden="1">"c76"</definedName>
    <definedName name="IQ_AVG_INT_EARN_ASSETS_3YR_ANN_GROWTH" hidden="1">"c77"</definedName>
    <definedName name="IQ_AVG_INT_EARN_ASSETS_5YR_ANN_GROWTH" hidden="1">"c78"</definedName>
    <definedName name="IQ_AVG_INT_EARN_ASSETS_7YR_ANN_GROWTH" hidden="1">"c79"</definedName>
    <definedName name="IQ_AVG_MKTCAP" hidden="1">"c80"</definedName>
    <definedName name="IQ_AVG_PRICE" hidden="1">"c81"</definedName>
    <definedName name="IQ_AVG_PRICE_TARGET" hidden="1">"c82"</definedName>
    <definedName name="IQ_AVG_SHAREOUTSTANDING" hidden="1">"c83"</definedName>
    <definedName name="IQ_AVG_TEV" hidden="1">"c84"</definedName>
    <definedName name="IQ_AVG_VOLUME" hidden="1">"c1346"</definedName>
    <definedName name="IQ_BASIC_EPS_EXCL" hidden="1">"c85"</definedName>
    <definedName name="IQ_BASIC_EPS_INCL" hidden="1">"c86"</definedName>
    <definedName name="IQ_BASIC_NORMAL_EPS" hidden="1">"c1592"</definedName>
    <definedName name="IQ_BASIC_WEIGHT" hidden="1">"c87"</definedName>
    <definedName name="IQ_BENCHMARK_SECURITY" hidden="1">"c2154"</definedName>
    <definedName name="IQ_BENCHMARK_SPRD" hidden="1">"c2153"</definedName>
    <definedName name="IQ_BETA" hidden="1">"c2133"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"c89"</definedName>
    <definedName name="IQ_BOARD_MEMBER" hidden="1">"c96"</definedName>
    <definedName name="IQ_BOARD_MEMBER_BACKGROUND" hidden="1">"c2101"</definedName>
    <definedName name="IQ_BOARD_MEMBER_TITLE" hidden="1">"c97"</definedName>
    <definedName name="IQ_BOND_COUPON" hidden="1">"c2183"</definedName>
    <definedName name="IQ_BOND_COUPON_TYPE" hidden="1">"c2184"</definedName>
    <definedName name="IQ_BOND_PRICE" hidden="1">"c2162"</definedName>
    <definedName name="IQ_BONDRATING_FITCH" hidden="1">"IQ_BONDRATING_FITCH"</definedName>
    <definedName name="IQ_BONDRATING_FITCH_DATE" hidden="1">"c241"</definedName>
    <definedName name="IQ_BONDRATING_MOODYS" hidden="1">"IQ_BONDRATING_MOODYS"</definedName>
    <definedName name="IQ_BONDRATING_SP" hidden="1">"IQ_BONDRATING_SP"</definedName>
    <definedName name="IQ_BONDRATING_SP_DATE" hidden="1">"c242"</definedName>
    <definedName name="IQ_BOOK_VALUE" hidden="1">"IQ_BOOK_VALUE"</definedName>
    <definedName name="IQ_BROK_COMISSION" hidden="1">"c98"</definedName>
    <definedName name="IQ_BUILDINGS" hidden="1">"c99"</definedName>
    <definedName name="IQ_BUSINESS_DESCRIPTION" hidden="1">"c322"</definedName>
    <definedName name="IQ_BV_OVER_SHARES" hidden="1">"c1349"</definedName>
    <definedName name="IQ_BV_SHARE" hidden="1">"c100"</definedName>
    <definedName name="IQ_CAL_Q" hidden="1">"c101"</definedName>
    <definedName name="IQ_CAL_Y" hidden="1">"c102"</definedName>
    <definedName name="IQ_CALL_FEATURE" hidden="1">"c2197"</definedName>
    <definedName name="IQ_CALLABLE" hidden="1">"c2196"</definedName>
    <definedName name="IQ_CAPEX" hidden="1">"c103"</definedName>
    <definedName name="IQ_CAPEX_10YR_ANN_GROWTH" hidden="1">"c104"</definedName>
    <definedName name="IQ_CAPEX_1YR_ANN_GROWTH" hidden="1">"c105"</definedName>
    <definedName name="IQ_CAPEX_2YR_ANN_GROWTH" hidden="1">"c106"</definedName>
    <definedName name="IQ_CAPEX_3YR_ANN_GROWTH" hidden="1">"c107"</definedName>
    <definedName name="IQ_CAPEX_5YR_ANN_GROWTH" hidden="1">"c108"</definedName>
    <definedName name="IQ_CAPEX_7YR_ANN_GROWTH" hidden="1">"c109"</definedName>
    <definedName name="IQ_CAPEX_BNK" hidden="1">"c110"</definedName>
    <definedName name="IQ_CAPEX_BR" hidden="1">"c111"</definedName>
    <definedName name="IQ_CAPEX_FIN" hidden="1">"c112"</definedName>
    <definedName name="IQ_CAPEX_INS" hidden="1">"c113"</definedName>
    <definedName name="IQ_CAPEX_UTI" hidden="1">"c114"</definedName>
    <definedName name="IQ_CAPITAL_LEASE" hidden="1">"c1350"</definedName>
    <definedName name="IQ_CAPITAL_LEASES" hidden="1">"c115"</definedName>
    <definedName name="IQ_CAPITALIZED_INTEREST" hidden="1">"c2076"</definedName>
    <definedName name="IQ_CASH" hidden="1">"c1458"</definedName>
    <definedName name="IQ_CASH_ACQUIRE_CF" hidden="1">"c1630"</definedName>
    <definedName name="IQ_CASH_CONVERSION" hidden="1">"c117"</definedName>
    <definedName name="IQ_CASH_DUE_BANKS" hidden="1">"c1351"</definedName>
    <definedName name="IQ_CASH_EQUIV" hidden="1">"c118"</definedName>
    <definedName name="IQ_CASH_FINAN" hidden="1">"c119"</definedName>
    <definedName name="IQ_CASH_INTEREST" hidden="1">"c120"</definedName>
    <definedName name="IQ_CASH_INVEST" hidden="1">"c121"</definedName>
    <definedName name="IQ_CASH_OPER" hidden="1">"c122"</definedName>
    <definedName name="IQ_CASH_SEGREG" hidden="1">"c123"</definedName>
    <definedName name="IQ_CASH_SHARE" hidden="1">"c1911"</definedName>
    <definedName name="IQ_CASH_ST" hidden="1">"c1355"</definedName>
    <definedName name="IQ_CASH_ST_INVEST" hidden="1">"c124"</definedName>
    <definedName name="IQ_CASH_TAXES" hidden="1">"c125"</definedName>
    <definedName name="IQ_CFO_10YR_ANN_GROWTH" hidden="1">"c126"</definedName>
    <definedName name="IQ_CFO_1YR_ANN_GROWTH" hidden="1">"c127"</definedName>
    <definedName name="IQ_CFO_2YR_ANN_GROWTH" hidden="1">"c128"</definedName>
    <definedName name="IQ_CFO_3YR_ANN_GROWTH" hidden="1">"c129"</definedName>
    <definedName name="IQ_CFO_5YR_ANN_GROWTH" hidden="1">"c130"</definedName>
    <definedName name="IQ_CFO_7YR_ANN_GROWTH" hidden="1">"c131"</definedName>
    <definedName name="IQ_CFO_CURRENT_LIAB" hidden="1">"c132"</definedName>
    <definedName name="IQ_CFPS_ACT_OR_EST" hidden="1">"c2217"</definedName>
    <definedName name="IQ_CFPS_EST" hidden="1">"c1667"</definedName>
    <definedName name="IQ_CFPS_HIGH_EST" hidden="1">"c1669"</definedName>
    <definedName name="IQ_CFPS_LOW_EST" hidden="1">"c1670"</definedName>
    <definedName name="IQ_CFPS_MEDIAN_EST" hidden="1">"c1668"</definedName>
    <definedName name="IQ_CFPS_NUM_EST" hidden="1">"c1671"</definedName>
    <definedName name="IQ_CFPS_STDDEV_EST" hidden="1">"c1672"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ORY" hidden="1">"c151"</definedName>
    <definedName name="IQ_CHANGE_NET_WORKING_CAPITAL" hidden="1">"c1909"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"c1357"</definedName>
    <definedName name="IQ_CHARGE_OFFS_GROSS" hidden="1">"c162"</definedName>
    <definedName name="IQ_CHARGE_OFFS_NET" hidden="1">"c163"</definedName>
    <definedName name="IQ_CHARGE_OFFS_RECOVERED" hidden="1">"c164"</definedName>
    <definedName name="IQ_CHARGE_OFFS_TOTAL_AVG_LOANS" hidden="1">"c165"</definedName>
    <definedName name="IQ_CITY" hidden="1">"c166"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_OBLIGATION_IMMEDIATE" hidden="1">"c2253"</definedName>
    <definedName name="IQ_CLASSA_OUTSTANDING_BS_DATE" hidden="1">"c1971"</definedName>
    <definedName name="IQ_CLASSA_OUTSTANDING_FILING_DATE" hidden="1">"c1973"</definedName>
    <definedName name="IQ_CLOSEPRICE" hidden="1">"c174"</definedName>
    <definedName name="IQ_CLOSEPRICE_ADJ" hidden="1">"c2115"</definedName>
    <definedName name="IQ_COGS" hidden="1">"c175"</definedName>
    <definedName name="IQ_COMBINED_RATIO" hidden="1">"c176"</definedName>
    <definedName name="IQ_COMMERCIAL_DOM" hidden="1">"c177"</definedName>
    <definedName name="IQ_COMMERCIAL_FIRE_WRITTEN" hidden="1">"c178"</definedName>
    <definedName name="IQ_COMMERCIAL_MORT" hidden="1">"c179"</definedName>
    <definedName name="IQ_COMMISS_FEES" hidden="1">"c180"</definedName>
    <definedName name="IQ_COMMISSION_DEF" hidden="1">"c181"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IT" hidden="1">"c188"</definedName>
    <definedName name="IQ_COMMON_APIC_UTI" hidden="1">"c189"</definedName>
    <definedName name="IQ_COMMON_DIV_CF" hidden="1">"c190"</definedName>
    <definedName name="IQ_COMMON_EQUITY_10YR_ANN_GROWTH" hidden="1">"c191"</definedName>
    <definedName name="IQ_COMMON_EQUITY_1YR_ANN_GROWTH" hidden="1">"c192"</definedName>
    <definedName name="IQ_COMMON_EQUITY_2YR_ANN_GROWTH" hidden="1">"c193"</definedName>
    <definedName name="IQ_COMMON_EQUITY_3YR_ANN_GROWTH" hidden="1">"c194"</definedName>
    <definedName name="IQ_COMMON_EQUITY_5YR_ANN_GROWTH" hidden="1">"c195"</definedName>
    <definedName name="IQ_COMMON_EQUITY_7YR_ANN_GROWTH" hidden="1">"c196"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IT" hidden="1">"c211"</definedName>
    <definedName name="IQ_COMMON_REP_UTI" hidden="1">"c212"</definedName>
    <definedName name="IQ_COMMON_STOCK" hidden="1">"c1358"</definedName>
    <definedName name="IQ_COMP_BENEFITS" hidden="1">"c213"</definedName>
    <definedName name="IQ_COMPANY_ADDRESS" hidden="1">"c214"</definedName>
    <definedName name="IQ_COMPANY_NAME" hidden="1">"c215"</definedName>
    <definedName name="IQ_COMPANY_NAME_LONG" hidden="1">"c1585"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NSTRUCTION_LOANS" hidden="1">"c222"</definedName>
    <definedName name="IQ_CONSUMER_LOANS" hidden="1">"c223"</definedName>
    <definedName name="IQ_CONV_DATE" hidden="1">"c2191"</definedName>
    <definedName name="IQ_CONV_PREMIUM" hidden="1">"c2195"</definedName>
    <definedName name="IQ_CONV_PRICE" hidden="1">"c2193"</definedName>
    <definedName name="IQ_CONV_RATE" hidden="1">"c2192"</definedName>
    <definedName name="IQ_CONV_SECURITY" hidden="1">"c2189"</definedName>
    <definedName name="IQ_CONV_SECURITY_ISSUER" hidden="1">"c2190"</definedName>
    <definedName name="IQ_CONV_SECURITY_PRICE" hidden="1">"c2194"</definedName>
    <definedName name="IQ_CONVERT_DEBT" hidden="1">"c224"</definedName>
    <definedName name="IQ_CONVEXITY" hidden="1">"c2182"</definedName>
    <definedName name="IQ_COST_BORROWINGS" hidden="1">"c225"</definedName>
    <definedName name="IQ_COST_REV" hidden="1">"c226"</definedName>
    <definedName name="IQ_COST_REVENUE" hidden="1">"c1359"</definedName>
    <definedName name="IQ_COST_SAVINGS" hidden="1">"c227"</definedName>
    <definedName name="IQ_COST_SERVICE" hidden="1">"c228"</definedName>
    <definedName name="IQ_COST_TOTAL_BORROWINGS" hidden="1">"c229"</definedName>
    <definedName name="IQ_COUNTRY_NAME" hidden="1">"c230"</definedName>
    <definedName name="IQ_COVERED_POPS" hidden="1">"c2124"</definedName>
    <definedName name="IQ_CQ" hidden="1">5000</definedName>
    <definedName name="IQ_CREDIT_CARD_FEE" hidden="1">"c231"</definedName>
    <definedName name="IQ_CREDIT_CARD_FEE_BNK" hidden="1">"c231"</definedName>
    <definedName name="IQ_CREDIT_CARD_FEE_FIN" hidden="1">"c1583"</definedName>
    <definedName name="IQ_CREDIT_LOSS_CF" hidden="1">"c232"</definedName>
    <definedName name="IQ_CUMULATIVE_SPLIT_FACTOR" hidden="1">"c2094"</definedName>
    <definedName name="IQ_CURR_DOMESTIC_TAXES" hidden="1">"c2074"</definedName>
    <definedName name="IQ_CURR_FOREIGN_TAXES" hidden="1">"c2075"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IT" hidden="1">"c239"</definedName>
    <definedName name="IQ_CURRENCY_GAIN_UTI" hidden="1">"c240"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IT" hidden="1">"c1570"</definedName>
    <definedName name="IQ_CURRENT_PORT_DEBT_UTI" hidden="1">"c1571"</definedName>
    <definedName name="IQ_CURRENT_PORT_LEASES" hidden="1">"c245"</definedName>
    <definedName name="IQ_CURRENT_RATIO" hidden="1">"c246"</definedName>
    <definedName name="IQ_CY" hidden="1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IT" hidden="1">"c254"</definedName>
    <definedName name="IQ_DA_CF_UTI" hidden="1">"c255"</definedName>
    <definedName name="IQ_DA_FIN" hidden="1">"c256"</definedName>
    <definedName name="IQ_DA_INS" hidden="1">"c257"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IT" hidden="1">"c270"</definedName>
    <definedName name="IQ_DA_SUPPL_UTI" hidden="1">"c271"</definedName>
    <definedName name="IQ_DA_UTI" hidden="1">"c272"</definedName>
    <definedName name="IQ_DATED_DATE" hidden="1">"c2185"</definedName>
    <definedName name="IQ_DAY_COUNT" hidden="1">"c2161"</definedName>
    <definedName name="IQ_DAYS_COVER_SHORT" hidden="1">"c1578"</definedName>
    <definedName name="IQ_DAYS_INVENTORY_OUT" hidden="1">"c273"</definedName>
    <definedName name="IQ_DAYS_PAY_OUTST" hidden="1">"c1362"</definedName>
    <definedName name="IQ_DAYS_PAYABLE_OUT" hidden="1">"c274"</definedName>
    <definedName name="IQ_DAYS_SALES_OUT" hidden="1">"c275"</definedName>
    <definedName name="IQ_DAYS_SALES_OUTST" hidden="1">"c1363"</definedName>
    <definedName name="IQ_DEF_ACQ_CST" hidden="1">"c1364"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OTHER_COST" hidden="1">"c284"</definedName>
    <definedName name="IQ_DEF_BENEFIT_ROA" hidden="1">"c285"</definedName>
    <definedName name="IQ_DEF_BENEFIT_SERVICE_COST" hidden="1">"c286"</definedName>
    <definedName name="IQ_DEF_BENEFIT_TOTAL_COST" hidden="1">"c287"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IT" hidden="1">"c297"</definedName>
    <definedName name="IQ_DEF_CHARGES_LT_UTI" hidden="1">"c298"</definedName>
    <definedName name="IQ_DEF_CHARGES_REIT" hidden="1">"c299"</definedName>
    <definedName name="IQ_DEF_CONTRIBUTION_TOTAL_COST" hidden="1">"c300"</definedName>
    <definedName name="IQ_DEF_INC_TAX" hidden="1">"c1365"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"c1447"</definedName>
    <definedName name="IQ_DEFERRED_TAXES" hidden="1">"c1356"</definedName>
    <definedName name="IQ_DEMAND_DEP" hidden="1">"c320"</definedName>
    <definedName name="IQ_DEPOSITS_FIN" hidden="1">"c321"</definedName>
    <definedName name="IQ_DEPRE_AMORT" hidden="1">"c1360"</definedName>
    <definedName name="IQ_DEPRE_AMORT_SUPPL" hidden="1">"c1593"</definedName>
    <definedName name="IQ_DEPRE_DEPLE" hidden="1">"c1361"</definedName>
    <definedName name="IQ_DEPRE_SUPP" hidden="1">"c1443"</definedName>
    <definedName name="IQ_DESCRIPTION_LONG" hidden="1">"c1520"</definedName>
    <definedName name="IQ_DEVELOP_LAND" hidden="1">"c323"</definedName>
    <definedName name="IQ_DIFF_LASTCLOSE_TARGET_PRICE" hidden="1">"c1854"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WEIGHT" hidden="1">"c326"</definedName>
    <definedName name="IQ_DISCONT_OPER" hidden="1">"c1367"</definedName>
    <definedName name="IQ_DISCOUNT_RATE_PENSION_DOMESTIC" hidden="1">"c327"</definedName>
    <definedName name="IQ_DISCOUNT_RATE_PENSION_FOREIGN" hidden="1">"c328"</definedName>
    <definedName name="IQ_DISTR_EXCESS_EARN" hidden="1">"c329"</definedName>
    <definedName name="IQ_DIV_PAYMENT_DATE" hidden="1">"c2205"</definedName>
    <definedName name="IQ_DIV_RECORD_DATE" hidden="1">"c2204"</definedName>
    <definedName name="IQ_DIV_SHARE" hidden="1">"c330"</definedName>
    <definedName name="IQ_DIVEST_CF" hidden="1">"c331"</definedName>
    <definedName name="IQ_DIVID_SHARE" hidden="1">"c1366"</definedName>
    <definedName name="IQ_DIVIDEND_YIELD" hidden="1">"c332"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PS_10YR_ANN_GROWTH" hidden="1">"c337"</definedName>
    <definedName name="IQ_DPS_1YR_ANN_GROWTH" hidden="1">"c338"</definedName>
    <definedName name="IQ_DPS_2YR_ANN_GROWTH" hidden="1">"c339"</definedName>
    <definedName name="IQ_DPS_3YR_ANN_GROWTH" hidden="1">"c340"</definedName>
    <definedName name="IQ_DPS_5YR_ANN_GROWTH" hidden="1">"c341"</definedName>
    <definedName name="IQ_DPS_7YR_ANN_GROWTH" hidden="1">"c342"</definedName>
    <definedName name="IQ_DPS_ACT_OR_EST" hidden="1">"c2218"</definedName>
    <definedName name="IQ_DPS_EST" hidden="1">"c1674"</definedName>
    <definedName name="IQ_DPS_HIGH_EST" hidden="1">"c1676"</definedName>
    <definedName name="IQ_DPS_LOW_EST" hidden="1">"c1677"</definedName>
    <definedName name="IQ_DPS_MEDIAN_EST" hidden="1">"c1675"</definedName>
    <definedName name="IQ_DPS_NUM_EST" hidden="1">"c1678"</definedName>
    <definedName name="IQ_DPS_STDDEV_EST" hidden="1">"c1679"</definedName>
    <definedName name="IQ_DURATION" hidden="1">"c2181"</definedName>
    <definedName name="IQ_EARNING_ASSET_YIELD" hidden="1">"c343"</definedName>
    <definedName name="IQ_EARNING_CO" hidden="1">"c344"</definedName>
    <definedName name="IQ_EARNING_CO_10YR_ANN_GROWTH" hidden="1">"c345"</definedName>
    <definedName name="IQ_EARNING_CO_1YR_ANN_GROWTH" hidden="1">"c346"</definedName>
    <definedName name="IQ_EARNING_CO_2YR_ANN_GROWTH" hidden="1">"c347"</definedName>
    <definedName name="IQ_EARNING_CO_3YR_ANN_GROWTH" hidden="1">"c348"</definedName>
    <definedName name="IQ_EARNING_CO_5YR_ANN_GROWTH" hidden="1">"c349"</definedName>
    <definedName name="IQ_EARNING_CO_7YR_ANN_GROWTH" hidden="1">"c350"</definedName>
    <definedName name="IQ_EARNING_CO_MARGIN" hidden="1">"c351"</definedName>
    <definedName name="IQ_EARNINGS_ANNOUNCE_DATE" hidden="1">"c1649"</definedName>
    <definedName name="IQ_EBIT" hidden="1">"c352"</definedName>
    <definedName name="IQ_EBIT_10K" hidden="1">"IQ_EBIT_10K"</definedName>
    <definedName name="IQ_EBIT_10Q" hidden="1">"IQ_EBIT_10Q"</definedName>
    <definedName name="IQ_EBIT_10Q1" hidden="1">"IQ_EBIT_10Q1"</definedName>
    <definedName name="IQ_EBIT_10YR_ANN_GROWTH" hidden="1">"c353"</definedName>
    <definedName name="IQ_EBIT_1YR_ANN_GROWTH" hidden="1">"c354"</definedName>
    <definedName name="IQ_EBIT_2YR_ANN_GROWTH" hidden="1">"c355"</definedName>
    <definedName name="IQ_EBIT_3YR_ANN_GROWTH" hidden="1">"c356"</definedName>
    <definedName name="IQ_EBIT_5YR_ANN_GROWTH" hidden="1">"c357"</definedName>
    <definedName name="IQ_EBIT_7YR_ANN_GROWTH" hidden="1">"c358"</definedName>
    <definedName name="IQ_EBIT_ACT_OR_EST" hidden="1">"c2219"</definedName>
    <definedName name="IQ_EBIT_EST" hidden="1">"c1681"</definedName>
    <definedName name="IQ_EBIT_GROWTH_1" hidden="1">"IQ_EBIT_GROWTH_1"</definedName>
    <definedName name="IQ_EBIT_GROWTH_2" hidden="1">"IQ_EBIT_GROWTH_2"</definedName>
    <definedName name="IQ_EBIT_HIGH_EST" hidden="1">"c1683"</definedName>
    <definedName name="IQ_EBIT_INT" hidden="1">"c360"</definedName>
    <definedName name="IQ_EBIT_LOW_EST" hidden="1">"c1684"</definedName>
    <definedName name="IQ_EBIT_MARGIN" hidden="1">"c359"</definedName>
    <definedName name="IQ_EBIT_MEDIAN_EST" hidden="1">"c1682"</definedName>
    <definedName name="IQ_EBIT_NUM_EST" hidden="1">"c1685"</definedName>
    <definedName name="IQ_EBIT_OVER_IE" hidden="1">"c1369"</definedName>
    <definedName name="IQ_EBIT_STDDEV_EST" hidden="1">"c1686"</definedName>
    <definedName name="IQ_EBITA" hidden="1">"c1910"</definedName>
    <definedName name="IQ_EBITA_10YR_ANN_GROWTH" hidden="1">"c1954"</definedName>
    <definedName name="IQ_EBITA_1YR_ANN_GROWTH" hidden="1">"c1949"</definedName>
    <definedName name="IQ_EBITA_2YR_ANN_GROWTH" hidden="1">"c1950"</definedName>
    <definedName name="IQ_EBITA_3YR_ANN_GROWTH" hidden="1">"c1951"</definedName>
    <definedName name="IQ_EBITA_5YR_ANN_GROWTH" hidden="1">"c1952"</definedName>
    <definedName name="IQ_EBITA_7YR_ANN_GROWTH" hidden="1">"c1953"</definedName>
    <definedName name="IQ_EBITA_MARGIN" hidden="1">"c1963"</definedName>
    <definedName name="IQ_EBITDA" hidden="1">"c361"</definedName>
    <definedName name="IQ_EBITDA_10K" hidden="1">"IQ_EBITDA_10K"</definedName>
    <definedName name="IQ_EBITDA_10Q" hidden="1">"IQ_EBITDA_10Q"</definedName>
    <definedName name="IQ_EBITDA_10Q1" hidden="1">"IQ_EBITDA_10Q1"</definedName>
    <definedName name="IQ_EBITDA_10YR_ANN_GROWTH" hidden="1">"c362"</definedName>
    <definedName name="IQ_EBITDA_1YR_ANN_GROWTH" hidden="1">"c363"</definedName>
    <definedName name="IQ_EBITDA_2YR_ANN_GROWTH" hidden="1">"c364"</definedName>
    <definedName name="IQ_EBITDA_3YR_ANN_GROWTH" hidden="1">"c365"</definedName>
    <definedName name="IQ_EBITDA_5YR_ANN_GROWTH" hidden="1">"c366"</definedName>
    <definedName name="IQ_EBITDA_7YR_ANN_GROWTH" hidden="1">"c367"</definedName>
    <definedName name="IQ_EBITDA_ACT_OR_EST" hidden="1">"c2215"</definedName>
    <definedName name="IQ_EBITDA_CAPEX_INT" hidden="1">"c368"</definedName>
    <definedName name="IQ_EBITDA_CAPEX_OVER_TOTAL_IE" hidden="1">"c1370"</definedName>
    <definedName name="IQ_EBITDA_EST" hidden="1">"c369"</definedName>
    <definedName name="IQ_EBITDA_GROWTH_1" hidden="1">"IQ_EBITDA_GROWTH_1"</definedName>
    <definedName name="IQ_EBITDA_GROWTH_2" hidden="1">"IQ_EBITDA_GROWTH_2"</definedName>
    <definedName name="IQ_EBITDA_HIGH_EST" hidden="1">"c370"</definedName>
    <definedName name="IQ_EBITDA_INT" hidden="1">"c373"</definedName>
    <definedName name="IQ_EBITDA_LOW_EST" hidden="1">"c371"</definedName>
    <definedName name="IQ_EBITDA_MARGIN" hidden="1">"c372"</definedName>
    <definedName name="IQ_EBITDA_MEDIAN_EST" hidden="1">"c1663"</definedName>
    <definedName name="IQ_EBITDA_NO_EST" hidden="1">"c267"</definedName>
    <definedName name="IQ_EBITDA_NUM_EST" hidden="1">"c374"</definedName>
    <definedName name="IQ_EBITDA_OVER_TOTAL_IE" hidden="1">"c1371"</definedName>
    <definedName name="IQ_EBITDA_STDDEV_EST" hidden="1">"c375"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IT" hidden="1">"c384"</definedName>
    <definedName name="IQ_EBT_EXCL_UTI" hidden="1">"c385"</definedName>
    <definedName name="IQ_EBT_FIN" hidden="1">"c386"</definedName>
    <definedName name="IQ_EBT_INCL_MARGIN" hidden="1">"c387"</definedName>
    <definedName name="IQ_EBT_INS" hidden="1">"c388"</definedName>
    <definedName name="IQ_EBT_REIT" hidden="1">"c389"</definedName>
    <definedName name="IQ_EBT_UTI" hidden="1">"c390"</definedName>
    <definedName name="IQ_EFFECT_SPECIAL_CHARGE" hidden="1">"c1595"</definedName>
    <definedName name="IQ_EFFECT_TAX_RATE" hidden="1">"c1899"</definedName>
    <definedName name="IQ_EFFICIENCY_RATIO" hidden="1">"c391"</definedName>
    <definedName name="IQ_EMPLOYEES" hidden="1">"c392"</definedName>
    <definedName name="IQ_ENTERPRISE_VALUE" hidden="1">"c1348"</definedName>
    <definedName name="IQ_EPS" hidden="1">"IQ_EPS"</definedName>
    <definedName name="IQ_EPS_10K" hidden="1">"IQ_EPS_10K"</definedName>
    <definedName name="IQ_EPS_10Q" hidden="1">"IQ_EPS_10Q"</definedName>
    <definedName name="IQ_EPS_10Q1" hidden="1">"IQ_EPS_10Q1"</definedName>
    <definedName name="IQ_EPS_10YR_ANN_GROWTH" hidden="1">"c393"</definedName>
    <definedName name="IQ_EPS_1YR_ANN_GROWTH" hidden="1">"c394"</definedName>
    <definedName name="IQ_EPS_2YR_ANN_GROWTH" hidden="1">"c395"</definedName>
    <definedName name="IQ_EPS_3YR_ANN_GROWTH" hidden="1">"c396"</definedName>
    <definedName name="IQ_EPS_5YR_ANN_GROWTH" hidden="1">"c397"</definedName>
    <definedName name="IQ_EPS_7YR_ANN_GROWTH" hidden="1">"c398"</definedName>
    <definedName name="IQ_EPS_ACT_OR_EST" hidden="1">"c2213"</definedName>
    <definedName name="IQ_EPS_EST" hidden="1">"c399"</definedName>
    <definedName name="IQ_EPS_EST_1" hidden="1">"IQ_EPS_EST_1"</definedName>
    <definedName name="IQ_EPS_GW_ACT_OR_EST" hidden="1">"c2223"</definedName>
    <definedName name="IQ_EPS_GW_EST" hidden="1">"c1737"</definedName>
    <definedName name="IQ_EPS_GW_HIGH_EST" hidden="1">"c1739"</definedName>
    <definedName name="IQ_EPS_GW_LOW_EST" hidden="1">"c1740"</definedName>
    <definedName name="IQ_EPS_GW_MEDIAN_EST" hidden="1">"c1738"</definedName>
    <definedName name="IQ_EPS_GW_NUM_EST" hidden="1">"c1741"</definedName>
    <definedName name="IQ_EPS_GW_STDDEV_EST" hidden="1">"c1742"</definedName>
    <definedName name="IQ_EPS_HIGH_EST" hidden="1">"c400"</definedName>
    <definedName name="IQ_EPS_LOW_EST" hidden="1">"c401"</definedName>
    <definedName name="IQ_EPS_MEDIAN_EST" hidden="1">"c1661"</definedName>
    <definedName name="IQ_EPS_NO_EST" hidden="1">"c271"</definedName>
    <definedName name="IQ_EPS_NORM" hidden="1">"c1902"</definedName>
    <definedName name="IQ_EPS_NORM_EST" hidden="1">"c2226"</definedName>
    <definedName name="IQ_EPS_NORM_HIGH_EST" hidden="1">"c2228"</definedName>
    <definedName name="IQ_EPS_NORM_LOW_EST" hidden="1">"c2229"</definedName>
    <definedName name="IQ_EPS_NORM_MEDIAN_EST" hidden="1">"c2227"</definedName>
    <definedName name="IQ_EPS_NORM_NUM_EST" hidden="1">"c2230"</definedName>
    <definedName name="IQ_EPS_NORM_STDDEV_EST" hidden="1">"c2231"</definedName>
    <definedName name="IQ_EPS_NUM_EST" hidden="1">"c402"</definedName>
    <definedName name="IQ_EPS_REPORT_ACT_OR_EST" hidden="1">"c2224"</definedName>
    <definedName name="IQ_EPS_REPORTED_EST" hidden="1">"c1744"</definedName>
    <definedName name="IQ_EPS_REPORTED_HIGH_EST" hidden="1">"c1746"</definedName>
    <definedName name="IQ_EPS_REPORTED_LOW_EST" hidden="1">"c1747"</definedName>
    <definedName name="IQ_EPS_REPORTED_MEDIAN_EST" hidden="1">"c1745"</definedName>
    <definedName name="IQ_EPS_REPORTED_NUM_EST" hidden="1">"c1748"</definedName>
    <definedName name="IQ_EPS_REPORTED_STDDEV_EST" hidden="1">"c1749"</definedName>
    <definedName name="IQ_EPS_STDDEV_EST" hidden="1">"c403"</definedName>
    <definedName name="IQ_EQUITY_AFFIL" hidden="1">"c1451"</definedName>
    <definedName name="IQ_EQUITY_METHOD" hidden="1">"c404"</definedName>
    <definedName name="IQ_EQV_OVER_BV" hidden="1">"c1596"</definedName>
    <definedName name="IQ_EQV_OVER_LTM_PRETAX_INC" hidden="1">"c1390"</definedName>
    <definedName name="IQ_ESOP_DEBT" hidden="1">"c1597"</definedName>
    <definedName name="IQ_EST_ACT_CFPS" hidden="1">"c1673"</definedName>
    <definedName name="IQ_EST_ACT_DPS" hidden="1">"c1680"</definedName>
    <definedName name="IQ_EST_ACT_EBIT" hidden="1">"c1687"</definedName>
    <definedName name="IQ_EST_ACT_EBITDA" hidden="1">"c1664"</definedName>
    <definedName name="IQ_EST_ACT_EPS" hidden="1">"c1648"</definedName>
    <definedName name="IQ_EST_ACT_EPS_GW" hidden="1">"c1743"</definedName>
    <definedName name="IQ_EST_ACT_EPS_NORM" hidden="1">"c2232"</definedName>
    <definedName name="IQ_EST_ACT_EPS_REPORTED" hidden="1">"c1750"</definedName>
    <definedName name="IQ_EST_ACT_FFO" hidden="1">"c1666"</definedName>
    <definedName name="IQ_EST_ACT_NAV" hidden="1">"c1757"</definedName>
    <definedName name="IQ_EST_ACT_NI" hidden="1">"c1722"</definedName>
    <definedName name="IQ_EST_ACT_NI_GW" hidden="1">"c1729"</definedName>
    <definedName name="IQ_EST_ACT_NI_REPORTED" hidden="1">"c1736"</definedName>
    <definedName name="IQ_EST_ACT_OPER_INC" hidden="1">"c1694"</definedName>
    <definedName name="IQ_EST_ACT_PRETAX_GW_INC" hidden="1">"c1708"</definedName>
    <definedName name="IQ_EST_ACT_PRETAX_INC" hidden="1">"c1701"</definedName>
    <definedName name="IQ_EST_ACT_PRETAX_REPORT_INC" hidden="1">"c1715"</definedName>
    <definedName name="IQ_EST_ACT_REV" hidden="1">"c2113"</definedName>
    <definedName name="IQ_EST_CFPS_DIFF" hidden="1">"c1871"</definedName>
    <definedName name="IQ_EST_CFPS_GROWTH_1YR" hidden="1">"c1774"</definedName>
    <definedName name="IQ_EST_CFPS_GROWTH_2YR" hidden="1">"c1775"</definedName>
    <definedName name="IQ_EST_CFPS_GROWTH_Q_1YR" hidden="1">"c1776"</definedName>
    <definedName name="IQ_EST_CFPS_SEQ_GROWTH_Q" hidden="1">"c1777"</definedName>
    <definedName name="IQ_EST_CFPS_SURPRISE_PERCENT" hidden="1">"c1872"</definedName>
    <definedName name="IQ_EST_CURRENCY" hidden="1">"c2140"</definedName>
    <definedName name="IQ_EST_DATE" hidden="1">"c1634"</definedName>
    <definedName name="IQ_EST_DPS_DIFF" hidden="1">"c1873"</definedName>
    <definedName name="IQ_EST_DPS_GROWTH_1YR" hidden="1">"c1778"</definedName>
    <definedName name="IQ_EST_DPS_GROWTH_2YR" hidden="1">"c1779"</definedName>
    <definedName name="IQ_EST_DPS_GROWTH_Q_1YR" hidden="1">"c1780"</definedName>
    <definedName name="IQ_EST_DPS_SEQ_GROWTH_Q" hidden="1">"c1781"</definedName>
    <definedName name="IQ_EST_DPS_SURPRISE_PERCENT" hidden="1">"c1874"</definedName>
    <definedName name="IQ_EST_EBIT_DIFF" hidden="1">"c1875"</definedName>
    <definedName name="IQ_EST_EBIT_SURPRISE_PERCENT" hidden="1">"c1876"</definedName>
    <definedName name="IQ_EST_EBITDA_DIFF" hidden="1">"c1867"</definedName>
    <definedName name="IQ_EST_EBITDA_GROWTH_1YR" hidden="1">"c1766"</definedName>
    <definedName name="IQ_EST_EBITDA_GROWTH_2YR" hidden="1">"c1767"</definedName>
    <definedName name="IQ_EST_EBITDA_GROWTH_Q_1YR" hidden="1">"c1768"</definedName>
    <definedName name="IQ_EST_EBITDA_SEQ_GROWTH_Q" hidden="1">"c1769"</definedName>
    <definedName name="IQ_EST_EBITDA_SURPRISE_PERCENT" hidden="1">"c1868"</definedName>
    <definedName name="IQ_EST_EPS_DIFF" hidden="1">"c1864"</definedName>
    <definedName name="IQ_EST_EPS_GROWTH_1YR" hidden="1">"c1636"</definedName>
    <definedName name="IQ_EST_EPS_GROWTH_2YR" hidden="1">"c1637"</definedName>
    <definedName name="IQ_EST_EPS_GROWTH_5YR" hidden="1">"c1655"</definedName>
    <definedName name="IQ_EST_EPS_GROWTH_5YR_HIGH" hidden="1">"c1657"</definedName>
    <definedName name="IQ_EST_EPS_GROWTH_5YR_LOW" hidden="1">"c1658"</definedName>
    <definedName name="IQ_EST_EPS_GROWTH_5YR_MEDIAN" hidden="1">"c1656"</definedName>
    <definedName name="IQ_EST_EPS_GROWTH_5YR_NUM" hidden="1">"c1659"</definedName>
    <definedName name="IQ_EST_EPS_GROWTH_5YR_STDDEV" hidden="1">"c1660"</definedName>
    <definedName name="IQ_EST_EPS_GROWTH_Q_1YR" hidden="1">"c1641"</definedName>
    <definedName name="IQ_EST_EPS_GW_DIFF" hidden="1">"c1891"</definedName>
    <definedName name="IQ_EST_EPS_GW_SURPRISE_PERCENT" hidden="1">"c1892"</definedName>
    <definedName name="IQ_EST_EPS_NORM_DIFF" hidden="1">"c2247"</definedName>
    <definedName name="IQ_EST_EPS_NORM_SURPRISE_PERCENT" hidden="1">"c2248"</definedName>
    <definedName name="IQ_EST_EPS_REPORT_DIFF" hidden="1">"c1893"</definedName>
    <definedName name="IQ_EST_EPS_REPORT_SURPRISE_PERCENT" hidden="1">"c1894"</definedName>
    <definedName name="IQ_EST_EPS_SEQ_GROWTH_Q" hidden="1">"c1764"</definedName>
    <definedName name="IQ_EST_EPS_SURPRISE" hidden="1">"c1635"</definedName>
    <definedName name="IQ_EST_EPS_SURPRISE_PERCENT" hidden="1">"c1635"</definedName>
    <definedName name="IQ_EST_FFO_DIFF" hidden="1">"c1869"</definedName>
    <definedName name="IQ_EST_FFO_GROWTH_1YR" hidden="1">"c1770"</definedName>
    <definedName name="IQ_EST_FFO_GROWTH_2YR" hidden="1">"c1771"</definedName>
    <definedName name="IQ_EST_FFO_GROWTH_Q_1YR" hidden="1">"c1772"</definedName>
    <definedName name="IQ_EST_FFO_SEQ_GROWTH_Q" hidden="1">"c1773"</definedName>
    <definedName name="IQ_EST_FFO_SURPRISE_PERCENT" hidden="1">"c1870"</definedName>
    <definedName name="IQ_EST_NAV_DIFF" hidden="1">"c1895"</definedName>
    <definedName name="IQ_EST_NAV_SURPRISE_PERCENT" hidden="1">"c1896"</definedName>
    <definedName name="IQ_EST_NI_DIFF" hidden="1">"c1885"</definedName>
    <definedName name="IQ_EST_NI_GW_DIFF" hidden="1">"c1887"</definedName>
    <definedName name="IQ_EST_NI_GW_SURPRISE_PERCENT" hidden="1">"c1888"</definedName>
    <definedName name="IQ_EST_NI_REPORT_DIFF" hidden="1">"c1889"</definedName>
    <definedName name="IQ_EST_NI_REPORT_SURPRISE_PERCENT" hidden="1">"c1890"</definedName>
    <definedName name="IQ_EST_NI_SURPRISE_PERCENT" hidden="1">"c1886"</definedName>
    <definedName name="IQ_EST_NUM_BUY" hidden="1">"c1759"</definedName>
    <definedName name="IQ_EST_NUM_HOLD" hidden="1">"c1761"</definedName>
    <definedName name="IQ_EST_NUM_NO_OPINION" hidden="1">"c1758"</definedName>
    <definedName name="IQ_EST_NUM_OUTPERFORM" hidden="1">"c1760"</definedName>
    <definedName name="IQ_EST_NUM_SELL" hidden="1">"c1763"</definedName>
    <definedName name="IQ_EST_NUM_UNDERPERFORM" hidden="1">"c1762"</definedName>
    <definedName name="IQ_EST_OPER_INC_DIFF" hidden="1">"c1877"</definedName>
    <definedName name="IQ_EST_OPER_INC_SURPRISE_PERCENT" hidden="1">"c1878"</definedName>
    <definedName name="IQ_EST_PRE_TAX_DIFF" hidden="1">"c1879"</definedName>
    <definedName name="IQ_EST_PRE_TAX_GW_DIFF" hidden="1">"c1881"</definedName>
    <definedName name="IQ_EST_PRE_TAX_GW_SURPRISE_PERCENT" hidden="1">"c1882"</definedName>
    <definedName name="IQ_EST_PRE_TAX_REPORT_DIFF" hidden="1">"c1883"</definedName>
    <definedName name="IQ_EST_PRE_TAX_REPORT_SURPRISE_PERCENT" hidden="1">"c1884"</definedName>
    <definedName name="IQ_EST_PRE_TAX_SURPRISE_PERCENT" hidden="1">"c1880"</definedName>
    <definedName name="IQ_EST_REV_DIFF" hidden="1">"c1865"</definedName>
    <definedName name="IQ_EST_REV_GROWTH_1YR" hidden="1">"c1638"</definedName>
    <definedName name="IQ_EST_REV_GROWTH_2YR" hidden="1">"c1639"</definedName>
    <definedName name="IQ_EST_REV_GROWTH_Q_1YR" hidden="1">"c1640"</definedName>
    <definedName name="IQ_EST_REV_SEQ_GROWTH_Q" hidden="1">"c1765"</definedName>
    <definedName name="IQ_EST_REV_SURPRISE_PERCENT" hidden="1">"c1866"</definedName>
    <definedName name="IQ_EV_OVER_EMPLOYEE" hidden="1">"c1428"</definedName>
    <definedName name="IQ_EV_OVER_LTM_EBIT" hidden="1">"c1426"</definedName>
    <definedName name="IQ_EV_OVER_LTM_EBITDA" hidden="1">"c1427"</definedName>
    <definedName name="IQ_EV_OVER_LTM_REVENUE" hidden="1">"c1429"</definedName>
    <definedName name="IQ_EV_OVER_REVENUE_EST" hidden="1">"IQ_EV_OVER_REVENUE_EST"</definedName>
    <definedName name="IQ_EV_OVER_REVENUE_EST_1" hidden="1">"IQ_EV_OVER_REVENUE_EST_1"</definedName>
    <definedName name="IQ_EVAL_DATE" hidden="1">"c2180"</definedName>
    <definedName name="IQ_EXCHANGE" hidden="1">"c405"</definedName>
    <definedName name="IQ_EXERCISE_PRICE" hidden="1">"c1897"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LORE_DRILL" hidden="1">"c409"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IT" hidden="1">"c415"</definedName>
    <definedName name="IQ_EXTRA_ACC_ITEMS_UTI" hidden="1">"c416"</definedName>
    <definedName name="IQ_EXTRA_ITEMS" hidden="1">"c1459"</definedName>
    <definedName name="IQ_FDIC" hidden="1">"c417"</definedName>
    <definedName name="IQ_FEDFUNDS_SOLD" hidden="1">"c2256"</definedName>
    <definedName name="IQ_FFO" hidden="1">"c1574"</definedName>
    <definedName name="IQ_FFO_ACT_OR_EST" hidden="1">"c2216"</definedName>
    <definedName name="IQ_FFO_EST" hidden="1">"c418"</definedName>
    <definedName name="IQ_FFO_HIGH_EST" hidden="1">"c419"</definedName>
    <definedName name="IQ_FFO_LOW_EST" hidden="1">"c420"</definedName>
    <definedName name="IQ_FFO_MEDIAN_EST" hidden="1">"c1665"</definedName>
    <definedName name="IQ_FFO_NO_EST" hidden="1">"c276"</definedName>
    <definedName name="IQ_FFO_NUM_EST" hidden="1">"c421"</definedName>
    <definedName name="IQ_FFO_STDDEV_EST" hidden="1">"c422"</definedName>
    <definedName name="IQ_FHLB_DEBT" hidden="1">"c423"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LING_CURRENCY" hidden="1">"c2129"</definedName>
    <definedName name="IQ_FILINGDATE_BS" hidden="1">"c424"</definedName>
    <definedName name="IQ_FILINGDATE_CF" hidden="1">"c425"</definedName>
    <definedName name="IQ_FILINGDATE_IS" hidden="1">"c426"</definedName>
    <definedName name="IQ_FILM_RIGHTS" hidden="1">"c2254"</definedName>
    <definedName name="IQ_FIN_DIV_ASSETS_CURRENT" hidden="1">"c427"</definedName>
    <definedName name="IQ_FIN_DIV_ASSETS_LT" hidden="1">"c428"</definedName>
    <definedName name="IQ_FIN_DIV_DEBT_CURRENT" hidden="1">"c429"</definedName>
    <definedName name="IQ_FIN_DIV_DEBT_LT" hidden="1">"c430"</definedName>
    <definedName name="IQ_FIN_DIV_EXP" hidden="1">"c431"</definedName>
    <definedName name="IQ_FIN_DIV_INT_EXP" hidden="1">"c432"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REV" hidden="1">"c437"</definedName>
    <definedName name="IQ_FINANCING_CASH" hidden="1">"c1405"</definedName>
    <definedName name="IQ_FINANCING_CASH_SUPPL" hidden="1">"c1406"</definedName>
    <definedName name="IQ_FINISHED_INV" hidden="1">"c438"</definedName>
    <definedName name="IQ_FIRST_INT_DATE" hidden="1">"c2186"</definedName>
    <definedName name="IQ_FIRST_YEAR_LIFE" hidden="1">"c439"</definedName>
    <definedName name="IQ_FISCAL_Q" hidden="1">"c440"</definedName>
    <definedName name="IQ_FISCAL_Y" hidden="1">"c441"</definedName>
    <definedName name="IQ_FIVE_PERCENT_OWNER" hidden="1">"c442"</definedName>
    <definedName name="IQ_FIVEPERCENT_PERCENT" hidden="1">"c443"</definedName>
    <definedName name="IQ_FIVEPERCENT_SHARES" hidden="1">"c444"</definedName>
    <definedName name="IQ_FIXED_ASSET_TURNS" hidden="1">"c445"</definedName>
    <definedName name="IQ_FLOAT_PERCENT" hidden="1">"c1575"</definedName>
    <definedName name="IQ_FOREIGN_DEP_IB" hidden="1">"c446"</definedName>
    <definedName name="IQ_FOREIGN_DEP_NON_IB" hidden="1">"c447"</definedName>
    <definedName name="IQ_FOREIGN_EXCHANGE" hidden="1">"c1376"</definedName>
    <definedName name="IQ_FOREIGN_LOANS" hidden="1">"c448"</definedName>
    <definedName name="IQ_FQ" hidden="1">500</definedName>
    <definedName name="IQ_FUEL" hidden="1">"c449"</definedName>
    <definedName name="IQ_FULL_TIME" hidden="1">"c450"</definedName>
    <definedName name="IQ_FWD" hidden="1">"LTM"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WD_Q3" hidden="1">"504"</definedName>
    <definedName name="IQ_FWD_Q4" hidden="1">"505"</definedName>
    <definedName name="IQ_FWD_Q5" hidden="1">"506"</definedName>
    <definedName name="IQ_FWD_Q6" hidden="1">"507"</definedName>
    <definedName name="IQ_FWD_Q7" hidden="1">"508"</definedName>
    <definedName name="IQ_FWD1" hidden="1">"LTM"</definedName>
    <definedName name="IQ_FX" hidden="1">"c451"</definedName>
    <definedName name="IQ_FY" hidden="1">1000</definedName>
    <definedName name="IQ_FY_DATE" hidden="1">"IQ_FY_DATE"</definedName>
    <definedName name="IQ_GA_EXP" hidden="1">"c2241"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C_BNK" hidden="1">"c488"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"c1377"</definedName>
    <definedName name="IQ_GOODWILL_NET" hidden="1">"c1380"</definedName>
    <definedName name="IQ_GP" hidden="1">"c511"</definedName>
    <definedName name="IQ_GP_10YR_ANN_GROWTH" hidden="1">"c512"</definedName>
    <definedName name="IQ_GP_1YR_ANN_GROWTH" hidden="1">"c513"</definedName>
    <definedName name="IQ_GP_2YR_ANN_GROWTH" hidden="1">"c514"</definedName>
    <definedName name="IQ_GP_3YR_ANN_GROWTH" hidden="1">"c515"</definedName>
    <definedName name="IQ_GP_5YR_ANN_GROWTH" hidden="1">"c516"</definedName>
    <definedName name="IQ_GP_7YR_ANN_GROWTH" hidden="1">"c517"</definedName>
    <definedName name="IQ_GPPE" hidden="1">"c518"</definedName>
    <definedName name="IQ_GROSS_DIVID" hidden="1">"c1446"</definedName>
    <definedName name="IQ_GROSS_GW" hidden="1">"c519"</definedName>
    <definedName name="IQ_GROSS_INTAN" hidden="1">"c520"</definedName>
    <definedName name="IQ_GROSS_LOANS" hidden="1">"c521"</definedName>
    <definedName name="IQ_GROSS_LOANS_10YR_ANN_GROWTH" hidden="1">"c522"</definedName>
    <definedName name="IQ_GROSS_LOANS_1YR_ANN_GROWTH" hidden="1">"c523"</definedName>
    <definedName name="IQ_GROSS_LOANS_2YR_ANN_GROWTH" hidden="1">"c524"</definedName>
    <definedName name="IQ_GROSS_LOANS_3YR_ANN_GROWTH" hidden="1">"c525"</definedName>
    <definedName name="IQ_GROSS_LOANS_5YR_ANN_GROWTH" hidden="1">"c526"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PROFIT" hidden="1">"c1378"</definedName>
    <definedName name="IQ_GROSS_SPRD" hidden="1">"c2155"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IT" hidden="1">"c1480"</definedName>
    <definedName name="IQ_GW_INTAN_AMORT_UTI" hidden="1">"c1481"</definedName>
    <definedName name="IQ_HIGH_TARGET_PRICE" hidden="1">"c1651"</definedName>
    <definedName name="IQ_HIGHPRICE" hidden="1">"c545"</definedName>
    <definedName name="IQ_HOMEOWNERS_WRITTEN" hidden="1">"c546"</definedName>
    <definedName name="IQ_IMPAIR_OIL" hidden="1">"c547"</definedName>
    <definedName name="IQ_IMPAIRMENT_GW" hidden="1">"c548"</definedName>
    <definedName name="IQ_INC_AFTER_TAX" hidden="1">"c1598"</definedName>
    <definedName name="IQ_INC_AVAIL_EXCL" hidden="1">"c1395"</definedName>
    <definedName name="IQ_INC_AVAIL_INCL" hidden="1">"c1396"</definedName>
    <definedName name="IQ_INC_BEFORE_TAX" hidden="1">"c1375"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S_ANNUITY_LIAB" hidden="1">"c563"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IT" hidden="1">"c575"</definedName>
    <definedName name="IQ_INS_SETTLE_UTI" hidden="1">"c576"</definedName>
    <definedName name="IQ_INSIDER_3MTH_BOUGHT" hidden="1">"c1534"</definedName>
    <definedName name="IQ_INSIDER_3MTH_BOUGHT_PCT" hidden="1">"c1534"</definedName>
    <definedName name="IQ_INSIDER_3MTH_NET" hidden="1">"c1535"</definedName>
    <definedName name="IQ_INSIDER_3MTH_NET_PCT" hidden="1">"c1535"</definedName>
    <definedName name="IQ_INSIDER_3MTH_SOLD" hidden="1">"c1533"</definedName>
    <definedName name="IQ_INSIDER_3MTH_SOLD_PCT" hidden="1">"c1533"</definedName>
    <definedName name="IQ_INSIDER_6MTH_BOUGHT" hidden="1">"c1537"</definedName>
    <definedName name="IQ_INSIDER_6MTH_BOUGHT_PCT" hidden="1">"c1537"</definedName>
    <definedName name="IQ_INSIDER_6MTH_NET" hidden="1">"c1538"</definedName>
    <definedName name="IQ_INSIDER_6MTH_NET_PCT" hidden="1">"c1538"</definedName>
    <definedName name="IQ_INSIDER_6MTH_SOLD" hidden="1">"c1536"</definedName>
    <definedName name="IQ_INSIDER_6MTH_SOLD_PCT" hidden="1">"c1536"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UR_RECEIV" hidden="1">"c1600"</definedName>
    <definedName name="IQ_INT_BORROW" hidden="1">"c583"</definedName>
    <definedName name="IQ_INT_DEPOSITS" hidden="1">"c584"</definedName>
    <definedName name="IQ_INT_DIV_INC" hidden="1">"c585"</definedName>
    <definedName name="IQ_INT_EXP_BR" hidden="1">"c586"</definedName>
    <definedName name="IQ_INT_EXP_COVERAGE" hidden="1">"c587"</definedName>
    <definedName name="IQ_INT_EXP_FIN" hidden="1">"c588"</definedName>
    <definedName name="IQ_INT_EXP_INS" hidden="1">"c589"</definedName>
    <definedName name="IQ_INT_EXP_LTD" hidden="1">"c2086"</definedName>
    <definedName name="IQ_INT_EXP_REIT" hidden="1">"c590"</definedName>
    <definedName name="IQ_INT_EXP_TOTAL" hidden="1">"c591"</definedName>
    <definedName name="IQ_INT_EXP_UTI" hidden="1">"c592"</definedName>
    <definedName name="IQ_INT_INC_BR" hidden="1">"c593"</definedName>
    <definedName name="IQ_INT_INC_FIN" hidden="1">"c594"</definedName>
    <definedName name="IQ_INT_INC_INVEST" hidden="1">"c595"</definedName>
    <definedName name="IQ_INT_INC_LOANS" hidden="1">"c596"</definedName>
    <definedName name="IQ_INT_INC_REIT" hidden="1">"c597"</definedName>
    <definedName name="IQ_INT_INC_TOTAL" hidden="1">"c598"</definedName>
    <definedName name="IQ_INT_INC_UTI" hidden="1">"c599"</definedName>
    <definedName name="IQ_INT_INV_INC" hidden="1">"c600"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ANGIBLES_NET" hidden="1">"c1407"</definedName>
    <definedName name="IQ_INTEREST_CASH_DEPOSITS" hidden="1">"c2255"</definedName>
    <definedName name="IQ_INTEREST_EXP" hidden="1">"c618"</definedName>
    <definedName name="IQ_INTEREST_EXP_NET" hidden="1">"c1450"</definedName>
    <definedName name="IQ_INTEREST_EXP_NON" hidden="1">"c1383"</definedName>
    <definedName name="IQ_INTEREST_EXP_SUPPL" hidden="1">"c1460"</definedName>
    <definedName name="IQ_INTEREST_INC" hidden="1">"c1393"</definedName>
    <definedName name="IQ_INTEREST_INC_10K" hidden="1">"IQ_INTEREST_INC_10K"</definedName>
    <definedName name="IQ_INTEREST_INC_10Q" hidden="1">"IQ_INTEREST_INC_10Q"</definedName>
    <definedName name="IQ_INTEREST_INC_10Q1" hidden="1">"IQ_INTEREST_INC_10Q1"</definedName>
    <definedName name="IQ_INTEREST_INC_NON" hidden="1">"c1384"</definedName>
    <definedName name="IQ_INTEREST_INVEST_INC" hidden="1">"c619"</definedName>
    <definedName name="IQ_INV_10YR_ANN_GROWTH" hidden="1">"c1930"</definedName>
    <definedName name="IQ_INV_1YR_ANN_GROWTH" hidden="1">"c1925"</definedName>
    <definedName name="IQ_INV_2YR_ANN_GROWTH" hidden="1">"c1926"</definedName>
    <definedName name="IQ_INV_3YR_ANN_GROWTH" hidden="1">"c1927"</definedName>
    <definedName name="IQ_INV_5YR_ANN_GROWTH" hidden="1">"c1928"</definedName>
    <definedName name="IQ_INV_7YR_ANN_GROWTH" hidden="1">"c1929"</definedName>
    <definedName name="IQ_INV_BANKING_FEE" hidden="1">"c620"</definedName>
    <definedName name="IQ_INV_METHOD" hidden="1">"c621"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IT" hidden="1">"c633"</definedName>
    <definedName name="IQ_INVEST_LOANS_CF_UTI" hidden="1">"c634"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IT" hidden="1">"c642"</definedName>
    <definedName name="IQ_INVEST_SECURITY_CF_UTI" hidden="1">"c643"</definedName>
    <definedName name="IQ_IPRD" hidden="1">"c644"</definedName>
    <definedName name="IQ_ISS_DEBT_NET" hidden="1">"c1391"</definedName>
    <definedName name="IQ_ISS_STOCK_NET" hidden="1">"c1601"</definedName>
    <definedName name="IQ_ISSUE_CURRENCY" hidden="1">"c2156"</definedName>
    <definedName name="IQ_ISSUE_NAME" hidden="1">"c2142"</definedName>
    <definedName name="IQ_ISSUER" hidden="1">"c2143"</definedName>
    <definedName name="IQ_ISSUER_CIQID" hidden="1">"c2258"</definedName>
    <definedName name="IQ_ISSUER_PARENT" hidden="1">"c2144"</definedName>
    <definedName name="IQ_ISSUER_PARENT_CIQID" hidden="1">"c2260"</definedName>
    <definedName name="IQ_ISSUER_PARENT_TICKER" hidden="1">"c2259"</definedName>
    <definedName name="IQ_ISSUER_TICKER" hidden="1">"c2252"</definedName>
    <definedName name="IQ_LAND" hidden="1">"c645"</definedName>
    <definedName name="IQ_LAST_EBIT_MARGIN" hidden="1">"IQ_LAST_EBIT_MARGIN"</definedName>
    <definedName name="IQ_LAST_EBITDA_MARGIN" hidden="1">"IQ_LAST_EBITDA_MARGIN"</definedName>
    <definedName name="IQ_LAST_GROSS_MARGIN" hidden="1">"IQ_LAST_GROSS_MARGIN"</definedName>
    <definedName name="IQ_LAST_NET_INC_MARGIN" hidden="1">"IQ_LAST_NET_INC_MARGIN"</definedName>
    <definedName name="IQ_LAST_PMT_DATE" hidden="1">"c2188"</definedName>
    <definedName name="IQ_LAST_SPLIT_DATE" hidden="1">"c2095"</definedName>
    <definedName name="IQ_LAST_SPLIT_FACTOR" hidden="1">"c2093"</definedName>
    <definedName name="IQ_LASTSALEPRICE" hidden="1">"c646"</definedName>
    <definedName name="IQ_LASTSALEPRICE_DATE" hidden="1">"c2109"</definedName>
    <definedName name="IQ_LATEST" hidden="1">"1"</definedName>
    <definedName name="IQ_LATESTK" hidden="1">1000</definedName>
    <definedName name="IQ_LATESTKFR" hidden="1">"50"</definedName>
    <definedName name="IQ_LATESTQ" hidden="1">500</definedName>
    <definedName name="IQ_LATESTQFR" hidden="1">"100"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 hidden="1">"c1907"</definedName>
    <definedName name="IQ_LFCF_10YR_ANN_GROWTH" hidden="1">"c1942"</definedName>
    <definedName name="IQ_LFCF_1YR_ANN_GROWTH" hidden="1">"c1937"</definedName>
    <definedName name="IQ_LFCF_2YR_ANN_GROWTH" hidden="1">"c1938"</definedName>
    <definedName name="IQ_LFCF_3YR_ANN_GROWTH" hidden="1">"c1939"</definedName>
    <definedName name="IQ_LFCF_5YR_ANN_GROWTH" hidden="1">"c1940"</definedName>
    <definedName name="IQ_LFCF_7YR_ANN_GROWTH" hidden="1">"c1941"</definedName>
    <definedName name="IQ_LFCF_MARGIN" hidden="1">"c1961"</definedName>
    <definedName name="IQ_LICENSED_POPS" hidden="1">"c2123"</definedName>
    <definedName name="IQ_LIFOR" hidden="1">"c655"</definedName>
    <definedName name="IQ_LL" hidden="1">"c656"</definedName>
    <definedName name="IQ_LOAN_LEASE_RECEIV" hidden="1">"c657"</definedName>
    <definedName name="IQ_LOAN_LOSS" hidden="1">"c1386"</definedName>
    <definedName name="IQ_LOAN_SERVICE_REV" hidden="1">"c658"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IT" hidden="1">"c664"</definedName>
    <definedName name="IQ_LOANS_CF_UTI" hidden="1">"c665"</definedName>
    <definedName name="IQ_LOANS_FOR_SALE" hidden="1">"c666"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NG_TERM_DEBT" hidden="1">"c1387"</definedName>
    <definedName name="IQ_LONG_TERM_DEBT_OVER_TOTAL_CAP" hidden="1">"c1388"</definedName>
    <definedName name="IQ_LONG_TERM_GROWTH" hidden="1">"c671"</definedName>
    <definedName name="IQ_LONG_TERM_INV" hidden="1">"c1389"</definedName>
    <definedName name="IQ_LOSS_LOSS_EXP" hidden="1">"c672"</definedName>
    <definedName name="IQ_LOW_TARGET_PRICE" hidden="1">"c1652"</definedName>
    <definedName name="IQ_LOWPRICE" hidden="1">"c673"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IT" hidden="1">"c686"</definedName>
    <definedName name="IQ_LT_DEBT_ISSUED_UTI" hidden="1">"c687"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IT" hidden="1">"c700"</definedName>
    <definedName name="IQ_LT_INVEST_UTI" hidden="1">"c701"</definedName>
    <definedName name="IQ_LT_NOTE_RECEIV" hidden="1">"c1602"</definedName>
    <definedName name="IQ_LT_SENIOR_DEBT" hidden="1">"c702"</definedName>
    <definedName name="IQ_LT_SUB_DEBT" hidden="1">"c703"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 hidden="1">2000</definedName>
    <definedName name="IQ_LTM_DATE" hidden="1">"IQ_LTM_DATE"</definedName>
    <definedName name="IQ_LTM_REVENUE_OVER_EMPLOYEES" hidden="1">"c1437"</definedName>
    <definedName name="IQ_MACHINERY" hidden="1">"c711"</definedName>
    <definedName name="IQ_MAINT_REPAIR" hidden="1">"c2087"</definedName>
    <definedName name="IQ_MARKET_CAP_LFCF" hidden="1">"c2209"</definedName>
    <definedName name="IQ_MARKETCAP" hidden="1">"c712"</definedName>
    <definedName name="IQ_MARKETING" hidden="1">"c2239"</definedName>
    <definedName name="IQ_MARKTCAP" hidden="1">"c258"</definedName>
    <definedName name="IQ_MATURITY_DATE" hidden="1">"c2146"</definedName>
    <definedName name="IQ_MEDIAN_TARGET_PRICE" hidden="1">"c1650"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IT" hidden="1">"c724"</definedName>
    <definedName name="IQ_MERGER_RESTRUCTURE_UTI" hidden="1">"c725"</definedName>
    <definedName name="IQ_MERGER_UTI" hidden="1">"c726"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KTCAP_TOTAL_REV_FWD" hidden="1">"c742"</definedName>
    <definedName name="IQ_MM_ACCOUNT" hidden="1">"c743"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SERV_RIGHTS" hidden="1">"c2242"</definedName>
    <definedName name="IQ_NAV_ACT_OR_EST" hidden="1">"c2225"</definedName>
    <definedName name="IQ_NAV_EST" hidden="1">"c1751"</definedName>
    <definedName name="IQ_NAV_HIGH_EST" hidden="1">"c1753"</definedName>
    <definedName name="IQ_NAV_LOW_EST" hidden="1">"c1754"</definedName>
    <definedName name="IQ_NAV_MEDIAN_EST" hidden="1">"c1752"</definedName>
    <definedName name="IQ_NAV_NUM_EST" hidden="1">"c1755"</definedName>
    <definedName name="IQ_NAV_STDDEV_EST" hidden="1">"c1756"</definedName>
    <definedName name="IQ_NET_CHANGE" hidden="1">"c749"</definedName>
    <definedName name="IQ_NET_DEBT" hidden="1">"c1584"</definedName>
    <definedName name="IQ_NET_DEBT_EBITDA" hidden="1">"c750"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IT" hidden="1">"c756"</definedName>
    <definedName name="IQ_NET_DEBT_ISSUED_UTI" hidden="1">"c757"</definedName>
    <definedName name="IQ_NET_INC" hidden="1">"c1394"</definedName>
    <definedName name="IQ_NET_INC_10K" hidden="1">"IQ_NET_INC_10K"</definedName>
    <definedName name="IQ_NET_INC_10Q" hidden="1">"IQ_NET_INC_10Q"</definedName>
    <definedName name="IQ_NET_INC_10Q1" hidden="1">"IQ_NET_INC_10Q1"</definedName>
    <definedName name="IQ_NET_INC_BEFORE" hidden="1">"c1368"</definedName>
    <definedName name="IQ_NET_INC_CF" hidden="1">"c1397"</definedName>
    <definedName name="IQ_NET_INC_GROWTH_1" hidden="1">"IQ_NET_INC_GROWTH_1"</definedName>
    <definedName name="IQ_NET_INC_GROWTH_2" hidden="1">"IQ_NET_INC_GROWTH_2"</definedName>
    <definedName name="IQ_NET_INC_MARGIN" hidden="1">"c1398"</definedName>
    <definedName name="IQ_NET_INT_INC_10YR_ANN_GROWTH" hidden="1">"c758"</definedName>
    <definedName name="IQ_NET_INT_INC_1YR_ANN_GROWTH" hidden="1">"c759"</definedName>
    <definedName name="IQ_NET_INT_INC_2YR_ANN_GROWTH" hidden="1">"c760"</definedName>
    <definedName name="IQ_NET_INT_INC_3YR_ANN_GROWTH" hidden="1">"c761"</definedName>
    <definedName name="IQ_NET_INT_INC_5YR_ANN_GROWTH" hidden="1">"c762"</definedName>
    <definedName name="IQ_NET_INT_INC_7YR_ANN_GROWTH" hidden="1">"c763"</definedName>
    <definedName name="IQ_NET_INT_INC_BNK" hidden="1">"c764"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IT" hidden="1">"c770"</definedName>
    <definedName name="IQ_NET_INTEREST_EXP_UTI" hidden="1">"c771"</definedName>
    <definedName name="IQ_NET_INTEREST_INC" hidden="1">"c1392"</definedName>
    <definedName name="IQ_NET_INTEREST_INC_AFTER_LL" hidden="1">"c1604"</definedName>
    <definedName name="IQ_NET_LOANS" hidden="1">"c772"</definedName>
    <definedName name="IQ_NET_LOANS_10YR_ANN_GROWTH" hidden="1">"c773"</definedName>
    <definedName name="IQ_NET_LOANS_1YR_ANN_GROWTH" hidden="1">"c774"</definedName>
    <definedName name="IQ_NET_LOANS_2YR_ANN_GROWTH" hidden="1">"c775"</definedName>
    <definedName name="IQ_NET_LOANS_3YR_ANN_GROWTH" hidden="1">"c776"</definedName>
    <definedName name="IQ_NET_LOANS_5YR_ANN_GROWTH" hidden="1">"c777"</definedName>
    <definedName name="IQ_NET_LOANS_7YR_ANN_GROWTH" hidden="1">"c778"</definedName>
    <definedName name="IQ_NET_LOANS_TOTAL_DEPOSITS" hidden="1">"c779"</definedName>
    <definedName name="IQ_NET_RENTAL_EXP_FN" hidden="1">"c780"</definedName>
    <definedName name="IQ_NEXT_CALL_DATE" hidden="1">"c2198"</definedName>
    <definedName name="IQ_NEXT_CALL_PRICE" hidden="1">"c2199"</definedName>
    <definedName name="IQ_NEXT_INT_DATE" hidden="1">"c2187"</definedName>
    <definedName name="IQ_NEXT_PUT_DATE" hidden="1">"c2200"</definedName>
    <definedName name="IQ_NEXT_PUT_PRICE" hidden="1">"c2201"</definedName>
    <definedName name="IQ_NI" hidden="1">"c781"</definedName>
    <definedName name="IQ_NI_10YR_ANN_GROWTH" hidden="1">"c782"</definedName>
    <definedName name="IQ_NI_1YR_ANN_GROWTH" hidden="1">"c783"</definedName>
    <definedName name="IQ_NI_2YR_ANN_GROWTH" hidden="1">"c784"</definedName>
    <definedName name="IQ_NI_3YR_ANN_GROWTH" hidden="1">"c785"</definedName>
    <definedName name="IQ_NI_5YR_ANN_GROWTH" hidden="1">"c786"</definedName>
    <definedName name="IQ_NI_7YR_ANN_GROWTH" hidden="1">"c787"</definedName>
    <definedName name="IQ_NI_ACT_OR_EST" hidden="1">"c2222"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BEFORE_CAPITALIZED" hidden="1">"c792"</definedName>
    <definedName name="IQ_NI_CF" hidden="1">"c793"</definedName>
    <definedName name="IQ_NI_EST" hidden="1">"c1716"</definedName>
    <definedName name="IQ_NI_GW_EST" hidden="1">"c1723"</definedName>
    <definedName name="IQ_NI_GW_HIGH_EST" hidden="1">"c1725"</definedName>
    <definedName name="IQ_NI_GW_LOW_EST" hidden="1">"c1726"</definedName>
    <definedName name="IQ_NI_GW_MEDIAN_EST" hidden="1">"c1724"</definedName>
    <definedName name="IQ_NI_GW_NUM_EST" hidden="1">"c1727"</definedName>
    <definedName name="IQ_NI_GW_STDDEV_EST" hidden="1">"c1728"</definedName>
    <definedName name="IQ_NI_HIGH_EST" hidden="1">"c1718"</definedName>
    <definedName name="IQ_NI_LOW_EST" hidden="1">"c1719"</definedName>
    <definedName name="IQ_NI_MARGIN" hidden="1">"c794"</definedName>
    <definedName name="IQ_NI_MEDIAN_EST" hidden="1">"c1717"</definedName>
    <definedName name="IQ_NI_NORM" hidden="1">"c1901"</definedName>
    <definedName name="IQ_NI_NORM_10YR_ANN_GROWTH" hidden="1">"c1960"</definedName>
    <definedName name="IQ_NI_NORM_1YR_ANN_GROWTH" hidden="1">"c1955"</definedName>
    <definedName name="IQ_NI_NORM_2YR_ANN_GROWTH" hidden="1">"c1956"</definedName>
    <definedName name="IQ_NI_NORM_3YR_ANN_GROWTH" hidden="1">"c1957"</definedName>
    <definedName name="IQ_NI_NORM_5YR_ANN_GROWTH" hidden="1">"c1958"</definedName>
    <definedName name="IQ_NI_NORM_7YR_ANN_GROWTH" hidden="1">"c1959"</definedName>
    <definedName name="IQ_NI_NORM_MARGIN" hidden="1">"c1964"</definedName>
    <definedName name="IQ_NI_NUM_EST" hidden="1">"c1720"</definedName>
    <definedName name="IQ_NI_REPORTED_EST" hidden="1">"c1730"</definedName>
    <definedName name="IQ_NI_REPORTED_HIGH_EST" hidden="1">"c1732"</definedName>
    <definedName name="IQ_NI_REPORTED_LOW_EST" hidden="1">"c1733"</definedName>
    <definedName name="IQ_NI_REPORTED_MEDIAN_EST" hidden="1">"c1731"</definedName>
    <definedName name="IQ_NI_REPORTED_NUM_EST" hidden="1">"c1734"</definedName>
    <definedName name="IQ_NI_REPORTED_STDDEV_EST" hidden="1">"c1735"</definedName>
    <definedName name="IQ_NI_SFAS" hidden="1">"c795"</definedName>
    <definedName name="IQ_NI_STDDEV_EST" hidden="1">"c1721"</definedName>
    <definedName name="IQ_NON_ACCRUAL_LOANS" hidden="1">"c796"</definedName>
    <definedName name="IQ_NON_CASH" hidden="1">"c1399"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"c800"</definedName>
    <definedName name="IQ_NON_INT_EXP" hidden="1">"c801"</definedName>
    <definedName name="IQ_NON_INT_INC" hidden="1">"c802"</definedName>
    <definedName name="IQ_NON_INT_INC_10YR_ANN_GROWTH" hidden="1">"c803"</definedName>
    <definedName name="IQ_NON_INT_INC_1YR_ANN_GROWTH" hidden="1">"c804"</definedName>
    <definedName name="IQ_NON_INT_INC_2YR_ANN_GROWTH" hidden="1">"c805"</definedName>
    <definedName name="IQ_NON_INT_INC_3YR_ANN_GROWTH" hidden="1">"c806"</definedName>
    <definedName name="IQ_NON_INT_INC_5YR_ANN_GROWTH" hidden="1">"c807"</definedName>
    <definedName name="IQ_NON_INT_INC_7YR_ANN_GROWTH" hidden="1">"c808"</definedName>
    <definedName name="IQ_NON_INTEREST_EXP" hidden="1">"c1400"</definedName>
    <definedName name="IQ_NON_INTEREST_INC" hidden="1">"c1401"</definedName>
    <definedName name="IQ_NON_OPER_EXP" hidden="1">"c809"</definedName>
    <definedName name="IQ_NON_OPER_INC" hidden="1">"c810"</definedName>
    <definedName name="IQ_NON_PERF_ASSETS_10YR_ANN_GROWTH" hidden="1">"c811"</definedName>
    <definedName name="IQ_NON_PERF_ASSETS_1YR_ANN_GROWTH" hidden="1">"c812"</definedName>
    <definedName name="IQ_NON_PERF_ASSETS_2YR_ANN_GROWTH" hidden="1">"c813"</definedName>
    <definedName name="IQ_NON_PERF_ASSETS_3YR_ANN_GROWTH" hidden="1">"c814"</definedName>
    <definedName name="IQ_NON_PERF_ASSETS_5YR_ANN_GROWTH" hidden="1">"c815"</definedName>
    <definedName name="IQ_NON_PERF_ASSETS_7YR_ANN_GROWTH" hidden="1">"c816"</definedName>
    <definedName name="IQ_NON_PERF_ASSETS_TOTAL_ASSETS" hidden="1">"c817"</definedName>
    <definedName name="IQ_NON_PERF_LOANS_10YR_ANN_GROWTH" hidden="1">"c818"</definedName>
    <definedName name="IQ_NON_PERF_LOANS_1YR_ANN_GROWTH" hidden="1">"c819"</definedName>
    <definedName name="IQ_NON_PERF_LOANS_2YR_ANN_GROWTH" hidden="1">"c820"</definedName>
    <definedName name="IQ_NON_PERF_LOANS_3YR_ANN_GROWTH" hidden="1">"c821"</definedName>
    <definedName name="IQ_NON_PERF_LOANS_5YR_ANN_GROWTH" hidden="1">"c822"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UTIL_REV" hidden="1">"c2089"</definedName>
    <definedName name="IQ_NORM_EPS_ACT_OR_EST" hidden="1">"c2249"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"c1423"</definedName>
    <definedName name="IQ_NOW_ACCOUNT" hidden="1">"c828"</definedName>
    <definedName name="IQ_NPPE" hidden="1">"c829"</definedName>
    <definedName name="IQ_NPPE_10YR_ANN_GROWTH" hidden="1">"c830"</definedName>
    <definedName name="IQ_NPPE_1YR_ANN_GROWTH" hidden="1">"c831"</definedName>
    <definedName name="IQ_NPPE_2YR_ANN_GROWTH" hidden="1">"c832"</definedName>
    <definedName name="IQ_NPPE_3YR_ANN_GROWTH" hidden="1">"c833"</definedName>
    <definedName name="IQ_NPPE_5YR_ANN_GROWTH" hidden="1">"c834"</definedName>
    <definedName name="IQ_NPPE_7YR_ANN_GROWTH" hidden="1">"c835"</definedName>
    <definedName name="IQ_NTM" hidden="1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BER_ADRHOLDERS" hidden="1">"c1970"</definedName>
    <definedName name="IQ_NUMBER_DAYS" hidden="1">"c1904"</definedName>
    <definedName name="IQ_NUMBER_SHAREHOLDERS" hidden="1">"c1967"</definedName>
    <definedName name="IQ_NUMBER_SHAREHOLDERS_CLASSA" hidden="1">"c1968"</definedName>
    <definedName name="IQ_NUMBER_SHAREHOLDERS_OTHER" hidden="1">"c1969"</definedName>
    <definedName name="IQ_OCCUPY_EXP" hidden="1">"c839"</definedName>
    <definedName name="IQ_OFFER_AMOUNT" hidden="1">"c2152"</definedName>
    <definedName name="IQ_OFFER_COUPON" hidden="1">"c2147"</definedName>
    <definedName name="IQ_OFFER_COUPON_TYPE" hidden="1">"c2148"</definedName>
    <definedName name="IQ_OFFER_DATE" hidden="1">"c2149"</definedName>
    <definedName name="IQ_OFFER_PRICE" hidden="1">"c2150"</definedName>
    <definedName name="IQ_OFFER_YIELD" hidden="1">"c2151"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CLOSE_BALANCE_GAS" hidden="1">"c2049"</definedName>
    <definedName name="IQ_OG_CLOSE_BALANCE_OIL" hidden="1">"c2037"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RESERVES_GAS" hidden="1">"c2053"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T_DISC_GAS" hidden="1">"c2043"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IMPROVED_RECOVERY_GAS" hidden="1">"c2044"</definedName>
    <definedName name="IQ_OG_IMPROVED_RECOVERY_OIL" hidden="1">"c2032"</definedName>
    <definedName name="IQ_OG_LIQUID_GAS_PRICE_HEDGED" hidden="1">"c2233"</definedName>
    <definedName name="IQ_OG_LIQUID_GAS_PRICE_UNHEDGED" hidden="1">"c2234"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OIL" hidden="1">"c2029"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ODUCTION_GAS" hidden="1">"c2047"</definedName>
    <definedName name="IQ_OG_PRODUCTION_OIL" hidden="1">"c2035"</definedName>
    <definedName name="IQ_OG_PURCHASES_GAS" hidden="1">"c2045"</definedName>
    <definedName name="IQ_OG_PURCHASES_OIL" hidden="1">"c2033"</definedName>
    <definedName name="IQ_OG_REVISIONS_GAS" hidden="1">"c2042"</definedName>
    <definedName name="IQ_OG_REVISIONS_OIL" hidden="1">"c2030"</definedName>
    <definedName name="IQ_OG_SALES_IN_PLACE_GAS" hidden="1">"c2046"</definedName>
    <definedName name="IQ_OG_SALES_IN_PLACE_OIL" hidden="1">"c2034"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PRODUCTION" hidden="1">"c2060"</definedName>
    <definedName name="IQ_OG_TOTAL_LIQUID_GAS_PRODUCTION" hidden="1">"c2235"</definedName>
    <definedName name="IQ_OG_TOTAL_OIL_PRODUCTION" hidden="1">"c2059"</definedName>
    <definedName name="IQ_OG_TOTAL_OIL_PRODUCTON" hidden="1">"c2059"</definedName>
    <definedName name="IQ_OG_UNDEVELOPED_RESERVES_GAS" hidden="1">"c2051"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NPRICE" hidden="1">"c848"</definedName>
    <definedName name="IQ_OPER_INC" hidden="1">"c849"</definedName>
    <definedName name="IQ_OPER_INC_ACT_OR_EST" hidden="1">"c2220"</definedName>
    <definedName name="IQ_OPER_INC_BR" hidden="1">"c850"</definedName>
    <definedName name="IQ_OPER_INC_EST" hidden="1">"c1688"</definedName>
    <definedName name="IQ_OPER_INC_FIN" hidden="1">"c851"</definedName>
    <definedName name="IQ_OPER_INC_HIGH_EST" hidden="1">"c1690"</definedName>
    <definedName name="IQ_OPER_INC_INS" hidden="1">"c852"</definedName>
    <definedName name="IQ_OPER_INC_LOW_EST" hidden="1">"c1691"</definedName>
    <definedName name="IQ_OPER_INC_MARGIN" hidden="1">"c1448"</definedName>
    <definedName name="IQ_OPER_INC_MEDIAN_EST" hidden="1">"c1689"</definedName>
    <definedName name="IQ_OPER_INC_NUM_EST" hidden="1">"c1692"</definedName>
    <definedName name="IQ_OPER_INC_REIT" hidden="1">"c853"</definedName>
    <definedName name="IQ_OPER_INC_STDDEV_EST" hidden="1">"c1693"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ERCISED" hidden="1">"c2116"</definedName>
    <definedName name="IQ_OPTIONS_ISSUED" hidden="1">"c857"</definedName>
    <definedName name="IQ_OPTIONS_OS" hidden="1">"c858"</definedName>
    <definedName name="IQ_ORDER_BACKLOG" hidden="1">"c2090"</definedName>
    <definedName name="IQ_OTHER_ADJUST_GROSS_LOANS" hidden="1">"c859"</definedName>
    <definedName name="IQ_OTHER_ASSETS" hidden="1">"c860"</definedName>
    <definedName name="IQ_OTHER_ASSETS_BNK" hidden="1">"c861"</definedName>
    <definedName name="IQ_OTHER_ASSETS_BR" hidden="1">"c862"</definedName>
    <definedName name="IQ_OTHER_ASSETS_FIN" hidden="1">"c863"</definedName>
    <definedName name="IQ_OTHER_ASSETS_INS" hidden="1">"c864"</definedName>
    <definedName name="IQ_OTHER_ASSETS_REIT" hidden="1">"c865"</definedName>
    <definedName name="IQ_OTHER_ASSETS_SERV_RIGHTS" hidden="1">"c2243"</definedName>
    <definedName name="IQ_OTHER_ASSETS_UTI" hidden="1">"c866"</definedName>
    <definedName name="IQ_OTHER_BEARING_LIAB" hidden="1">"c1608"</definedName>
    <definedName name="IQ_OTHER_BENEFITS_OBLIGATION" hidden="1">"c867"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REIT" hidden="1">"c882"</definedName>
    <definedName name="IQ_OTHER_CL_SUPPL_UTI" hidden="1">"c883"</definedName>
    <definedName name="IQ_OTHER_CL_UTI" hidden="1">"c884"</definedName>
    <definedName name="IQ_OTHER_CURRENT_ASSETS" hidden="1">"c1403"</definedName>
    <definedName name="IQ_OTHER_CURRENT_LIAB" hidden="1">"c1404"</definedName>
    <definedName name="IQ_OTHER_DEP" hidden="1">"c885"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IT" hidden="1">"c912"</definedName>
    <definedName name="IQ_OTHER_INTAN_UTI" hidden="1">"c913"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"c1408"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IT" hidden="1">"c940"</definedName>
    <definedName name="IQ_OTHER_LIAB_LT_UTI" hidden="1">"c941"</definedName>
    <definedName name="IQ_OTHER_LIAB_REIT" hidden="1">"c942"</definedName>
    <definedName name="IQ_OTHER_LIAB_UTI" hidden="1">"c943"</definedName>
    <definedName name="IQ_OTHER_LIAB_WRITTEN" hidden="1">"c944"</definedName>
    <definedName name="IQ_OTHER_LOANS" hidden="1">"c945"</definedName>
    <definedName name="IQ_OTHER_LONG_TERM" hidden="1">"c1409"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IT" hidden="1">"c951"</definedName>
    <definedName name="IQ_OTHER_LT_ASSETS_UTI" hidden="1">"c952"</definedName>
    <definedName name="IQ_OTHER_NET" hidden="1">"c1453"</definedName>
    <definedName name="IQ_OTHER_NON_INT_EXP" hidden="1">"c953"</definedName>
    <definedName name="IQ_OTHER_NON_INT_EXP_TOTAL" hidden="1">"c954"</definedName>
    <definedName name="IQ_OTHER_NON_INT_INC" hidden="1">"c955"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UTSTANDING_BS_DATE" hidden="1">"c1972"</definedName>
    <definedName name="IQ_OTHER_OUTSTANDING_FILING_DATE" hidden="1">"c1974"</definedName>
    <definedName name="IQ_OTHER_PC_WRITTEN" hidden="1">"c1006"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"c1410"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UTSTANDING_BS_DATE" hidden="1">"c2128"</definedName>
    <definedName name="IQ_OUTSTANDING_FILING_DATE" hidden="1">"c2127"</definedName>
    <definedName name="IQ_OWNERSHIP" hidden="1">"c2160"</definedName>
    <definedName name="IQ_PART_TIME" hidden="1">"c1024"</definedName>
    <definedName name="IQ_PAY_ACCRUED" hidden="1">"c1457"</definedName>
    <definedName name="IQ_PAYOUT_RATIO" hidden="1">"c1900"</definedName>
    <definedName name="IQ_PBV" hidden="1">"c1025"</definedName>
    <definedName name="IQ_PBV_AVG" hidden="1">"c1026"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NORMALIZED" hidden="1">"c2207"</definedName>
    <definedName name="IQ_PE_RATIO" hidden="1">"c1610"</definedName>
    <definedName name="IQ_PEG_FWD" hidden="1">"c1863"</definedName>
    <definedName name="IQ_PENSION" hidden="1">"c1031"</definedName>
    <definedName name="IQ_PERCENT_CHANGE_EST_5YR_GROWTH_RATE_12MONTHS" hidden="1">"c1852"</definedName>
    <definedName name="IQ_PERCENT_CHANGE_EST_5YR_GROWTH_RATE_18MONTHS" hidden="1">"c1853"</definedName>
    <definedName name="IQ_PERCENT_CHANGE_EST_5YR_GROWTH_RATE_3MONTHS" hidden="1">"c1849"</definedName>
    <definedName name="IQ_PERCENT_CHANGE_EST_5YR_GROWTH_RATE_6MONTHS" hidden="1">"c1850"</definedName>
    <definedName name="IQ_PERCENT_CHANGE_EST_5YR_GROWTH_RATE_9MONTHS" hidden="1">"c1851"</definedName>
    <definedName name="IQ_PERCENT_CHANGE_EST_5YR_GROWTH_RATE_DAY" hidden="1">"c1846"</definedName>
    <definedName name="IQ_PERCENT_CHANGE_EST_5YR_GROWTH_RATE_MONTH" hidden="1">"c1848"</definedName>
    <definedName name="IQ_PERCENT_CHANGE_EST_5YR_GROWTH_RATE_WEEK" hidden="1">"c1847"</definedName>
    <definedName name="IQ_PERCENT_CHANGE_EST_CFPS_12MONTHS" hidden="1">"c1812"</definedName>
    <definedName name="IQ_PERCENT_CHANGE_EST_CFPS_18MONTHS" hidden="1">"c1813"</definedName>
    <definedName name="IQ_PERCENT_CHANGE_EST_CFPS_3MONTHS" hidden="1">"c1809"</definedName>
    <definedName name="IQ_PERCENT_CHANGE_EST_CFPS_6MONTHS" hidden="1">"c1810"</definedName>
    <definedName name="IQ_PERCENT_CHANGE_EST_CFPS_9MONTHS" hidden="1">"c1811"</definedName>
    <definedName name="IQ_PERCENT_CHANGE_EST_CFPS_DAY" hidden="1">"c1806"</definedName>
    <definedName name="IQ_PERCENT_CHANGE_EST_CFPS_MONTH" hidden="1">"c1808"</definedName>
    <definedName name="IQ_PERCENT_CHANGE_EST_CFPS_WEEK" hidden="1">"c1807"</definedName>
    <definedName name="IQ_PERCENT_CHANGE_EST_DPS_12MONTHS" hidden="1">"c1820"</definedName>
    <definedName name="IQ_PERCENT_CHANGE_EST_DPS_18MONTHS" hidden="1">"c1821"</definedName>
    <definedName name="IQ_PERCENT_CHANGE_EST_DPS_3MONTHS" hidden="1">"c1817"</definedName>
    <definedName name="IQ_PERCENT_CHANGE_EST_DPS_6MONTHS" hidden="1">"c1818"</definedName>
    <definedName name="IQ_PERCENT_CHANGE_EST_DPS_9MONTHS" hidden="1">"c1819"</definedName>
    <definedName name="IQ_PERCENT_CHANGE_EST_DPS_DAY" hidden="1">"c1814"</definedName>
    <definedName name="IQ_PERCENT_CHANGE_EST_DPS_MONTH" hidden="1">"c1816"</definedName>
    <definedName name="IQ_PERCENT_CHANGE_EST_DPS_WEEK" hidden="1">"c1815"</definedName>
    <definedName name="IQ_PERCENT_CHANGE_EST_EBITDA_12MONTHS" hidden="1">"c1804"</definedName>
    <definedName name="IQ_PERCENT_CHANGE_EST_EBITDA_18MONTHS" hidden="1">"c1805"</definedName>
    <definedName name="IQ_PERCENT_CHANGE_EST_EBITDA_3MONTHS" hidden="1">"c1801"</definedName>
    <definedName name="IQ_PERCENT_CHANGE_EST_EBITDA_6MONTHS" hidden="1">"c1802"</definedName>
    <definedName name="IQ_PERCENT_CHANGE_EST_EBITDA_9MONTHS" hidden="1">"c1803"</definedName>
    <definedName name="IQ_PERCENT_CHANGE_EST_EBITDA_DAY" hidden="1">"c1798"</definedName>
    <definedName name="IQ_PERCENT_CHANGE_EST_EBITDA_MONTH" hidden="1">"c1800"</definedName>
    <definedName name="IQ_PERCENT_CHANGE_EST_EBITDA_WEEK" hidden="1">"c1799"</definedName>
    <definedName name="IQ_PERCENT_CHANGE_EST_EPS_12MONTHS" hidden="1">"c1788"</definedName>
    <definedName name="IQ_PERCENT_CHANGE_EST_EPS_18MONTHS" hidden="1">"c1789"</definedName>
    <definedName name="IQ_PERCENT_CHANGE_EST_EPS_3MONTHS" hidden="1">"c1785"</definedName>
    <definedName name="IQ_PERCENT_CHANGE_EST_EPS_6MONTHS" hidden="1">"c1786"</definedName>
    <definedName name="IQ_PERCENT_CHANGE_EST_EPS_9MONTHS" hidden="1">"c1787"</definedName>
    <definedName name="IQ_PERCENT_CHANGE_EST_EPS_DAY" hidden="1">"c1782"</definedName>
    <definedName name="IQ_PERCENT_CHANGE_EST_EPS_MONTH" hidden="1">"c1784"</definedName>
    <definedName name="IQ_PERCENT_CHANGE_EST_EPS_WEEK" hidden="1">"c1783"</definedName>
    <definedName name="IQ_PERCENT_CHANGE_EST_FFO_12MONTHS" hidden="1">"c1828"</definedName>
    <definedName name="IQ_PERCENT_CHANGE_EST_FFO_18MONTHS" hidden="1">"c1829"</definedName>
    <definedName name="IQ_PERCENT_CHANGE_EST_FFO_3MONTHS" hidden="1">"c1825"</definedName>
    <definedName name="IQ_PERCENT_CHANGE_EST_FFO_6MONTHS" hidden="1">"c1826"</definedName>
    <definedName name="IQ_PERCENT_CHANGE_EST_FFO_9MONTHS" hidden="1">"c1827"</definedName>
    <definedName name="IQ_PERCENT_CHANGE_EST_FFO_DAY" hidden="1">"c1822"</definedName>
    <definedName name="IQ_PERCENT_CHANGE_EST_FFO_MONTH" hidden="1">"c1824"</definedName>
    <definedName name="IQ_PERCENT_CHANGE_EST_FFO_WEEK" hidden="1">"c1823"</definedName>
    <definedName name="IQ_PERCENT_CHANGE_EST_PRICE_TARGET_12MONTHS" hidden="1">"c1844"</definedName>
    <definedName name="IQ_PERCENT_CHANGE_EST_PRICE_TARGET_18MONTHS" hidden="1">"c1845"</definedName>
    <definedName name="IQ_PERCENT_CHANGE_EST_PRICE_TARGET_3MONTHS" hidden="1">"c1841"</definedName>
    <definedName name="IQ_PERCENT_CHANGE_EST_PRICE_TARGET_6MONTHS" hidden="1">"c1842"</definedName>
    <definedName name="IQ_PERCENT_CHANGE_EST_PRICE_TARGET_9MONTHS" hidden="1">"c1843"</definedName>
    <definedName name="IQ_PERCENT_CHANGE_EST_PRICE_TARGET_DAY" hidden="1">"c1838"</definedName>
    <definedName name="IQ_PERCENT_CHANGE_EST_PRICE_TARGET_MONTH" hidden="1">"c1840"</definedName>
    <definedName name="IQ_PERCENT_CHANGE_EST_PRICE_TARGET_WEEK" hidden="1">"c1839"</definedName>
    <definedName name="IQ_PERCENT_CHANGE_EST_RECO_12MONTHS" hidden="1">"c1836"</definedName>
    <definedName name="IQ_PERCENT_CHANGE_EST_RECO_18MONTHS" hidden="1">"c1837"</definedName>
    <definedName name="IQ_PERCENT_CHANGE_EST_RECO_3MONTHS" hidden="1">"c1833"</definedName>
    <definedName name="IQ_PERCENT_CHANGE_EST_RECO_6MONTHS" hidden="1">"c1834"</definedName>
    <definedName name="IQ_PERCENT_CHANGE_EST_RECO_9MONTHS" hidden="1">"c1835"</definedName>
    <definedName name="IQ_PERCENT_CHANGE_EST_RECO_DAY" hidden="1">"c1830"</definedName>
    <definedName name="IQ_PERCENT_CHANGE_EST_RECO_MONTH" hidden="1">"c1832"</definedName>
    <definedName name="IQ_PERCENT_CHANGE_EST_RECO_WEEK" hidden="1">"c1831"</definedName>
    <definedName name="IQ_PERCENT_CHANGE_EST_REV_12MONTHS" hidden="1">"c1796"</definedName>
    <definedName name="IQ_PERCENT_CHANGE_EST_REV_18MONTHS" hidden="1">"c1797"</definedName>
    <definedName name="IQ_PERCENT_CHANGE_EST_REV_3MONTHS" hidden="1">"c1793"</definedName>
    <definedName name="IQ_PERCENT_CHANGE_EST_REV_6MONTHS" hidden="1">"c1794"</definedName>
    <definedName name="IQ_PERCENT_CHANGE_EST_REV_9MONTHS" hidden="1">"c1795"</definedName>
    <definedName name="IQ_PERCENT_CHANGE_EST_REV_DAY" hidden="1">"c1790"</definedName>
    <definedName name="IQ_PERCENT_CHANGE_EST_REV_MONTH" hidden="1">"c1792"</definedName>
    <definedName name="IQ_PERCENT_CHANGE_EST_REV_WEEK" hidden="1">"c1791"</definedName>
    <definedName name="IQ_PERIODDATE" hidden="1">"c1414"</definedName>
    <definedName name="IQ_PERIODDATE_BS" hidden="1">"c1032"</definedName>
    <definedName name="IQ_PERIODDATE_CF" hidden="1">"c1033"</definedName>
    <definedName name="IQ_PERIODDATE_IS" hidden="1">"c1034"</definedName>
    <definedName name="IQ_PERIODLENGTH_CF" hidden="1">"c1502"</definedName>
    <definedName name="IQ_PERIODLENGTH_IS" hidden="1">"c1503"</definedName>
    <definedName name="IQ_PERTYPE" hidden="1">"c1611"</definedName>
    <definedName name="IQ_PLL" hidden="1">"c2114"</definedName>
    <definedName name="IQ_PMT_FREQ" hidden="1">"c2236"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ST_RETIRE_EXP" hidden="1">"c1039"</definedName>
    <definedName name="IQ_POSTPAID_CHURN" hidden="1">"c2121"</definedName>
    <definedName name="IQ_POSTPAID_SUBS" hidden="1">"c2118"</definedName>
    <definedName name="IQ_POTENTIAL_UPSIDE" hidden="1">"c1855"</definedName>
    <definedName name="IQ_PRE_OPEN_COST" hidden="1">"c1040"</definedName>
    <definedName name="IQ_PRE_TAX_ACT_OR_EST" hidden="1">"c2221"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IT" hidden="1">"c1058"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IT" hidden="1">"c1065"</definedName>
    <definedName name="IQ_PREF_REP_UTI" hidden="1">"c1066"</definedName>
    <definedName name="IQ_PREF_STOCK" hidden="1">"c1416"</definedName>
    <definedName name="IQ_PREF_TOT" hidden="1">"c1415"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"c1418"</definedName>
    <definedName name="IQ_PREPAID_SUBS" hidden="1">"c2117"</definedName>
    <definedName name="IQ_PRETAX_GW_INC_EST" hidden="1">"c1702"</definedName>
    <definedName name="IQ_PRETAX_GW_INC_HIGH_EST" hidden="1">"c1704"</definedName>
    <definedName name="IQ_PRETAX_GW_INC_LOW_EST" hidden="1">"c1705"</definedName>
    <definedName name="IQ_PRETAX_GW_INC_MEDIAN_EST" hidden="1">"c1703"</definedName>
    <definedName name="IQ_PRETAX_GW_INC_NUM_EST" hidden="1">"c1706"</definedName>
    <definedName name="IQ_PRETAX_GW_INC_STDDEV_EST" hidden="1">"c1707"</definedName>
    <definedName name="IQ_PRETAX_INC" hidden="1">"IQ_PRETAX_INC"</definedName>
    <definedName name="IQ_PRETAX_INC_10K" hidden="1">"IQ_PRETAX_INC_10K"</definedName>
    <definedName name="IQ_PRETAX_INC_10Q" hidden="1">"IQ_PRETAX_INC_10Q"</definedName>
    <definedName name="IQ_PRETAX_INC_10Q1" hidden="1">"IQ_PRETAX_INC_10Q1"</definedName>
    <definedName name="IQ_PRETAX_INC_EST" hidden="1">"c1695"</definedName>
    <definedName name="IQ_PRETAX_INC_HIGH_EST" hidden="1">"c1697"</definedName>
    <definedName name="IQ_PRETAX_INC_LOW_EST" hidden="1">"c1698"</definedName>
    <definedName name="IQ_PRETAX_INC_MEDIAN_EST" hidden="1">"c1696"</definedName>
    <definedName name="IQ_PRETAX_INC_NUM_EST" hidden="1">"c1699"</definedName>
    <definedName name="IQ_PRETAX_INC_STDDEV_EST" hidden="1">"c1700"</definedName>
    <definedName name="IQ_PRETAX_REPORT_INC_EST" hidden="1">"c1709"</definedName>
    <definedName name="IQ_PRETAX_REPORT_INC_HIGH_EST" hidden="1">"c1711"</definedName>
    <definedName name="IQ_PRETAX_REPORT_INC_LOW_EST" hidden="1">"c1712"</definedName>
    <definedName name="IQ_PRETAX_REPORT_INC_MEDIAN_EST" hidden="1">"c1710"</definedName>
    <definedName name="IQ_PRETAX_REPORT_INC_NUM_EST" hidden="1">"c1713"</definedName>
    <definedName name="IQ_PRETAX_REPORT_INC_STDDEV_EST" hidden="1">"c1714"</definedName>
    <definedName name="IQ_PRICE_CFPS_FWD" hidden="1">"c2237"</definedName>
    <definedName name="IQ_PRICE_OVER_BVPS" hidden="1">"c1412"</definedName>
    <definedName name="IQ_PRICE_OVER_EPS_EST" hidden="1">"IQ_PRICE_OVER_EPS_EST"</definedName>
    <definedName name="IQ_PRICE_OVER_EPS_EST_1" hidden="1">"IQ_PRICE_OVER_EPS_EST_1"</definedName>
    <definedName name="IQ_PRICE_OVER_LTM_EPS" hidden="1">"c1413"</definedName>
    <definedName name="IQ_PRICE_TARGET" hidden="1">"c82"</definedName>
    <definedName name="IQ_PRICEDATE" hidden="1">"c1069"</definedName>
    <definedName name="IQ_PRICEDATETIME" hidden="1">"IQ_PRICEDATETIME"</definedName>
    <definedName name="IQ_PRICING_DATE" hidden="1">"c1613"</definedName>
    <definedName name="IQ_PRIMARY_INDUSTRY" hidden="1">"c1070"</definedName>
    <definedName name="IQ_PRINCIPAL_AMT" hidden="1">"c2157"</definedName>
    <definedName name="IQ_PRO_FORMA_BASIC_EPS" hidden="1">"c1614"</definedName>
    <definedName name="IQ_PRO_FORMA_DILUT_EPS" hidden="1">"c1615"</definedName>
    <definedName name="IQ_PRO_FORMA_NET_INC" hidden="1">"c1452"</definedName>
    <definedName name="IQ_PROFESSIONAL" hidden="1">"c1071"</definedName>
    <definedName name="IQ_PROFESSIONAL_TITLE" hidden="1">"c1072"</definedName>
    <definedName name="IQ_PROJECTED_PENSION_OBLIGATION" hidden="1">"c1292"</definedName>
    <definedName name="IQ_PROPERTY_EXP" hidden="1">"c1073"</definedName>
    <definedName name="IQ_PROPERTY_GROSS" hidden="1">"c1379"</definedName>
    <definedName name="IQ_PROPERTY_MGMT_FEE" hidden="1">"c1074"</definedName>
    <definedName name="IQ_PROPERTY_NET" hidden="1">"c1402"</definedName>
    <definedName name="IQ_PROV_BAD_DEBTS" hidden="1">"c1075"</definedName>
    <definedName name="IQ_PROV_BAD_DEBTS_CF" hidden="1">"c1076"</definedName>
    <definedName name="IQ_PROVISION_10YR_ANN_GROWTH" hidden="1">"c1077"</definedName>
    <definedName name="IQ_PROVISION_1YR_ANN_GROWTH" hidden="1">"c1078"</definedName>
    <definedName name="IQ_PROVISION_2YR_ANN_GROWTH" hidden="1">"c1079"</definedName>
    <definedName name="IQ_PROVISION_3YR_ANN_GROWTH" hidden="1">"c1080"</definedName>
    <definedName name="IQ_PROVISION_5YR_ANN_GROWTH" hidden="1">"c1081"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D_EXP" hidden="1">"c1090"</definedName>
    <definedName name="IQ_RD_EXP_FN" hidden="1">"c1091"</definedName>
    <definedName name="IQ_RE" hidden="1">"c1092"</definedName>
    <definedName name="IQ_REAL_ESTATE" hidden="1">"c1093"</definedName>
    <definedName name="IQ_REAL_ESTATE_ASSETS" hidden="1">"c1094"</definedName>
    <definedName name="IQ_REDEEM_PREF_STOCK" hidden="1">"c1417"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NTAL_REV" hidden="1">"c1101"</definedName>
    <definedName name="IQ_RESEARCH_DEV" hidden="1">"c1419"</definedName>
    <definedName name="IQ_RESIDENTIAL_LOANS" hidden="1">"c1102"</definedName>
    <definedName name="IQ_RESTATEMENT_BS" hidden="1">"c1643"</definedName>
    <definedName name="IQ_RESTATEMENT_CF" hidden="1">"c1644"</definedName>
    <definedName name="IQ_RESTATEMENT_IS" hidden="1">"c1642"</definedName>
    <definedName name="IQ_RESTRICTED_CASH" hidden="1">"c1103"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IT" hidden="1">"c1110"</definedName>
    <definedName name="IQ_RESTRUCTURE_UTI" hidden="1">"c1111"</definedName>
    <definedName name="IQ_RESTRUCTURED_LOANS" hidden="1">"c1112"</definedName>
    <definedName name="IQ_RETAIL_AVG_STORE_SIZE_GROSS" hidden="1">"c2066"</definedName>
    <definedName name="IQ_RETAIL_AVG_STORE_SIZE_NET" hidden="1">"c2067"</definedName>
    <definedName name="IQ_RETAIL_CLOSED_STORES" hidden="1">"c2063"</definedName>
    <definedName name="IQ_RETAIL_OPENED_STORES" hidden="1">"c2062"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Q_FOOTAGE" hidden="1">"c2064"</definedName>
    <definedName name="IQ_RETAIL_STORE_SELLING_AREA" hidden="1">"c2065"</definedName>
    <definedName name="IQ_RETAIL_TOTAL_STORES" hidden="1">"c2061"</definedName>
    <definedName name="IQ_RETAINED_EARN" hidden="1">"c1420"</definedName>
    <definedName name="IQ_RETURN_ASSETS" hidden="1">"c1113"</definedName>
    <definedName name="IQ_RETURN_ASSETS_BANK" hidden="1">"c1114"</definedName>
    <definedName name="IQ_RETURN_ASSETS_BROK" hidden="1">"c1115"</definedName>
    <definedName name="IQ_RETURN_ASSETS_FS" hidden="1">"c1116"</definedName>
    <definedName name="IQ_RETURN_CAPITAL" hidden="1">"c1117"</definedName>
    <definedName name="IQ_RETURN_EQUITY" hidden="1">"c1118"</definedName>
    <definedName name="IQ_RETURN_EQUITY_BANK" hidden="1">"c1119"</definedName>
    <definedName name="IQ_RETURN_EQUITY_BROK" hidden="1">"c1120"</definedName>
    <definedName name="IQ_RETURN_EQUITY_FS" hidden="1">"c1121"</definedName>
    <definedName name="IQ_RETURN_INVESTMENT" hidden="1">"c1421"</definedName>
    <definedName name="IQ_REV" hidden="1">"c1122"</definedName>
    <definedName name="IQ_REV_BEFORE_LL" hidden="1">"c1123"</definedName>
    <definedName name="IQ_REV_STDDEV_EST" hidden="1">"c1124"</definedName>
    <definedName name="IQ_REV_UTI" hidden="1">"c1125"</definedName>
    <definedName name="IQ_REVENUE" hidden="1">"c1422"</definedName>
    <definedName name="IQ_REVENUE_10K" hidden="1">"IQ_REVENUE_10K"</definedName>
    <definedName name="IQ_REVENUE_10Q" hidden="1">"IQ_REVENUE_10Q"</definedName>
    <definedName name="IQ_REVENUE_10Q1" hidden="1">"IQ_REVENUE_10Q1"</definedName>
    <definedName name="IQ_REVENUE_ACT_OR_EST" hidden="1">"c2214"</definedName>
    <definedName name="IQ_REVENUE_EST" hidden="1">"c1126"</definedName>
    <definedName name="IQ_REVENUE_EST_1" hidden="1">"IQ_REVENUE_EST_1"</definedName>
    <definedName name="IQ_REVENUE_GROWTH_1" hidden="1">"IQ_REVENUE_GROWTH_1"</definedName>
    <definedName name="IQ_REVENUE_GROWTH_2" hidden="1">"IQ_REVENUE_GROWTH_2"</definedName>
    <definedName name="IQ_REVENUE_HIGH_EST" hidden="1">"c1127"</definedName>
    <definedName name="IQ_REVENUE_LOW_EST" hidden="1">"c1128"</definedName>
    <definedName name="IQ_REVENUE_MEDIAN_EST" hidden="1">"c1662"</definedName>
    <definedName name="IQ_REVENUE_NO_EST" hidden="1">"c263"</definedName>
    <definedName name="IQ_REVENUE_NUM_EST" hidden="1">"c1129"</definedName>
    <definedName name="IQ_REVISION_DATE_" hidden="1">38960.3330324074</definedName>
    <definedName name="IQ_SALARY" hidden="1">"c1130"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LES_MARKETING" hidden="1">"c2240"</definedName>
    <definedName name="IQ_SAME_STORE" hidden="1">"c1149"</definedName>
    <definedName name="IQ_SAVING_DEP" hidden="1">"c1150"</definedName>
    <definedName name="IQ_SECUR_RECEIV" hidden="1">"c1151"</definedName>
    <definedName name="IQ_SECURITY_BORROW" hidden="1">"c1152"</definedName>
    <definedName name="IQ_SECURITY_LEVEL" hidden="1">"c2159"</definedName>
    <definedName name="IQ_SECURITY_NOTES" hidden="1">"c2202"</definedName>
    <definedName name="IQ_SECURITY_OWN" hidden="1">"c1153"</definedName>
    <definedName name="IQ_SECURITY_RESELL" hidden="1">"c1154"</definedName>
    <definedName name="IQ_SECURITY_TYPE" hidden="1">"c2158"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"c1347"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TERM_INVEST" hidden="1">"c1425"</definedName>
    <definedName name="IQ_SMALL_INT_BEAR_CD" hidden="1">"c1166"</definedName>
    <definedName name="IQ_SOFTWARE" hidden="1">"c1167"</definedName>
    <definedName name="IQ_SOURCE" hidden="1">"c1168"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IT" hidden="1">"c1174"</definedName>
    <definedName name="IQ_SPECIAL_DIV_CF_UTI" hidden="1">"c1175"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IT" hidden="1">"c1186"</definedName>
    <definedName name="IQ_ST_DEBT_ISSUED_UTI" hidden="1">"c1187"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IT" hidden="1">"c1194"</definedName>
    <definedName name="IQ_ST_DEBT_REPAID_UTI" hidden="1">"c1195"</definedName>
    <definedName name="IQ_ST_DEBT_UTI" hidden="1">"c1196"</definedName>
    <definedName name="IQ_ST_INVEST" hidden="1">"c1197"</definedName>
    <definedName name="IQ_ST_INVEST_UTI" hidden="1">"c1198"</definedName>
    <definedName name="IQ_ST_NOTE_RECEIV" hidden="1">"c1199"</definedName>
    <definedName name="IQ_STATE" hidden="1">"c1200"</definedName>
    <definedName name="IQ_STATUTORY_SURPLUS" hidden="1">"c1201"</definedName>
    <definedName name="IQ_STOCK_BASED" hidden="1">"c1202"</definedName>
    <definedName name="IQ_STOCK_BASED_CF" hidden="1">"c1203"</definedName>
    <definedName name="IQ_STOCK_BASED_COMP" hidden="1">"c1204"</definedName>
    <definedName name="IQ_STRIKE_PRICE_ISSUED" hidden="1">"c1645"</definedName>
    <definedName name="IQ_STRIKE_PRICE_OS" hidden="1">"c1646"</definedName>
    <definedName name="IQ_STW" hidden="1">"c2166"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VA" hidden="1">"c1214"</definedName>
    <definedName name="IQ_TARGET_PRICE_NUM" hidden="1">"c1653"</definedName>
    <definedName name="IQ_TARGET_PRICE_STDDEV" hidden="1">"c1654"</definedName>
    <definedName name="IQ_TAX_BENEFIT_OPTIONS" hidden="1">"c1215"</definedName>
    <definedName name="IQ_TAX_EQUIV_NET_INT_INC" hidden="1">"c1216"</definedName>
    <definedName name="IQ_TBV" hidden="1">"c1906"</definedName>
    <definedName name="IQ_TBV_10YR_ANN_GROWTH" hidden="1">"c1936"</definedName>
    <definedName name="IQ_TBV_1YR_ANN_GROWTH" hidden="1">"c1931"</definedName>
    <definedName name="IQ_TBV_2YR_ANN_GROWTH" hidden="1">"c1932"</definedName>
    <definedName name="IQ_TBV_3YR_ANN_GROWTH" hidden="1">"c1933"</definedName>
    <definedName name="IQ_TBV_5YR_ANN_GROWTH" hidden="1">"c1934"</definedName>
    <definedName name="IQ_TBV_7YR_ANN_GROWTH" hidden="1">"c1935"</definedName>
    <definedName name="IQ_TBV_SHARE" hidden="1">"c1217"</definedName>
    <definedName name="IQ_TEMPLATE" hidden="1">"c1521"</definedName>
    <definedName name="IQ_TENANT" hidden="1">"c1218"</definedName>
    <definedName name="IQ_TEV" hidden="1">"c1219"</definedName>
    <definedName name="IQ_TEV_EBIT" hidden="1">"c1220"</definedName>
    <definedName name="IQ_TEV_EBIT_AVG" hidden="1">"c1221"</definedName>
    <definedName name="IQ_TEV_EBIT_FWD" hidden="1">"c2238"</definedName>
    <definedName name="IQ_TEV_EBITDA" hidden="1">"c1222"</definedName>
    <definedName name="IQ_TEV_EBITDA_AVG" hidden="1">"c1223"</definedName>
    <definedName name="IQ_TEV_EBITDA_FWD" hidden="1">"c1224"</definedName>
    <definedName name="IQ_TEV_EMPLOYEE_AVG" hidden="1">"c1225"</definedName>
    <definedName name="IQ_TEV_TOTAL_REV" hidden="1">"c1226"</definedName>
    <definedName name="IQ_TEV_TOTAL_REV_AVG" hidden="1">"c1227"</definedName>
    <definedName name="IQ_TEV_TOTAL_REV_FWD" hidden="1">"c1228"</definedName>
    <definedName name="IQ_TEV_UFCF" hidden="1">"c2208"</definedName>
    <definedName name="IQ_TIER_ONE_RATIO" hidden="1">"c1229"</definedName>
    <definedName name="IQ_TIME_DEP" hidden="1">"c1230"</definedName>
    <definedName name="IQ_TODAY" hidden="1">0</definedName>
    <definedName name="IQ_TOT_ADJ_INC" hidden="1">"c1616"</definedName>
    <definedName name="IQ_TOTAL_AR_BR" hidden="1">"c1231"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GROWTH" hidden="1">"c1235"</definedName>
    <definedName name="IQ_TOTAL_ASSETS_1YR_ANN_GROWTH" hidden="1">"c1236"</definedName>
    <definedName name="IQ_TOTAL_ASSETS_2YR_ANN_GROWTH" hidden="1">"c1237"</definedName>
    <definedName name="IQ_TOTAL_ASSETS_3YR_ANN_GROWTH" hidden="1">"c1238"</definedName>
    <definedName name="IQ_TOTAL_ASSETS_5YR_ANN_GROWTH" hidden="1">"c1239"</definedName>
    <definedName name="IQ_TOTAL_ASSETS_7YR_ANN_GROWTH" hidden="1">"c1240"</definedName>
    <definedName name="IQ_TOTAL_AVG_CE_TOTAL_AVG_ASSETS" hidden="1">"c1241"</definedName>
    <definedName name="IQ_TOTAL_AVG_EQUITY_TOTAL_AVG_ASSETS" hidden="1">"c1242"</definedName>
    <definedName name="IQ_TOTAL_CA" hidden="1">"c1243"</definedName>
    <definedName name="IQ_TOTAL_CAP" hidden="1">"c1507"</definedName>
    <definedName name="IQ_TOTAL_CAPITAL_RATIO" hidden="1">"c1244"</definedName>
    <definedName name="IQ_TOTAL_CASH_DIVID" hidden="1">"c1455"</definedName>
    <definedName name="IQ_TOTAL_CASH_FINAN" hidden="1">"c1352"</definedName>
    <definedName name="IQ_TOTAL_CASH_INVEST" hidden="1">"c1353"</definedName>
    <definedName name="IQ_TOTAL_CASH_OPER" hidden="1">"c1354"</definedName>
    <definedName name="IQ_TOTAL_CHURN" hidden="1">"c2122"</definedName>
    <definedName name="IQ_TOTAL_CL" hidden="1">"c1245"</definedName>
    <definedName name="IQ_TOTAL_COMMON" hidden="1">"c1411"</definedName>
    <definedName name="IQ_TOTAL_COMMON_EQUITY" hidden="1">"c1246"</definedName>
    <definedName name="IQ_TOTAL_CURRENT_ASSETS" hidden="1">"c1430"</definedName>
    <definedName name="IQ_TOTAL_CURRENT_LIAB" hidden="1">"c1431"</definedName>
    <definedName name="IQ_TOTAL_DEBT" hidden="1">"c1247"</definedName>
    <definedName name="IQ_TOTAL_DEBT_CAPITAL" hidden="1">"c1248"</definedName>
    <definedName name="IQ_TOTAL_DEBT_EBITDA" hidden="1">"c1249"</definedName>
    <definedName name="IQ_TOTAL_DEBT_EQUITY" hidden="1">"c1250"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OVER_EBITDA" hidden="1">"c1433"</definedName>
    <definedName name="IQ_TOTAL_DEBT_OVER_TOTAL_BV" hidden="1">"c1434"</definedName>
    <definedName name="IQ_TOTAL_DEBT_OVER_TOTAL_CAP" hidden="1">"c1432"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IT" hidden="1">"c1263"</definedName>
    <definedName name="IQ_TOTAL_DEBT_REPAID_UTI" hidden="1">"c1264"</definedName>
    <definedName name="IQ_TOTAL_DEPOSITS" hidden="1">"c1265"</definedName>
    <definedName name="IQ_TOTAL_DIV_PAID_CF" hidden="1">"c1266"</definedName>
    <definedName name="IQ_TOTAL_EMPLOYEE" hidden="1">"c2141"</definedName>
    <definedName name="IQ_TOTAL_EMPLOYEES" hidden="1">"c1522"</definedName>
    <definedName name="IQ_TOTAL_EQUITY" hidden="1">"c1267"</definedName>
    <definedName name="IQ_TOTAL_EQUITY_10YR_ANN_GROWTH" hidden="1">"c1268"</definedName>
    <definedName name="IQ_TOTAL_EQUITY_1YR_ANN_GROWTH" hidden="1">"c1269"</definedName>
    <definedName name="IQ_TOTAL_EQUITY_2YR_ANN_GROWTH" hidden="1">"c1270"</definedName>
    <definedName name="IQ_TOTAL_EQUITY_3YR_ANN_GROWTH" hidden="1">"c1271"</definedName>
    <definedName name="IQ_TOTAL_EQUITY_5YR_ANN_GROWTH" hidden="1">"c1272"</definedName>
    <definedName name="IQ_TOTAL_EQUITY_7YR_ANN_GROWTH" hidden="1">"c1273"</definedName>
    <definedName name="IQ_TOTAL_EQUITY_ALLOWANCE_TOTAL_LOANS" hidden="1">"c1274"</definedName>
    <definedName name="IQ_TOTAL_INTEREST_EXP" hidden="1">"c1382"</definedName>
    <definedName name="IQ_TOTAL_INVENTORY" hidden="1">"c1385"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FIN" hidden="1">"c1280"</definedName>
    <definedName name="IQ_TOTAL_LIAB_INS" hidden="1">"c1281"</definedName>
    <definedName name="IQ_TOTAL_LIAB_REIT" hidden="1">"c1282"</definedName>
    <definedName name="IQ_TOTAL_LIAB_SHAREHOLD" hidden="1">"c1435"</definedName>
    <definedName name="IQ_TOTAL_LIAB_TOTAL_ASSETS" hidden="1">"c1283"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EXP" hidden="1">"c1291"</definedName>
    <definedName name="IQ_TOTAL_PENSION_OBLIGATION" hidden="1">"c1292"</definedName>
    <definedName name="IQ_TOTAL_PROVED_RESERVES_OIL" hidden="1">"c2040"</definedName>
    <definedName name="IQ_TOTAL_RECEIV" hidden="1">"c1293"</definedName>
    <definedName name="IQ_TOTAL_REV" hidden="1">"c1294"</definedName>
    <definedName name="IQ_TOTAL_REV_10YR_ANN_GROWTH" hidden="1">"c1295"</definedName>
    <definedName name="IQ_TOTAL_REV_1YR_ANN_GROWTH" hidden="1">"c1296"</definedName>
    <definedName name="IQ_TOTAL_REV_2YR_ANN_GROWTH" hidden="1">"c1297"</definedName>
    <definedName name="IQ_TOTAL_REV_3YR_ANN_GROWTH" hidden="1">"c1298"</definedName>
    <definedName name="IQ_TOTAL_REV_5YR_ANN_GROWTH" hidden="1">"c1299"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IT" hidden="1">"c1307"</definedName>
    <definedName name="IQ_TOTAL_REV_SHARE" hidden="1">"c1912"</definedName>
    <definedName name="IQ_TOTAL_REV_UTI" hidden="1">"c1308"</definedName>
    <definedName name="IQ_TOTAL_REVENUE" hidden="1">"c1436"</definedName>
    <definedName name="IQ_TOTAL_SPECIAL" hidden="1">"c1618"</definedName>
    <definedName name="IQ_TOTAL_ST_BORROW" hidden="1">"c1424"</definedName>
    <definedName name="IQ_TOTAL_SUBS" hidden="1">"c2119"</definedName>
    <definedName name="IQ_TOTAL_UNUSUAL" hidden="1">"c1508"</definedName>
    <definedName name="IQ_TRADE_AR" hidden="1">"c1345"</definedName>
    <definedName name="IQ_TRADE_PRINCIPAL" hidden="1">"c1309"</definedName>
    <definedName name="IQ_TRADING_ASSETS" hidden="1">"c1310"</definedName>
    <definedName name="IQ_TRADING_CURRENCY" hidden="1">"c2212"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IT" hidden="1">"c1317"</definedName>
    <definedName name="IQ_TREASURY_OTHER_EQUITY_UTI" hidden="1">"c1318"</definedName>
    <definedName name="IQ_TREASURY_STOCK" hidden="1">"c1438"</definedName>
    <definedName name="IQ_TRUST_INC" hidden="1">"c1319"</definedName>
    <definedName name="IQ_TRUST_PREF" hidden="1">"c1320"</definedName>
    <definedName name="IQ_UFCF_10YR_ANN_GROWTH" hidden="1">"c1948"</definedName>
    <definedName name="IQ_UFCF_1YR_ANN_GROWTH" hidden="1">"c1943"</definedName>
    <definedName name="IQ_UFCF_2YR_ANN_GROWTH" hidden="1">"c1944"</definedName>
    <definedName name="IQ_UFCF_3YR_ANN_GROWTH" hidden="1">"c1945"</definedName>
    <definedName name="IQ_UFCF_5YR_ANN_GROWTH" hidden="1">"c1946"</definedName>
    <definedName name="IQ_UFCF_7YR_ANN_GROWTH" hidden="1">"c1947"</definedName>
    <definedName name="IQ_UFCF_MARGIN" hidden="1">"c1962"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LEVERED_FCF" hidden="1">"c1908"</definedName>
    <definedName name="IQ_UNPAID_CLAIMS" hidden="1">"c1330"</definedName>
    <definedName name="IQ_UNREALIZED_GAIN" hidden="1">"c1619"</definedName>
    <definedName name="IQ_UNUSUAL_EXP" hidden="1">"c1456"</definedName>
    <definedName name="IQ_US_GAAP" hidden="1">"c1331"</definedName>
    <definedName name="IQ_UTIL_PPE_NET" hidden="1">"c1620"</definedName>
    <definedName name="IQ_UTIL_REV" hidden="1">"c2091"</definedName>
    <definedName name="IQ_UV_PENSION_LIAB" hidden="1">"c1332"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UME" hidden="1">"c1333"</definedName>
    <definedName name="IQ_WEIGHTED_AVG_PRICE" hidden="1">"c1334"</definedName>
    <definedName name="IQ_WIP_INV" hidden="1">"c1335"</definedName>
    <definedName name="IQ_WORKMEN_WRITTEN" hidden="1">"c1336"</definedName>
    <definedName name="IQ_XDIV_DATE" hidden="1">"c2203"</definedName>
    <definedName name="IQ_YEARHIGH" hidden="1">"c1337"</definedName>
    <definedName name="IQ_YEARHIGH_DATE" hidden="1">"c2250"</definedName>
    <definedName name="IQ_YEARLOW" hidden="1">"c1338"</definedName>
    <definedName name="IQ_YEARLOW_DATE" hidden="1">"c2251"</definedName>
    <definedName name="IQ_YTD" hidden="1">3000</definedName>
    <definedName name="IQ_YTW" hidden="1">"c2163"</definedName>
    <definedName name="IQ_YTW_DATE" hidden="1">"c2164"</definedName>
    <definedName name="IQ_YTW_DATE_TYPE" hidden="1">"c2165"</definedName>
    <definedName name="IQ_Z_SCORE" hidden="1">"c1339"</definedName>
    <definedName name="issue">#REF!</definedName>
    <definedName name="Item1016v2">#REF!</definedName>
    <definedName name="Item916v1">#REF!</definedName>
    <definedName name="J">#REF!</definedName>
    <definedName name="jeClientName">#REF!</definedName>
    <definedName name="jeClientNumber">#REF!</definedName>
    <definedName name="jeProjectLocation">#REF!</definedName>
    <definedName name="jeProjectName">#REF!</definedName>
    <definedName name="jeSopID">#REF!</definedName>
    <definedName name="jeTitle1">#REF!</definedName>
    <definedName name="jeTitle2">#REF!</definedName>
    <definedName name="jeTitle3">#REF!</definedName>
    <definedName name="jeTypTitle">#REF!</definedName>
    <definedName name="jh" localSheetId="0" hidden="1">{#N/A,#N/A,FALSE,"Aging Summary";#N/A,#N/A,FALSE,"Ratio Analysis";#N/A,#N/A,FALSE,"Test 120 Day Accts";#N/A,#N/A,FALSE,"Tickmarks"}</definedName>
    <definedName name="jh" hidden="1">{#N/A,#N/A,FALSE,"Aging Summary";#N/A,#N/A,FALSE,"Ratio Analysis";#N/A,#N/A,FALSE,"Test 120 Day Accts";#N/A,#N/A,FALSE,"Tickmarks"}</definedName>
    <definedName name="JIJIIIJ" localSheetId="0" hidden="1">{#N/A,#N/A,FALSE,"Aging Summary";#N/A,#N/A,FALSE,"Ratio Analysis";#N/A,#N/A,FALSE,"Test 120 Day Accts";#N/A,#N/A,FALSE,"Tickmarks"}</definedName>
    <definedName name="JIJIIIJ" hidden="1">{#N/A,#N/A,FALSE,"Aging Summary";#N/A,#N/A,FALSE,"Ratio Analysis";#N/A,#N/A,FALSE,"Test 120 Day Accts";#N/A,#N/A,FALSE,"Tickmarks"}</definedName>
    <definedName name="jijo">#REF!</definedName>
    <definedName name="JJ">#REF!</definedName>
    <definedName name="jjaa">#REF!</definedName>
    <definedName name="jkl">#REF!</definedName>
    <definedName name="jourbase">#REF!</definedName>
    <definedName name="joy">#REF!</definedName>
    <definedName name="JPIT_CPENG">#REF!</definedName>
    <definedName name="kdkdk">#REF!</definedName>
    <definedName name="keyword">#REF!</definedName>
    <definedName name="kik">#REF!</definedName>
    <definedName name="kk" hidden="1">#REF!</definedName>
    <definedName name="KKKK" localSheetId="0" hidden="1">{TRUE,TRUE,-1.25,-15.5,484.5,301.5,FALSE,TRUE,TRUE,TRUE,0,1,3,1,5,2,4,4,TRUE,TRUE,3,TRUE,1,TRUE,100,"Swvu.TOUT.","ACwvu.TOUT.",1,FALSE,FALSE,0.78740157480315,0.78740157480315,0.984251968503937,0.78740157480315,2,"&amp;L&amp;""Arial""&amp;BDe : Simon RAPPENNE
A   : 
""D3""&amp;C&amp;""Arial""&amp;12&amp;BC.R.I.  REELS A LA CATEGORIE&amp;R&amp;""Arial""&amp;BTCE/EMA/X
Le &amp;D           ","&amp;L&amp;""Arial""Référence : &amp;F&amp;C&amp;""Arial""Page &amp;P",TRUE,FALSE,FALSE,TRUE,1,83,#N/A,#N/A,FALSE,"=C1:C2,R1:R7",#N/A,#N/A,FALSE,FALSE}</definedName>
    <definedName name="KKKK" hidden="1">{TRUE,TRUE,-1.25,-15.5,484.5,301.5,FALSE,TRUE,TRUE,TRUE,0,1,3,1,5,2,4,4,TRUE,TRUE,3,TRUE,1,TRUE,100,"Swvu.TOUT.","ACwvu.TOUT.",1,FALSE,FALSE,0.78740157480315,0.78740157480315,0.984251968503937,0.78740157480315,2,"&amp;L&amp;""Arial""&amp;BDe : Simon RAPPENNE
A   : 
""D3""&amp;C&amp;""Arial""&amp;12&amp;BC.R.I.  REELS A LA CATEGORIE&amp;R&amp;""Arial""&amp;BTCE/EMA/X
Le &amp;D           ","&amp;L&amp;""Arial""Référence : &amp;F&amp;C&amp;""Arial""Page &amp;P",TRUE,FALSE,FALSE,TRUE,1,83,#N/A,#N/A,FALSE,"=C1:C2,R1:R7",#N/A,#N/A,FALSE,FALSE}</definedName>
    <definedName name="kloy">#REF!</definedName>
    <definedName name="ko">#REF!</definedName>
    <definedName name="kop">#REF!</definedName>
    <definedName name="kr" hidden="1">#REF!</definedName>
    <definedName name="langs">#REF!</definedName>
    <definedName name="Langue">#REF!</definedName>
    <definedName name="liste">#REF!</definedName>
    <definedName name="ll">#REF!</definedName>
    <definedName name="LOLD">1</definedName>
    <definedName name="LOLD_Table">101</definedName>
    <definedName name="lop">#REF!</definedName>
    <definedName name="lot">#REF!</definedName>
    <definedName name="loveguide">#REF!</definedName>
    <definedName name="lp">#REF!</definedName>
    <definedName name="LP2R_UOT">#REF!</definedName>
    <definedName name="LPAG_UOT">#REF!</definedName>
    <definedName name="LPAV_UOT">#REF!</definedName>
    <definedName name="LPGC_UOT">#REF!</definedName>
    <definedName name="LPPL_UOT">#REF!</definedName>
    <definedName name="LPTC_UOT">#REF!</definedName>
    <definedName name="MAIL">#REF!</definedName>
    <definedName name="MAJ_données">#REF!</definedName>
    <definedName name="MANHOUR">#REF!</definedName>
    <definedName name="Master_FG">#REF!</definedName>
    <definedName name="mat">#REF!</definedName>
    <definedName name="MAT_Zone">#REF!</definedName>
    <definedName name="Material">#REF!</definedName>
    <definedName name="mattt">#REF!</definedName>
    <definedName name="Menu">#REF!</definedName>
    <definedName name="MENU1">#REF!</definedName>
    <definedName name="MENU2">#REF!</definedName>
    <definedName name="MENU3">#REF!</definedName>
    <definedName name="MESSAGE">#REF!</definedName>
    <definedName name="MH">#REF!</definedName>
    <definedName name="MH_SUM">#REF!</definedName>
    <definedName name="MH_TECH">#REF!</definedName>
    <definedName name="mix_date">#REF!</definedName>
    <definedName name="mjk">#REF!</definedName>
    <definedName name="mktg">#REF!</definedName>
    <definedName name="mm">#REF!</definedName>
    <definedName name="Módulo1.eficacia">#REF!</definedName>
    <definedName name="Módulo1.sintese">#REF!</definedName>
    <definedName name="Módulo1.tableau">#REF!</definedName>
    <definedName name="MONTH">#REF!</definedName>
    <definedName name="MONTH1">#REF!</definedName>
    <definedName name="Month11">#REF!</definedName>
    <definedName name="MOUVEMENT">#REF!</definedName>
    <definedName name="MT">#REF!</definedName>
    <definedName name="mth">#REF!</definedName>
    <definedName name="mthpo">#REF!</definedName>
    <definedName name="name">#REF!</definedName>
    <definedName name="NavPane">#REF!</definedName>
    <definedName name="NEC">#REF!</definedName>
    <definedName name="nnn">#REF!</definedName>
    <definedName name="no">#REF!</definedName>
    <definedName name="Nom_Fichier">#REF!</definedName>
    <definedName name="Non_protégé">#REF!,#REF!,#REF!,#REF!,#REF!,#REF!,#REF!</definedName>
    <definedName name="now">#REF!</definedName>
    <definedName name="NTTTT">#REF!</definedName>
    <definedName name="nwp">#REF!</definedName>
    <definedName name="o" localSheetId="0" hidden="1">{#N/A,#N/A,FALSE,"Aging Summary";#N/A,#N/A,FALSE,"Ratio Analysis";#N/A,#N/A,FALSE,"Test 120 Day Accts";#N/A,#N/A,FALSE,"Tickmarks"}</definedName>
    <definedName name="o" hidden="1">{#N/A,#N/A,FALSE,"Aging Summary";#N/A,#N/A,FALSE,"Ratio Analysis";#N/A,#N/A,FALSE,"Test 120 Day Accts";#N/A,#N/A,FALSE,"Tickmarks"}</definedName>
    <definedName name="oh">#REF!</definedName>
    <definedName name="oio">#REF!</definedName>
    <definedName name="Old">#REF!</definedName>
    <definedName name="onhand">#REF!</definedName>
    <definedName name="oo">#REF!</definedName>
    <definedName name="oooo">#REF!</definedName>
    <definedName name="opptape">#REF!</definedName>
    <definedName name="order">#REF!</definedName>
    <definedName name="original">#REF!</definedName>
    <definedName name="OVERHEAD">#REF!</definedName>
    <definedName name="P_BHT">#REF!</definedName>
    <definedName name="P_MH">#REF!</definedName>
    <definedName name="P_MH_TECH">#REF!</definedName>
    <definedName name="P_SULP">#REF!</definedName>
    <definedName name="P_SUM">#REF!</definedName>
    <definedName name="P_SUMP">#REF!</definedName>
    <definedName name="PACKING_PL">#REF!</definedName>
    <definedName name="partic">#REF!</definedName>
    <definedName name="PD_Order">#REF!</definedName>
    <definedName name="Periode">#REF!</definedName>
    <definedName name="phase">#REF!</definedName>
    <definedName name="pl">#REF!</definedName>
    <definedName name="plage">#REF!,#REF!,#REF!,#REF!,#REF!,#REF!,#REF!</definedName>
    <definedName name="PLAN5" localSheetId="0" hidden="1">{#N/A,#N/A,FALSE,"CALCOC"}</definedName>
    <definedName name="PLAN5" hidden="1">{#N/A,#N/A,FALSE,"CALCOC"}</definedName>
    <definedName name="Planner00">#REF!</definedName>
    <definedName name="Planner99">#REF!</definedName>
    <definedName name="plt">#REF!</definedName>
    <definedName name="PNT">#REF!</definedName>
    <definedName name="PO">#REF!</definedName>
    <definedName name="pobu">#REF!</definedName>
    <definedName name="pop">#REF!</definedName>
    <definedName name="popend">#REF!</definedName>
    <definedName name="pp">#REF!</definedName>
    <definedName name="PPA">#REF!</definedName>
    <definedName name="ppp">#REF!</definedName>
    <definedName name="pppp">#REF!</definedName>
    <definedName name="PRES">#REF!</definedName>
    <definedName name="PRINCIPALE_CR">#REF!</definedName>
    <definedName name="PRINCIPALE_DO">#REF!</definedName>
    <definedName name="PRINT_all">#REF!</definedName>
    <definedName name="_xlnm.Print_Area" localSheetId="2">'1. CIVIL'!$A$1:$K$80</definedName>
    <definedName name="_xlnm.Print_Area" localSheetId="3">'2. ARCHITECTURAL'!$A$1:$K$81</definedName>
    <definedName name="_xlnm.Print_Area" localSheetId="4">'3. STRUCTURAL'!$A$1:$K$152</definedName>
    <definedName name="_xlnm.Print_Area" localSheetId="5">'4. MECHANICAL'!$A$1:$K$117</definedName>
    <definedName name="_xlnm.Print_Area" localSheetId="6">'5. ELECTRICAL'!$A$1:$K$89</definedName>
    <definedName name="_xlnm.Print_Area" localSheetId="0">'Cover (1)'!$A$1:$J$58</definedName>
    <definedName name="_xlnm.Print_Area" localSheetId="1">'Cover(2)'!$A$1:$J$44</definedName>
    <definedName name="_xlnm.Print_Area" localSheetId="8">'Numbering System'!$A$1:$P$50</definedName>
    <definedName name="_xlnm.Print_Area" localSheetId="9">Subcover!$A$1:$J$225</definedName>
    <definedName name="_xlnm.Print_Area">#REF!</definedName>
    <definedName name="Print_Area_MI">#REF!</definedName>
    <definedName name="_xlnm.Print_Titles" localSheetId="2">'1. CIVIL'!$1:$6</definedName>
    <definedName name="_xlnm.Print_Titles" localSheetId="3">'2. ARCHITECTURAL'!$1:$6</definedName>
    <definedName name="_xlnm.Print_Titles" localSheetId="4">'3. STRUCTURAL'!$1:$6</definedName>
    <definedName name="_xlnm.Print_Titles" localSheetId="5">'4. MECHANICAL'!$1:$6</definedName>
    <definedName name="_xlnm.Print_Titles" localSheetId="6">'5. ELECTRICAL'!$1:$6</definedName>
    <definedName name="PrintC1">#REF!</definedName>
    <definedName name="PrintC2">#REF!</definedName>
    <definedName name="PrintP1">#REF!</definedName>
    <definedName name="PrintP2">#REF!</definedName>
    <definedName name="process">#REF!</definedName>
    <definedName name="Product">#REF!</definedName>
    <definedName name="Produit">#REF!</definedName>
    <definedName name="Produit_2R">#REF!</definedName>
    <definedName name="Produit_AG">#REF!</definedName>
    <definedName name="Produit_AV">#REF!</definedName>
    <definedName name="Produit_GC">#REF!</definedName>
    <definedName name="Produit_MAT_CPA">#REF!</definedName>
    <definedName name="Produit_MAT_CPV">#REF!</definedName>
    <definedName name="Produit_MAT_CPX">#REF!</definedName>
    <definedName name="Produit_MAT_RM">#REF!</definedName>
    <definedName name="Produit_MAT_RT">#REF!</definedName>
    <definedName name="Produit_MAT_SF_Mélange">#REF!</definedName>
    <definedName name="Produit_MAT_SF_Tissu">#REF!</definedName>
    <definedName name="Produit_PL">#REF!</definedName>
    <definedName name="Produit_TC">#REF!</definedName>
    <definedName name="PROMOTION">#REF!</definedName>
    <definedName name="q" localSheetId="0" hidden="1">{#N/A,#N/A,FALSE,"Aging Summary";#N/A,#N/A,FALSE,"Ratio Analysis";#N/A,#N/A,FALSE,"Test 120 Day Accts";#N/A,#N/A,FALSE,"Tickmarks"}</definedName>
    <definedName name="q" hidden="1">{#N/A,#N/A,FALSE,"Aging Summary";#N/A,#N/A,FALSE,"Ratio Analysis";#N/A,#N/A,FALSE,"Test 120 Day Accts";#N/A,#N/A,FALSE,"Tickmarks"}</definedName>
    <definedName name="qq">#REF!</definedName>
    <definedName name="qty">#REF!</definedName>
    <definedName name="quadro">#REF!</definedName>
    <definedName name="R_E">#REF!</definedName>
    <definedName name="R_I">#REF!</definedName>
    <definedName name="_xlnm.Recorder">#REF!</definedName>
    <definedName name="REF_CN">#REF!</definedName>
    <definedName name="REPP">#REF!</definedName>
    <definedName name="RESPON">#REF!</definedName>
    <definedName name="REST">#REF!</definedName>
    <definedName name="Ret_Capa">#REF!</definedName>
    <definedName name="retmnp">#REF!</definedName>
    <definedName name="retmnq">#REF!</definedName>
    <definedName name="retorna">#REF!</definedName>
    <definedName name="Revised" localSheetId="0" hidden="1">{"'Sheet1'!$L$16"}</definedName>
    <definedName name="Revised" hidden="1">{"'Sheet1'!$L$16"}</definedName>
    <definedName name="revues" localSheetId="0">#REF!</definedName>
    <definedName name="revues">[1]Traduction!$B$583:$B$595</definedName>
    <definedName name="RM_CODE">#REF!</definedName>
    <definedName name="rr">#REF!</definedName>
    <definedName name="rSyntheseEffectifIPIDetail">#REF!</definedName>
    <definedName name="run">#REF!</definedName>
    <definedName name="Rwvu.AG." hidden="1">#REF!,#REF!,#REF!</definedName>
    <definedName name="Rwvu.TCE_TL." hidden="1">#REF!,#REF!,#REF!,#REF!,#REF!,#REF!,#REF!</definedName>
    <definedName name="Rwvu.TCE_TY." hidden="1">#REF!,#REF!</definedName>
    <definedName name="s" hidden="1">#REF!</definedName>
    <definedName name="safety">#REF!</definedName>
    <definedName name="sal">#REF!</definedName>
    <definedName name="Sale">#REF!</definedName>
    <definedName name="sale_1">#REF!</definedName>
    <definedName name="sale_2019">#REF!</definedName>
    <definedName name="Sale_202">#REF!</definedName>
    <definedName name="Sale_2020">#REF!</definedName>
    <definedName name="sale_BW2020">#REF!</definedName>
    <definedName name="sale_tar">#REF!</definedName>
    <definedName name="sale19">#REF!</definedName>
    <definedName name="sale2019">#REF!</definedName>
    <definedName name="Sale22">#REF!</definedName>
    <definedName name="sales">#REF!</definedName>
    <definedName name="SALVA_REDE">#REF!</definedName>
    <definedName name="sap">#REF!</definedName>
    <definedName name="SAPBEXhrIndnt" hidden="1">"Wide"</definedName>
    <definedName name="SAPsysID" hidden="1">"708C5W7SBKP804JT78WJ0JNKI"</definedName>
    <definedName name="SAPwbID" hidden="1">"ARS"</definedName>
    <definedName name="SAUVE">#REF!</definedName>
    <definedName name="scrap">#REF!</definedName>
    <definedName name="sd" hidden="1">#REF!</definedName>
    <definedName name="sdf" localSheetId="0" hidden="1">{#N/A,#N/A,FALSE,"1.0";#N/A,#N/A,FALSE,"2.1";#N/A,#N/A,FALSE,"2.2";#N/A,#N/A,FALSE,"2.4";#N/A,#N/A,FALSE,"3.1";#N/A,#N/A,FALSE,"3.3";#N/A,#N/A,FALSE,"4.0";#N/A,#N/A,FALSE,"5.1";#N/A,#N/A,FALSE,"6.0";#N/A,#N/A,FALSE,"6.4";#N/A,#N/A,FALSE,"7.3";#N/A,#N/A,FALSE,"7.5";#N/A,#N/A,FALSE,"7.6";#N/A,#N/A,FALSE,"7.7";#N/A,#N/A,FALSE,"7.8";#N/A,#N/A,FALSE,"7.9";#N/A,#N/A,FALSE,"7.10";#N/A,#N/A,FALSE,"7.11";#N/A,#N/A,FALSE,"7.12";#N/A,#N/A,FALSE,"7.13";#N/A,#N/A,FALSE,"7.14"}</definedName>
    <definedName name="sdf" hidden="1">{#N/A,#N/A,FALSE,"1.0";#N/A,#N/A,FALSE,"2.1";#N/A,#N/A,FALSE,"2.2";#N/A,#N/A,FALSE,"2.4";#N/A,#N/A,FALSE,"3.1";#N/A,#N/A,FALSE,"3.3";#N/A,#N/A,FALSE,"4.0";#N/A,#N/A,FALSE,"5.1";#N/A,#N/A,FALSE,"6.0";#N/A,#N/A,FALSE,"6.4";#N/A,#N/A,FALSE,"7.3";#N/A,#N/A,FALSE,"7.5";#N/A,#N/A,FALSE,"7.6";#N/A,#N/A,FALSE,"7.7";#N/A,#N/A,FALSE,"7.8";#N/A,#N/A,FALSE,"7.9";#N/A,#N/A,FALSE,"7.10";#N/A,#N/A,FALSE,"7.11";#N/A,#N/A,FALSE,"7.12";#N/A,#N/A,FALSE,"7.13";#N/A,#N/A,FALSE,"7.14"}</definedName>
    <definedName name="SET">#REF!</definedName>
    <definedName name="SHEET1">#REF!</definedName>
    <definedName name="SHEET1A">#REF!</definedName>
    <definedName name="SHEET2">#REF!</definedName>
    <definedName name="SHEET3">#REF!</definedName>
    <definedName name="sintese">#REF!</definedName>
    <definedName name="Site_2R">#REF!</definedName>
    <definedName name="Site_AG">#REF!</definedName>
    <definedName name="Site_AV">#REF!</definedName>
    <definedName name="Site_GC">#REF!</definedName>
    <definedName name="Site_MAT_A">#REF!</definedName>
    <definedName name="Site_MAT_N">#REF!</definedName>
    <definedName name="Site_MAT_RM_ADN">#REF!</definedName>
    <definedName name="Site_MAT_RM_ADS">#REF!</definedName>
    <definedName name="Site_MAT_RM_ASIE">#REF!</definedName>
    <definedName name="Site_MAT_RM_EUR">#REF!</definedName>
    <definedName name="Site_MAT_RT_EUR">#REF!</definedName>
    <definedName name="Site_MAT_S">#REF!</definedName>
    <definedName name="Site_MAT_SF_ADN">#REF!</definedName>
    <definedName name="Site_MAT_SF_ADS">#REF!</definedName>
    <definedName name="Site_MAT_SF_ASIE">#REF!</definedName>
    <definedName name="Site_MAT_SF_EUR">#REF!</definedName>
    <definedName name="Site_MAT_V">#REF!</definedName>
    <definedName name="Site_Pays">#REF!</definedName>
    <definedName name="Site_PLA2">#REF!</definedName>
    <definedName name="Site_PLAI">#REF!</definedName>
    <definedName name="Site_PLCN">#REF!</definedName>
    <definedName name="Site_PLE">#REF!</definedName>
    <definedName name="Site_PLEO">#REF!</definedName>
    <definedName name="Site_PLNA">#REF!</definedName>
    <definedName name="Site_PLSA">#REF!</definedName>
    <definedName name="Site_TCA2">#REF!</definedName>
    <definedName name="Site_TCAR">#REF!</definedName>
    <definedName name="Site_TCAS">#REF!</definedName>
    <definedName name="Site_TCCN">#REF!</definedName>
    <definedName name="Site_TCJK">#REF!</definedName>
    <definedName name="Site_TCRE">#REF!</definedName>
    <definedName name="sku">#REF!</definedName>
    <definedName name="skuall">#REF!</definedName>
    <definedName name="skuis">#REF!</definedName>
    <definedName name="skupl">#REF!</definedName>
    <definedName name="solver_lin" hidden="1">0</definedName>
    <definedName name="solver_num" hidden="1">0</definedName>
    <definedName name="solver_typ" hidden="1">1</definedName>
    <definedName name="solver_val" hidden="1">0</definedName>
    <definedName name="SOP_Favorite_Name">" "</definedName>
    <definedName name="SOP_Planning_Area">"ZSAPIBP1"</definedName>
    <definedName name="SOP_Refresh_Timestamp">43728.4564467593</definedName>
    <definedName name="SOP_Template_Name">"SOP 040 Consensus Demand Plan"</definedName>
    <definedName name="sort">#REF!</definedName>
    <definedName name="sp">#REF!</definedName>
    <definedName name="SPACE">#REF!</definedName>
    <definedName name="split">#REF!</definedName>
    <definedName name="splitdemand">#REF!</definedName>
    <definedName name="ss">#REF!</definedName>
    <definedName name="ssd">#REF!</definedName>
    <definedName name="sss">#REF!</definedName>
    <definedName name="ST">#REF!</definedName>
    <definedName name="START">#REF!</definedName>
    <definedName name="status">#REF!</definedName>
    <definedName name="status_bulk">#REF!</definedName>
    <definedName name="stock">#REF!</definedName>
    <definedName name="stock_daily">#REF!</definedName>
    <definedName name="STUFF">#REF!</definedName>
    <definedName name="SULP">#REF!</definedName>
    <definedName name="sum">#REF!</definedName>
    <definedName name="SUM_P">#REF!</definedName>
    <definedName name="Swvu.AG." hidden="1">#REF!</definedName>
    <definedName name="Swvu.RESUME." hidden="1">#REF!</definedName>
    <definedName name="Swvu.TCE_TL." hidden="1">#REF!</definedName>
    <definedName name="Swvu.TCE_TY." hidden="1">#REF!</definedName>
    <definedName name="Swvu.TOUT." hidden="1">#REF!</definedName>
    <definedName name="sy" hidden="1">#REF!</definedName>
    <definedName name="TABLE_LOTFG">#REF!</definedName>
    <definedName name="TABLE_LOTSHIP">#REF!</definedName>
    <definedName name="tableau">#REF!</definedName>
    <definedName name="tar">#REF!</definedName>
    <definedName name="target">#REF!</definedName>
    <definedName name="TAUXTVA1">#REF!</definedName>
    <definedName name="TAUXTVA2">#REF!</definedName>
    <definedName name="TAUXTVA3">#REF!</definedName>
    <definedName name="TAUXTVA4">#REF!</definedName>
    <definedName name="TECH">#REF!</definedName>
    <definedName name="temp">#REF!</definedName>
    <definedName name="Temp1">#REF!</definedName>
    <definedName name="Temp2">#REF!</definedName>
    <definedName name="Test">#REF!</definedName>
    <definedName name="TEST0">#REF!</definedName>
    <definedName name="TEST1">#REF!</definedName>
    <definedName name="TEST2">#REF!</definedName>
    <definedName name="Teste">#REF!</definedName>
    <definedName name="TESTHKEY">#REF!</definedName>
    <definedName name="TESTKEYS">#REF!</definedName>
    <definedName name="TESTVKEY">#REF!</definedName>
    <definedName name="TextRefCopyRangeCount" hidden="1">21</definedName>
    <definedName name="tgt">#REF!</definedName>
    <definedName name="thanh" localSheetId="0" hidden="1">{#N/A,#N/A,FALSE,"Aging Summary";#N/A,#N/A,FALSE,"Ratio Analysis";#N/A,#N/A,FALSE,"Test 120 Day Accts";#N/A,#N/A,FALSE,"Tickmarks"}</definedName>
    <definedName name="thanh" hidden="1">{#N/A,#N/A,FALSE,"Aging Summary";#N/A,#N/A,FALSE,"Ratio Analysis";#N/A,#N/A,FALSE,"Test 120 Day Accts";#N/A,#N/A,FALSE,"Tickmarks"}</definedName>
    <definedName name="TITREDOC">#REF!</definedName>
    <definedName name="TITREDOSSIER">#REF!</definedName>
    <definedName name="TITRELOT">#REF!</definedName>
    <definedName name="today1">#REF!</definedName>
    <definedName name="TON">#REF!</definedName>
    <definedName name="Total2">#REF!</definedName>
    <definedName name="TpsP">#REF!</definedName>
    <definedName name="TR_IPI">#REF!</definedName>
    <definedName name="TRANG" localSheetId="0" hidden="1">{"'Sheet1'!$L$16"}</definedName>
    <definedName name="TRANG" hidden="1">{"'Sheet1'!$L$16"}</definedName>
    <definedName name="TRANS">#REF!</definedName>
    <definedName name="TRAV">#REF!</definedName>
    <definedName name="tri">#REF!</definedName>
    <definedName name="trial">#REF!</definedName>
    <definedName name="TT" hidden="1">#REF!</definedName>
    <definedName name="ttt">#REF!</definedName>
    <definedName name="TTTT">#REF!</definedName>
    <definedName name="typeclé">#REF!</definedName>
    <definedName name="UH" localSheetId="0" hidden="1">{#N/A,#N/A,FALSE,"Aging Summary";#N/A,#N/A,FALSE,"Ratio Analysis";#N/A,#N/A,FALSE,"Test 120 Day Accts";#N/A,#N/A,FALSE,"Tickmarks"}</definedName>
    <definedName name="UH" hidden="1">{#N/A,#N/A,FALSE,"Aging Summary";#N/A,#N/A,FALSE,"Ratio Analysis";#N/A,#N/A,FALSE,"Test 120 Day Accts";#N/A,#N/A,FALSE,"Tickmarks"}</definedName>
    <definedName name="ukjgtf" localSheetId="0" hidden="1">{#N/A,#N/A,FALSE,"CALCOC"}</definedName>
    <definedName name="ukjgtf" hidden="1">{#N/A,#N/A,FALSE,"CALCOC"}</definedName>
    <definedName name="uop">#REF!</definedName>
    <definedName name="uu">#REF!</definedName>
    <definedName name="VERIF">#REF!</definedName>
    <definedName name="VERROU">#REF!</definedName>
    <definedName name="visu_graphe">#REF!</definedName>
    <definedName name="visu_t1">#REF!</definedName>
    <definedName name="visu_t2">#REF!</definedName>
    <definedName name="visu_t3">#REF!</definedName>
    <definedName name="visu_t4">#REF!</definedName>
    <definedName name="VMI_Top">#REF!</definedName>
    <definedName name="was">#REF!</definedName>
    <definedName name="WEEK">#REF!</definedName>
    <definedName name="wp">#REF!</definedName>
    <definedName name="WRK_EXP">#REF!</definedName>
    <definedName name="wrn.actions." localSheetId="0" hidden="1">{#N/A,#N/A,FALSE,"1.0";#N/A,#N/A,FALSE,"2.1";#N/A,#N/A,FALSE,"2.2";#N/A,#N/A,FALSE,"2.4";#N/A,#N/A,FALSE,"3.1";#N/A,#N/A,FALSE,"3.3";#N/A,#N/A,FALSE,"4.0";#N/A,#N/A,FALSE,"5.1";#N/A,#N/A,FALSE,"6.0";#N/A,#N/A,FALSE,"6.4";#N/A,#N/A,FALSE,"7.3";#N/A,#N/A,FALSE,"7.5";#N/A,#N/A,FALSE,"7.6";#N/A,#N/A,FALSE,"7.7";#N/A,#N/A,FALSE,"7.8";#N/A,#N/A,FALSE,"7.9";#N/A,#N/A,FALSE,"7.10";#N/A,#N/A,FALSE,"7.11";#N/A,#N/A,FALSE,"7.12";#N/A,#N/A,FALSE,"7.13";#N/A,#N/A,FALSE,"7.14"}</definedName>
    <definedName name="wrn.actions." hidden="1">{#N/A,#N/A,FALSE,"1.0";#N/A,#N/A,FALSE,"2.1";#N/A,#N/A,FALSE,"2.2";#N/A,#N/A,FALSE,"2.4";#N/A,#N/A,FALSE,"3.1";#N/A,#N/A,FALSE,"3.3";#N/A,#N/A,FALSE,"4.0";#N/A,#N/A,FALSE,"5.1";#N/A,#N/A,FALSE,"6.0";#N/A,#N/A,FALSE,"6.4";#N/A,#N/A,FALSE,"7.3";#N/A,#N/A,FALSE,"7.5";#N/A,#N/A,FALSE,"7.6";#N/A,#N/A,FALSE,"7.7";#N/A,#N/A,FALSE,"7.8";#N/A,#N/A,FALSE,"7.9";#N/A,#N/A,FALSE,"7.10";#N/A,#N/A,FALSE,"7.11";#N/A,#N/A,FALSE,"7.12";#N/A,#N/A,FALSE,"7.13";#N/A,#N/A,FALSE,"7.14"}</definedName>
    <definedName name="wrn.Aging._.and._.Trend._.Analysis." localSheetId="0" hidden="1">{#N/A,#N/A,FALSE,"Aging Summary";#N/A,#N/A,FALSE,"Ratio Analysis";#N/A,#N/A,FALSE,"Test 120 Day Accts";#N/A,#N/A,FALSE,"Tickmarks"}</definedName>
    <definedName name="wrn.Aging._.and._.Trend._.Analysis." hidden="1">{#N/A,#N/A,FALSE,"Aging Summary";#N/A,#N/A,FALSE,"Ratio Analysis";#N/A,#N/A,FALSE,"Test 120 Day Accts";#N/A,#N/A,FALSE,"Tickmarks"}</definedName>
    <definedName name="wrn.Bilan._.mensuel._.Rechapage." localSheetId="0" hidden="1">{#N/A,#N/A,FALSE,"Feuil1"}</definedName>
    <definedName name="wrn.Bilan._.mensuel._.Rechapage." hidden="1">{#N/A,#N/A,FALSE,"Feuil1"}</definedName>
    <definedName name="wrn.COSTE_E." localSheetId="0" hidden="1">{#N/A,#N/A,FALSE,"C_ENE96";#N/A,#N/A,FALSE,"C_CATEG";#N/A,#N/A,FALSE,"C_DIC96"}</definedName>
    <definedName name="wrn.COSTE_E." hidden="1">{#N/A,#N/A,FALSE,"C_ENE96";#N/A,#N/A,FALSE,"C_CATEG";#N/A,#N/A,FALSE,"C_DIC96"}</definedName>
    <definedName name="wrn.Printout." localSheetId="0" hidden="1">{#N/A,#N/A,FALSE,"PC-Page 1";#N/A,#N/A,FALSE,"PC-Page 2";#N/A,#N/A,FALSE,"PC-Page 3";"mainpage",#N/A,FALSE,"PC-Page 4";#N/A,#N/A,FALSE,"Attachment 1";#N/A,#N/A,FALSE,"Attachment 2";#N/A,#N/A,FALSE,"Attachment 3";"simplified",#N/A,FALSE,"Attachment 4"}</definedName>
    <definedName name="wrn.Printout." hidden="1">{#N/A,#N/A,FALSE,"PC-Page 1";#N/A,#N/A,FALSE,"PC-Page 2";#N/A,#N/A,FALSE,"PC-Page 3";"mainpage",#N/A,FALSE,"PC-Page 4";#N/A,#N/A,FALSE,"Attachment 1";#N/A,#N/A,FALSE,"Attachment 2";#N/A,#N/A,FALSE,"Attachment 3";"simplified",#N/A,FALSE,"Attachment 4"}</definedName>
    <definedName name="wrn.Printout2" localSheetId="0" hidden="1">{#N/A,#N/A,FALSE,"PC-Page 1";#N/A,#N/A,FALSE,"PC-Page 2";#N/A,#N/A,FALSE,"PC-Page 3";"mainpage",#N/A,FALSE,"PC-Page 4";#N/A,#N/A,FALSE,"Attachment 1";#N/A,#N/A,FALSE,"Attachment 2";#N/A,#N/A,FALSE,"Attachment 3";"simplified",#N/A,FALSE,"Attachment 4"}</definedName>
    <definedName name="wrn.Printout2" hidden="1">{#N/A,#N/A,FALSE,"PC-Page 1";#N/A,#N/A,FALSE,"PC-Page 2";#N/A,#N/A,FALSE,"PC-Page 3";"mainpage",#N/A,FALSE,"PC-Page 4";#N/A,#N/A,FALSE,"Attachment 1";#N/A,#N/A,FALSE,"Attachment 2";#N/A,#N/A,FALSE,"Attachment 3";"simplified",#N/A,FALSE,"Attachment 4"}</definedName>
    <definedName name="wrn.teste." localSheetId="0" hidden="1">{#N/A,#N/A,FALSE,"&lt;&lt;&lt;Cronograma Molde 1999&gt;&gt;&gt;"}</definedName>
    <definedName name="wrn.teste." hidden="1">{#N/A,#N/A,FALSE,"&lt;&lt;&lt;Cronograma Molde 1999&gt;&gt;&gt;"}</definedName>
    <definedName name="wrn.TOUT." localSheetId="0" hidden="1">{#N/A,#N/A,FALSE,"IPI.XLS";"GRAPH",#N/A,FALSE,"IPI.XLS"}</definedName>
    <definedName name="wrn.TOUT." hidden="1">{#N/A,#N/A,FALSE,"IPI.XLS";"GRAPH",#N/A,FALSE,"IPI.XLS"}</definedName>
    <definedName name="wrn.Toutes." localSheetId="0" hidden="1">{#N/A,#N/A,FALSE,"PLPA_Reste_Asie";#N/A,#N/A,FALSE,"PLPA_Australie";#N/A,#N/A,FALSE,"PLPA_Chine";#N/A,#N/A,FALSE,"PLPA_Thailande";#N/A,#N/A,FALSE,"PLPA_OE_Japon";#N/A,#N/A,FALSE,"PMA_Moyen_Orient";#N/A,#N/A,FALSE,"PMA_Reste_Zone_Afri";#N/A,#N/A,FALSE,"PMA_Egyp_AfSud";#N/A,#N/A,FALSE,"PMA_Turquie";#N/A,#N/A,FALSE,"PMA_Nigeria";#N/A,#N/A,FALSE,"PLNA_RT_BFG_MX_Am.C";#N/A,#N/A,FALSE,"PLNA_RT_BFG_US_CA";#N/A,#N/A,FALSE,"PLNA_RT_MI_MX_AmC";#N/A,#N/A,FALSE,"PLNA_RT_MI_US_CA";#N/A,#N/A,FALSE,"PLNA_OE_Mi_Mex";#N/A,#N/A,FALSE,"PLNA_OE_Mi_US_CA";#N/A,#N/A,FALSE,"PLSA_Caraibes";#N/A,#N/A,FALSE,"PLSA_Pacte Andin";#N/A,#N/A,FALSE,"PLSA_Mercosur";#N/A,#N/A,FALSE,"PLSA_RTB";#N/A,#N/A,FALSE,"PLSA_OE";#N/A,#N/A,FALSE,"PLE_RTE";#N/A,#N/A,FALSE,"PLE_RTW";#N/A,#N/A,FALSE,"PLE_OE2";#N/A,#N/A,FALSE,"PLE_OE1"}</definedName>
    <definedName name="wrn.Toutes." hidden="1">{#N/A,#N/A,FALSE,"PLPA_Reste_Asie";#N/A,#N/A,FALSE,"PLPA_Australie";#N/A,#N/A,FALSE,"PLPA_Chine";#N/A,#N/A,FALSE,"PLPA_Thailande";#N/A,#N/A,FALSE,"PLPA_OE_Japon";#N/A,#N/A,FALSE,"PMA_Moyen_Orient";#N/A,#N/A,FALSE,"PMA_Reste_Zone_Afri";#N/A,#N/A,FALSE,"PMA_Egyp_AfSud";#N/A,#N/A,FALSE,"PMA_Turquie";#N/A,#N/A,FALSE,"PMA_Nigeria";#N/A,#N/A,FALSE,"PLNA_RT_BFG_MX_Am.C";#N/A,#N/A,FALSE,"PLNA_RT_BFG_US_CA";#N/A,#N/A,FALSE,"PLNA_RT_MI_MX_AmC";#N/A,#N/A,FALSE,"PLNA_RT_MI_US_CA";#N/A,#N/A,FALSE,"PLNA_OE_Mi_Mex";#N/A,#N/A,FALSE,"PLNA_OE_Mi_US_CA";#N/A,#N/A,FALSE,"PLSA_Caraibes";#N/A,#N/A,FALSE,"PLSA_Pacte Andin";#N/A,#N/A,FALSE,"PLSA_Mercosur";#N/A,#N/A,FALSE,"PLSA_RTB";#N/A,#N/A,FALSE,"PLSA_OE";#N/A,#N/A,FALSE,"PLE_RTE";#N/A,#N/A,FALSE,"PLE_RTW";#N/A,#N/A,FALSE,"PLE_OE2";#N/A,#N/A,FALSE,"PLE_OE1"}</definedName>
    <definedName name="wrn.wwrfreferf." localSheetId="0" hidden="1">{#N/A,#N/A,FALSE,"CALCOC"}</definedName>
    <definedName name="wrn.wwrfreferf." hidden="1">{#N/A,#N/A,FALSE,"CALCOC"}</definedName>
    <definedName name="wvu.AG." localSheetId="0" hidden="1">{TRUE,TRUE,-2,-16.25,486,231.75,FALSE,TRUE,TRUE,TRUE,0,1,7,1,5,5,4,4,TRUE,TRUE,3,TRUE,1,TRUE,100,"Swvu.AG.","ACwvu.AG.",1,FALSE,FALSE,0.78740157480315,0.78740157480315,0.984251968503937,0.78740157480315,2,"&amp;L&amp;""Arial,Gras""De : Simon RAPPENNE
A   : Courrier =&gt; MM. KRIER - MARTINET
        Mail =&gt; Mme ROLAND - MM. CHIOCCHETTI - KIELICH - VANNESSON
""D2""&amp;C&amp;""Arial,Gras""&amp;12C.R.I.  REELS A LA CATEGORIE&amp;R&amp;""Arial,Gras""TCE/EMA/X
Le &amp;D           ","&amp;L&amp;""Arial""Référence : &amp;F&amp;C&amp;""Arial""Page &amp;P",TRUE,FALSE,FALSE,TRUE,1,83,#N/A,#N/A,FALSE,"=C1:C2,R1:R7","Rwvu.AG.",#N/A,FALSE,FALSE,FALSE,1,300,300,FALSE,FALSE,TRUE,TRUE,TRUE}</definedName>
    <definedName name="wvu.AG." hidden="1">{TRUE,TRUE,-2,-16.25,486,231.75,FALSE,TRUE,TRUE,TRUE,0,1,7,1,5,5,4,4,TRUE,TRUE,3,TRUE,1,TRUE,100,"Swvu.AG.","ACwvu.AG.",1,FALSE,FALSE,0.78740157480315,0.78740157480315,0.984251968503937,0.78740157480315,2,"&amp;L&amp;""Arial,Gras""De : Simon RAPPENNE
A   : Courrier =&gt; MM. KRIER - MARTINET
        Mail =&gt; Mme ROLAND - MM. CHIOCCHETTI - KIELICH - VANNESSON
""D2""&amp;C&amp;""Arial,Gras""&amp;12C.R.I.  REELS A LA CATEGORIE&amp;R&amp;""Arial,Gras""TCE/EMA/X
Le &amp;D           ","&amp;L&amp;""Arial""Référence : &amp;F&amp;C&amp;""Arial""Page &amp;P",TRUE,FALSE,FALSE,TRUE,1,83,#N/A,#N/A,FALSE,"=C1:C2,R1:R7","Rwvu.AG.",#N/A,FALSE,FALSE,FALSE,1,300,300,FALSE,FALSE,TRUE,TRUE,TRUE}</definedName>
    <definedName name="wvu.praes_d1." localSheetId="0" hidden="1">{TRUE,TRUE,-1.25,-15.5,484.5,253.5,FALSE,TRUE,TRUE,TRUE,0,1,#N/A,1,#N/A,14.15,43.5714285714286,1,FALSE,FALSE,3,TRUE,1,FALSE,75,"Swvu.praes_d1.","ACwvu.praes_d1.",#N/A,FALSE,FALSE,0.5,0.5,0.67,0.73,2,"","&amp;L&amp;F&amp;CSeite &amp;P&amp;R&amp;D",FALSE,FALSE,FALSE,FALSE,1,#N/A,1,1,FALSE,FALSE,#N/A,"Cwvu.praes_d1.",FALSE,FALSE,FALSE,9,65532,65532,FALSE,FALSE,TRUE,TRUE,TRUE}</definedName>
    <definedName name="wvu.praes_d1." hidden="1">{TRUE,TRUE,-1.25,-15.5,484.5,253.5,FALSE,TRUE,TRUE,TRUE,0,1,#N/A,1,#N/A,14.15,43.5714285714286,1,FALSE,FALSE,3,TRUE,1,FALSE,75,"Swvu.praes_d1.","ACwvu.praes_d1.",#N/A,FALSE,FALSE,0.5,0.5,0.67,0.73,2,"","&amp;L&amp;F&amp;CSeite &amp;P&amp;R&amp;D",FALSE,FALSE,FALSE,FALSE,1,#N/A,1,1,FALSE,FALSE,#N/A,"Cwvu.praes_d1.",FALSE,FALSE,FALSE,9,65532,65532,FALSE,FALSE,TRUE,TRUE,TRUE}</definedName>
    <definedName name="wvu.RESUME." localSheetId="0" hidden="1">{TRUE,TRUE,-2,-16.25,486,231.75,FALSE,TRUE,TRUE,TRUE,0,1,3,1,5,2,4,4,TRUE,TRUE,3,TRUE,1,TRUE,100,"Swvu.RESUME.","ACwvu.RESUME.",1,FALSE,FALSE,0.78740157480315,0.78740157480315,0.984251968503937,0.78740157480315,2,"&amp;L&amp;""Arial,Gras""De : Simon RAPPENNE
A   : Courrier =&gt; M. MARTINET
""D2""&amp;C&amp;""Arial,Gras""&amp;12C.R.I.  REELS A LA CATEGORIE&amp;R&amp;""Arial,Gras""TCE/EMA/X
Le &amp;D           ","&amp;L&amp;""Arial""Référence : &amp;F&amp;C&amp;""Arial""Page &amp;P",TRUE,FALSE,FALSE,TRUE,1,83,#N/A,#N/A,FALSE,"=C1:C2,R1:R7","Rwvu.RESUME.",#N/A,FALSE,FALSE,FALSE,1,300,300,FALSE,FALSE,TRUE,TRUE,TRUE}</definedName>
    <definedName name="wvu.RESUME." hidden="1">{TRUE,TRUE,-2,-16.25,486,231.75,FALSE,TRUE,TRUE,TRUE,0,1,3,1,5,2,4,4,TRUE,TRUE,3,TRUE,1,TRUE,100,"Swvu.RESUME.","ACwvu.RESUME.",1,FALSE,FALSE,0.78740157480315,0.78740157480315,0.984251968503937,0.78740157480315,2,"&amp;L&amp;""Arial,Gras""De : Simon RAPPENNE
A   : Courrier =&gt; M. MARTINET
""D2""&amp;C&amp;""Arial,Gras""&amp;12C.R.I.  REELS A LA CATEGORIE&amp;R&amp;""Arial,Gras""TCE/EMA/X
Le &amp;D           ","&amp;L&amp;""Arial""Référence : &amp;F&amp;C&amp;""Arial""Page &amp;P",TRUE,FALSE,FALSE,TRUE,1,83,#N/A,#N/A,FALSE,"=C1:C2,R1:R7","Rwvu.RESUME.",#N/A,FALSE,FALSE,FALSE,1,300,300,FALSE,FALSE,TRUE,TRUE,TRUE}</definedName>
    <definedName name="wvu.TCE_TL." localSheetId="0" hidden="1">{TRUE,TRUE,-2,-16.25,486,231.75,FALSE,TRUE,TRUE,TRUE,0,1,4,1,5,2,4,4,TRUE,TRUE,3,TRUE,1,TRUE,100,"Swvu.TCE_TL.","ACwvu.TCE_TL.",1,FALSE,FALSE,0.78740157480315,0.78740157480315,0.984251968503937,0.78740157480315,2,"&amp;L&amp;""Arial,Gras""De : Simon RAPPENNE
A   : Courrier =&gt; MM. MARTINET - MOUREY
        Mail =&gt; MM. FONTBONNE - LAVIGNE - VERGHADE
""D2""&amp;C&amp;""Arial,Gras""&amp;12C.R.I.  REELS A LA CATEGORIE&amp;R&amp;""Arial,Gras""TCE/EMA/X
Le &amp;D           ","&amp;L&amp;""Arial""Référence : &amp;F&amp;C&amp;""Arial""Page &amp;P",TRUE,FALSE,FALSE,TRUE,1,82,#N/A,#N/A,FALSE,"=C1:C2,R1:R7","Rwvu.TCE_TL.",#N/A,FALSE,FALSE,FALSE,1,300,300,FALSE,FALSE,TRUE,TRUE,TRUE}</definedName>
    <definedName name="wvu.TCE_TL." hidden="1">{TRUE,TRUE,-2,-16.25,486,231.75,FALSE,TRUE,TRUE,TRUE,0,1,4,1,5,2,4,4,TRUE,TRUE,3,TRUE,1,TRUE,100,"Swvu.TCE_TL.","ACwvu.TCE_TL.",1,FALSE,FALSE,0.78740157480315,0.78740157480315,0.984251968503937,0.78740157480315,2,"&amp;L&amp;""Arial,Gras""De : Simon RAPPENNE
A   : Courrier =&gt; MM. MARTINET - MOUREY
        Mail =&gt; MM. FONTBONNE - LAVIGNE - VERGHADE
""D2""&amp;C&amp;""Arial,Gras""&amp;12C.R.I.  REELS A LA CATEGORIE&amp;R&amp;""Arial,Gras""TCE/EMA/X
Le &amp;D           ","&amp;L&amp;""Arial""Référence : &amp;F&amp;C&amp;""Arial""Page &amp;P",TRUE,FALSE,FALSE,TRUE,1,82,#N/A,#N/A,FALSE,"=C1:C2,R1:R7","Rwvu.TCE_TL.",#N/A,FALSE,FALSE,FALSE,1,300,300,FALSE,FALSE,TRUE,TRUE,TRUE}</definedName>
    <definedName name="wvu.TCE_TY." localSheetId="0" hidden="1">{TRUE,TRUE,-2,-16.25,486,231.75,FALSE,TRUE,TRUE,TRUE,0,1,3,1,5,2,4,4,TRUE,TRUE,3,TRUE,1,TRUE,100,"Swvu.TCE_TY.","ACwvu.TCE_TY.",1,FALSE,FALSE,0.78740157480315,0.78740157480315,0.984251968503937,0.78740157480315,2,"&amp;L&amp;""Arial,Gras""De : Simon RAPPENNE
A   : Courrier =&gt; MM. KRIER - MARTINET
        Mail =&gt; MM. BREUZON - CARLHIAN - LAMY - MULLER
""D2""&amp;C&amp;""Arial,Gras""&amp;12C.R.I.  REELS A LA CATEGORIE&amp;R&amp;""Arial,Gras""TCE/EMA/X
Le &amp;D           ","&amp;L&amp;""Arial""Référence : &amp;F&amp;C&amp;""Arial""Page &amp;P",TRUE,FALSE,FALSE,TRUE,1,83,#N/A,#N/A,FALSE,"=C1:C2,R1:R7","Rwvu.TCE_TY.",#N/A,FALSE,FALSE,FALSE,1,300,300,FALSE,FALSE,TRUE,TRUE,TRUE}</definedName>
    <definedName name="wvu.TCE_TY." hidden="1">{TRUE,TRUE,-2,-16.25,486,231.75,FALSE,TRUE,TRUE,TRUE,0,1,3,1,5,2,4,4,TRUE,TRUE,3,TRUE,1,TRUE,100,"Swvu.TCE_TY.","ACwvu.TCE_TY.",1,FALSE,FALSE,0.78740157480315,0.78740157480315,0.984251968503937,0.78740157480315,2,"&amp;L&amp;""Arial,Gras""De : Simon RAPPENNE
A   : Courrier =&gt; MM. KRIER - MARTINET
        Mail =&gt; MM. BREUZON - CARLHIAN - LAMY - MULLER
""D2""&amp;C&amp;""Arial,Gras""&amp;12C.R.I.  REELS A LA CATEGORIE&amp;R&amp;""Arial,Gras""TCE/EMA/X
Le &amp;D           ","&amp;L&amp;""Arial""Référence : &amp;F&amp;C&amp;""Arial""Page &amp;P",TRUE,FALSE,FALSE,TRUE,1,83,#N/A,#N/A,FALSE,"=C1:C2,R1:R7","Rwvu.TCE_TY.",#N/A,FALSE,FALSE,FALSE,1,300,300,FALSE,FALSE,TRUE,TRUE,TRUE}</definedName>
    <definedName name="wvu.TOUT." localSheetId="0" hidden="1">{TRUE,TRUE,-1.25,-15.5,484.5,301.5,FALSE,TRUE,TRUE,TRUE,0,1,3,1,5,2,4,4,TRUE,TRUE,3,TRUE,1,TRUE,100,"Swvu.TOUT.","ACwvu.TOUT.",1,FALSE,FALSE,0.78740157480315,0.78740157480315,0.984251968503937,0.78740157480315,2,"&amp;L&amp;""Arial""&amp;BDe : Simon RAPPENNE
A   : 
""D3""&amp;C&amp;""Arial""&amp;12&amp;BC.R.I.  REELS A LA CATEGORIE&amp;R&amp;""Arial""&amp;BTCE/EMA/X
Le &amp;D           ","&amp;L&amp;""Arial""Référence : &amp;F&amp;C&amp;""Arial""Page &amp;P",TRUE,FALSE,FALSE,TRUE,1,83,#N/A,#N/A,FALSE,"=C1:C2,R1:R7",#N/A,#N/A,FALSE,FALSE}</definedName>
    <definedName name="wvu.TOUT." hidden="1">{TRUE,TRUE,-1.25,-15.5,484.5,301.5,FALSE,TRUE,TRUE,TRUE,0,1,3,1,5,2,4,4,TRUE,TRUE,3,TRUE,1,TRUE,100,"Swvu.TOUT.","ACwvu.TOUT.",1,FALSE,FALSE,0.78740157480315,0.78740157480315,0.984251968503937,0.78740157480315,2,"&amp;L&amp;""Arial""&amp;BDe : Simon RAPPENNE
A   : 
""D3""&amp;C&amp;""Arial""&amp;12&amp;BC.R.I.  REELS A LA CATEGORIE&amp;R&amp;""Arial""&amp;BTCE/EMA/X
Le &amp;D           ","&amp;L&amp;""Arial""Référence : &amp;F&amp;C&amp;""Arial""Page &amp;P",TRUE,FALSE,FALSE,TRUE,1,83,#N/A,#N/A,FALSE,"=C1:C2,R1:R7",#N/A,#N/A,FALSE,FALSE}</definedName>
    <definedName name="ww" localSheetId="0" hidden="1">{#N/A,#N/A,FALSE,"Aging Summary";#N/A,#N/A,FALSE,"Ratio Analysis";#N/A,#N/A,FALSE,"Test 120 Day Accts";#N/A,#N/A,FALSE,"Tickmarks"}</definedName>
    <definedName name="ww" hidden="1">{#N/A,#N/A,FALSE,"Aging Summary";#N/A,#N/A,FALSE,"Ratio Analysis";#N/A,#N/A,FALSE,"Test 120 Day Accts";#N/A,#N/A,FALSE,"Tickmarks"}</definedName>
    <definedName name="www">#REF!</definedName>
    <definedName name="X">#REF!</definedName>
    <definedName name="xExcel">#REF!</definedName>
    <definedName name="xls" localSheetId="0" hidden="1">{"'Sheet1'!$L$16"}</definedName>
    <definedName name="xls" hidden="1">{"'Sheet1'!$L$16"}</definedName>
    <definedName name="xx" localSheetId="0" hidden="1">{#N/A,#N/A,FALSE,"Aging Summary";#N/A,#N/A,FALSE,"Ratio Analysis";#N/A,#N/A,FALSE,"Test 120 Day Accts";#N/A,#N/A,FALSE,"Tickmarks"}</definedName>
    <definedName name="xx" hidden="1">{#N/A,#N/A,FALSE,"Aging Summary";#N/A,#N/A,FALSE,"Ratio Analysis";#N/A,#N/A,FALSE,"Test 120 Day Accts";#N/A,#N/A,FALSE,"Tickmarks"}</definedName>
    <definedName name="xxx_Export_Fcst">#REF!</definedName>
    <definedName name="YEAR">#REF!</definedName>
    <definedName name="ympp516">#REF!</definedName>
    <definedName name="you">#REF!</definedName>
    <definedName name="YTD">"SUM(AA8:AD8)"</definedName>
    <definedName name="ytu">#REF!</definedName>
    <definedName name="yu">#REF!</definedName>
    <definedName name="yui">#REF!</definedName>
    <definedName name="yy">#REF!</definedName>
    <definedName name="yyy">#REF!</definedName>
    <definedName name="ก9">#REF!</definedName>
    <definedName name="กตจ">#REF!</definedName>
    <definedName name="กลอย">#REF!</definedName>
    <definedName name="ดสแ">#REF!</definedName>
    <definedName name="ผ17">#REF!</definedName>
    <definedName name="ผผ">#REF!</definedName>
    <definedName name="ิ19">#REF!</definedName>
    <definedName name="ื17">#REF!,#REF!,#REF!</definedName>
  </definedNames>
  <calcPr calcId="191028"/>
  <fileRecoveryPr autoRecover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90" i="101" l="1"/>
  <c r="P90" i="101"/>
  <c r="U90" i="101"/>
  <c r="U75" i="101"/>
  <c r="U76" i="101"/>
  <c r="U77" i="101"/>
  <c r="U72" i="101"/>
  <c r="U70" i="101"/>
  <c r="U55" i="101"/>
  <c r="U52" i="101"/>
  <c r="U49" i="101"/>
  <c r="U46" i="101"/>
  <c r="U40" i="101"/>
  <c r="U31" i="101"/>
  <c r="U32" i="101"/>
  <c r="U33" i="101"/>
  <c r="U34" i="101"/>
  <c r="U35" i="101"/>
  <c r="U36" i="101"/>
  <c r="U29" i="101"/>
  <c r="U27" i="101"/>
  <c r="U19" i="101"/>
  <c r="U20" i="101"/>
  <c r="U13" i="101"/>
  <c r="U85" i="101"/>
  <c r="U84" i="101"/>
  <c r="U83" i="101"/>
  <c r="U74" i="101"/>
  <c r="U73" i="101"/>
  <c r="U71" i="101"/>
  <c r="U69" i="101"/>
  <c r="U68" i="101"/>
  <c r="U62" i="101"/>
  <c r="U61" i="101"/>
  <c r="U60" i="101"/>
  <c r="U59" i="101"/>
  <c r="U58" i="101"/>
  <c r="U57" i="101"/>
  <c r="U56" i="101"/>
  <c r="U54" i="101"/>
  <c r="U53" i="101"/>
  <c r="U51" i="101"/>
  <c r="U50" i="101"/>
  <c r="U48" i="101"/>
  <c r="U47" i="101"/>
  <c r="U45" i="101"/>
  <c r="U44" i="101"/>
  <c r="U43" i="101"/>
  <c r="U42" i="101"/>
  <c r="U41" i="101"/>
  <c r="U39" i="101"/>
  <c r="U38" i="101"/>
  <c r="U37" i="101"/>
  <c r="U30" i="101"/>
  <c r="U28" i="101"/>
  <c r="U18" i="101"/>
  <c r="U17" i="101"/>
  <c r="U15" i="101"/>
  <c r="U14" i="101"/>
  <c r="U12" i="101"/>
  <c r="U11" i="101"/>
  <c r="U10" i="101"/>
  <c r="U9" i="101"/>
  <c r="A81" i="101"/>
  <c r="A66" i="101"/>
  <c r="A25" i="101"/>
  <c r="U14" i="100"/>
  <c r="U18" i="100"/>
  <c r="U20" i="100"/>
  <c r="U21" i="100"/>
  <c r="U44" i="100"/>
  <c r="U57" i="100"/>
  <c r="U60" i="100"/>
  <c r="U63" i="100"/>
  <c r="U66" i="100"/>
  <c r="U68" i="100"/>
  <c r="U71" i="100"/>
  <c r="U74" i="100"/>
  <c r="U85" i="100"/>
  <c r="U88" i="100"/>
  <c r="U91" i="100"/>
  <c r="U94" i="100"/>
  <c r="U95" i="100"/>
  <c r="U96" i="100"/>
  <c r="U97" i="100"/>
  <c r="U112" i="100"/>
  <c r="P114" i="100"/>
  <c r="U113" i="100"/>
  <c r="U106" i="100"/>
  <c r="U104" i="100"/>
  <c r="U103" i="100"/>
  <c r="U101" i="100"/>
  <c r="U100" i="100"/>
  <c r="U99" i="100"/>
  <c r="U98" i="100"/>
  <c r="U93" i="100"/>
  <c r="U92" i="100"/>
  <c r="U90" i="100"/>
  <c r="U89" i="100"/>
  <c r="U87" i="100"/>
  <c r="U86" i="100"/>
  <c r="U84" i="100"/>
  <c r="U83" i="100"/>
  <c r="U81" i="100"/>
  <c r="U80" i="100"/>
  <c r="U73" i="100"/>
  <c r="U69" i="100"/>
  <c r="U67" i="100"/>
  <c r="U65" i="100"/>
  <c r="U64" i="100"/>
  <c r="U62" i="100"/>
  <c r="U61" i="100"/>
  <c r="U59" i="100"/>
  <c r="U58" i="100"/>
  <c r="U56" i="100"/>
  <c r="U54" i="100"/>
  <c r="U53" i="100"/>
  <c r="U51" i="100"/>
  <c r="U50" i="100"/>
  <c r="U48" i="100"/>
  <c r="U47" i="100"/>
  <c r="U45" i="100"/>
  <c r="U43" i="100"/>
  <c r="U42" i="100"/>
  <c r="U41" i="100"/>
  <c r="U39" i="100"/>
  <c r="U38" i="100"/>
  <c r="U37" i="100"/>
  <c r="U30" i="100"/>
  <c r="U28" i="100"/>
  <c r="U26" i="100"/>
  <c r="U25" i="100"/>
  <c r="U23" i="100"/>
  <c r="U22" i="100"/>
  <c r="U17" i="100"/>
  <c r="U16" i="100"/>
  <c r="U15" i="100"/>
  <c r="U12" i="100"/>
  <c r="U11" i="100"/>
  <c r="U10" i="100"/>
  <c r="U9" i="100"/>
  <c r="U8" i="100"/>
  <c r="A111" i="100"/>
  <c r="A79" i="100"/>
  <c r="A36" i="100"/>
  <c r="A7" i="100"/>
  <c r="P149" i="99"/>
  <c r="U78" i="99"/>
  <c r="U80" i="99"/>
  <c r="U81" i="99"/>
  <c r="U82" i="99"/>
  <c r="U83" i="99"/>
  <c r="U84" i="99"/>
  <c r="U86" i="99"/>
  <c r="U87" i="99"/>
  <c r="U89" i="99"/>
  <c r="U90" i="99"/>
  <c r="U92" i="99"/>
  <c r="U93" i="99"/>
  <c r="U98" i="99"/>
  <c r="U99" i="99"/>
  <c r="U100" i="99"/>
  <c r="U101" i="99"/>
  <c r="U102" i="99"/>
  <c r="U103" i="99"/>
  <c r="U104" i="99"/>
  <c r="U105" i="99"/>
  <c r="U106" i="99"/>
  <c r="U107" i="99"/>
  <c r="U108" i="99"/>
  <c r="U109" i="99"/>
  <c r="U110" i="99"/>
  <c r="U111" i="99"/>
  <c r="U113" i="99"/>
  <c r="U114" i="99"/>
  <c r="U116" i="99"/>
  <c r="U117" i="99"/>
  <c r="U118" i="99"/>
  <c r="U119" i="99"/>
  <c r="U120" i="99"/>
  <c r="U121" i="99"/>
  <c r="U122" i="99"/>
  <c r="U124" i="99"/>
  <c r="U126" i="99"/>
  <c r="U127" i="99"/>
  <c r="U129" i="99"/>
  <c r="U131" i="99"/>
  <c r="U133" i="99"/>
  <c r="U135" i="99"/>
  <c r="U137" i="99"/>
  <c r="U138" i="99"/>
  <c r="U140" i="99"/>
  <c r="U141" i="99"/>
  <c r="U142" i="99"/>
  <c r="U147" i="99"/>
  <c r="U148" i="99"/>
  <c r="U52" i="99"/>
  <c r="U53" i="99"/>
  <c r="U48" i="99"/>
  <c r="U43" i="99"/>
  <c r="U38" i="99"/>
  <c r="U39" i="99"/>
  <c r="U34" i="99"/>
  <c r="U35" i="99"/>
  <c r="U22" i="99"/>
  <c r="U23" i="99"/>
  <c r="U24" i="99"/>
  <c r="U13" i="99"/>
  <c r="U8" i="99"/>
  <c r="U77" i="99"/>
  <c r="U76" i="99"/>
  <c r="U75" i="99"/>
  <c r="U73" i="99"/>
  <c r="U72" i="99"/>
  <c r="U70" i="99"/>
  <c r="U69" i="99"/>
  <c r="U67" i="99"/>
  <c r="U65" i="99"/>
  <c r="U64" i="99"/>
  <c r="U62" i="99"/>
  <c r="U61" i="99"/>
  <c r="U59" i="99"/>
  <c r="U58" i="99"/>
  <c r="U56" i="99"/>
  <c r="U55" i="99"/>
  <c r="U54" i="99"/>
  <c r="U51" i="99"/>
  <c r="U50" i="99"/>
  <c r="U47" i="99"/>
  <c r="U46" i="99"/>
  <c r="U45" i="99"/>
  <c r="U42" i="99"/>
  <c r="U41" i="99"/>
  <c r="U40" i="99"/>
  <c r="U37" i="99"/>
  <c r="U36" i="99"/>
  <c r="U33" i="99"/>
  <c r="U32" i="99"/>
  <c r="U31" i="99"/>
  <c r="U30" i="99"/>
  <c r="U29" i="99"/>
  <c r="U28" i="99"/>
  <c r="U27" i="99"/>
  <c r="U26" i="99"/>
  <c r="U25" i="99"/>
  <c r="U17" i="99"/>
  <c r="U16" i="99"/>
  <c r="U15" i="99"/>
  <c r="U12" i="99"/>
  <c r="U11" i="99"/>
  <c r="U10" i="99"/>
  <c r="U9" i="99"/>
  <c r="E66" i="98"/>
  <c r="A146" i="99"/>
  <c r="A97" i="99"/>
  <c r="A21" i="99"/>
  <c r="A7" i="99"/>
  <c r="U77" i="98"/>
  <c r="U78" i="98"/>
  <c r="T78" i="98"/>
  <c r="S78" i="98"/>
  <c r="R78" i="98"/>
  <c r="Q78" i="98"/>
  <c r="P78" i="98"/>
  <c r="U76" i="98"/>
  <c r="U75" i="98"/>
  <c r="U74" i="98"/>
  <c r="U73" i="98"/>
  <c r="U72" i="98"/>
  <c r="U71" i="98"/>
  <c r="U70" i="98"/>
  <c r="U69" i="98"/>
  <c r="U68" i="98"/>
  <c r="U67" i="98"/>
  <c r="U66" i="98"/>
  <c r="U65" i="98"/>
  <c r="U64" i="98"/>
  <c r="U63" i="98"/>
  <c r="U62" i="98"/>
  <c r="U61" i="98"/>
  <c r="U60" i="98"/>
  <c r="U59" i="98"/>
  <c r="U58" i="98"/>
  <c r="U57" i="98"/>
  <c r="U56" i="98"/>
  <c r="U55" i="98"/>
  <c r="U54" i="98"/>
  <c r="U51" i="98"/>
  <c r="U50" i="98"/>
  <c r="U47" i="98"/>
  <c r="U46" i="98"/>
  <c r="U45" i="98"/>
  <c r="U42" i="98"/>
  <c r="U41" i="98"/>
  <c r="U40" i="98"/>
  <c r="U37" i="98"/>
  <c r="U36" i="98"/>
  <c r="U33" i="98"/>
  <c r="U32" i="98"/>
  <c r="U31" i="98"/>
  <c r="U30" i="98"/>
  <c r="U29" i="98"/>
  <c r="U28" i="98"/>
  <c r="U27" i="98"/>
  <c r="U26" i="98"/>
  <c r="U25" i="98"/>
  <c r="U22" i="98"/>
  <c r="U21" i="98"/>
  <c r="U20" i="98"/>
  <c r="U17" i="98"/>
  <c r="U16" i="98"/>
  <c r="U15" i="98"/>
  <c r="U12" i="98"/>
  <c r="U11" i="98"/>
  <c r="U10" i="98"/>
  <c r="U9" i="98"/>
  <c r="A67" i="98"/>
  <c r="A61" i="98"/>
  <c r="A33" i="98"/>
  <c r="A7" i="98"/>
  <c r="E31" i="98" s="1"/>
  <c r="U77" i="103"/>
  <c r="U59" i="103"/>
  <c r="U60" i="103"/>
  <c r="U61" i="103"/>
  <c r="U62" i="103"/>
  <c r="U63" i="103"/>
  <c r="U64" i="103"/>
  <c r="U65" i="103"/>
  <c r="U66" i="103"/>
  <c r="U67" i="103"/>
  <c r="U68" i="103"/>
  <c r="U69" i="103"/>
  <c r="U70" i="103"/>
  <c r="U71" i="103"/>
  <c r="U72" i="103"/>
  <c r="U73" i="103"/>
  <c r="U74" i="103"/>
  <c r="U75" i="103"/>
  <c r="U76" i="103"/>
  <c r="U54" i="103"/>
  <c r="U55" i="103"/>
  <c r="U56" i="103"/>
  <c r="U57" i="103"/>
  <c r="U58" i="103"/>
  <c r="U45" i="103"/>
  <c r="U46" i="103"/>
  <c r="U47" i="103"/>
  <c r="U50" i="103"/>
  <c r="U51" i="103"/>
  <c r="U32" i="103"/>
  <c r="U33" i="103"/>
  <c r="U36" i="103"/>
  <c r="U37" i="103"/>
  <c r="U40" i="103"/>
  <c r="U41" i="103"/>
  <c r="U42" i="103"/>
  <c r="U20" i="103"/>
  <c r="U21" i="103"/>
  <c r="U22" i="103"/>
  <c r="U25" i="103"/>
  <c r="U26" i="103"/>
  <c r="U27" i="103"/>
  <c r="U28" i="103"/>
  <c r="U29" i="103"/>
  <c r="U30" i="103"/>
  <c r="U31" i="103"/>
  <c r="U15" i="103"/>
  <c r="U16" i="103"/>
  <c r="U17" i="103"/>
  <c r="U10" i="103"/>
  <c r="U11" i="103"/>
  <c r="U12" i="103"/>
  <c r="U9" i="103"/>
  <c r="T77" i="103"/>
  <c r="S77" i="103"/>
  <c r="R77" i="103"/>
  <c r="Q77" i="103"/>
  <c r="P77" i="103"/>
  <c r="E66" i="103"/>
  <c r="E31" i="103"/>
  <c r="I31" i="103"/>
  <c r="I78" i="103"/>
  <c r="I66" i="103"/>
  <c r="R90" i="101" l="1"/>
  <c r="S90" i="101"/>
  <c r="T90" i="101"/>
  <c r="U114" i="100"/>
  <c r="T114" i="100"/>
  <c r="Q114" i="100"/>
  <c r="R114" i="100"/>
  <c r="S114" i="100"/>
  <c r="U149" i="99"/>
  <c r="Q149" i="99"/>
  <c r="R149" i="99"/>
  <c r="S149" i="99"/>
  <c r="T149" i="99"/>
  <c r="E78" i="103" l="1"/>
  <c r="I59" i="103"/>
  <c r="E59" i="103"/>
  <c r="E20" i="103"/>
  <c r="E19" i="103"/>
  <c r="E18" i="103"/>
  <c r="A3" i="103" a="1"/>
  <c r="A3" i="103" s="1"/>
  <c r="A1" i="103"/>
  <c r="A1" i="101"/>
  <c r="A1" i="100"/>
  <c r="A1" i="99"/>
  <c r="A1" i="98"/>
  <c r="A113" i="100"/>
  <c r="A112" i="100"/>
  <c r="E113" i="100"/>
  <c r="E112" i="100"/>
  <c r="E39" i="100"/>
  <c r="A39" i="100"/>
  <c r="E38" i="100"/>
  <c r="A38" i="100"/>
  <c r="E81" i="100"/>
  <c r="E80" i="100"/>
  <c r="E54" i="100"/>
  <c r="E53" i="100"/>
  <c r="E50" i="100"/>
  <c r="E48" i="100"/>
  <c r="E47" i="100"/>
  <c r="E45" i="100"/>
  <c r="E44" i="100"/>
  <c r="E43" i="100"/>
  <c r="E42" i="100"/>
  <c r="E41" i="100"/>
  <c r="E37" i="100"/>
  <c r="E30" i="100"/>
  <c r="E28" i="100"/>
  <c r="I79" i="101"/>
  <c r="E20" i="101"/>
  <c r="I64" i="101"/>
  <c r="E39" i="101"/>
  <c r="A39" i="101"/>
  <c r="E38" i="101"/>
  <c r="A38" i="101"/>
  <c r="E37" i="101"/>
  <c r="A37" i="101"/>
  <c r="E36" i="101"/>
  <c r="A36" i="101"/>
  <c r="E35" i="101"/>
  <c r="A35" i="101"/>
  <c r="E34" i="101"/>
  <c r="A34" i="101"/>
  <c r="E33" i="101"/>
  <c r="A33" i="101"/>
  <c r="E32" i="101"/>
  <c r="A32" i="101"/>
  <c r="E55" i="101"/>
  <c r="A55" i="101"/>
  <c r="E54" i="101"/>
  <c r="A54" i="101"/>
  <c r="E53" i="101"/>
  <c r="A53" i="101"/>
  <c r="E52" i="101"/>
  <c r="A52" i="101"/>
  <c r="E51" i="101"/>
  <c r="A51" i="101"/>
  <c r="E50" i="101"/>
  <c r="A50" i="101"/>
  <c r="E49" i="101"/>
  <c r="A49" i="101"/>
  <c r="E48" i="101"/>
  <c r="A48" i="101"/>
  <c r="E59" i="101"/>
  <c r="A59" i="101"/>
  <c r="E58" i="101"/>
  <c r="A58" i="101"/>
  <c r="E57" i="101"/>
  <c r="A57" i="101"/>
  <c r="E56" i="101"/>
  <c r="A56" i="101"/>
  <c r="E61" i="101"/>
  <c r="A61" i="101"/>
  <c r="E60" i="101"/>
  <c r="A60" i="101"/>
  <c r="E46" i="101"/>
  <c r="A46" i="101"/>
  <c r="E45" i="101"/>
  <c r="A45" i="101"/>
  <c r="E44" i="101"/>
  <c r="A44" i="101"/>
  <c r="E62" i="101"/>
  <c r="A62" i="101"/>
  <c r="E47" i="101"/>
  <c r="A47" i="101"/>
  <c r="E43" i="101"/>
  <c r="A43" i="101"/>
  <c r="E42" i="101"/>
  <c r="A42" i="101"/>
  <c r="E41" i="101"/>
  <c r="E40" i="101"/>
  <c r="E31" i="101"/>
  <c r="E30" i="101"/>
  <c r="E29" i="101"/>
  <c r="E28" i="101"/>
  <c r="A41" i="101"/>
  <c r="A40" i="101"/>
  <c r="A31" i="101"/>
  <c r="A30" i="101"/>
  <c r="A29" i="101"/>
  <c r="A28" i="101"/>
  <c r="I109" i="100"/>
  <c r="I77" i="100"/>
  <c r="A43" i="100"/>
  <c r="A37" i="100"/>
  <c r="A51" i="100"/>
  <c r="A50" i="100"/>
  <c r="A28" i="100"/>
  <c r="A30" i="100"/>
  <c r="E15" i="101"/>
  <c r="A15" i="101"/>
  <c r="A68" i="101"/>
  <c r="E68" i="101"/>
  <c r="A27" i="101"/>
  <c r="E27" i="101"/>
  <c r="E14" i="101"/>
  <c r="A14" i="101"/>
  <c r="I19" i="99"/>
  <c r="I150" i="99"/>
  <c r="E19" i="99"/>
  <c r="I144" i="99"/>
  <c r="I23" i="101"/>
  <c r="A20" i="101"/>
  <c r="E19" i="101"/>
  <c r="A19" i="101"/>
  <c r="E18" i="101"/>
  <c r="A18" i="101"/>
  <c r="E77" i="101"/>
  <c r="A77" i="101"/>
  <c r="A76" i="101"/>
  <c r="A75" i="101"/>
  <c r="A74" i="101"/>
  <c r="A73" i="101"/>
  <c r="A72" i="101"/>
  <c r="A71" i="101"/>
  <c r="A70" i="101"/>
  <c r="A69" i="101"/>
  <c r="E76" i="101"/>
  <c r="E75" i="101"/>
  <c r="E74" i="101"/>
  <c r="E73" i="101"/>
  <c r="E72" i="101"/>
  <c r="E71" i="101"/>
  <c r="E70" i="101"/>
  <c r="E69" i="101"/>
  <c r="E9" i="101"/>
  <c r="A9" i="101"/>
  <c r="E13" i="101"/>
  <c r="E12" i="101"/>
  <c r="E11" i="101"/>
  <c r="E10" i="101"/>
  <c r="A13" i="101"/>
  <c r="A12" i="101"/>
  <c r="A11" i="101"/>
  <c r="A10" i="101"/>
  <c r="E85" i="101"/>
  <c r="A85" i="101"/>
  <c r="E84" i="101"/>
  <c r="A84" i="101"/>
  <c r="E83" i="101"/>
  <c r="A83" i="101"/>
  <c r="E17" i="101"/>
  <c r="A17" i="101"/>
  <c r="E23" i="101"/>
  <c r="A54" i="100"/>
  <c r="A81" i="100"/>
  <c r="A80" i="100"/>
  <c r="A53" i="100"/>
  <c r="A48" i="100"/>
  <c r="A47" i="100"/>
  <c r="A45" i="100"/>
  <c r="A44" i="100"/>
  <c r="A42" i="100"/>
  <c r="A41" i="100"/>
  <c r="A26" i="100"/>
  <c r="A25" i="100"/>
  <c r="A21" i="100"/>
  <c r="A22" i="100"/>
  <c r="A23" i="100"/>
  <c r="A20" i="100"/>
  <c r="A15" i="100"/>
  <c r="A16" i="100"/>
  <c r="A17" i="100"/>
  <c r="A18" i="100"/>
  <c r="A14" i="100"/>
  <c r="A9" i="100"/>
  <c r="A10" i="100"/>
  <c r="A11" i="100"/>
  <c r="A12" i="100"/>
  <c r="A8" i="100"/>
  <c r="I79" i="98"/>
  <c r="I66" i="98"/>
  <c r="I80" i="103" l="1"/>
  <c r="I31" i="98"/>
  <c r="I59" i="98"/>
  <c r="E20" i="98"/>
  <c r="E19" i="98"/>
  <c r="E18" i="98"/>
  <c r="E26" i="100"/>
  <c r="E25" i="100"/>
  <c r="E21" i="100"/>
  <c r="E22" i="100"/>
  <c r="E23" i="100"/>
  <c r="E20" i="100"/>
  <c r="E15" i="100"/>
  <c r="E16" i="100"/>
  <c r="E17" i="100"/>
  <c r="E18" i="100"/>
  <c r="E14" i="100"/>
  <c r="E9" i="100"/>
  <c r="E10" i="100"/>
  <c r="E11" i="100"/>
  <c r="E12" i="100"/>
  <c r="E8" i="100"/>
  <c r="I34" i="100"/>
  <c r="E34" i="100"/>
  <c r="I115" i="100"/>
  <c r="I87" i="101"/>
  <c r="E87" i="101"/>
  <c r="E79" i="101"/>
  <c r="E64" i="101"/>
  <c r="I89" i="101" s="1"/>
  <c r="A3" i="101" a="1"/>
  <c r="A3" i="101" s="1"/>
  <c r="E115" i="100"/>
  <c r="E109" i="100"/>
  <c r="E77" i="100"/>
  <c r="A3" i="100" a="1"/>
  <c r="A3" i="100" s="1"/>
  <c r="E150" i="99"/>
  <c r="E144" i="99"/>
  <c r="E95" i="99"/>
  <c r="A3" i="99" a="1"/>
  <c r="A3" i="99" s="1"/>
  <c r="E79" i="98"/>
  <c r="E59" i="98"/>
  <c r="A3" i="98" a="1"/>
  <c r="A3" i="98" s="1"/>
  <c r="I81" i="98" s="1"/>
  <c r="I117" i="100" l="1"/>
  <c r="I152" i="99" l="1"/>
  <c r="I95" i="99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<sst xmlns="http://schemas.openxmlformats.org/spreadsheetml/2006/main" count="3004" uniqueCount="672">
  <si>
    <t xml:space="preserve">
  Metric Consulting Engineers &amp; Architects Co.,Ltd.</t>
  </si>
  <si>
    <t xml:space="preserve">
Metric Consulting Engineers &amp; Architects Co.,Ltd.</t>
  </si>
  <si>
    <r>
      <t xml:space="preserve">Document Number:
    </t>
    </r>
    <r>
      <rPr>
        <b/>
        <sz val="16"/>
        <rFont val="FreesiaUPC"/>
        <family val="2"/>
      </rPr>
      <t xml:space="preserve"> </t>
    </r>
    <r>
      <rPr>
        <b/>
        <sz val="16"/>
        <color rgb="FF0000FF"/>
        <rFont val="FreesiaUPC"/>
        <family val="2"/>
      </rPr>
      <t>TP-PM-DSN-006</t>
    </r>
  </si>
  <si>
    <r>
      <t xml:space="preserve">Document Type:
          </t>
    </r>
    <r>
      <rPr>
        <b/>
        <sz val="16"/>
        <color rgb="FF0000FF"/>
        <rFont val="FreesiaUPC"/>
        <family val="2"/>
      </rPr>
      <t>TEMPLATE</t>
    </r>
  </si>
  <si>
    <r>
      <t xml:space="preserve">Discipline:
   </t>
    </r>
    <r>
      <rPr>
        <sz val="16"/>
        <color rgb="FF0000FF"/>
        <rFont val="FreesiaUPC"/>
        <family val="2"/>
      </rPr>
      <t xml:space="preserve">       </t>
    </r>
    <r>
      <rPr>
        <b/>
        <sz val="16"/>
        <color rgb="FF0000FF"/>
        <rFont val="FreesiaUPC"/>
        <family val="2"/>
      </rPr>
      <t>PMO</t>
    </r>
  </si>
  <si>
    <r>
      <t xml:space="preserve">Revision:
            </t>
    </r>
    <r>
      <rPr>
        <b/>
        <sz val="16"/>
        <color rgb="FF0000FF"/>
        <rFont val="FreesiaUPC"/>
        <family val="2"/>
      </rPr>
      <t>01</t>
    </r>
  </si>
  <si>
    <r>
      <t xml:space="preserve">Issue Date:
          </t>
    </r>
    <r>
      <rPr>
        <b/>
        <sz val="16"/>
        <color rgb="FF0000FF"/>
        <rFont val="FreesiaUPC"/>
        <family val="2"/>
      </rPr>
      <t>07-MAY-26</t>
    </r>
  </si>
  <si>
    <r>
      <t xml:space="preserve">Author:
          </t>
    </r>
    <r>
      <rPr>
        <b/>
        <sz val="16"/>
        <color rgb="FF0000FF"/>
        <rFont val="FreesiaUPC"/>
        <family val="2"/>
      </rPr>
      <t>PKP</t>
    </r>
  </si>
  <si>
    <t>Drawing List</t>
  </si>
  <si>
    <t>REVISIONS</t>
  </si>
  <si>
    <t>Rev.</t>
  </si>
  <si>
    <t>Issued date</t>
  </si>
  <si>
    <t>Created by</t>
  </si>
  <si>
    <t>Reviewed by</t>
  </si>
  <si>
    <t>Approved by</t>
  </si>
  <si>
    <t>Remark</t>
  </si>
  <si>
    <t>00</t>
  </si>
  <si>
    <t>PKP</t>
  </si>
  <si>
    <t>ANC</t>
  </si>
  <si>
    <t>First issue</t>
  </si>
  <si>
    <t>01</t>
  </si>
  <si>
    <t>Add Create/Review/Approve's Position</t>
  </si>
  <si>
    <r>
      <t xml:space="preserve">PROJECT NAME
</t>
    </r>
    <r>
      <rPr>
        <sz val="10"/>
        <color rgb="FF000000"/>
        <rFont val="Arial"/>
        <family val="2"/>
      </rPr>
      <t>LOCATION, PROVINCE, THAILAND</t>
    </r>
  </si>
  <si>
    <t>Insert project name, project location, and client's company logo</t>
  </si>
  <si>
    <t>DRAWING LIST</t>
  </si>
  <si>
    <t>Overall Drawing Progress (as of DD Mmm YY)</t>
  </si>
  <si>
    <t>To input progress for each deliverable submission (optional)</t>
  </si>
  <si>
    <t>Civil Works</t>
  </si>
  <si>
    <t>Architectural Works</t>
  </si>
  <si>
    <t>Structural Works</t>
  </si>
  <si>
    <t>Mechanical Works</t>
  </si>
  <si>
    <t>Electrical Works</t>
  </si>
  <si>
    <t>To register revision of drawing list for each submission.</t>
  </si>
  <si>
    <t>No.</t>
  </si>
  <si>
    <t>Description</t>
  </si>
  <si>
    <t>By</t>
  </si>
  <si>
    <t>Date</t>
  </si>
  <si>
    <t>Remarks</t>
  </si>
  <si>
    <t>DOCUMENT NUMBER</t>
  </si>
  <si>
    <t>CREATED</t>
  </si>
  <si>
    <t>REVIEWED</t>
  </si>
  <si>
    <t>APPROVED</t>
  </si>
  <si>
    <t>2XXX-PM-LST-02-Rx Drawing List</t>
  </si>
  <si>
    <t>Name S.</t>
  </si>
  <si>
    <t>Document project number. XXXX indicates Metric's project number. If a project number is 2023-21, XXXX is to be 2321.</t>
  </si>
  <si>
    <t>PCO</t>
  </si>
  <si>
    <t>PM</t>
  </si>
  <si>
    <t>PD</t>
  </si>
  <si>
    <t>Responsible</t>
  </si>
  <si>
    <t>Leader</t>
  </si>
  <si>
    <t>Execute</t>
  </si>
  <si>
    <t>Draftman</t>
  </si>
  <si>
    <t>DD weight</t>
  </si>
  <si>
    <t>50DD</t>
  </si>
  <si>
    <t>100DD</t>
  </si>
  <si>
    <t>Total Progress</t>
  </si>
  <si>
    <t>Drawing number</t>
  </si>
  <si>
    <t>Descriptions</t>
  </si>
  <si>
    <t>Rv.</t>
  </si>
  <si>
    <t>Size</t>
  </si>
  <si>
    <t>type</t>
  </si>
  <si>
    <t>Plan</t>
  </si>
  <si>
    <t>Actual</t>
  </si>
  <si>
    <t>dd
MMM</t>
  </si>
  <si>
    <t>General Drawing</t>
  </si>
  <si>
    <t>18043-LM000 01105</t>
  </si>
  <si>
    <t>-</t>
  </si>
  <si>
    <t>DDD</t>
  </si>
  <si>
    <t>Plot Plan &amp; Location Map</t>
  </si>
  <si>
    <t>A</t>
  </si>
  <si>
    <t>AFC</t>
  </si>
  <si>
    <t>KSB</t>
  </si>
  <si>
    <t>18043-LM000 01105-P</t>
  </si>
  <si>
    <t>18043-LM000 01112</t>
  </si>
  <si>
    <t xml:space="preserve">Covered Passage Way (190-642) - Plans, Section and Detail </t>
  </si>
  <si>
    <t>18043-LM000 01113</t>
  </si>
  <si>
    <t xml:space="preserve">Covered Passage Way (190-642) - Elevations, Sections and Details </t>
  </si>
  <si>
    <t>18043-LMBME 01051</t>
  </si>
  <si>
    <t xml:space="preserve">Project Design Outline </t>
  </si>
  <si>
    <t>NPM</t>
  </si>
  <si>
    <t>18043-LMBME 01052</t>
  </si>
  <si>
    <t>Abbreviation &amp; Finihsing Material list</t>
  </si>
  <si>
    <t>18043-LMBME 01053</t>
  </si>
  <si>
    <t>BLDG. 646 &amp; 191-1 Room Schedule</t>
  </si>
  <si>
    <t>18043-LMBME 01054</t>
  </si>
  <si>
    <t>18043-LMBME 01055</t>
  </si>
  <si>
    <t>18043-LMBME 01056</t>
  </si>
  <si>
    <t>18043-LMBME 01057</t>
  </si>
  <si>
    <t xml:space="preserve">BLDG. 646 &amp; 191-1 &amp; 191 - Fire Compartment &amp; Evacuation Plan </t>
  </si>
  <si>
    <t>18043-LMBMS 01101</t>
  </si>
  <si>
    <t>Typical Architectural Details Sheet 1 (Metal roof sheet)</t>
  </si>
  <si>
    <t>18043-LMBMS 01102</t>
  </si>
  <si>
    <t>Typical Architectural Details Sheet 2 (Sandwich panel )</t>
  </si>
  <si>
    <t>18043-LMBMS 01103</t>
  </si>
  <si>
    <t>Typical Architectural Details Sheet 3 (Protection  , Handrail)</t>
  </si>
  <si>
    <t>18043-LMBMS 01104</t>
  </si>
  <si>
    <t>Typical Architectural Details Sheet 4 (Masonry Detail)</t>
  </si>
  <si>
    <t>Typical Architectural Details Sheet 4 (Fire proof joint)</t>
  </si>
  <si>
    <t>PTF</t>
  </si>
  <si>
    <t>PMO</t>
  </si>
  <si>
    <t>Building Name or Area Name 1</t>
  </si>
  <si>
    <t>18043-LM646 01101</t>
  </si>
  <si>
    <t>Ground Floor Plan EL.+00 , Mezzanine 1A Floor Plan EL.+10.00</t>
  </si>
  <si>
    <t>18043-LM646 01102</t>
  </si>
  <si>
    <t>Mezzanine 1B Floor Plan EL.+14.00 &amp; 2nd Floor plan EL.+20.00</t>
  </si>
  <si>
    <t>18043-LM646 01103</t>
  </si>
  <si>
    <t>Mezzanine 2A Floor Plan EL.+25.00 &amp; 3rd Floor Plan EL.+30.00</t>
  </si>
  <si>
    <t>18043-LM646 01104</t>
  </si>
  <si>
    <t>Roof Plan El.+36.00</t>
  </si>
  <si>
    <t>18043-LM646 01105</t>
  </si>
  <si>
    <t xml:space="preserve">Fire Compartment &amp; Evacuation Plan </t>
  </si>
  <si>
    <t>18043-LM646 01106</t>
  </si>
  <si>
    <t>Ground Floor Building Protection Plan</t>
  </si>
  <si>
    <t>18043-LM646 01107</t>
  </si>
  <si>
    <t>Ground Floor Process Clear Height Plan</t>
  </si>
  <si>
    <t>18043-LM646 01108</t>
  </si>
  <si>
    <t>Sections Sheet 1</t>
  </si>
  <si>
    <t>18043-LM646 01109</t>
  </si>
  <si>
    <t>Sections Sheet 2</t>
  </si>
  <si>
    <t>18043-LM646 01110</t>
  </si>
  <si>
    <t>Sections Sheet 3</t>
  </si>
  <si>
    <t>18043-LM646 01111</t>
  </si>
  <si>
    <t>Elevations Sheet 1</t>
  </si>
  <si>
    <t>18043-LM646 01112</t>
  </si>
  <si>
    <t>Elevations Sheet 2</t>
  </si>
  <si>
    <t>18043-LM646 01121</t>
  </si>
  <si>
    <t>Wall Section &amp; Section Details sheet 1</t>
  </si>
  <si>
    <t>18043-LM646 01122</t>
  </si>
  <si>
    <t>Wall Section &amp; Section Details sheet 2</t>
  </si>
  <si>
    <t>18043-LM646 01123</t>
  </si>
  <si>
    <t>Wall Section &amp; Section Details sheet 3</t>
  </si>
  <si>
    <t>18043-LM646 01124</t>
  </si>
  <si>
    <t>Stair 646ST-1 Details</t>
  </si>
  <si>
    <t>18043-LM646 01125</t>
  </si>
  <si>
    <t>Stair 646ST-2 Details</t>
  </si>
  <si>
    <t>18043-LM646 01126</t>
  </si>
  <si>
    <t>Stair 646ST-3,4 Details</t>
  </si>
  <si>
    <t>18043-LM646 01127</t>
  </si>
  <si>
    <t xml:space="preserve">Door and Window Details </t>
  </si>
  <si>
    <t>18043-LM646 01128</t>
  </si>
  <si>
    <t>Enlarge Detail sheet 1</t>
  </si>
  <si>
    <t>18043-LM646 01129</t>
  </si>
  <si>
    <t>Enlarge Detail sheet 2</t>
  </si>
  <si>
    <t>Building Name or Area Name 2</t>
  </si>
  <si>
    <t>18043-LM191-1 01101</t>
  </si>
  <si>
    <t xml:space="preserve">Steel Stair modification </t>
  </si>
  <si>
    <t>Building Name or Area Name 3</t>
  </si>
  <si>
    <t>Ground Floor  - Roof plans</t>
  </si>
  <si>
    <t>18043-LM191-1 01102</t>
  </si>
  <si>
    <t>18043-LM191-1 01103</t>
  </si>
  <si>
    <t>18043-LM191-1 01121</t>
  </si>
  <si>
    <t>Wall Section &amp; Section Detail sheet 1</t>
  </si>
  <si>
    <t>18043-LM191-1 01122</t>
  </si>
  <si>
    <t xml:space="preserve">Stair 191-1ST-31 Detail </t>
  </si>
  <si>
    <t>18043-LM191-1 01123</t>
  </si>
  <si>
    <t>18043-LM191-1 01124</t>
  </si>
  <si>
    <t>18043-LM191-1 01125</t>
  </si>
  <si>
    <t>GRAND-TOTAL CIVIL DRAWINGS</t>
  </si>
  <si>
    <t>18043-LMBMS 01501</t>
  </si>
  <si>
    <t>Typical Structural Details &amp; General Notes Sheet 1</t>
  </si>
  <si>
    <t>18043-LMBMS 01502</t>
  </si>
  <si>
    <t>Typical Structural Details &amp; General Notes Sheet 2</t>
  </si>
  <si>
    <t>18043-LMBMS 01503</t>
  </si>
  <si>
    <t>Typical Structural Details &amp; General Notes Sheet 3</t>
  </si>
  <si>
    <t>18043-LMBMS 01701</t>
  </si>
  <si>
    <t>Typical Steel Connection Sheet 1</t>
  </si>
  <si>
    <t>18043-LMBMS 01702</t>
  </si>
  <si>
    <t>Typical Steel Connection Sheet 2</t>
  </si>
  <si>
    <t>18043-LMBMS 01703</t>
  </si>
  <si>
    <t>Typical Steel Connection Sheet 3</t>
  </si>
  <si>
    <t>18043-LMBME 01501</t>
  </si>
  <si>
    <t xml:space="preserve">Overall Demolition Floor Plan </t>
  </si>
  <si>
    <t>18043-LMBME 01502</t>
  </si>
  <si>
    <t>Demolition Floor Plan sheet1</t>
  </si>
  <si>
    <t>18043-LMBME 01503</t>
  </si>
  <si>
    <t>Demolition Floor Plan sheet2</t>
  </si>
  <si>
    <t>18043-LM646 01501</t>
  </si>
  <si>
    <t>Piling Plan</t>
  </si>
  <si>
    <t>18043-LM646 01502</t>
  </si>
  <si>
    <t>Foundation Plan</t>
  </si>
  <si>
    <t>18043-LM646 01503</t>
  </si>
  <si>
    <t>1 Floor Loading Plan</t>
  </si>
  <si>
    <t>18043-LM646 01504</t>
  </si>
  <si>
    <t>1 Floor Framing Plan</t>
  </si>
  <si>
    <t>18043-LM646 01505</t>
  </si>
  <si>
    <t>1.1 Floor Loading Plan</t>
  </si>
  <si>
    <t>18043-LM646 01506</t>
  </si>
  <si>
    <t>1.1 Floor Framing Plan</t>
  </si>
  <si>
    <t>18043-LM646 01507</t>
  </si>
  <si>
    <t>1.2 Floor Loading Plan</t>
  </si>
  <si>
    <t>18043-LM646 01508</t>
  </si>
  <si>
    <t>1.2 Floor Framing Plan</t>
  </si>
  <si>
    <t>18043-LM646 01509</t>
  </si>
  <si>
    <t>2 Floor Loading Plan</t>
  </si>
  <si>
    <t>18043-LM646 01510</t>
  </si>
  <si>
    <t>2  Floor Framing Plan</t>
  </si>
  <si>
    <t>18043-LM646 01511</t>
  </si>
  <si>
    <t>2.1 Floor Loading Plan</t>
  </si>
  <si>
    <t>18043-LM646 01512</t>
  </si>
  <si>
    <t>2.1 Floor Framing Plan</t>
  </si>
  <si>
    <t>18043-LM646 01513</t>
  </si>
  <si>
    <t>2.2 Floor Loading Plan</t>
  </si>
  <si>
    <t>18043-LM646 01514</t>
  </si>
  <si>
    <t>2.2 Floor Framing Plan</t>
  </si>
  <si>
    <t>18043-LM646 01515</t>
  </si>
  <si>
    <t>Roof Slab Loading Plan</t>
  </si>
  <si>
    <t>18043-LM646 01516</t>
  </si>
  <si>
    <t>Roof Slab Framing Plan</t>
  </si>
  <si>
    <t>18043-LM646 01517</t>
  </si>
  <si>
    <t>Top Roof Loading Plan</t>
  </si>
  <si>
    <t>18043-LM646 01518</t>
  </si>
  <si>
    <t>Top Roof Framing Plan</t>
  </si>
  <si>
    <t>18043-LM646 01519</t>
  </si>
  <si>
    <t>Framing Elevation Sheet1</t>
  </si>
  <si>
    <t>18043-LM646 01520</t>
  </si>
  <si>
    <t>Framing Elevation Sheet2</t>
  </si>
  <si>
    <t>18043-LM646 01521</t>
  </si>
  <si>
    <t>Framing Elevation Sheet3</t>
  </si>
  <si>
    <t>18043-LM646 01522</t>
  </si>
  <si>
    <t>Framing Elevation Sheet4</t>
  </si>
  <si>
    <t>18043-LM646 01531</t>
  </si>
  <si>
    <t>Foundation Details Sheet1</t>
  </si>
  <si>
    <t>18043-LM646 01532</t>
  </si>
  <si>
    <t>Foundation Details Sheet2</t>
  </si>
  <si>
    <t>18043-LM646 01533</t>
  </si>
  <si>
    <t>Foundation Details Sheet3</t>
  </si>
  <si>
    <t>18043-LM646 01534</t>
  </si>
  <si>
    <t>Foundation Details Sheet4</t>
  </si>
  <si>
    <t>18043-LM646 01541</t>
  </si>
  <si>
    <t>Ground Floor Slab Reinforcement Plan Sheet1</t>
  </si>
  <si>
    <t>18043-LM646 01542</t>
  </si>
  <si>
    <t>Ground Floor Slab Reinforcement Plan Sheet2</t>
  </si>
  <si>
    <t>18043-LM646 01543</t>
  </si>
  <si>
    <t>2 Floor Slab Reinforcement Plan Sheet1</t>
  </si>
  <si>
    <t>18043-LM646 01544</t>
  </si>
  <si>
    <t>2 Floor Slab Reinforcement Plan Sheet2</t>
  </si>
  <si>
    <t>18043-LM646 01545</t>
  </si>
  <si>
    <t>Roof Slab Reinforcement Details</t>
  </si>
  <si>
    <t>18043-LM646 01546</t>
  </si>
  <si>
    <t>Slab Reinforcement Sections Sheet1</t>
  </si>
  <si>
    <t>18043-LM646 01547</t>
  </si>
  <si>
    <t>Slab Reinforcement Sections Sheet2</t>
  </si>
  <si>
    <t>18043-LM646 01551</t>
  </si>
  <si>
    <t>Slab Reinforcement Continuity Typical Details Sheet 1</t>
  </si>
  <si>
    <t>18043-LM646 01552</t>
  </si>
  <si>
    <t>Slab Reinforcement Continuity Typical Details Sheet 2</t>
  </si>
  <si>
    <t>18043-LM646 01561</t>
  </si>
  <si>
    <t>RC Miscellaneous Details Sheet1</t>
  </si>
  <si>
    <t>18043-LM646 01562</t>
  </si>
  <si>
    <t>RC Miscellaneous Details Sheet2</t>
  </si>
  <si>
    <t>18043-LM646 01701</t>
  </si>
  <si>
    <t>Steel Stair Details Sheet1</t>
  </si>
  <si>
    <t>18043-LM646 01702</t>
  </si>
  <si>
    <t>Steel Stair Details Sheet2</t>
  </si>
  <si>
    <t>18043-LM646 01711</t>
  </si>
  <si>
    <t>Steel Stair Connection Details Sheet1</t>
  </si>
  <si>
    <t>18043-LM646 01721</t>
  </si>
  <si>
    <t>Lift Details Sheet 1</t>
  </si>
  <si>
    <t>18043-LM646 01722</t>
  </si>
  <si>
    <t>Lift Details Sheet 2</t>
  </si>
  <si>
    <t>18043-LM646 01731</t>
  </si>
  <si>
    <t>Steel Miscellaneous Details Sheet1</t>
  </si>
  <si>
    <t>18043-LM646 01732</t>
  </si>
  <si>
    <t>Steel Miscellaneous Details Sheet2</t>
  </si>
  <si>
    <t>18043-LM646 01741</t>
  </si>
  <si>
    <t>Column Baseplate Details Sheet1</t>
  </si>
  <si>
    <t>18043-LM646 01742</t>
  </si>
  <si>
    <t>Column Baseplate Details Sheet2</t>
  </si>
  <si>
    <t>18043-LM646 01743</t>
  </si>
  <si>
    <t>Column Baseplate Details Sheet3</t>
  </si>
  <si>
    <t>18043-LM646 01744</t>
  </si>
  <si>
    <t>Column Baseplate Details Sheet4</t>
  </si>
  <si>
    <t>18043-LM646 01751</t>
  </si>
  <si>
    <t>Built-Up Section</t>
  </si>
  <si>
    <t>18043-LM646 01752</t>
  </si>
  <si>
    <t>Steel Connection Details Sheet 1</t>
  </si>
  <si>
    <t>18043-LM646 01753</t>
  </si>
  <si>
    <t>Steel Connection Details Sheet 2</t>
  </si>
  <si>
    <t>18043-LM646 01754</t>
  </si>
  <si>
    <t>Steel Connection Details Sheet 3</t>
  </si>
  <si>
    <t>18043-LM646 01755</t>
  </si>
  <si>
    <t>Steel Connection Details Sheet 4</t>
  </si>
  <si>
    <t>18043-LM646 01761</t>
  </si>
  <si>
    <t>Typical X-bracing Details Sheet 1</t>
  </si>
  <si>
    <t>18043-LM646 01762</t>
  </si>
  <si>
    <t>Typical X-bracing Details Sheet 2</t>
  </si>
  <si>
    <t>18043-LM646 01771</t>
  </si>
  <si>
    <t>Steel Beam To Steel Beam Connection Details Sheet 1</t>
  </si>
  <si>
    <t>18043-LM646 01772</t>
  </si>
  <si>
    <t>Steel Beam To Steel Beam Connection Details Sheet 2</t>
  </si>
  <si>
    <t>18043-LM646 01781</t>
  </si>
  <si>
    <t>Specific Steel Connection Details Sheet1</t>
  </si>
  <si>
    <t>18043-LM646 01782</t>
  </si>
  <si>
    <t>Specific Steel Connection Details Sheet2</t>
  </si>
  <si>
    <t>18043-LM191-1 01501</t>
  </si>
  <si>
    <t>18043-LM191-1 01502</t>
  </si>
  <si>
    <t>18043-LM191-1 01503</t>
  </si>
  <si>
    <t>Ground Floor Loading Plan</t>
  </si>
  <si>
    <t>18043-LM191-1 01504</t>
  </si>
  <si>
    <t>Ground Floor Framing Plan</t>
  </si>
  <si>
    <t>18043-LM191-1 01505</t>
  </si>
  <si>
    <t>2nd Floor Loading Plan</t>
  </si>
  <si>
    <t>18043-LM191-1 01506</t>
  </si>
  <si>
    <t>2nd Floor Framing Plan</t>
  </si>
  <si>
    <t>18043-LM191-1 01507</t>
  </si>
  <si>
    <t>3rd Floor Loading Plan</t>
  </si>
  <si>
    <t>18043-LM191-1 01508</t>
  </si>
  <si>
    <t>3rd Floor Framing Plan</t>
  </si>
  <si>
    <t>18043-LM191-1 01509</t>
  </si>
  <si>
    <t>4th Floor Loading Plan</t>
  </si>
  <si>
    <t>18043-LM191-1 01510</t>
  </si>
  <si>
    <t>4th Floor Framing Plan</t>
  </si>
  <si>
    <t>18043-LM191-1 01511</t>
  </si>
  <si>
    <t>18043-LM191-1 01512</t>
  </si>
  <si>
    <t>18043-LM191-1 01513</t>
  </si>
  <si>
    <t>18043-LM191-1 01514</t>
  </si>
  <si>
    <t>18043-LM191-1 01521</t>
  </si>
  <si>
    <t>18043-LM191-1 01522</t>
  </si>
  <si>
    <t>18043-LM191-1 01531</t>
  </si>
  <si>
    <t>18043-LM191-1 01532</t>
  </si>
  <si>
    <t>18043-LM191-1 01533</t>
  </si>
  <si>
    <t xml:space="preserve">2nd Floor Slab Reinforcement Plan </t>
  </si>
  <si>
    <t>18043-LM191-1 01534</t>
  </si>
  <si>
    <t>3rd Floor Slab Reinforcement Plan</t>
  </si>
  <si>
    <t>18043-LM191-1 01535</t>
  </si>
  <si>
    <t>4th Floor Slab Reinforcement Plan</t>
  </si>
  <si>
    <t>18043-LM191-1 01536</t>
  </si>
  <si>
    <t>18043-LM191-1 01537</t>
  </si>
  <si>
    <t>18043-LM191-1 01541</t>
  </si>
  <si>
    <t>18043-LM191-1 01551</t>
  </si>
  <si>
    <t>18043-LM191-1 01552</t>
  </si>
  <si>
    <t>18043-LM191-1 01701</t>
  </si>
  <si>
    <t>18043-LM191-1 01711</t>
  </si>
  <si>
    <t>18043-LM191-1 01721</t>
  </si>
  <si>
    <t>18043-LM191-1 01731</t>
  </si>
  <si>
    <t>18043-LM191-1 01741</t>
  </si>
  <si>
    <t>18043-LM191-1 01742</t>
  </si>
  <si>
    <t>18043-LM191-1 01751</t>
  </si>
  <si>
    <t>18043-LM191-1 01752</t>
  </si>
  <si>
    <t>18043-LM191-1 01753</t>
  </si>
  <si>
    <t>18043-LM520 01501</t>
  </si>
  <si>
    <t>Modification Work Details Sheet 1</t>
  </si>
  <si>
    <t>18043-LM520 01502</t>
  </si>
  <si>
    <t>Modification Work Details Sheet 2</t>
  </si>
  <si>
    <t>A0</t>
  </si>
  <si>
    <t>LMBMS 08214   Rv.7A  Typical Details Sheet 1</t>
  </si>
  <si>
    <t>LMBMS 08215   Rv.7A  Typical Details Sheet 2</t>
  </si>
  <si>
    <t>LMBMS 08217   Rv.5  Fire Door Operation Typical Details</t>
  </si>
  <si>
    <t>LMBMS 08218   Rv.4A  Fire Protection Abbreviation and General Note</t>
  </si>
  <si>
    <t>LMBMS 08219   Rv.3A  Typical Details Sheet 3</t>
  </si>
  <si>
    <t>LMBMS 08311 Rv.16 Typical Details Sheet 1</t>
  </si>
  <si>
    <t>LMBMS 08312 Rv.16 Typical Details Sheet 2</t>
  </si>
  <si>
    <t>LMBMS 08313 Rv.16 Typical Details Sheet 3</t>
  </si>
  <si>
    <t xml:space="preserve">LMBMS 08314 Rv.16 Typical Details Sheet 4 </t>
  </si>
  <si>
    <t>LMBMS 08315 Rv.16 Typical Details Sheet 5</t>
  </si>
  <si>
    <t>LMBMS 08513 Rv.13 Typical Details Sheet 1</t>
  </si>
  <si>
    <t>LMBMS 08514 Rv.13 Typical Details Sheet 2</t>
  </si>
  <si>
    <t>LMBMS 08515 Rv.13 Typical Details Sheet 3</t>
  </si>
  <si>
    <t>LMBMS 08517 Rv.2 Fluids Abbreviation and General Note</t>
  </si>
  <si>
    <t>A3</t>
  </si>
  <si>
    <t>LMBMS 09301 Rv.6 Control Unit and Wiring Typical Details Sheet 1</t>
  </si>
  <si>
    <t>LMBMS 09302 Rv.9 Control Unit and Wiring Typical Details Sheet 2</t>
  </si>
  <si>
    <t xml:space="preserve">LM000 08251 Rv.10 Outside Building - Fire Protection System - Modification Plan </t>
  </si>
  <si>
    <t>LMBME 08222 Rv.1C Overall Layout - Piping Outside Building Plan</t>
  </si>
  <si>
    <t xml:space="preserve">LMBME 08553   Rv.18 Main Pipe Racks Fluid Distribution Diagram </t>
  </si>
  <si>
    <t>LM000 08253   Rv.3 Covered Passageway (190-642) - Fire Protection Plan &amp; Sections</t>
  </si>
  <si>
    <t>LM000 08504 Rv.3 Bladder Post, AFC Workshop &amp; TBM Workshop - Piping Plans &amp; Details</t>
  </si>
  <si>
    <t>LMBME 08560 Rv.0c Main Pipes Rack Piping Layout</t>
  </si>
  <si>
    <t>LM103 08201 Rv.5 Fire Water System - Plans</t>
  </si>
  <si>
    <t>LM103 08202 Rv.2 Fire Water System - Sections</t>
  </si>
  <si>
    <t>LM103 08203 Rv.A LV2 Room - PLans &amp; Diagram</t>
  </si>
  <si>
    <t>LM103 08301 Rv.3 Air Conditioning &amp; Ventilation System - P&amp;I Diagram</t>
  </si>
  <si>
    <t>LM103 08302 Rv.3 Air Conditioning &amp; Ventilation System - Plan &amp; Section</t>
  </si>
  <si>
    <t>LM263 08101 Rv.0 Plumbing Plan and Details</t>
  </si>
  <si>
    <t>LM263 08301 Rv.0 Ventilation Plans</t>
  </si>
  <si>
    <t>LM642 08251   Rv.8 Fire Protection Plan &amp; Section</t>
  </si>
  <si>
    <t>HVAC System - Plans &amp; Sections</t>
  </si>
  <si>
    <t>LM642 08302</t>
  </si>
  <si>
    <t>LM651 08201 Rv.2 Fire Water System - Plan &amp; Sections</t>
  </si>
  <si>
    <t>LM651 08301 Rv.2 Air Conditioning System - Plan, Section And P&amp;I Diagram</t>
  </si>
  <si>
    <t>18043-LM646 08201</t>
  </si>
  <si>
    <t>Fire Protection System - Ground Floor Sprinkler Plan</t>
  </si>
  <si>
    <t>18043-LM646 08202</t>
  </si>
  <si>
    <t>Fire Protection System - Ground Floor Mezzanine Sprinkler Plan</t>
  </si>
  <si>
    <t>18043-LM646 08203</t>
  </si>
  <si>
    <t>Fire Protection System - 2nd Floor Sprinkler Plan</t>
  </si>
  <si>
    <t>18043-LM646 08204</t>
  </si>
  <si>
    <t>Fire Protection System - 2nd Floor Mezzanine Sprinkler Plan</t>
  </si>
  <si>
    <t>18043-LM646 08205</t>
  </si>
  <si>
    <t>Fire Protection System - Ground Floor Fire Hose Cabinet and Fire Extinguisher Plan</t>
  </si>
  <si>
    <t>18043-LM646 08206</t>
  </si>
  <si>
    <t>Fire Protection System - 2nd Floor Fire Hose Cabinet and Fire Extinguisher Plan</t>
  </si>
  <si>
    <t>18043-LM646 08207</t>
  </si>
  <si>
    <t>Fire Protection System - Sections and Details</t>
  </si>
  <si>
    <t>18043-LM646 08301</t>
  </si>
  <si>
    <t>HVAC System - P&amp;I Diagram</t>
  </si>
  <si>
    <t>18043-LM646 08302</t>
  </si>
  <si>
    <t>HVAC System - Ground Floor Plan</t>
  </si>
  <si>
    <t>18043-LM646 08303</t>
  </si>
  <si>
    <t>HVAC System - 2nd Floor Plan</t>
  </si>
  <si>
    <t>18043-LM646 08304</t>
  </si>
  <si>
    <t>HVAC System - Section and Details</t>
  </si>
  <si>
    <t>18043-LM646 08501</t>
  </si>
  <si>
    <t>Fluids System - Ground Floor Plan</t>
  </si>
  <si>
    <t>18043-LM646 08502</t>
  </si>
  <si>
    <t>Fluids System - 2nd Floor Plan</t>
  </si>
  <si>
    <t>18043-LM646 08503</t>
  </si>
  <si>
    <t>Fluids System - Sections and Details</t>
  </si>
  <si>
    <t>18043-LM646 08851</t>
  </si>
  <si>
    <t>Instrument Datasheets</t>
  </si>
  <si>
    <t>18043-LM646 09301</t>
  </si>
  <si>
    <t>Control Wiring 1</t>
  </si>
  <si>
    <t>18043-LM646 09302</t>
  </si>
  <si>
    <t>Control Wiring 2</t>
  </si>
  <si>
    <t>LM190 08210 Rv.1 Fire Protection Plan And Sections</t>
  </si>
  <si>
    <t>LM190 08305 Rv.2 Ground &amp; Second Floor - HVAC Plan and Details</t>
  </si>
  <si>
    <t>18043-LM191-1 08201</t>
  </si>
  <si>
    <t>LM190 08202</t>
  </si>
  <si>
    <t>18043-LM191-1 08202</t>
  </si>
  <si>
    <t>LM190 08203</t>
  </si>
  <si>
    <t>18043-LM191-1 08203</t>
  </si>
  <si>
    <t>Fire Protection System - 3rd Floor Sprinkler Plan</t>
  </si>
  <si>
    <t>LM190 08204</t>
  </si>
  <si>
    <t>18043-LM191-1 08204</t>
  </si>
  <si>
    <t>Fire Protection System - 4th Floor Sprinkler Plan</t>
  </si>
  <si>
    <t>LM190 08205</t>
  </si>
  <si>
    <t>18043-LM191-1 08205</t>
  </si>
  <si>
    <t>LM190 08206</t>
  </si>
  <si>
    <t>18043-LM191-1 08206</t>
  </si>
  <si>
    <t>LM190 08207</t>
  </si>
  <si>
    <t>18043-LM191-1 08207</t>
  </si>
  <si>
    <t>Fire Protection System - 3rd Floor Fire Hose Cabinet and Fire Extinguisher Plan</t>
  </si>
  <si>
    <t>LM190 08208</t>
  </si>
  <si>
    <t>18043-LM191-1 08208</t>
  </si>
  <si>
    <t>Fire Protection System - 4th Floor Fire Hose Cabinet and Fire Extinguisher Plan</t>
  </si>
  <si>
    <t>LM190 08209</t>
  </si>
  <si>
    <t>18043-LM191-1 08209</t>
  </si>
  <si>
    <t>Fire Protection System - Roof Floor Fire Hose Cabinet and Fire Extinguisher Plan</t>
  </si>
  <si>
    <t>LM190 08210</t>
  </si>
  <si>
    <t>18043-LM191-1 08210</t>
  </si>
  <si>
    <t>18043-LM191-1 08301</t>
  </si>
  <si>
    <t>LM191 08301</t>
  </si>
  <si>
    <t>18043-LM191-1 08302</t>
  </si>
  <si>
    <t>LM191 08303</t>
  </si>
  <si>
    <t>18043-LM191-1 08303</t>
  </si>
  <si>
    <t>LM191 08304</t>
  </si>
  <si>
    <t>18043-LM191-1 08304</t>
  </si>
  <si>
    <t>HVAC System - 3rd Floor Plan</t>
  </si>
  <si>
    <t>LM191 08305</t>
  </si>
  <si>
    <t>18043-LM191-1 08305</t>
  </si>
  <si>
    <t>HVAC System - 4th Floor Plan</t>
  </si>
  <si>
    <t>LM191 08306</t>
  </si>
  <si>
    <t>18043-LM191-1 08306</t>
  </si>
  <si>
    <t>HVAC System - Roof Floor Plan</t>
  </si>
  <si>
    <t>LM191 08307</t>
  </si>
  <si>
    <t>18043-LM191-1 08307</t>
  </si>
  <si>
    <t>HVAC System - Sections and Details</t>
  </si>
  <si>
    <t>18043-LM191-1 08501</t>
  </si>
  <si>
    <t>Fluids System - Plans</t>
  </si>
  <si>
    <t>18043-LM191-1 08502</t>
  </si>
  <si>
    <t>18043-LM191-1 09301</t>
  </si>
  <si>
    <t>Control Wiring 1 exhaust fan (relocation)</t>
  </si>
  <si>
    <t>18043-LM191-1 09302</t>
  </si>
  <si>
    <t>Control Wiring 2 pressurized fan</t>
  </si>
  <si>
    <t>18043-LM191-1 08851</t>
  </si>
  <si>
    <t xml:space="preserve">LM520 08209   Rv.3 Roof Plan </t>
  </si>
  <si>
    <t>LM520 08210   Rv.2 Intermediate Plan &amp; Section</t>
  </si>
  <si>
    <t>GRAND-TOTAL MECHANICAL DRAWINGS</t>
  </si>
  <si>
    <t>LMBMS 09017 Rv.16B Electrical Legend and Symbols</t>
  </si>
  <si>
    <t>LMBMS 09026 Rv.A Electrical Typical Details Sheet 1</t>
  </si>
  <si>
    <t>LMBMS 09027 Rv.A Electrical Typical Details Sheet 2</t>
  </si>
  <si>
    <t>LMBMS 09028 Rv.A Electrical Typical Details Sheet 3</t>
  </si>
  <si>
    <t>LMBMS 09029 Rv.A Electrical Typical Details Sheet 4</t>
  </si>
  <si>
    <t>LMBMS 09030 Rv.A Electrical Typical Details Sheet 5</t>
  </si>
  <si>
    <t>LMBMS 09031 Rv.A Lighting Specification</t>
  </si>
  <si>
    <t>LM000 09558 Rv.1 General Electrical Work - Cable Tray Layout For B.191 (Modification)</t>
  </si>
  <si>
    <t>LM000 09577 Rv.A Main feeder layout plan 646 Building</t>
  </si>
  <si>
    <t>LM000 09578 Rv.A Main feeder layout plan 191-1 Building</t>
  </si>
  <si>
    <t>LM000 09579 Rv.A Main feeder layout plan 190 D xxx</t>
  </si>
  <si>
    <t>LM646 09101 Rv.A List of Lighting Requirement</t>
  </si>
  <si>
    <t>LM646 09102 Rv.A 1st Floor Lighting Plan</t>
  </si>
  <si>
    <t>LM646 09103 Rv.A 1st Floor Mezzanine Lighting Plan</t>
  </si>
  <si>
    <t>LM646 09104 Rv.A 2nd Floor Lighting Plan</t>
  </si>
  <si>
    <t>LM646 09105 Rv.A 2nd Floor Mezzanine Lighting Plan</t>
  </si>
  <si>
    <t>LM646 09106 Rv.A 1st Floor Emergency Light and Exit Light Plan</t>
  </si>
  <si>
    <t>LM646 09107 Rv.A 1st Floor Mezzanine Emergency Light and Exit Light Plan</t>
  </si>
  <si>
    <t>LM646 09108 Rv.A 2nd Floor Emergency Light and Exit Light Plan</t>
  </si>
  <si>
    <t>LM646 09109 Rv.A 2nd Floor Mezzanine Emergency Light and Exit Light Plan</t>
  </si>
  <si>
    <t>LM646 09110 Rv.A 1st Floor Receptacle and Power Supply Plan</t>
  </si>
  <si>
    <t>LM646 09111 Rv.A 1st Floor Mezzanine Receptacle and Power Supply Plan</t>
  </si>
  <si>
    <t>LM646 09112 Rv.A 2nd Floor Receptacle and Power Supply Plan</t>
  </si>
  <si>
    <t>LM646 09113 Rv.A 2nd Floor Mezzanine Receptacle and Power Supply Plan</t>
  </si>
  <si>
    <t>LM646 09201 Rv.A 1st Floor Fire Alarm Plan</t>
  </si>
  <si>
    <t>LM646 09202 Rv.A 1st Floor Mezzanine Fire Alarm Plan</t>
  </si>
  <si>
    <t>LM646 09203 Rv.A 2nd Floor Fire Alarm Plan</t>
  </si>
  <si>
    <t>LM646 09204 Rv.A 2nd Floor Mezzanine Fire Alarm Plan</t>
  </si>
  <si>
    <t>LM646 09401 Rv.A 1st Floor Telephone, and Data Network Plan</t>
  </si>
  <si>
    <t>LM646 09402 Rv.A 1st Floor Mezzanine Telephone, and Data Network Plan</t>
  </si>
  <si>
    <t>LM646 09403 Rv.A 2nd Floor Telephone, and Data Network Plan</t>
  </si>
  <si>
    <t>LM646 09404 Rv.A 2nd Floor Mezzanine Telephone, and Data Network Plan</t>
  </si>
  <si>
    <t>LM646 09405 Rv.A 1st Floor Access Control, CCTV Plan</t>
  </si>
  <si>
    <t>LM646 09406 Rv.A 1st Floor Mezzanine Access Control, CCTV Plan</t>
  </si>
  <si>
    <t>LM646 09407 Rv.A 2nd Floor Access Control, CCTV Plan</t>
  </si>
  <si>
    <t>LM646 09408 Rv.A 2nd Floor Mezzanine Access Control, CCTV Plan</t>
  </si>
  <si>
    <t>LM646 09409 Rv.A 1st Floor Monitoring Plan</t>
  </si>
  <si>
    <t>LM646 09410 Rv.A 1st Floor Mezzanine Monitoring Plan</t>
  </si>
  <si>
    <t>LM646 09411 Rv.A 2nd Floor Monitoring Plan</t>
  </si>
  <si>
    <t>LM646 09412 Rv.A 2nd Floor Mezzanine Monitoring Plan</t>
  </si>
  <si>
    <t>LM646 09501 Rv.A Single Line, and Sub Single Line Diagram</t>
  </si>
  <si>
    <t>LM646 09502 Rv.A 1st Floor Power Distribution Plan</t>
  </si>
  <si>
    <t>LM646 09503 Rv.A 1st Floor Mezzanine Power Distribution Plan</t>
  </si>
  <si>
    <t>LM646 09504 Rv.A 2nd Floor Power Distribution Plan</t>
  </si>
  <si>
    <t>LM646 09505 Rv.A 2nd Floor Mezzanine Power Distribution Plan</t>
  </si>
  <si>
    <t>LM646 09701 Rv.A Lightning Protection System Plan</t>
  </si>
  <si>
    <t>LM646 09702 Rv.A Grounding System Plan</t>
  </si>
  <si>
    <t>LM191-1 09101 Rv.A List of Lighting Requirement</t>
  </si>
  <si>
    <t>LM191-1 09102 Rv.A Ground and 2nd Floor Lighting, Emergency Light and Exit Light Plans</t>
  </si>
  <si>
    <t>LM191-1 09103 Rv.A 3rd and Roof Floor Lighting, Emergency Light and Exit Light Plans</t>
  </si>
  <si>
    <t>LM191-1 09201 Rv.A Fire Alarm System Diagram, Ground and 2nd Floor Fire Alarm Plans</t>
  </si>
  <si>
    <t>LM191-1 09202 Rv.A 3rd and Roof Floor Fire Alarm Plans</t>
  </si>
  <si>
    <t>LM191-1 09401 Rv.A Telephone, and Data Network Plan</t>
  </si>
  <si>
    <t>LM191-1 09402 Rv.A Access Control, Monitoring and CCTV Plan</t>
  </si>
  <si>
    <t>LM191-1 09501 Rv.A Single Line Diagram, Ground and 2nd Floor Receptacle and Power Supply Plans</t>
  </si>
  <si>
    <t>LM191-1 09502 Rv.A 3rd and Roof Floor Receptacle and Power Supply Plans</t>
  </si>
  <si>
    <t>LM191-1 09701 Rv.A Lightning Protection System and Grounding System Plans</t>
  </si>
  <si>
    <t>LM520 09103 Rv.5 Lighting Plan (Modification)</t>
  </si>
  <si>
    <t>LM520 09201 Rv.3 Fire Alarm Plans</t>
  </si>
  <si>
    <t>LM520 09505 Rv.A Modification Cable Tray and Conduit Plan</t>
  </si>
  <si>
    <t>GRAND-TOTAL ELECTRICAL DRAWINGS</t>
  </si>
  <si>
    <t>ตรวจสอบความถูกต้องแล้ว</t>
  </si>
  <si>
    <t>prof. id</t>
  </si>
  <si>
    <t>ชื่อ-สกุล</t>
  </si>
  <si>
    <t>English Name</t>
  </si>
  <si>
    <t>Arch</t>
  </si>
  <si>
    <t>ว-สถ. 607</t>
  </si>
  <si>
    <t>อัญชลี เหล่าบุญเจริญ</t>
  </si>
  <si>
    <t>UNCHARLEE LAOBOONCHAROEN</t>
  </si>
  <si>
    <t>ภ-สถ. 22586</t>
  </si>
  <si>
    <t>ภาคภูมิ แก้วมี</t>
  </si>
  <si>
    <t>PARKPOOM KAEWMEE</t>
  </si>
  <si>
    <t>ภ-สถ. 25517</t>
  </si>
  <si>
    <t>ปวีณา ธนวุฒิจิราวัชร</t>
  </si>
  <si>
    <t>PAWEENA THANAWUTCHIRAWAT</t>
  </si>
  <si>
    <t>Structural</t>
  </si>
  <si>
    <t/>
  </si>
  <si>
    <t>สย. 9776</t>
  </si>
  <si>
    <t>พิชิต ผาติเวทย์</t>
  </si>
  <si>
    <t>PICHIT PHATIWET</t>
  </si>
  <si>
    <t>สย.10758</t>
  </si>
  <si>
    <t>ณภัค ศรีบุญเรือง</t>
  </si>
  <si>
    <t>NAPAK SRIBOONRUENG</t>
  </si>
  <si>
    <t>ภย.53735</t>
  </si>
  <si>
    <t>พิมพ์ประภา ขวัญพ่วง</t>
  </si>
  <si>
    <t>PIMPRAPA KHWANPUANG</t>
  </si>
  <si>
    <t>ภย.74343</t>
  </si>
  <si>
    <t>เขมทัต ธนะชัย</t>
  </si>
  <si>
    <t>KHEMMATAT THANACHAI</t>
  </si>
  <si>
    <t>ภย.89064</t>
  </si>
  <si>
    <t>ธนาธิป กลิ่นเฟื่อง</t>
  </si>
  <si>
    <t>THANATHIP KLINFUEANG</t>
  </si>
  <si>
    <t>จิรวัฒน์ คชบก</t>
  </si>
  <si>
    <t>CHIRAWAT KOCHABOG</t>
  </si>
  <si>
    <t>Civil</t>
  </si>
  <si>
    <t>ภย.75757</t>
  </si>
  <si>
    <t>อัรฟาน เจะอาลี</t>
  </si>
  <si>
    <t>ARFARN CHEALI</t>
  </si>
  <si>
    <t>Mech.</t>
  </si>
  <si>
    <t>สก. 3504</t>
  </si>
  <si>
    <t>คชฤทธิ์  จ่างพิพัฒน์นวกิจ</t>
  </si>
  <si>
    <t>KOTCHARIT JANGPIPATNAVAKIT</t>
  </si>
  <si>
    <t>ภก. 45707</t>
  </si>
  <si>
    <t>กิตติพศ พูนเต็ม</t>
  </si>
  <si>
    <t>KITTIPOT POONTEM</t>
  </si>
  <si>
    <t>ภก. 52671</t>
  </si>
  <si>
    <t>ธิติวุฒิ สุวรรณคาม</t>
  </si>
  <si>
    <t>THITIWUT SUWANNAKAM</t>
  </si>
  <si>
    <t>ภก. 54219</t>
  </si>
  <si>
    <t>คาวี ศรีเงิน</t>
  </si>
  <si>
    <t>KAWEE SRINGOEN</t>
  </si>
  <si>
    <t>ภก. 57198</t>
  </si>
  <si>
    <t>พันธิตร โลหกิจ</t>
  </si>
  <si>
    <t>PANTHID LOHAKIT</t>
  </si>
  <si>
    <t>Elec.</t>
  </si>
  <si>
    <t>วฟก. 993</t>
  </si>
  <si>
    <t>ศุภชัย ลิมปนากร</t>
  </si>
  <si>
    <t>SUPACHAI LIMPANAKORN</t>
  </si>
  <si>
    <t>ภฟก. 63154</t>
  </si>
  <si>
    <t>เกียรติศักดิ์ วงศ์พานิช</t>
  </si>
  <si>
    <t>KIATTISAK VONGPHANICH</t>
  </si>
  <si>
    <t>ภฟก. 67684</t>
  </si>
  <si>
    <t>กฤติน สิริโภคากร</t>
  </si>
  <si>
    <t>KRITTIN  SIRIPOKAKORN</t>
  </si>
  <si>
    <t>ภฟก. 67463</t>
  </si>
  <si>
    <t>ภูริภัทร์ อัศวภิญโญชัย</t>
  </si>
  <si>
    <t>PURIPHAT ASAWAPINYOCHAI</t>
  </si>
  <si>
    <t>ภฟก. 68732</t>
  </si>
  <si>
    <t>ณัฐพัชร์ เหล่ากาญจนอุดม</t>
  </si>
  <si>
    <t>NATTAPAT LAOKRANJANAUDOM</t>
  </si>
  <si>
    <t>Sanitary</t>
  </si>
  <si>
    <t>ภส. 1034</t>
  </si>
  <si>
    <t>Project : LMC PF1 ROR</t>
  </si>
  <si>
    <t>Owner : Michelin Laemchabang</t>
  </si>
  <si>
    <t>DRAWING NUMBERING CONTROL (Drawing no.)</t>
  </si>
  <si>
    <t>Factory</t>
  </si>
  <si>
    <t>Bldg No.</t>
  </si>
  <si>
    <t>Discipline
/ number</t>
  </si>
  <si>
    <t>Phase</t>
  </si>
  <si>
    <t>LM</t>
  </si>
  <si>
    <t>XXX</t>
  </si>
  <si>
    <t>XXXXX</t>
  </si>
  <si>
    <t>DRAWING NUMBERING CONTROL (File name)</t>
  </si>
  <si>
    <t>Proj Number</t>
  </si>
  <si>
    <t>Revision</t>
  </si>
  <si>
    <t>Drawing name</t>
  </si>
  <si>
    <t>Drawing no.</t>
  </si>
  <si>
    <t>18043-LM000 01105-DDD</t>
  </si>
  <si>
    <t>File Name</t>
  </si>
  <si>
    <t>180430-LM000 01105-DDD-A Plot plan</t>
  </si>
  <si>
    <t>Proj. Number</t>
  </si>
  <si>
    <t>กรณีแบบที่ทำต่อๆๆๆๆ กันเลขหมด หรืออะไรก็ตาม</t>
  </si>
  <si>
    <t>ไม่ต้องรันเลขต่อก็ได้ (แบบที่ปกติเราทำ)</t>
  </si>
  <si>
    <t>ให้ใช้เลขซ้ำได้เลย</t>
  </si>
  <si>
    <t>เพราะเรามีเลขโปรเจคอยู่แล้ว ไม่ซ้ำแน่นอน</t>
  </si>
  <si>
    <t>Area</t>
  </si>
  <si>
    <t>ASRS Building</t>
  </si>
  <si>
    <t>wait MSC</t>
  </si>
  <si>
    <t>Curing office &amp; Workshop</t>
  </si>
  <si>
    <t>Cold Preparation Workshop</t>
  </si>
  <si>
    <t>TBM Workshop</t>
  </si>
  <si>
    <t>After Curing Workshop</t>
  </si>
  <si>
    <t>Modification of Hot Water Improvement</t>
  </si>
  <si>
    <t>BME</t>
  </si>
  <si>
    <t>Code used for drawing showing several buildings</t>
  </si>
  <si>
    <t>BMS</t>
  </si>
  <si>
    <t>Code used for standard details ( Typical detail)</t>
  </si>
  <si>
    <t>Discipline</t>
  </si>
  <si>
    <t>Use michelin Code</t>
  </si>
  <si>
    <t>Detailed Design</t>
  </si>
  <si>
    <t>For Construction</t>
  </si>
  <si>
    <t>IFC</t>
  </si>
  <si>
    <t>As-built</t>
  </si>
  <si>
    <t>ASB</t>
  </si>
  <si>
    <t>Basic &amp; Detail Design &amp; Bidding &amp; Permit</t>
  </si>
  <si>
    <t>A, B, C, ….</t>
  </si>
  <si>
    <t>Notes</t>
  </si>
  <si>
    <t>กรณีเอาแบบ Detailed Design มาทำรายละเอียดเพิ่มเพื่อออก Permit ให้เติม -P ไว้ด้านหลัง (น่าจะมีแค่แบบ Architect)</t>
  </si>
  <si>
    <r>
      <t xml:space="preserve">LMC PF1 ROR PROJECT
</t>
    </r>
    <r>
      <rPr>
        <sz val="12"/>
        <color rgb="FF000000"/>
        <rFont val="Arial"/>
        <family val="2"/>
      </rPr>
      <t>LAEM CHABANG CHONBURI, THAILAND</t>
    </r>
  </si>
  <si>
    <t>0. CIVIL WORKS</t>
  </si>
  <si>
    <t>1. ARCHITECTURAL WORKS</t>
  </si>
  <si>
    <t>2. STRUCTURAL WORKS</t>
  </si>
  <si>
    <t>3. MECHANICAL WORKS</t>
  </si>
  <si>
    <t>4. ELECTRICAL WORKS</t>
  </si>
  <si>
    <t>Architect 1</t>
  </si>
  <si>
    <t>Architect 2</t>
  </si>
  <si>
    <t>Architect 3</t>
  </si>
  <si>
    <t>Civil Engineer 1</t>
  </si>
  <si>
    <t>Electrical Engineer 1</t>
  </si>
  <si>
    <t>Electrical Engineer 2</t>
  </si>
  <si>
    <t>Electrical Engineer 3</t>
  </si>
  <si>
    <t>Electrical Engineer 4</t>
  </si>
  <si>
    <t>Electrical Engineer 5</t>
  </si>
  <si>
    <t>Mechanical Engineer 1</t>
  </si>
  <si>
    <t>Mechanical Engineer 2</t>
  </si>
  <si>
    <t>Mechanical Engineer 3</t>
  </si>
  <si>
    <t>Mechanical Engineer 4</t>
  </si>
  <si>
    <t>Mechanical Engineer 5</t>
  </si>
  <si>
    <t>Structural Engineer 1</t>
  </si>
  <si>
    <t>Structural Engineer 2</t>
  </si>
  <si>
    <t>Structural Engineer 3</t>
  </si>
  <si>
    <t>Structural Engineer 4</t>
  </si>
  <si>
    <t>Structural Engineer 5</t>
  </si>
  <si>
    <t>Structural Engineer 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</si>
</sst>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_-* #,##0.00\ [$€-1]_-;\-* #,##0.00\ [$€-1]_-;_-* &quot;-&quot;??\ [$€-1]_-"/>
    <numFmt numFmtId="166" formatCode="dd/mm/yyyy;@"/>
    <numFmt numFmtId="167" formatCode="dd/mm/yy;@"/>
  </numFmts>
  <fonts count="105" x14ac:knownFonts="1"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1"/>
      <color indexed="8"/>
      <name val="Tahoma"/>
      <family val="2"/>
      <charset val="22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1"/>
      <color indexed="8"/>
      <name val="Calibri"/>
      <family val="2"/>
    </font>
    <font>
      <sz val="11"/>
      <name val="Arial"/>
      <family val="2"/>
    </font>
    <font>
      <sz val="10"/>
      <name val="Arial"/>
      <family val="2"/>
    </font>
    <font>
      <sz val="8"/>
      <color indexed="22"/>
      <name val="Calibri"/>
      <family val="2"/>
    </font>
    <font>
      <sz val="10"/>
      <color indexed="8"/>
      <name val="Calibri"/>
      <family val="2"/>
    </font>
    <font>
      <sz val="10"/>
      <color indexed="22"/>
      <name val="Calibri"/>
      <family val="2"/>
    </font>
    <font>
      <sz val="12"/>
      <name val="Arial"/>
      <family val="2"/>
    </font>
    <font>
      <sz val="10"/>
      <color indexed="12"/>
      <name val="Arial"/>
      <family val="2"/>
    </font>
    <font>
      <sz val="11"/>
      <name val="Arial"/>
      <family val="2"/>
    </font>
    <font>
      <sz val="10"/>
      <color indexed="8"/>
      <name val="Arial"/>
      <family val="2"/>
    </font>
    <font>
      <sz val="10"/>
      <color indexed="16"/>
      <name val="Arial"/>
      <family val="2"/>
    </font>
    <font>
      <u/>
      <sz val="10"/>
      <name val="Arial"/>
      <family val="2"/>
    </font>
    <font>
      <b/>
      <u/>
      <sz val="10"/>
      <name val="Arial"/>
      <family val="2"/>
    </font>
    <font>
      <b/>
      <sz val="10"/>
      <name val="Arial"/>
      <family val="2"/>
    </font>
    <font>
      <sz val="10"/>
      <color rgb="FFFF0000"/>
      <name val="Arial"/>
      <family val="2"/>
    </font>
    <font>
      <u/>
      <sz val="14"/>
      <name val="Arial"/>
      <family val="2"/>
    </font>
    <font>
      <sz val="11"/>
      <color theme="1"/>
      <name val="Arial"/>
      <family val="2"/>
    </font>
    <font>
      <sz val="11"/>
      <color indexed="12"/>
      <name val="Arial"/>
      <family val="2"/>
    </font>
    <font>
      <sz val="11"/>
      <color indexed="8"/>
      <name val="Arial"/>
      <family val="2"/>
    </font>
    <font>
      <i/>
      <sz val="10"/>
      <name val="Arial"/>
      <family val="2"/>
    </font>
    <font>
      <sz val="11"/>
      <color rgb="FFFF0000"/>
      <name val="Arial"/>
      <family val="2"/>
    </font>
    <font>
      <sz val="10"/>
      <color rgb="FFFF0000"/>
      <name val="Arial"/>
      <family val="2"/>
    </font>
    <font>
      <sz val="9"/>
      <name val="Arial"/>
      <family val="2"/>
    </font>
    <font>
      <b/>
      <u/>
      <sz val="12"/>
      <color indexed="8"/>
      <name val="Arial"/>
      <family val="2"/>
    </font>
    <font>
      <sz val="8"/>
      <name val="Arial"/>
      <family val="2"/>
    </font>
    <font>
      <sz val="8"/>
      <color indexed="23"/>
      <name val="Arial"/>
      <family val="2"/>
    </font>
    <font>
      <sz val="9"/>
      <color indexed="8"/>
      <name val="Arial"/>
      <family val="2"/>
    </font>
    <font>
      <sz val="9"/>
      <color theme="1"/>
      <name val="Arial"/>
      <family val="2"/>
    </font>
    <font>
      <b/>
      <sz val="9"/>
      <color rgb="FF0000FF"/>
      <name val="Arial"/>
      <family val="2"/>
    </font>
    <font>
      <b/>
      <sz val="9"/>
      <color indexed="8"/>
      <name val="Arial"/>
      <family val="2"/>
    </font>
    <font>
      <sz val="8"/>
      <color indexed="8"/>
      <name val="Arial"/>
      <family val="2"/>
    </font>
    <font>
      <sz val="11"/>
      <color rgb="FF000000"/>
      <name val="Arial"/>
      <family val="2"/>
    </font>
    <font>
      <b/>
      <sz val="20"/>
      <name val="Arial"/>
      <family val="2"/>
    </font>
    <font>
      <sz val="12"/>
      <color indexed="8"/>
      <name val="Arial"/>
      <family val="2"/>
    </font>
    <font>
      <sz val="11"/>
      <color rgb="FFFF0000"/>
      <name val="Arial"/>
      <family val="2"/>
    </font>
    <font>
      <sz val="13.5"/>
      <color rgb="FF000000"/>
      <name val="Times New Roman"/>
      <family val="1"/>
    </font>
    <font>
      <b/>
      <u/>
      <sz val="10"/>
      <color indexed="8"/>
      <name val="Arial"/>
      <family val="2"/>
    </font>
    <font>
      <b/>
      <sz val="9"/>
      <color theme="1"/>
      <name val="Arial"/>
      <family val="2"/>
    </font>
    <font>
      <b/>
      <u/>
      <sz val="9"/>
      <color theme="1"/>
      <name val="Arial"/>
      <family val="2"/>
    </font>
    <font>
      <sz val="9"/>
      <color rgb="FFFF0000"/>
      <name val="Arial"/>
      <family val="2"/>
    </font>
    <font>
      <b/>
      <u/>
      <sz val="12"/>
      <color rgb="FF000000"/>
      <name val="Arial"/>
      <family val="2"/>
    </font>
    <font>
      <sz val="12"/>
      <color rgb="FF000000"/>
      <name val="Arial"/>
      <family val="2"/>
    </font>
    <font>
      <u/>
      <sz val="11"/>
      <color rgb="FF000000"/>
      <name val="Arial"/>
      <family val="2"/>
    </font>
    <font>
      <b/>
      <sz val="9"/>
      <color rgb="FFFF0000"/>
      <name val="Arial"/>
      <family val="2"/>
    </font>
    <font>
      <b/>
      <sz val="12"/>
      <name val="Arial"/>
      <family val="2"/>
    </font>
    <font>
      <sz val="12"/>
      <color rgb="FF0000FF"/>
      <name val="Calibri"/>
      <family val="2"/>
    </font>
    <font>
      <sz val="11"/>
      <color rgb="FF0000FF"/>
      <name val="Calibri"/>
      <family val="2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name val="Calibri"/>
      <family val="2"/>
      <scheme val="minor"/>
    </font>
    <font>
      <b/>
      <u/>
      <sz val="14"/>
      <color indexed="8"/>
      <name val="Arial"/>
      <family val="2"/>
    </font>
    <font>
      <sz val="12"/>
      <color indexed="8"/>
      <name val="Calibri"/>
      <family val="2"/>
      <scheme val="minor"/>
    </font>
    <font>
      <sz val="8"/>
      <name val="Calibri"/>
      <family val="2"/>
    </font>
    <font>
      <sz val="9"/>
      <color theme="0" tint="-0.499984740745262"/>
      <name val="Arial"/>
      <family val="2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1"/>
      <name val="Arial"/>
      <family val="2"/>
    </font>
    <font>
      <strike/>
      <sz val="10"/>
      <name val="Arial"/>
      <family val="2"/>
    </font>
    <font>
      <strike/>
      <sz val="11"/>
      <color rgb="FFFF0000"/>
      <name val="Arial"/>
      <family val="2"/>
    </font>
    <font>
      <strike/>
      <sz val="11"/>
      <name val="Arial"/>
      <family val="2"/>
    </font>
    <font>
      <sz val="9"/>
      <color indexed="8"/>
      <name val="Calibri"/>
      <family val="2"/>
    </font>
    <font>
      <sz val="11"/>
      <color rgb="FFC00000"/>
      <name val="Calibri"/>
      <family val="2"/>
      <scheme val="minor"/>
    </font>
    <font>
      <sz val="10"/>
      <color theme="1"/>
      <name val="Arial"/>
      <family val="2"/>
    </font>
    <font>
      <sz val="11"/>
      <name val="Calibri"/>
      <family val="2"/>
      <scheme val="minor"/>
    </font>
    <font>
      <b/>
      <u/>
      <sz val="11"/>
      <name val="Arial"/>
      <family val="2"/>
    </font>
    <font>
      <sz val="11"/>
      <name val="Calibri"/>
      <family val="2"/>
    </font>
    <font>
      <sz val="11"/>
      <color rgb="FF00B0F0"/>
      <name val="Calibri"/>
      <family val="2"/>
      <scheme val="minor"/>
    </font>
    <font>
      <b/>
      <u/>
      <sz val="11"/>
      <color rgb="FF00B050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6"/>
      <name val="Calibri"/>
      <family val="2"/>
      <scheme val="minor"/>
    </font>
    <font>
      <b/>
      <sz val="28"/>
      <name val="Calibri"/>
      <family val="2"/>
      <scheme val="minor"/>
    </font>
    <font>
      <b/>
      <sz val="24"/>
      <name val="FreesiaUPC"/>
      <family val="2"/>
    </font>
    <font>
      <b/>
      <sz val="14"/>
      <name val="Calibri"/>
      <family val="2"/>
      <scheme val="minor"/>
    </font>
    <font>
      <sz val="12"/>
      <color rgb="FF0000FF"/>
      <name val="Calibri"/>
      <family val="2"/>
      <scheme val="minor"/>
    </font>
    <font>
      <sz val="10"/>
      <color rgb="FFFF0000"/>
      <name val="Calibri"/>
      <family val="2"/>
      <scheme val="minor"/>
    </font>
    <font>
      <sz val="10"/>
      <color theme="0"/>
      <name val="Calibri"/>
      <family val="2"/>
      <scheme val="minor"/>
    </font>
    <font>
      <sz val="14"/>
      <name val="FreesiaUPC"/>
      <family val="2"/>
    </font>
    <font>
      <sz val="16"/>
      <name val="FreesiaUPC"/>
      <family val="2"/>
    </font>
    <font>
      <b/>
      <sz val="16"/>
      <name val="FreesiaUPC"/>
      <family val="2"/>
    </font>
    <font>
      <b/>
      <sz val="16"/>
      <color rgb="FF0000FF"/>
      <name val="FreesiaUPC"/>
      <family val="2"/>
    </font>
    <font>
      <sz val="16"/>
      <color rgb="FF0000FF"/>
      <name val="FreesiaUPC"/>
      <family val="2"/>
    </font>
  </fonts>
  <fills count="34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061A24"/>
        <bgColor indexed="64"/>
      </patternFill>
    </fill>
  </fills>
  <borders count="72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3"/>
      </left>
      <right/>
      <top style="thin">
        <color indexed="23"/>
      </top>
      <bottom style="thin">
        <color indexed="23"/>
      </bottom>
      <diagonal/>
    </border>
    <border>
      <left/>
      <right/>
      <top style="thin">
        <color indexed="23"/>
      </top>
      <bottom style="thin">
        <color indexed="23"/>
      </bottom>
      <diagonal/>
    </border>
    <border>
      <left/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 style="thin">
        <color indexed="64"/>
      </left>
      <right style="thin">
        <color indexed="64"/>
      </right>
      <top style="double">
        <color auto="1"/>
      </top>
      <bottom style="thin">
        <color indexed="64"/>
      </bottom>
      <diagonal/>
    </border>
    <border>
      <left style="thin">
        <color indexed="64"/>
      </left>
      <right/>
      <top style="double">
        <color auto="1"/>
      </top>
      <bottom style="thin">
        <color indexed="64"/>
      </bottom>
      <diagonal/>
    </border>
    <border>
      <left/>
      <right style="double">
        <color auto="1"/>
      </right>
      <top style="double">
        <color auto="1"/>
      </top>
      <bottom style="thin">
        <color indexed="64"/>
      </bottom>
      <diagonal/>
    </border>
    <border>
      <left style="double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auto="1"/>
      </bottom>
      <diagonal/>
    </border>
    <border>
      <left style="thin">
        <color indexed="64"/>
      </left>
      <right/>
      <top style="thin">
        <color indexed="64"/>
      </top>
      <bottom style="double">
        <color auto="1"/>
      </bottom>
      <diagonal/>
    </border>
    <border>
      <left/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/>
      <top/>
      <bottom/>
      <diagonal/>
    </border>
    <border>
      <left/>
      <right style="double">
        <color auto="1"/>
      </right>
      <top/>
      <bottom/>
      <diagonal/>
    </border>
  </borders>
  <cellStyleXfs count="57">
    <xf numFmtId="0" fontId="0" fillId="0" borderId="0"/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0" fontId="5" fillId="5" borderId="0" applyNumberFormat="0" applyBorder="0" applyAlignment="0" applyProtection="0"/>
    <xf numFmtId="0" fontId="5" fillId="6" borderId="0" applyNumberFormat="0" applyBorder="0" applyAlignment="0" applyProtection="0"/>
    <xf numFmtId="0" fontId="5" fillId="7" borderId="0" applyNumberFormat="0" applyBorder="0" applyAlignment="0" applyProtection="0"/>
    <xf numFmtId="0" fontId="5" fillId="8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5" borderId="0" applyNumberFormat="0" applyBorder="0" applyAlignment="0" applyProtection="0"/>
    <xf numFmtId="0" fontId="5" fillId="8" borderId="0" applyNumberFormat="0" applyBorder="0" applyAlignment="0" applyProtection="0"/>
    <xf numFmtId="0" fontId="5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13" borderId="0" applyNumberFormat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3" borderId="0" applyNumberFormat="0" applyBorder="0" applyAlignment="0" applyProtection="0"/>
    <xf numFmtId="0" fontId="6" fillId="14" borderId="0" applyNumberFormat="0" applyBorder="0" applyAlignment="0" applyProtection="0"/>
    <xf numFmtId="0" fontId="6" fillId="19" borderId="0" applyNumberFormat="0" applyBorder="0" applyAlignment="0" applyProtection="0"/>
    <xf numFmtId="0" fontId="7" fillId="3" borderId="0" applyNumberFormat="0" applyBorder="0" applyAlignment="0" applyProtection="0"/>
    <xf numFmtId="0" fontId="8" fillId="20" borderId="1" applyNumberFormat="0" applyAlignment="0" applyProtection="0"/>
    <xf numFmtId="0" fontId="9" fillId="21" borderId="2" applyNumberFormat="0" applyAlignment="0" applyProtection="0"/>
    <xf numFmtId="0" fontId="10" fillId="0" borderId="0" applyNumberFormat="0" applyFill="0" applyBorder="0" applyAlignment="0" applyProtection="0"/>
    <xf numFmtId="0" fontId="11" fillId="4" borderId="0" applyNumberFormat="0" applyBorder="0" applyAlignment="0" applyProtection="0"/>
    <xf numFmtId="0" fontId="12" fillId="0" borderId="3" applyNumberFormat="0" applyFill="0" applyAlignment="0" applyProtection="0"/>
    <xf numFmtId="0" fontId="13" fillId="0" borderId="4" applyNumberFormat="0" applyFill="0" applyAlignment="0" applyProtection="0"/>
    <xf numFmtId="0" fontId="14" fillId="0" borderId="5" applyNumberFormat="0" applyFill="0" applyAlignment="0" applyProtection="0"/>
    <xf numFmtId="0" fontId="14" fillId="0" borderId="0" applyNumberFormat="0" applyFill="0" applyBorder="0" applyAlignment="0" applyProtection="0"/>
    <xf numFmtId="0" fontId="15" fillId="7" borderId="1" applyNumberFormat="0" applyAlignment="0" applyProtection="0"/>
    <xf numFmtId="0" fontId="16" fillId="0" borderId="6" applyNumberFormat="0" applyFill="0" applyAlignment="0" applyProtection="0"/>
    <xf numFmtId="0" fontId="17" fillId="22" borderId="0" applyNumberFormat="0" applyBorder="0" applyAlignment="0" applyProtection="0"/>
    <xf numFmtId="0" fontId="18" fillId="0" borderId="0"/>
    <xf numFmtId="0" fontId="25" fillId="0" borderId="0"/>
    <xf numFmtId="0" fontId="5" fillId="23" borderId="7" applyNumberFormat="0" applyFont="0" applyAlignment="0" applyProtection="0"/>
    <xf numFmtId="0" fontId="19" fillId="20" borderId="8" applyNumberFormat="0" applyAlignment="0" applyProtection="0"/>
    <xf numFmtId="9" fontId="5" fillId="0" borderId="0" applyFont="0" applyFill="0" applyBorder="0" applyAlignment="0" applyProtection="0"/>
    <xf numFmtId="9" fontId="23" fillId="0" borderId="0" applyFon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9" applyNumberFormat="0" applyFill="0" applyAlignment="0" applyProtection="0"/>
    <xf numFmtId="0" fontId="22" fillId="0" borderId="0" applyNumberFormat="0" applyFill="0" applyBorder="0" applyAlignment="0" applyProtection="0"/>
    <xf numFmtId="0" fontId="5" fillId="0" borderId="0"/>
    <xf numFmtId="0" fontId="4" fillId="0" borderId="0"/>
    <xf numFmtId="9" fontId="5" fillId="0" borderId="0" applyFont="0" applyFill="0" applyBorder="0" applyAlignment="0" applyProtection="0"/>
    <xf numFmtId="0" fontId="25" fillId="0" borderId="0"/>
    <xf numFmtId="165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0" fontId="5" fillId="0" borderId="0"/>
    <xf numFmtId="0" fontId="3" fillId="0" borderId="0"/>
    <xf numFmtId="0" fontId="2" fillId="0" borderId="0"/>
    <xf numFmtId="0" fontId="2" fillId="0" borderId="0"/>
    <xf numFmtId="0" fontId="1" fillId="0" borderId="0"/>
  </cellStyleXfs>
  <cellXfs count="394">
    <xf numFmtId="0" fontId="0" fillId="0" borderId="0" xfId="0"/>
    <xf numFmtId="0" fontId="5" fillId="24" borderId="0" xfId="46" applyFill="1" applyAlignment="1">
      <alignment vertical="center"/>
    </xf>
    <xf numFmtId="0" fontId="26" fillId="24" borderId="0" xfId="46" applyFont="1" applyFill="1" applyAlignment="1">
      <alignment vertical="center" wrapText="1"/>
    </xf>
    <xf numFmtId="0" fontId="26" fillId="24" borderId="0" xfId="46" applyFont="1" applyFill="1" applyAlignment="1">
      <alignment vertical="center"/>
    </xf>
    <xf numFmtId="0" fontId="28" fillId="24" borderId="0" xfId="46" applyFont="1" applyFill="1" applyAlignment="1">
      <alignment vertical="center" wrapText="1"/>
    </xf>
    <xf numFmtId="0" fontId="28" fillId="24" borderId="0" xfId="46" applyFont="1" applyFill="1" applyAlignment="1">
      <alignment vertical="center"/>
    </xf>
    <xf numFmtId="0" fontId="27" fillId="24" borderId="0" xfId="46" applyFont="1" applyFill="1" applyAlignment="1">
      <alignment vertical="center"/>
    </xf>
    <xf numFmtId="0" fontId="5" fillId="24" borderId="0" xfId="46" applyFill="1" applyAlignment="1">
      <alignment horizontal="left"/>
    </xf>
    <xf numFmtId="0" fontId="5" fillId="24" borderId="0" xfId="46" applyFill="1"/>
    <xf numFmtId="0" fontId="5" fillId="24" borderId="0" xfId="46" applyFill="1" applyAlignment="1">
      <alignment horizontal="center" wrapText="1"/>
    </xf>
    <xf numFmtId="0" fontId="5" fillId="24" borderId="0" xfId="46" applyFill="1" applyAlignment="1">
      <alignment horizontal="center"/>
    </xf>
    <xf numFmtId="0" fontId="25" fillId="26" borderId="0" xfId="0" applyFont="1" applyFill="1" applyAlignment="1">
      <alignment horizontal="center" vertical="center" wrapText="1"/>
    </xf>
    <xf numFmtId="0" fontId="29" fillId="24" borderId="0" xfId="46" applyFont="1" applyFill="1" applyAlignment="1">
      <alignment horizontal="center"/>
    </xf>
    <xf numFmtId="0" fontId="32" fillId="24" borderId="0" xfId="46" applyFont="1" applyFill="1" applyAlignment="1">
      <alignment horizontal="center" vertical="center"/>
    </xf>
    <xf numFmtId="0" fontId="32" fillId="24" borderId="0" xfId="46" applyFont="1" applyFill="1" applyAlignment="1">
      <alignment horizontal="left" vertical="center"/>
    </xf>
    <xf numFmtId="0" fontId="33" fillId="24" borderId="0" xfId="46" applyFont="1" applyFill="1" applyAlignment="1">
      <alignment vertical="center" wrapText="1"/>
    </xf>
    <xf numFmtId="0" fontId="32" fillId="24" borderId="0" xfId="46" applyFont="1" applyFill="1" applyAlignment="1">
      <alignment vertical="center" wrapText="1"/>
    </xf>
    <xf numFmtId="0" fontId="47" fillId="24" borderId="15" xfId="46" applyFont="1" applyFill="1" applyBorder="1" applyAlignment="1" applyProtection="1">
      <alignment horizontal="center" vertical="center" wrapText="1"/>
      <protection locked="0"/>
    </xf>
    <xf numFmtId="0" fontId="51" fillId="24" borderId="12" xfId="46" applyFont="1" applyFill="1" applyBorder="1" applyAlignment="1">
      <alignment vertical="center"/>
    </xf>
    <xf numFmtId="0" fontId="51" fillId="24" borderId="13" xfId="46" applyFont="1" applyFill="1" applyBorder="1" applyAlignment="1">
      <alignment vertical="center"/>
    </xf>
    <xf numFmtId="0" fontId="41" fillId="24" borderId="19" xfId="46" applyFont="1" applyFill="1" applyBorder="1" applyAlignment="1">
      <alignment vertical="center"/>
    </xf>
    <xf numFmtId="0" fontId="40" fillId="24" borderId="20" xfId="46" applyFont="1" applyFill="1" applyBorder="1" applyAlignment="1">
      <alignment horizontal="center" vertical="center"/>
    </xf>
    <xf numFmtId="0" fontId="32" fillId="24" borderId="19" xfId="46" applyFont="1" applyFill="1" applyBorder="1" applyAlignment="1">
      <alignment vertical="center"/>
    </xf>
    <xf numFmtId="0" fontId="30" fillId="24" borderId="20" xfId="46" applyFont="1" applyFill="1" applyBorder="1" applyAlignment="1">
      <alignment horizontal="center" vertical="center"/>
    </xf>
    <xf numFmtId="0" fontId="41" fillId="24" borderId="20" xfId="46" applyFont="1" applyFill="1" applyBorder="1" applyAlignment="1">
      <alignment horizontal="center" vertical="center"/>
    </xf>
    <xf numFmtId="0" fontId="52" fillId="24" borderId="23" xfId="46" applyFont="1" applyFill="1" applyBorder="1" applyAlignment="1">
      <alignment horizontal="center" vertical="center"/>
    </xf>
    <xf numFmtId="0" fontId="52" fillId="24" borderId="24" xfId="46" applyFont="1" applyFill="1" applyBorder="1" applyAlignment="1">
      <alignment horizontal="center" vertical="center"/>
    </xf>
    <xf numFmtId="0" fontId="53" fillId="24" borderId="26" xfId="46" applyFont="1" applyFill="1" applyBorder="1" applyAlignment="1">
      <alignment horizontal="center" vertical="center" wrapText="1"/>
    </xf>
    <xf numFmtId="0" fontId="41" fillId="27" borderId="0" xfId="46" applyFont="1" applyFill="1" applyAlignment="1">
      <alignment vertical="center"/>
    </xf>
    <xf numFmtId="0" fontId="56" fillId="24" borderId="19" xfId="46" applyFont="1" applyFill="1" applyBorder="1" applyAlignment="1">
      <alignment vertical="center"/>
    </xf>
    <xf numFmtId="0" fontId="46" fillId="24" borderId="0" xfId="46" applyFont="1" applyFill="1" applyAlignment="1">
      <alignment horizontal="center" vertical="center"/>
    </xf>
    <xf numFmtId="0" fontId="46" fillId="24" borderId="20" xfId="46" applyFont="1" applyFill="1" applyBorder="1" applyAlignment="1">
      <alignment horizontal="center" vertical="center"/>
    </xf>
    <xf numFmtId="0" fontId="36" fillId="26" borderId="0" xfId="0" applyFont="1" applyFill="1" applyAlignment="1">
      <alignment horizontal="left" vertical="center"/>
    </xf>
    <xf numFmtId="0" fontId="36" fillId="0" borderId="0" xfId="0" applyFont="1" applyAlignment="1">
      <alignment horizontal="left" vertical="center"/>
    </xf>
    <xf numFmtId="0" fontId="36" fillId="0" borderId="0" xfId="0" applyFont="1" applyAlignment="1">
      <alignment horizontal="center" vertical="center"/>
    </xf>
    <xf numFmtId="0" fontId="35" fillId="0" borderId="0" xfId="0" applyFont="1" applyAlignment="1">
      <alignment vertical="center"/>
    </xf>
    <xf numFmtId="0" fontId="25" fillId="0" borderId="0" xfId="0" applyFont="1" applyAlignment="1">
      <alignment horizontal="center" vertical="center" wrapText="1"/>
    </xf>
    <xf numFmtId="0" fontId="24" fillId="0" borderId="0" xfId="0" applyFont="1" applyAlignment="1">
      <alignment vertical="center"/>
    </xf>
    <xf numFmtId="0" fontId="25" fillId="0" borderId="0" xfId="0" applyFont="1" applyAlignment="1">
      <alignment horizontal="center" vertical="center"/>
    </xf>
    <xf numFmtId="0" fontId="42" fillId="0" borderId="0" xfId="0" applyFont="1" applyAlignment="1">
      <alignment vertical="center"/>
    </xf>
    <xf numFmtId="0" fontId="25" fillId="0" borderId="0" xfId="0" quotePrefix="1" applyFont="1" applyAlignment="1">
      <alignment horizontal="center" vertical="center"/>
    </xf>
    <xf numFmtId="0" fontId="25" fillId="0" borderId="0" xfId="0" applyFont="1" applyAlignment="1">
      <alignment vertical="center"/>
    </xf>
    <xf numFmtId="0" fontId="25" fillId="0" borderId="0" xfId="0" applyFont="1"/>
    <xf numFmtId="0" fontId="25" fillId="0" borderId="0" xfId="0" applyFont="1" applyAlignment="1">
      <alignment horizontal="right" vertical="center"/>
    </xf>
    <xf numFmtId="0" fontId="25" fillId="0" borderId="0" xfId="0" applyFont="1" applyAlignment="1">
      <alignment horizontal="center"/>
    </xf>
    <xf numFmtId="0" fontId="25" fillId="0" borderId="0" xfId="0" applyFont="1" applyAlignment="1">
      <alignment horizontal="left"/>
    </xf>
    <xf numFmtId="0" fontId="25" fillId="0" borderId="0" xfId="0" applyFont="1" applyAlignment="1">
      <alignment horizontal="center" wrapText="1"/>
    </xf>
    <xf numFmtId="164" fontId="24" fillId="0" borderId="0" xfId="0" applyNumberFormat="1" applyFont="1" applyAlignment="1">
      <alignment horizontal="right" vertical="center"/>
    </xf>
    <xf numFmtId="0" fontId="31" fillId="0" borderId="0" xfId="0" applyFont="1" applyAlignment="1">
      <alignment vertical="center"/>
    </xf>
    <xf numFmtId="0" fontId="39" fillId="0" borderId="0" xfId="0" applyFont="1" applyAlignment="1">
      <alignment vertical="center"/>
    </xf>
    <xf numFmtId="0" fontId="24" fillId="0" borderId="0" xfId="0" applyFont="1"/>
    <xf numFmtId="0" fontId="31" fillId="0" borderId="0" xfId="0" applyFont="1"/>
    <xf numFmtId="164" fontId="43" fillId="0" borderId="0" xfId="0" applyNumberFormat="1" applyFont="1" applyAlignment="1">
      <alignment horizontal="right"/>
    </xf>
    <xf numFmtId="0" fontId="43" fillId="0" borderId="0" xfId="0" applyFont="1"/>
    <xf numFmtId="0" fontId="37" fillId="0" borderId="0" xfId="0" applyFont="1" applyAlignment="1">
      <alignment horizontal="left"/>
    </xf>
    <xf numFmtId="0" fontId="37" fillId="0" borderId="0" xfId="0" applyFont="1"/>
    <xf numFmtId="0" fontId="37" fillId="0" borderId="0" xfId="0" applyFont="1" applyAlignment="1">
      <alignment horizontal="center"/>
    </xf>
    <xf numFmtId="0" fontId="37" fillId="0" borderId="0" xfId="0" applyFont="1" applyAlignment="1">
      <alignment horizontal="center" wrapText="1"/>
    </xf>
    <xf numFmtId="0" fontId="44" fillId="0" borderId="0" xfId="0" applyFont="1" applyAlignment="1">
      <alignment horizontal="left"/>
    </xf>
    <xf numFmtId="0" fontId="44" fillId="0" borderId="0" xfId="0" applyFont="1"/>
    <xf numFmtId="0" fontId="44" fillId="0" borderId="0" xfId="0" applyFont="1" applyAlignment="1">
      <alignment horizontal="center"/>
    </xf>
    <xf numFmtId="0" fontId="44" fillId="0" borderId="0" xfId="0" applyFont="1" applyAlignment="1">
      <alignment horizontal="center" wrapText="1"/>
    </xf>
    <xf numFmtId="0" fontId="57" fillId="0" borderId="0" xfId="0" applyFont="1"/>
    <xf numFmtId="0" fontId="25" fillId="0" borderId="0" xfId="0" quotePrefix="1" applyFont="1" applyAlignment="1">
      <alignment horizontal="center" vertical="center" wrapText="1"/>
    </xf>
    <xf numFmtId="0" fontId="58" fillId="0" borderId="0" xfId="0" applyFont="1"/>
    <xf numFmtId="0" fontId="47" fillId="24" borderId="0" xfId="46" applyFont="1" applyFill="1" applyAlignment="1">
      <alignment horizontal="center"/>
    </xf>
    <xf numFmtId="0" fontId="50" fillId="0" borderId="29" xfId="54" applyFont="1" applyBorder="1" applyAlignment="1">
      <alignment vertical="center"/>
    </xf>
    <xf numFmtId="0" fontId="50" fillId="0" borderId="30" xfId="54" applyFont="1" applyBorder="1" applyAlignment="1">
      <alignment vertical="center"/>
    </xf>
    <xf numFmtId="0" fontId="50" fillId="0" borderId="30" xfId="54" applyFont="1" applyBorder="1" applyAlignment="1">
      <alignment horizontal="center" vertical="center"/>
    </xf>
    <xf numFmtId="0" fontId="50" fillId="0" borderId="31" xfId="54" applyFont="1" applyBorder="1" applyAlignment="1">
      <alignment vertical="center"/>
    </xf>
    <xf numFmtId="0" fontId="50" fillId="0" borderId="0" xfId="54" applyFont="1" applyAlignment="1">
      <alignment vertical="center"/>
    </xf>
    <xf numFmtId="0" fontId="50" fillId="0" borderId="19" xfId="54" applyFont="1" applyBorder="1" applyAlignment="1">
      <alignment vertical="center"/>
    </xf>
    <xf numFmtId="0" fontId="50" fillId="0" borderId="0" xfId="54" applyFont="1" applyAlignment="1">
      <alignment horizontal="center" vertical="center"/>
    </xf>
    <xf numFmtId="0" fontId="50" fillId="0" borderId="20" xfId="54" applyFont="1" applyBorder="1" applyAlignment="1">
      <alignment vertical="center"/>
    </xf>
    <xf numFmtId="0" fontId="50" fillId="0" borderId="19" xfId="54" applyFont="1" applyBorder="1"/>
    <xf numFmtId="0" fontId="50" fillId="0" borderId="0" xfId="54" applyFont="1"/>
    <xf numFmtId="0" fontId="50" fillId="0" borderId="20" xfId="54" applyFont="1" applyBorder="1"/>
    <xf numFmtId="0" fontId="50" fillId="0" borderId="0" xfId="54" applyFont="1" applyAlignment="1">
      <alignment horizontal="center"/>
    </xf>
    <xf numFmtId="49" fontId="50" fillId="0" borderId="0" xfId="54" applyNumberFormat="1" applyFont="1"/>
    <xf numFmtId="0" fontId="50" fillId="0" borderId="20" xfId="54" applyFont="1" applyBorder="1" applyAlignment="1">
      <alignment horizontal="center"/>
    </xf>
    <xf numFmtId="0" fontId="50" fillId="29" borderId="29" xfId="54" applyFont="1" applyFill="1" applyBorder="1"/>
    <xf numFmtId="0" fontId="50" fillId="29" borderId="30" xfId="54" applyFont="1" applyFill="1" applyBorder="1" applyAlignment="1">
      <alignment horizontal="center"/>
    </xf>
    <xf numFmtId="0" fontId="50" fillId="29" borderId="30" xfId="54" applyFont="1" applyFill="1" applyBorder="1"/>
    <xf numFmtId="0" fontId="50" fillId="29" borderId="31" xfId="54" applyFont="1" applyFill="1" applyBorder="1"/>
    <xf numFmtId="0" fontId="61" fillId="29" borderId="19" xfId="54" applyFont="1" applyFill="1" applyBorder="1" applyAlignment="1">
      <alignment horizontal="left" indent="1"/>
    </xf>
    <xf numFmtId="0" fontId="50" fillId="29" borderId="0" xfId="54" applyFont="1" applyFill="1" applyAlignment="1">
      <alignment horizontal="center"/>
    </xf>
    <xf numFmtId="0" fontId="50" fillId="29" borderId="0" xfId="54" applyFont="1" applyFill="1"/>
    <xf numFmtId="0" fontId="50" fillId="29" borderId="20" xfId="54" applyFont="1" applyFill="1" applyBorder="1"/>
    <xf numFmtId="0" fontId="50" fillId="29" borderId="19" xfId="54" applyFont="1" applyFill="1" applyBorder="1" applyAlignment="1">
      <alignment horizontal="left" indent="1"/>
    </xf>
    <xf numFmtId="0" fontId="50" fillId="29" borderId="32" xfId="54" applyFont="1" applyFill="1" applyBorder="1"/>
    <xf numFmtId="0" fontId="50" fillId="29" borderId="33" xfId="54" applyFont="1" applyFill="1" applyBorder="1" applyAlignment="1">
      <alignment horizontal="center"/>
    </xf>
    <xf numFmtId="0" fontId="50" fillId="29" borderId="33" xfId="54" applyFont="1" applyFill="1" applyBorder="1"/>
    <xf numFmtId="0" fontId="50" fillId="29" borderId="34" xfId="54" applyFont="1" applyFill="1" applyBorder="1"/>
    <xf numFmtId="0" fontId="61" fillId="0" borderId="0" xfId="54" applyFont="1"/>
    <xf numFmtId="0" fontId="50" fillId="0" borderId="0" xfId="54" quotePrefix="1" applyFont="1"/>
    <xf numFmtId="1" fontId="50" fillId="0" borderId="0" xfId="54" quotePrefix="1" applyNumberFormat="1" applyFont="1" applyAlignment="1">
      <alignment horizontal="center"/>
    </xf>
    <xf numFmtId="0" fontId="50" fillId="0" borderId="0" xfId="54" applyFont="1" applyAlignment="1">
      <alignment horizontal="left"/>
    </xf>
    <xf numFmtId="49" fontId="50" fillId="0" borderId="0" xfId="54" applyNumberFormat="1" applyFont="1" applyAlignment="1">
      <alignment horizontal="center"/>
    </xf>
    <xf numFmtId="49" fontId="50" fillId="0" borderId="0" xfId="54" applyNumberFormat="1" applyFont="1" applyAlignment="1">
      <alignment horizontal="left"/>
    </xf>
    <xf numFmtId="0" fontId="62" fillId="0" borderId="0" xfId="54" applyFont="1"/>
    <xf numFmtId="0" fontId="50" fillId="0" borderId="0" xfId="54" applyFont="1" applyAlignment="1">
      <alignment horizontal="left" indent="2"/>
    </xf>
    <xf numFmtId="0" fontId="50" fillId="0" borderId="32" xfId="54" applyFont="1" applyBorder="1"/>
    <xf numFmtId="0" fontId="50" fillId="0" borderId="33" xfId="54" applyFont="1" applyBorder="1"/>
    <xf numFmtId="0" fontId="50" fillId="0" borderId="33" xfId="54" applyFont="1" applyBorder="1" applyAlignment="1">
      <alignment horizontal="center"/>
    </xf>
    <xf numFmtId="49" fontId="50" fillId="0" borderId="33" xfId="54" applyNumberFormat="1" applyFont="1" applyBorder="1"/>
    <xf numFmtId="0" fontId="50" fillId="0" borderId="34" xfId="54" applyFont="1" applyBorder="1" applyAlignment="1">
      <alignment horizontal="center"/>
    </xf>
    <xf numFmtId="0" fontId="56" fillId="24" borderId="35" xfId="46" applyFont="1" applyFill="1" applyBorder="1" applyAlignment="1">
      <alignment vertical="center"/>
    </xf>
    <xf numFmtId="0" fontId="46" fillId="24" borderId="28" xfId="46" applyFont="1" applyFill="1" applyBorder="1" applyAlignment="1">
      <alignment horizontal="center" vertical="center"/>
    </xf>
    <xf numFmtId="0" fontId="32" fillId="24" borderId="35" xfId="46" applyFont="1" applyFill="1" applyBorder="1" applyAlignment="1">
      <alignment vertical="center"/>
    </xf>
    <xf numFmtId="0" fontId="30" fillId="24" borderId="28" xfId="46" applyFont="1" applyFill="1" applyBorder="1" applyAlignment="1">
      <alignment horizontal="center" vertical="center"/>
    </xf>
    <xf numFmtId="0" fontId="41" fillId="24" borderId="35" xfId="46" applyFont="1" applyFill="1" applyBorder="1" applyAlignment="1">
      <alignment vertical="center"/>
    </xf>
    <xf numFmtId="0" fontId="40" fillId="24" borderId="28" xfId="46" applyFont="1" applyFill="1" applyBorder="1" applyAlignment="1">
      <alignment horizontal="center" vertical="center"/>
    </xf>
    <xf numFmtId="0" fontId="32" fillId="24" borderId="11" xfId="46" applyFont="1" applyFill="1" applyBorder="1" applyAlignment="1">
      <alignment vertical="center"/>
    </xf>
    <xf numFmtId="0" fontId="29" fillId="24" borderId="12" xfId="46" applyFont="1" applyFill="1" applyBorder="1" applyAlignment="1">
      <alignment horizontal="center"/>
    </xf>
    <xf numFmtId="0" fontId="30" fillId="24" borderId="13" xfId="46" applyFont="1" applyFill="1" applyBorder="1" applyAlignment="1">
      <alignment horizontal="center" vertical="center"/>
    </xf>
    <xf numFmtId="0" fontId="25" fillId="0" borderId="10" xfId="0" applyFont="1" applyBorder="1" applyAlignment="1">
      <alignment horizontal="center" vertical="center"/>
    </xf>
    <xf numFmtId="0" fontId="66" fillId="0" borderId="0" xfId="54" applyFont="1"/>
    <xf numFmtId="0" fontId="29" fillId="24" borderId="0" xfId="46" applyFont="1" applyFill="1" applyAlignment="1">
      <alignment horizontal="left"/>
    </xf>
    <xf numFmtId="0" fontId="29" fillId="24" borderId="0" xfId="46" applyFont="1" applyFill="1"/>
    <xf numFmtId="0" fontId="24" fillId="24" borderId="0" xfId="46" applyFont="1" applyFill="1" applyAlignment="1">
      <alignment horizontal="left"/>
    </xf>
    <xf numFmtId="0" fontId="24" fillId="24" borderId="0" xfId="46" applyFont="1" applyFill="1"/>
    <xf numFmtId="9" fontId="24" fillId="24" borderId="0" xfId="41" applyFont="1" applyFill="1" applyAlignment="1">
      <alignment horizontal="left"/>
    </xf>
    <xf numFmtId="0" fontId="34" fillId="0" borderId="0" xfId="0" applyFont="1" applyAlignment="1">
      <alignment horizontal="center" vertical="center"/>
    </xf>
    <xf numFmtId="0" fontId="45" fillId="0" borderId="0" xfId="0" applyFont="1" applyAlignment="1">
      <alignment horizontal="right" vertical="center"/>
    </xf>
    <xf numFmtId="0" fontId="68" fillId="24" borderId="0" xfId="46" applyFont="1" applyFill="1" applyAlignment="1">
      <alignment vertical="center"/>
    </xf>
    <xf numFmtId="0" fontId="69" fillId="24" borderId="0" xfId="46" applyFont="1" applyFill="1" applyAlignment="1">
      <alignment vertical="center"/>
    </xf>
    <xf numFmtId="0" fontId="67" fillId="28" borderId="0" xfId="46" applyFont="1" applyFill="1" applyAlignment="1">
      <alignment horizontal="left"/>
    </xf>
    <xf numFmtId="0" fontId="29" fillId="28" borderId="0" xfId="46" applyFont="1" applyFill="1" applyAlignment="1">
      <alignment horizontal="center"/>
    </xf>
    <xf numFmtId="0" fontId="70" fillId="0" borderId="0" xfId="55" applyFont="1" applyAlignment="1">
      <alignment vertical="center"/>
    </xf>
    <xf numFmtId="0" fontId="2" fillId="0" borderId="0" xfId="55"/>
    <xf numFmtId="0" fontId="54" fillId="0" borderId="0" xfId="55" applyFont="1"/>
    <xf numFmtId="0" fontId="70" fillId="0" borderId="14" xfId="55" applyFont="1" applyBorder="1" applyAlignment="1">
      <alignment vertical="center"/>
    </xf>
    <xf numFmtId="0" fontId="74" fillId="0" borderId="0" xfId="0" applyFont="1" applyAlignment="1">
      <alignment horizontal="left" vertical="center"/>
    </xf>
    <xf numFmtId="0" fontId="34" fillId="0" borderId="0" xfId="0" applyFont="1" applyAlignment="1">
      <alignment vertical="center"/>
    </xf>
    <xf numFmtId="0" fontId="70" fillId="28" borderId="14" xfId="55" applyFont="1" applyFill="1" applyBorder="1" applyAlignment="1">
      <alignment vertical="center"/>
    </xf>
    <xf numFmtId="0" fontId="70" fillId="31" borderId="14" xfId="55" applyFont="1" applyFill="1" applyBorder="1" applyAlignment="1">
      <alignment vertical="center"/>
    </xf>
    <xf numFmtId="0" fontId="47" fillId="24" borderId="36" xfId="46" applyFont="1" applyFill="1" applyBorder="1" applyAlignment="1" applyProtection="1">
      <alignment horizontal="center" vertical="center"/>
      <protection locked="0"/>
    </xf>
    <xf numFmtId="0" fontId="47" fillId="24" borderId="37" xfId="46" applyFont="1" applyFill="1" applyBorder="1" applyAlignment="1" applyProtection="1">
      <alignment horizontal="left" vertical="center"/>
      <protection locked="0"/>
    </xf>
    <xf numFmtId="0" fontId="47" fillId="24" borderId="38" xfId="46" applyFont="1" applyFill="1" applyBorder="1" applyAlignment="1" applyProtection="1">
      <alignment horizontal="left" vertical="center"/>
      <protection locked="0"/>
    </xf>
    <xf numFmtId="0" fontId="47" fillId="24" borderId="39" xfId="46" applyFont="1" applyFill="1" applyBorder="1" applyAlignment="1" applyProtection="1">
      <alignment horizontal="left" vertical="center"/>
      <protection locked="0"/>
    </xf>
    <xf numFmtId="166" fontId="47" fillId="24" borderId="36" xfId="46" applyNumberFormat="1" applyFont="1" applyFill="1" applyBorder="1" applyAlignment="1" applyProtection="1">
      <alignment horizontal="center" vertical="center" wrapText="1"/>
      <protection locked="0"/>
    </xf>
    <xf numFmtId="0" fontId="47" fillId="24" borderId="36" xfId="46" applyFont="1" applyFill="1" applyBorder="1" applyAlignment="1" applyProtection="1">
      <alignment horizontal="center" vertical="center" wrapText="1"/>
      <protection locked="0"/>
    </xf>
    <xf numFmtId="0" fontId="48" fillId="24" borderId="38" xfId="46" applyFont="1" applyFill="1" applyBorder="1" applyAlignment="1" applyProtection="1">
      <alignment horizontal="left" vertical="center"/>
      <protection locked="0"/>
    </xf>
    <xf numFmtId="0" fontId="48" fillId="24" borderId="39" xfId="46" applyFont="1" applyFill="1" applyBorder="1" applyAlignment="1" applyProtection="1">
      <alignment horizontal="left" vertical="center"/>
      <protection locked="0"/>
    </xf>
    <xf numFmtId="0" fontId="48" fillId="24" borderId="36" xfId="46" applyFont="1" applyFill="1" applyBorder="1" applyAlignment="1" applyProtection="1">
      <alignment horizontal="center" vertical="center" wrapText="1"/>
      <protection locked="0"/>
    </xf>
    <xf numFmtId="0" fontId="48" fillId="25" borderId="36" xfId="46" applyFont="1" applyFill="1" applyBorder="1" applyAlignment="1">
      <alignment horizontal="center" vertical="center"/>
    </xf>
    <xf numFmtId="0" fontId="48" fillId="25" borderId="37" xfId="46" applyFont="1" applyFill="1" applyBorder="1" applyAlignment="1">
      <alignment horizontal="center" vertical="center"/>
    </xf>
    <xf numFmtId="0" fontId="48" fillId="25" borderId="38" xfId="46" applyFont="1" applyFill="1" applyBorder="1" applyAlignment="1">
      <alignment horizontal="center" vertical="center"/>
    </xf>
    <xf numFmtId="0" fontId="48" fillId="25" borderId="39" xfId="46" applyFont="1" applyFill="1" applyBorder="1" applyAlignment="1">
      <alignment horizontal="center" vertical="center"/>
    </xf>
    <xf numFmtId="0" fontId="48" fillId="25" borderId="36" xfId="46" applyFont="1" applyFill="1" applyBorder="1" applyAlignment="1">
      <alignment horizontal="center" vertical="center" wrapText="1"/>
    </xf>
    <xf numFmtId="0" fontId="49" fillId="25" borderId="41" xfId="46" applyFont="1" applyFill="1" applyBorder="1" applyAlignment="1">
      <alignment horizontal="center" vertical="center"/>
    </xf>
    <xf numFmtId="0" fontId="49" fillId="25" borderId="42" xfId="46" applyFont="1" applyFill="1" applyBorder="1" applyAlignment="1">
      <alignment horizontal="center" vertical="center"/>
    </xf>
    <xf numFmtId="0" fontId="45" fillId="25" borderId="44" xfId="46" applyFont="1" applyFill="1" applyBorder="1" applyAlignment="1">
      <alignment horizontal="center" vertical="center" wrapText="1"/>
    </xf>
    <xf numFmtId="0" fontId="51" fillId="24" borderId="40" xfId="46" applyFont="1" applyFill="1" applyBorder="1" applyAlignment="1">
      <alignment vertical="center"/>
    </xf>
    <xf numFmtId="0" fontId="60" fillId="26" borderId="44" xfId="54" applyFont="1" applyFill="1" applyBorder="1" applyAlignment="1">
      <alignment horizontal="center"/>
    </xf>
    <xf numFmtId="0" fontId="50" fillId="0" borderId="44" xfId="54" applyFont="1" applyBorder="1" applyAlignment="1">
      <alignment horizontal="center"/>
    </xf>
    <xf numFmtId="0" fontId="50" fillId="0" borderId="44" xfId="54" quotePrefix="1" applyFont="1" applyBorder="1" applyAlignment="1">
      <alignment horizontal="center"/>
    </xf>
    <xf numFmtId="49" fontId="50" fillId="0" borderId="44" xfId="54" applyNumberFormat="1" applyFont="1" applyBorder="1" applyAlignment="1">
      <alignment horizontal="center"/>
    </xf>
    <xf numFmtId="0" fontId="70" fillId="28" borderId="44" xfId="55" applyFont="1" applyFill="1" applyBorder="1" applyAlignment="1">
      <alignment horizontal="center" textRotation="90"/>
    </xf>
    <xf numFmtId="0" fontId="70" fillId="28" borderId="44" xfId="55" applyFont="1" applyFill="1" applyBorder="1" applyAlignment="1">
      <alignment vertical="center"/>
    </xf>
    <xf numFmtId="0" fontId="70" fillId="0" borderId="44" xfId="55" applyFont="1" applyBorder="1" applyAlignment="1">
      <alignment vertical="center"/>
    </xf>
    <xf numFmtId="0" fontId="25" fillId="0" borderId="0" xfId="0" applyFont="1" applyAlignment="1">
      <alignment vertical="center" wrapText="1"/>
    </xf>
    <xf numFmtId="0" fontId="62" fillId="0" borderId="0" xfId="54" applyFont="1" applyAlignment="1">
      <alignment horizontal="left"/>
    </xf>
    <xf numFmtId="0" fontId="50" fillId="0" borderId="0" xfId="54" quotePrefix="1" applyFont="1" applyAlignment="1">
      <alignment horizontal="center"/>
    </xf>
    <xf numFmtId="0" fontId="60" fillId="26" borderId="44" xfId="54" applyFont="1" applyFill="1" applyBorder="1" applyAlignment="1">
      <alignment horizontal="center" vertical="center"/>
    </xf>
    <xf numFmtId="1" fontId="62" fillId="0" borderId="0" xfId="54" quotePrefix="1" applyNumberFormat="1" applyFont="1" applyAlignment="1">
      <alignment horizontal="center"/>
    </xf>
    <xf numFmtId="0" fontId="50" fillId="0" borderId="44" xfId="54" applyFont="1" applyBorder="1"/>
    <xf numFmtId="0" fontId="50" fillId="0" borderId="44" xfId="54" applyFont="1" applyBorder="1" applyAlignment="1">
      <alignment horizontal="center" vertical="center"/>
    </xf>
    <xf numFmtId="0" fontId="50" fillId="28" borderId="0" xfId="54" applyFont="1" applyFill="1"/>
    <xf numFmtId="49" fontId="60" fillId="26" borderId="44" xfId="54" applyNumberFormat="1" applyFont="1" applyFill="1" applyBorder="1"/>
    <xf numFmtId="49" fontId="60" fillId="26" borderId="44" xfId="54" applyNumberFormat="1" applyFont="1" applyFill="1" applyBorder="1" applyAlignment="1">
      <alignment horizontal="center" wrapText="1"/>
    </xf>
    <xf numFmtId="0" fontId="60" fillId="26" borderId="44" xfId="54" applyFont="1" applyFill="1" applyBorder="1"/>
    <xf numFmtId="49" fontId="50" fillId="28" borderId="0" xfId="54" applyNumberFormat="1" applyFont="1" applyFill="1"/>
    <xf numFmtId="0" fontId="50" fillId="28" borderId="29" xfId="54" applyFont="1" applyFill="1" applyBorder="1"/>
    <xf numFmtId="0" fontId="50" fillId="28" borderId="30" xfId="54" applyFont="1" applyFill="1" applyBorder="1"/>
    <xf numFmtId="49" fontId="50" fillId="28" borderId="30" xfId="54" applyNumberFormat="1" applyFont="1" applyFill="1" applyBorder="1"/>
    <xf numFmtId="0" fontId="50" fillId="28" borderId="31" xfId="54" applyFont="1" applyFill="1" applyBorder="1"/>
    <xf numFmtId="0" fontId="50" fillId="28" borderId="19" xfId="54" applyFont="1" applyFill="1" applyBorder="1"/>
    <xf numFmtId="0" fontId="50" fillId="28" borderId="20" xfId="54" applyFont="1" applyFill="1" applyBorder="1"/>
    <xf numFmtId="0" fontId="50" fillId="28" borderId="32" xfId="54" applyFont="1" applyFill="1" applyBorder="1"/>
    <xf numFmtId="0" fontId="50" fillId="28" borderId="33" xfId="54" applyFont="1" applyFill="1" applyBorder="1"/>
    <xf numFmtId="49" fontId="50" fillId="28" borderId="33" xfId="54" applyNumberFormat="1" applyFont="1" applyFill="1" applyBorder="1"/>
    <xf numFmtId="0" fontId="50" fillId="28" borderId="34" xfId="54" applyFont="1" applyFill="1" applyBorder="1"/>
    <xf numFmtId="0" fontId="60" fillId="0" borderId="0" xfId="54" applyFont="1" applyAlignment="1">
      <alignment vertical="center"/>
    </xf>
    <xf numFmtId="0" fontId="60" fillId="0" borderId="0" xfId="54" applyFont="1" applyAlignment="1">
      <alignment horizontal="center"/>
    </xf>
    <xf numFmtId="0" fontId="25" fillId="0" borderId="0" xfId="0" applyFont="1" applyAlignment="1">
      <alignment horizontal="left" vertical="center"/>
    </xf>
    <xf numFmtId="0" fontId="74" fillId="0" borderId="0" xfId="0" applyFont="1" applyAlignment="1">
      <alignment horizontal="center" vertical="center"/>
    </xf>
    <xf numFmtId="0" fontId="36" fillId="26" borderId="0" xfId="0" applyFont="1" applyFill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77" fillId="0" borderId="0" xfId="0" quotePrefix="1" applyFont="1" applyAlignment="1">
      <alignment horizontal="center" vertical="center"/>
    </xf>
    <xf numFmtId="0" fontId="62" fillId="0" borderId="0" xfId="54" applyFont="1" applyAlignment="1">
      <alignment horizontal="center" vertical="center"/>
    </xf>
    <xf numFmtId="0" fontId="43" fillId="0" borderId="0" xfId="0" applyFont="1" applyAlignment="1">
      <alignment vertical="center"/>
    </xf>
    <xf numFmtId="0" fontId="25" fillId="0" borderId="0" xfId="0" quotePrefix="1" applyFont="1"/>
    <xf numFmtId="0" fontId="80" fillId="0" borderId="0" xfId="0" applyFont="1" applyAlignment="1">
      <alignment vertical="center"/>
    </xf>
    <xf numFmtId="0" fontId="24" fillId="0" borderId="0" xfId="0" applyFont="1" applyAlignment="1">
      <alignment vertical="center" wrapText="1"/>
    </xf>
    <xf numFmtId="0" fontId="81" fillId="0" borderId="0" xfId="0" applyFont="1" applyAlignment="1">
      <alignment vertical="center"/>
    </xf>
    <xf numFmtId="0" fontId="81" fillId="0" borderId="0" xfId="0" applyFont="1" applyAlignment="1">
      <alignment horizontal="center" vertical="center"/>
    </xf>
    <xf numFmtId="0" fontId="82" fillId="0" borderId="0" xfId="0" applyFont="1" applyAlignment="1">
      <alignment vertical="center"/>
    </xf>
    <xf numFmtId="0" fontId="81" fillId="0" borderId="0" xfId="0" quotePrefix="1" applyFont="1" applyAlignment="1">
      <alignment horizontal="center" vertical="center"/>
    </xf>
    <xf numFmtId="0" fontId="83" fillId="0" borderId="0" xfId="0" applyFont="1" applyAlignment="1">
      <alignment vertical="center"/>
    </xf>
    <xf numFmtId="0" fontId="43" fillId="0" borderId="0" xfId="0" applyFont="1" applyAlignment="1">
      <alignment vertical="center" wrapText="1"/>
    </xf>
    <xf numFmtId="0" fontId="84" fillId="0" borderId="44" xfId="0" quotePrefix="1" applyFont="1" applyBorder="1" applyAlignment="1">
      <alignment horizontal="center" vertical="center" wrapText="1"/>
    </xf>
    <xf numFmtId="0" fontId="70" fillId="0" borderId="46" xfId="55" applyFont="1" applyBorder="1" applyAlignment="1">
      <alignment vertical="center" textRotation="90"/>
    </xf>
    <xf numFmtId="0" fontId="70" fillId="0" borderId="49" xfId="55" applyFont="1" applyBorder="1" applyAlignment="1">
      <alignment horizontal="center" vertical="center"/>
    </xf>
    <xf numFmtId="0" fontId="70" fillId="0" borderId="47" xfId="55" applyFont="1" applyBorder="1" applyAlignment="1">
      <alignment horizontal="center" vertical="center"/>
    </xf>
    <xf numFmtId="0" fontId="71" fillId="30" borderId="35" xfId="55" applyFont="1" applyFill="1" applyBorder="1" applyAlignment="1">
      <alignment vertical="center"/>
    </xf>
    <xf numFmtId="0" fontId="70" fillId="30" borderId="0" xfId="55" applyFont="1" applyFill="1" applyAlignment="1">
      <alignment vertical="center"/>
    </xf>
    <xf numFmtId="0" fontId="70" fillId="30" borderId="28" xfId="55" applyFont="1" applyFill="1" applyBorder="1" applyAlignment="1">
      <alignment vertical="center"/>
    </xf>
    <xf numFmtId="0" fontId="70" fillId="0" borderId="35" xfId="55" applyFont="1" applyBorder="1" applyAlignment="1">
      <alignment vertical="center"/>
    </xf>
    <xf numFmtId="0" fontId="70" fillId="0" borderId="28" xfId="55" applyFont="1" applyBorder="1" applyAlignment="1">
      <alignment vertical="center"/>
    </xf>
    <xf numFmtId="0" fontId="72" fillId="0" borderId="0" xfId="55" applyFont="1" applyAlignment="1">
      <alignment vertical="center"/>
    </xf>
    <xf numFmtId="0" fontId="72" fillId="0" borderId="28" xfId="55" applyFont="1" applyBorder="1" applyAlignment="1">
      <alignment vertical="center"/>
    </xf>
    <xf numFmtId="0" fontId="75" fillId="0" borderId="0" xfId="0" applyFont="1"/>
    <xf numFmtId="0" fontId="75" fillId="0" borderId="28" xfId="0" applyFont="1" applyBorder="1"/>
    <xf numFmtId="0" fontId="73" fillId="0" borderId="0" xfId="55" applyFont="1" applyAlignment="1">
      <alignment vertical="center"/>
    </xf>
    <xf numFmtId="0" fontId="73" fillId="0" borderId="28" xfId="55" applyFont="1" applyBorder="1" applyAlignment="1">
      <alignment vertical="center"/>
    </xf>
    <xf numFmtId="0" fontId="54" fillId="0" borderId="28" xfId="55" applyFont="1" applyBorder="1"/>
    <xf numFmtId="0" fontId="72" fillId="0" borderId="0" xfId="0" applyFont="1" applyAlignment="1">
      <alignment vertical="center"/>
    </xf>
    <xf numFmtId="0" fontId="73" fillId="0" borderId="0" xfId="0" applyFont="1" applyAlignment="1">
      <alignment vertical="center"/>
    </xf>
    <xf numFmtId="0" fontId="2" fillId="0" borderId="28" xfId="55" applyBorder="1"/>
    <xf numFmtId="0" fontId="70" fillId="0" borderId="11" xfId="55" applyFont="1" applyBorder="1" applyAlignment="1">
      <alignment vertical="center"/>
    </xf>
    <xf numFmtId="0" fontId="70" fillId="0" borderId="12" xfId="55" applyFont="1" applyBorder="1" applyAlignment="1">
      <alignment vertical="center"/>
    </xf>
    <xf numFmtId="0" fontId="70" fillId="0" borderId="13" xfId="55" applyFont="1" applyBorder="1" applyAlignment="1">
      <alignment vertical="center"/>
    </xf>
    <xf numFmtId="164" fontId="85" fillId="0" borderId="0" xfId="0" quotePrefix="1" applyNumberFormat="1" applyFont="1" applyAlignment="1">
      <alignment vertical="center" wrapText="1" shrinkToFit="1"/>
    </xf>
    <xf numFmtId="0" fontId="5" fillId="0" borderId="0" xfId="46" applyAlignment="1">
      <alignment vertical="center"/>
    </xf>
    <xf numFmtId="0" fontId="86" fillId="0" borderId="0" xfId="0" applyFont="1" applyAlignment="1">
      <alignment vertical="center"/>
    </xf>
    <xf numFmtId="0" fontId="38" fillId="0" borderId="0" xfId="0" applyFont="1" applyAlignment="1">
      <alignment horizontal="center" vertical="center"/>
    </xf>
    <xf numFmtId="164" fontId="87" fillId="0" borderId="0" xfId="0" quotePrefix="1" applyNumberFormat="1" applyFont="1" applyAlignment="1">
      <alignment vertical="center" wrapText="1" shrinkToFit="1"/>
    </xf>
    <xf numFmtId="0" fontId="88" fillId="0" borderId="0" xfId="0" applyFont="1" applyAlignment="1">
      <alignment vertical="center"/>
    </xf>
    <xf numFmtId="0" fontId="89" fillId="0" borderId="0" xfId="0" applyFont="1" applyAlignment="1">
      <alignment vertical="center"/>
    </xf>
    <xf numFmtId="0" fontId="87" fillId="0" borderId="0" xfId="0" applyFont="1" applyAlignment="1">
      <alignment horizontal="center" vertical="center"/>
    </xf>
    <xf numFmtId="0" fontId="41" fillId="0" borderId="46" xfId="0" applyFont="1" applyBorder="1" applyAlignment="1">
      <alignment vertical="center" wrapText="1"/>
    </xf>
    <xf numFmtId="0" fontId="41" fillId="0" borderId="48" xfId="0" applyFont="1" applyBorder="1" applyAlignment="1">
      <alignment vertical="center" wrapText="1"/>
    </xf>
    <xf numFmtId="0" fontId="32" fillId="0" borderId="47" xfId="0" applyFont="1" applyBorder="1" applyAlignment="1">
      <alignment vertical="center" wrapText="1"/>
    </xf>
    <xf numFmtId="0" fontId="90" fillId="0" borderId="0" xfId="0" applyFont="1" applyAlignment="1">
      <alignment horizontal="center" vertical="center"/>
    </xf>
    <xf numFmtId="9" fontId="90" fillId="0" borderId="28" xfId="0" applyNumberFormat="1" applyFont="1" applyBorder="1" applyAlignment="1">
      <alignment horizontal="center" vertical="center"/>
    </xf>
    <xf numFmtId="0" fontId="24" fillId="0" borderId="50" xfId="0" applyFont="1" applyBorder="1"/>
    <xf numFmtId="0" fontId="39" fillId="0" borderId="35" xfId="0" applyFont="1" applyBorder="1" applyAlignment="1">
      <alignment horizontal="center" vertical="center" wrapText="1"/>
    </xf>
    <xf numFmtId="0" fontId="39" fillId="0" borderId="14" xfId="0" applyFont="1" applyBorder="1" applyAlignment="1">
      <alignment horizontal="center" vertical="center" wrapText="1"/>
    </xf>
    <xf numFmtId="0" fontId="86" fillId="0" borderId="28" xfId="0" applyFont="1" applyBorder="1" applyAlignment="1">
      <alignment horizontal="center" vertical="center" wrapText="1"/>
    </xf>
    <xf numFmtId="0" fontId="39" fillId="0" borderId="35" xfId="0" applyFont="1" applyBorder="1" applyAlignment="1">
      <alignment horizontal="center" vertical="center"/>
    </xf>
    <xf numFmtId="0" fontId="39" fillId="0" borderId="14" xfId="0" applyFont="1" applyBorder="1" applyAlignment="1">
      <alignment horizontal="center" vertical="center"/>
    </xf>
    <xf numFmtId="0" fontId="86" fillId="0" borderId="28" xfId="0" applyFont="1" applyBorder="1" applyAlignment="1">
      <alignment horizontal="center" vertical="center"/>
    </xf>
    <xf numFmtId="164" fontId="39" fillId="0" borderId="35" xfId="0" applyNumberFormat="1" applyFont="1" applyBorder="1" applyAlignment="1">
      <alignment horizontal="center"/>
    </xf>
    <xf numFmtId="0" fontId="39" fillId="0" borderId="35" xfId="0" quotePrefix="1" applyFont="1" applyBorder="1" applyAlignment="1">
      <alignment horizontal="center" vertical="center"/>
    </xf>
    <xf numFmtId="0" fontId="39" fillId="0" borderId="14" xfId="0" quotePrefix="1" applyFont="1" applyBorder="1" applyAlignment="1">
      <alignment horizontal="center" vertical="center"/>
    </xf>
    <xf numFmtId="164" fontId="37" fillId="0" borderId="28" xfId="0" quotePrefix="1" applyNumberFormat="1" applyFont="1" applyBorder="1" applyAlignment="1">
      <alignment horizontal="right"/>
    </xf>
    <xf numFmtId="0" fontId="86" fillId="0" borderId="28" xfId="0" quotePrefix="1" applyFont="1" applyBorder="1" applyAlignment="1">
      <alignment horizontal="center" vertical="center" wrapText="1"/>
    </xf>
    <xf numFmtId="0" fontId="24" fillId="0" borderId="14" xfId="0" applyFont="1" applyBorder="1" applyAlignment="1">
      <alignment horizontal="center" vertical="center" wrapText="1"/>
    </xf>
    <xf numFmtId="0" fontId="86" fillId="0" borderId="28" xfId="0" quotePrefix="1" applyFont="1" applyBorder="1" applyAlignment="1">
      <alignment horizontal="center" vertical="center"/>
    </xf>
    <xf numFmtId="164" fontId="86" fillId="0" borderId="28" xfId="0" applyNumberFormat="1" applyFont="1" applyBorder="1" applyAlignment="1">
      <alignment horizontal="center"/>
    </xf>
    <xf numFmtId="0" fontId="86" fillId="0" borderId="28" xfId="0" applyFont="1" applyBorder="1" applyAlignment="1">
      <alignment horizontal="left"/>
    </xf>
    <xf numFmtId="164" fontId="24" fillId="0" borderId="28" xfId="0" applyNumberFormat="1" applyFont="1" applyBorder="1" applyAlignment="1">
      <alignment horizontal="center"/>
    </xf>
    <xf numFmtId="164" fontId="43" fillId="0" borderId="28" xfId="0" quotePrefix="1" applyNumberFormat="1" applyFont="1" applyBorder="1" applyAlignment="1">
      <alignment horizontal="right"/>
    </xf>
    <xf numFmtId="164" fontId="43" fillId="0" borderId="35" xfId="0" quotePrefix="1" applyNumberFormat="1" applyFont="1" applyBorder="1" applyAlignment="1">
      <alignment horizontal="right"/>
    </xf>
    <xf numFmtId="164" fontId="43" fillId="0" borderId="14" xfId="0" quotePrefix="1" applyNumberFormat="1" applyFont="1" applyBorder="1" applyAlignment="1">
      <alignment horizontal="right"/>
    </xf>
    <xf numFmtId="9" fontId="87" fillId="0" borderId="0" xfId="41" applyFont="1" applyFill="1" applyBorder="1" applyAlignment="1">
      <alignment horizontal="center" vertical="center" wrapText="1"/>
    </xf>
    <xf numFmtId="164" fontId="87" fillId="0" borderId="0" xfId="0" applyNumberFormat="1" applyFont="1" applyAlignment="1">
      <alignment horizontal="right"/>
    </xf>
    <xf numFmtId="0" fontId="89" fillId="0" borderId="0" xfId="0" applyFont="1"/>
    <xf numFmtId="0" fontId="39" fillId="0" borderId="11" xfId="0" applyFont="1" applyBorder="1" applyAlignment="1">
      <alignment horizontal="center" vertical="center"/>
    </xf>
    <xf numFmtId="0" fontId="39" fillId="0" borderId="15" xfId="0" applyFont="1" applyBorder="1" applyAlignment="1">
      <alignment horizontal="center" vertical="center"/>
    </xf>
    <xf numFmtId="164" fontId="24" fillId="0" borderId="13" xfId="0" applyNumberFormat="1" applyFont="1" applyBorder="1" applyAlignment="1">
      <alignment horizontal="center"/>
    </xf>
    <xf numFmtId="164" fontId="90" fillId="32" borderId="51" xfId="0" applyNumberFormat="1" applyFont="1" applyFill="1" applyBorder="1" applyAlignment="1">
      <alignment horizontal="center" vertical="center"/>
    </xf>
    <xf numFmtId="164" fontId="87" fillId="32" borderId="52" xfId="0" applyNumberFormat="1" applyFont="1" applyFill="1" applyBorder="1" applyAlignment="1">
      <alignment horizontal="center" vertical="center" wrapText="1"/>
    </xf>
    <xf numFmtId="9" fontId="87" fillId="0" borderId="24" xfId="41" applyFont="1" applyFill="1" applyBorder="1" applyAlignment="1">
      <alignment horizontal="center" vertical="center" wrapText="1"/>
    </xf>
    <xf numFmtId="0" fontId="87" fillId="0" borderId="26" xfId="0" applyFont="1" applyBorder="1" applyAlignment="1">
      <alignment horizontal="center" vertical="center"/>
    </xf>
    <xf numFmtId="9" fontId="24" fillId="0" borderId="50" xfId="0" applyNumberFormat="1" applyFont="1" applyBorder="1" applyAlignment="1">
      <alignment horizontal="center" vertical="center"/>
    </xf>
    <xf numFmtId="9" fontId="91" fillId="0" borderId="57" xfId="0" applyNumberFormat="1" applyFont="1" applyBorder="1" applyAlignment="1">
      <alignment horizontal="center" vertical="center"/>
    </xf>
    <xf numFmtId="164" fontId="24" fillId="0" borderId="14" xfId="0" applyNumberFormat="1" applyFont="1" applyBorder="1" applyAlignment="1">
      <alignment horizontal="center"/>
    </xf>
    <xf numFmtId="0" fontId="39" fillId="0" borderId="0" xfId="0" applyFont="1" applyAlignment="1">
      <alignment horizontal="center" vertical="center"/>
    </xf>
    <xf numFmtId="164" fontId="24" fillId="0" borderId="0" xfId="0" applyNumberFormat="1" applyFont="1" applyAlignment="1">
      <alignment horizontal="center"/>
    </xf>
    <xf numFmtId="164" fontId="24" fillId="0" borderId="15" xfId="0" applyNumberFormat="1" applyFont="1" applyBorder="1" applyAlignment="1">
      <alignment horizontal="center"/>
    </xf>
    <xf numFmtId="9" fontId="24" fillId="0" borderId="0" xfId="0" applyNumberFormat="1" applyFont="1" applyAlignment="1">
      <alignment horizontal="center" vertical="center"/>
    </xf>
    <xf numFmtId="164" fontId="87" fillId="0" borderId="0" xfId="0" applyNumberFormat="1" applyFont="1" applyAlignment="1">
      <alignment horizontal="center" vertical="center" wrapText="1"/>
    </xf>
    <xf numFmtId="9" fontId="91" fillId="0" borderId="0" xfId="0" applyNumberFormat="1" applyFont="1" applyAlignment="1">
      <alignment horizontal="center" vertical="center"/>
    </xf>
    <xf numFmtId="164" fontId="87" fillId="32" borderId="58" xfId="0" applyNumberFormat="1" applyFont="1" applyFill="1" applyBorder="1" applyAlignment="1">
      <alignment horizontal="center" vertical="center" wrapText="1"/>
    </xf>
    <xf numFmtId="9" fontId="87" fillId="0" borderId="57" xfId="41" applyFont="1" applyFill="1" applyBorder="1" applyAlignment="1">
      <alignment horizontal="center" vertical="center" wrapText="1"/>
    </xf>
    <xf numFmtId="9" fontId="91" fillId="0" borderId="59" xfId="0" applyNumberFormat="1" applyFont="1" applyBorder="1" applyAlignment="1">
      <alignment horizontal="center" vertical="center"/>
    </xf>
    <xf numFmtId="0" fontId="73" fillId="0" borderId="60" xfId="56" applyFont="1" applyBorder="1" applyAlignment="1">
      <alignment vertical="top" wrapText="1"/>
    </xf>
    <xf numFmtId="0" fontId="93" fillId="0" borderId="64" xfId="56" applyFont="1" applyBorder="1" applyAlignment="1">
      <alignment vertical="center"/>
    </xf>
    <xf numFmtId="0" fontId="1" fillId="0" borderId="0" xfId="56"/>
    <xf numFmtId="0" fontId="73" fillId="0" borderId="65" xfId="56" applyFont="1" applyBorder="1" applyAlignment="1">
      <alignment vertical="top" wrapText="1"/>
    </xf>
    <xf numFmtId="0" fontId="93" fillId="0" borderId="69" xfId="56" applyFont="1" applyBorder="1" applyAlignment="1">
      <alignment horizontal="center" vertical="center"/>
    </xf>
    <xf numFmtId="0" fontId="1" fillId="0" borderId="70" xfId="56" applyBorder="1"/>
    <xf numFmtId="0" fontId="92" fillId="0" borderId="0" xfId="56" applyFont="1" applyAlignment="1">
      <alignment horizontal="center" vertical="center"/>
    </xf>
    <xf numFmtId="0" fontId="1" fillId="0" borderId="71" xfId="56" applyBorder="1"/>
    <xf numFmtId="0" fontId="94" fillId="0" borderId="0" xfId="56" applyFont="1" applyAlignment="1">
      <alignment horizontal="center" vertical="center"/>
    </xf>
    <xf numFmtId="0" fontId="95" fillId="0" borderId="0" xfId="56" applyFont="1" applyAlignment="1">
      <alignment horizontal="center" vertical="center"/>
    </xf>
    <xf numFmtId="0" fontId="1" fillId="0" borderId="70" xfId="56" applyBorder="1" applyAlignment="1">
      <alignment vertical="top"/>
    </xf>
    <xf numFmtId="0" fontId="1" fillId="0" borderId="71" xfId="56" applyBorder="1" applyAlignment="1">
      <alignment vertical="top"/>
    </xf>
    <xf numFmtId="0" fontId="1" fillId="0" borderId="0" xfId="56" applyAlignment="1">
      <alignment vertical="top"/>
    </xf>
    <xf numFmtId="0" fontId="73" fillId="0" borderId="0" xfId="56" applyFont="1" applyAlignment="1">
      <alignment horizontal="center" vertical="center"/>
    </xf>
    <xf numFmtId="0" fontId="97" fillId="0" borderId="44" xfId="56" quotePrefix="1" applyFont="1" applyBorder="1" applyAlignment="1" applyProtection="1">
      <alignment horizontal="center"/>
      <protection locked="0"/>
    </xf>
    <xf numFmtId="15" fontId="97" fillId="0" borderId="44" xfId="56" applyNumberFormat="1" applyFont="1" applyBorder="1" applyAlignment="1">
      <alignment horizontal="center"/>
    </xf>
    <xf numFmtId="167" fontId="97" fillId="0" borderId="43" xfId="56" applyNumberFormat="1" applyFont="1" applyBorder="1" applyAlignment="1" applyProtection="1">
      <alignment horizontal="center"/>
      <protection locked="0"/>
    </xf>
    <xf numFmtId="0" fontId="97" fillId="0" borderId="43" xfId="56" applyFont="1" applyBorder="1" applyAlignment="1">
      <alignment horizontal="left"/>
    </xf>
    <xf numFmtId="0" fontId="97" fillId="0" borderId="41" xfId="56" applyFont="1" applyBorder="1" applyAlignment="1">
      <alignment horizontal="left"/>
    </xf>
    <xf numFmtId="0" fontId="97" fillId="0" borderId="42" xfId="56" applyFont="1" applyBorder="1" applyAlignment="1">
      <alignment horizontal="left"/>
    </xf>
    <xf numFmtId="0" fontId="97" fillId="0" borderId="44" xfId="56" applyFont="1" applyBorder="1" applyAlignment="1" applyProtection="1">
      <alignment horizontal="center"/>
      <protection locked="0"/>
    </xf>
    <xf numFmtId="15" fontId="97" fillId="0" borderId="44" xfId="56" applyNumberFormat="1" applyFont="1" applyBorder="1" applyAlignment="1" applyProtection="1">
      <alignment horizontal="center"/>
      <protection locked="0"/>
    </xf>
    <xf numFmtId="0" fontId="97" fillId="0" borderId="44" xfId="56" applyFont="1" applyBorder="1" applyAlignment="1">
      <alignment horizontal="center"/>
    </xf>
    <xf numFmtId="0" fontId="1" fillId="0" borderId="65" xfId="56" applyBorder="1"/>
    <xf numFmtId="0" fontId="70" fillId="0" borderId="66" xfId="56" applyFont="1" applyBorder="1" applyAlignment="1">
      <alignment horizontal="left"/>
    </xf>
    <xf numFmtId="0" fontId="98" fillId="0" borderId="66" xfId="56" applyFont="1" applyBorder="1" applyAlignment="1">
      <alignment horizontal="left" vertical="center"/>
    </xf>
    <xf numFmtId="0" fontId="70" fillId="0" borderId="66" xfId="56" applyFont="1" applyBorder="1" applyAlignment="1">
      <alignment horizontal="center"/>
    </xf>
    <xf numFmtId="0" fontId="1" fillId="0" borderId="69" xfId="56" applyBorder="1"/>
    <xf numFmtId="164" fontId="1" fillId="32" borderId="51" xfId="0" applyNumberFormat="1" applyFont="1" applyFill="1" applyBorder="1" applyAlignment="1">
      <alignment horizontal="center" vertical="center"/>
    </xf>
    <xf numFmtId="9" fontId="1" fillId="0" borderId="28" xfId="0" applyNumberFormat="1" applyFont="1" applyBorder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9" fontId="1" fillId="0" borderId="0" xfId="0" applyNumberFormat="1" applyFont="1" applyAlignment="1">
      <alignment horizontal="center" vertical="center"/>
    </xf>
    <xf numFmtId="0" fontId="73" fillId="0" borderId="0" xfId="56" applyFont="1" applyAlignment="1">
      <alignment horizontal="left" vertical="center" indent="1"/>
    </xf>
    <xf numFmtId="0" fontId="96" fillId="0" borderId="0" xfId="56" applyFont="1" applyAlignment="1">
      <alignment vertical="center"/>
    </xf>
    <xf numFmtId="0" fontId="73" fillId="0" borderId="0" xfId="56" applyFont="1" applyAlignment="1">
      <alignment vertical="top" wrapText="1"/>
    </xf>
    <xf numFmtId="0" fontId="73" fillId="0" borderId="0" xfId="56" applyFont="1" applyAlignment="1">
      <alignment vertical="center" wrapText="1"/>
    </xf>
    <xf numFmtId="1" fontId="70" fillId="0" borderId="0" xfId="56" applyNumberFormat="1" applyFont="1" applyAlignment="1">
      <alignment horizontal="center" vertical="top"/>
    </xf>
    <xf numFmtId="0" fontId="73" fillId="0" borderId="0" xfId="56" applyFont="1" applyAlignment="1">
      <alignment horizontal="center" vertical="top"/>
    </xf>
    <xf numFmtId="0" fontId="99" fillId="33" borderId="44" xfId="56" applyFont="1" applyFill="1" applyBorder="1" applyAlignment="1">
      <alignment horizontal="center" vertical="center"/>
    </xf>
    <xf numFmtId="0" fontId="99" fillId="33" borderId="43" xfId="56" applyFont="1" applyFill="1" applyBorder="1" applyAlignment="1">
      <alignment horizontal="center" vertical="center"/>
    </xf>
    <xf numFmtId="0" fontId="97" fillId="0" borderId="49" xfId="56" applyFont="1" applyBorder="1" applyAlignment="1" applyProtection="1">
      <alignment horizontal="center"/>
      <protection locked="0"/>
    </xf>
    <xf numFmtId="15" fontId="97" fillId="0" borderId="0" xfId="56" applyNumberFormat="1" applyFont="1" applyAlignment="1" applyProtection="1">
      <alignment horizontal="center"/>
      <protection locked="0"/>
    </xf>
    <xf numFmtId="167" fontId="97" fillId="0" borderId="0" xfId="56" applyNumberFormat="1" applyFont="1" applyAlignment="1" applyProtection="1">
      <alignment horizontal="center"/>
      <protection locked="0"/>
    </xf>
    <xf numFmtId="0" fontId="97" fillId="0" borderId="0" xfId="56" applyFont="1" applyAlignment="1">
      <alignment horizontal="center"/>
    </xf>
    <xf numFmtId="0" fontId="97" fillId="0" borderId="0" xfId="56" applyFont="1" applyAlignment="1">
      <alignment horizontal="left"/>
    </xf>
    <xf numFmtId="0" fontId="101" fillId="0" borderId="62" xfId="56" applyFont="1" applyBorder="1" applyAlignment="1">
      <alignment vertical="center" wrapText="1"/>
    </xf>
    <xf numFmtId="0" fontId="101" fillId="0" borderId="67" xfId="56" applyFont="1" applyBorder="1" applyAlignment="1">
      <alignment vertical="center" wrapText="1"/>
    </xf>
    <xf numFmtId="0" fontId="101" fillId="0" borderId="68" xfId="56" applyFont="1" applyBorder="1" applyAlignment="1">
      <alignment vertical="center" wrapText="1"/>
    </xf>
    <xf numFmtId="0" fontId="101" fillId="0" borderId="63" xfId="56" applyFont="1" applyBorder="1" applyAlignment="1">
      <alignment vertical="center" wrapText="1"/>
    </xf>
    <xf numFmtId="0" fontId="100" fillId="0" borderId="61" xfId="56" applyFont="1" applyBorder="1" applyAlignment="1">
      <alignment horizontal="left" vertical="top" wrapText="1"/>
    </xf>
    <xf numFmtId="0" fontId="100" fillId="0" borderId="66" xfId="56" applyFont="1" applyBorder="1" applyAlignment="1">
      <alignment horizontal="left" vertical="top" wrapText="1"/>
    </xf>
    <xf numFmtId="0" fontId="94" fillId="0" borderId="0" xfId="56" applyFont="1" applyAlignment="1">
      <alignment horizontal="center" vertical="center" shrinkToFit="1"/>
    </xf>
    <xf numFmtId="0" fontId="97" fillId="0" borderId="43" xfId="56" applyFont="1" applyBorder="1" applyAlignment="1">
      <alignment horizontal="left"/>
    </xf>
    <xf numFmtId="0" fontId="97" fillId="0" borderId="41" xfId="56" applyFont="1" applyBorder="1" applyAlignment="1">
      <alignment horizontal="left"/>
    </xf>
    <xf numFmtId="0" fontId="97" fillId="0" borderId="42" xfId="56" applyFont="1" applyBorder="1" applyAlignment="1">
      <alignment horizontal="left"/>
    </xf>
    <xf numFmtId="0" fontId="96" fillId="0" borderId="0" xfId="56" applyFont="1" applyAlignment="1">
      <alignment horizontal="center" vertical="center"/>
    </xf>
    <xf numFmtId="0" fontId="99" fillId="33" borderId="43" xfId="56" applyFont="1" applyFill="1" applyBorder="1" applyAlignment="1">
      <alignment horizontal="center" vertical="center"/>
    </xf>
    <xf numFmtId="0" fontId="99" fillId="33" borderId="41" xfId="56" applyFont="1" applyFill="1" applyBorder="1" applyAlignment="1">
      <alignment horizontal="center" vertical="center"/>
    </xf>
    <xf numFmtId="0" fontId="99" fillId="33" borderId="42" xfId="56" applyFont="1" applyFill="1" applyBorder="1" applyAlignment="1">
      <alignment horizontal="center" vertical="center"/>
    </xf>
    <xf numFmtId="0" fontId="78" fillId="24" borderId="16" xfId="46" applyFont="1" applyFill="1" applyBorder="1" applyAlignment="1">
      <alignment horizontal="center" vertical="center" wrapText="1"/>
    </xf>
    <xf numFmtId="0" fontId="59" fillId="24" borderId="17" xfId="46" applyFont="1" applyFill="1" applyBorder="1" applyAlignment="1">
      <alignment horizontal="center" vertical="center" wrapText="1"/>
    </xf>
    <xf numFmtId="0" fontId="59" fillId="24" borderId="18" xfId="46" applyFont="1" applyFill="1" applyBorder="1" applyAlignment="1">
      <alignment horizontal="center" vertical="center" wrapText="1"/>
    </xf>
    <xf numFmtId="0" fontId="46" fillId="24" borderId="0" xfId="46" applyFont="1" applyFill="1" applyAlignment="1">
      <alignment horizontal="center" vertical="center"/>
    </xf>
    <xf numFmtId="0" fontId="55" fillId="27" borderId="0" xfId="46" applyFont="1" applyFill="1" applyAlignment="1" applyProtection="1">
      <alignment horizontal="center" vertical="center" wrapText="1"/>
      <protection locked="0"/>
    </xf>
    <xf numFmtId="0" fontId="29" fillId="27" borderId="0" xfId="46" applyFont="1" applyFill="1" applyAlignment="1">
      <alignment horizontal="center"/>
    </xf>
    <xf numFmtId="0" fontId="29" fillId="24" borderId="0" xfId="46" applyFont="1" applyFill="1" applyAlignment="1">
      <alignment horizontal="center"/>
    </xf>
    <xf numFmtId="0" fontId="48" fillId="25" borderId="37" xfId="46" applyFont="1" applyFill="1" applyBorder="1" applyAlignment="1">
      <alignment horizontal="center" vertical="center" wrapText="1"/>
    </xf>
    <xf numFmtId="0" fontId="48" fillId="25" borderId="39" xfId="46" applyFont="1" applyFill="1" applyBorder="1" applyAlignment="1">
      <alignment horizontal="center" vertical="center" wrapText="1"/>
    </xf>
    <xf numFmtId="0" fontId="47" fillId="24" borderId="37" xfId="46" applyFont="1" applyFill="1" applyBorder="1" applyAlignment="1" applyProtection="1">
      <alignment horizontal="center" vertical="center" wrapText="1"/>
      <protection locked="0"/>
    </xf>
    <xf numFmtId="0" fontId="47" fillId="24" borderId="39" xfId="46" applyFont="1" applyFill="1" applyBorder="1" applyAlignment="1" applyProtection="1">
      <alignment horizontal="center" vertical="center" wrapText="1"/>
      <protection locked="0"/>
    </xf>
    <xf numFmtId="0" fontId="52" fillId="24" borderId="22" xfId="46" applyFont="1" applyFill="1" applyBorder="1" applyAlignment="1">
      <alignment horizontal="center" vertical="center"/>
    </xf>
    <xf numFmtId="0" fontId="52" fillId="24" borderId="23" xfId="46" applyFont="1" applyFill="1" applyBorder="1" applyAlignment="1">
      <alignment horizontal="center" vertical="center"/>
    </xf>
    <xf numFmtId="0" fontId="53" fillId="24" borderId="25" xfId="46" applyFont="1" applyFill="1" applyBorder="1" applyAlignment="1">
      <alignment horizontal="center" vertical="center" wrapText="1"/>
    </xf>
    <xf numFmtId="0" fontId="53" fillId="24" borderId="24" xfId="46" applyFont="1" applyFill="1" applyBorder="1" applyAlignment="1">
      <alignment horizontal="center" vertical="center" wrapText="1"/>
    </xf>
    <xf numFmtId="0" fontId="53" fillId="24" borderId="27" xfId="46" applyFont="1" applyFill="1" applyBorder="1" applyAlignment="1">
      <alignment horizontal="center" vertical="center" wrapText="1"/>
    </xf>
    <xf numFmtId="0" fontId="49" fillId="25" borderId="40" xfId="46" applyFont="1" applyFill="1" applyBorder="1" applyAlignment="1">
      <alignment horizontal="center" vertical="center"/>
    </xf>
    <xf numFmtId="0" fontId="50" fillId="0" borderId="41" xfId="47" applyFont="1" applyBorder="1"/>
    <xf numFmtId="0" fontId="45" fillId="25" borderId="43" xfId="46" applyFont="1" applyFill="1" applyBorder="1" applyAlignment="1">
      <alignment horizontal="center" vertical="center" wrapText="1"/>
    </xf>
    <xf numFmtId="0" fontId="45" fillId="25" borderId="42" xfId="46" applyFont="1" applyFill="1" applyBorder="1" applyAlignment="1">
      <alignment horizontal="center" vertical="center" wrapText="1"/>
    </xf>
    <xf numFmtId="0" fontId="45" fillId="25" borderId="45" xfId="46" applyFont="1" applyFill="1" applyBorder="1" applyAlignment="1">
      <alignment horizontal="center" vertical="center" wrapText="1"/>
    </xf>
    <xf numFmtId="0" fontId="47" fillId="24" borderId="11" xfId="46" applyFont="1" applyFill="1" applyBorder="1" applyAlignment="1" applyProtection="1">
      <alignment horizontal="center" vertical="center" wrapText="1"/>
      <protection locked="0"/>
    </xf>
    <xf numFmtId="0" fontId="47" fillId="24" borderId="13" xfId="46" applyFont="1" applyFill="1" applyBorder="1" applyAlignment="1" applyProtection="1">
      <alignment horizontal="center" vertical="center" wrapText="1"/>
      <protection locked="0"/>
    </xf>
    <xf numFmtId="0" fontId="47" fillId="24" borderId="15" xfId="46" applyFont="1" applyFill="1" applyBorder="1" applyAlignment="1" applyProtection="1">
      <alignment horizontal="center" vertical="center" wrapText="1"/>
      <protection locked="0"/>
    </xf>
    <xf numFmtId="0" fontId="47" fillId="24" borderId="21" xfId="46" applyFont="1" applyFill="1" applyBorder="1" applyAlignment="1" applyProtection="1">
      <alignment horizontal="center" vertical="center" wrapText="1"/>
      <protection locked="0"/>
    </xf>
    <xf numFmtId="0" fontId="87" fillId="0" borderId="54" xfId="0" applyFont="1" applyBorder="1" applyAlignment="1">
      <alignment horizontal="center" vertical="center"/>
    </xf>
    <xf numFmtId="0" fontId="89" fillId="0" borderId="55" xfId="0" applyFont="1" applyBorder="1" applyAlignment="1">
      <alignment horizontal="center" vertical="center" wrapText="1"/>
    </xf>
    <xf numFmtId="0" fontId="89" fillId="0" borderId="56" xfId="0" applyFont="1" applyBorder="1" applyAlignment="1">
      <alignment horizontal="center" vertical="center" wrapText="1"/>
    </xf>
    <xf numFmtId="0" fontId="65" fillId="0" borderId="43" xfId="0" applyFont="1" applyBorder="1" applyAlignment="1">
      <alignment horizontal="center" vertical="center" wrapText="1"/>
    </xf>
    <xf numFmtId="0" fontId="65" fillId="0" borderId="41" xfId="0" applyFont="1" applyBorder="1" applyAlignment="1">
      <alignment horizontal="center" vertical="center" wrapText="1"/>
    </xf>
    <xf numFmtId="0" fontId="65" fillId="0" borderId="42" xfId="0" applyFont="1" applyBorder="1" applyAlignment="1">
      <alignment horizontal="center" vertical="center" wrapText="1"/>
    </xf>
    <xf numFmtId="0" fontId="25" fillId="0" borderId="46" xfId="0" applyFont="1" applyBorder="1" applyAlignment="1">
      <alignment horizontal="center" vertical="center" wrapText="1"/>
    </xf>
    <xf numFmtId="0" fontId="25" fillId="0" borderId="49" xfId="0" applyFont="1" applyBorder="1" applyAlignment="1">
      <alignment horizontal="center" vertical="center" wrapText="1"/>
    </xf>
    <xf numFmtId="0" fontId="25" fillId="0" borderId="47" xfId="0" applyFont="1" applyBorder="1" applyAlignment="1">
      <alignment horizontal="center" vertical="center" wrapText="1"/>
    </xf>
    <xf numFmtId="0" fontId="25" fillId="0" borderId="11" xfId="0" applyFont="1" applyBorder="1" applyAlignment="1">
      <alignment horizontal="center" vertical="center" wrapText="1"/>
    </xf>
    <xf numFmtId="0" fontId="25" fillId="0" borderId="12" xfId="0" applyFont="1" applyBorder="1" applyAlignment="1">
      <alignment horizontal="center" vertical="center" wrapText="1"/>
    </xf>
    <xf numFmtId="0" fontId="25" fillId="0" borderId="13" xfId="0" applyFont="1" applyBorder="1" applyAlignment="1">
      <alignment horizontal="center" vertical="center" wrapText="1"/>
    </xf>
    <xf numFmtId="0" fontId="25" fillId="0" borderId="44" xfId="0" applyFont="1" applyBorder="1" applyAlignment="1">
      <alignment horizontal="center" vertical="center" wrapText="1"/>
    </xf>
    <xf numFmtId="0" fontId="36" fillId="0" borderId="43" xfId="0" applyFont="1" applyBorder="1" applyAlignment="1">
      <alignment horizontal="center" vertical="center"/>
    </xf>
    <xf numFmtId="0" fontId="36" fillId="0" borderId="41" xfId="0" applyFont="1" applyBorder="1" applyAlignment="1">
      <alignment horizontal="center" vertical="center"/>
    </xf>
    <xf numFmtId="0" fontId="36" fillId="0" borderId="42" xfId="0" applyFont="1" applyBorder="1" applyAlignment="1">
      <alignment horizontal="center" vertical="center"/>
    </xf>
    <xf numFmtId="0" fontId="25" fillId="0" borderId="43" xfId="0" applyFont="1" applyBorder="1" applyAlignment="1">
      <alignment horizontal="center" vertical="center" wrapText="1"/>
    </xf>
    <xf numFmtId="0" fontId="41" fillId="0" borderId="43" xfId="0" applyFont="1" applyBorder="1" applyAlignment="1">
      <alignment horizontal="center" vertical="center" wrapText="1"/>
    </xf>
    <xf numFmtId="0" fontId="41" fillId="0" borderId="44" xfId="0" applyFont="1" applyBorder="1" applyAlignment="1">
      <alignment horizontal="center" vertical="center" wrapText="1"/>
    </xf>
    <xf numFmtId="0" fontId="41" fillId="0" borderId="48" xfId="0" applyFont="1" applyBorder="1" applyAlignment="1">
      <alignment horizontal="center" vertical="center" wrapText="1"/>
    </xf>
    <xf numFmtId="9" fontId="87" fillId="32" borderId="53" xfId="48" applyFont="1" applyFill="1" applyBorder="1" applyAlignment="1">
      <alignment horizontal="center" vertical="center" wrapText="1"/>
    </xf>
    <xf numFmtId="9" fontId="87" fillId="32" borderId="52" xfId="48" applyFont="1" applyFill="1" applyBorder="1" applyAlignment="1">
      <alignment horizontal="center" vertical="center" wrapText="1"/>
    </xf>
    <xf numFmtId="0" fontId="60" fillId="0" borderId="30" xfId="54" applyFont="1" applyBorder="1" applyAlignment="1">
      <alignment horizontal="left" vertical="center" wrapText="1"/>
    </xf>
    <xf numFmtId="0" fontId="60" fillId="0" borderId="0" xfId="54" applyFont="1" applyAlignment="1">
      <alignment horizontal="left" vertical="center" wrapText="1"/>
    </xf>
    <xf numFmtId="0" fontId="60" fillId="26" borderId="44" xfId="54" applyFont="1" applyFill="1" applyBorder="1" applyAlignment="1">
      <alignment horizontal="center"/>
    </xf>
    <xf numFmtId="0" fontId="50" fillId="0" borderId="44" xfId="54" applyFont="1" applyBorder="1" applyAlignment="1">
      <alignment horizontal="center"/>
    </xf>
    <xf numFmtId="0" fontId="60" fillId="0" borderId="0" xfId="54" applyFont="1" applyAlignment="1">
      <alignment horizontal="center"/>
    </xf>
    <xf numFmtId="0" fontId="50" fillId="0" borderId="0" xfId="54" applyFont="1" applyAlignment="1">
      <alignment horizontal="center"/>
    </xf>
    <xf numFmtId="0" fontId="60" fillId="26" borderId="44" xfId="54" applyFont="1" applyFill="1" applyBorder="1" applyAlignment="1">
      <alignment horizontal="center" vertical="center"/>
    </xf>
    <xf numFmtId="0" fontId="63" fillId="24" borderId="43" xfId="46" applyFont="1" applyFill="1" applyBorder="1" applyAlignment="1">
      <alignment horizontal="center" vertical="center" wrapText="1"/>
    </xf>
    <xf numFmtId="0" fontId="46" fillId="24" borderId="41" xfId="46" applyFont="1" applyFill="1" applyBorder="1" applyAlignment="1">
      <alignment horizontal="center" vertical="center" wrapText="1"/>
    </xf>
    <xf numFmtId="0" fontId="46" fillId="24" borderId="42" xfId="46" applyFont="1" applyFill="1" applyBorder="1" applyAlignment="1">
      <alignment horizontal="center" vertical="center" wrapText="1"/>
    </xf>
  </cellXfs>
  <cellStyles count="57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uro" xfId="50" xr:uid="{00000000-0005-0000-0000-00001B000000}"/>
    <cellStyle name="Euro 2" xfId="51" xr:uid="{00000000-0005-0000-0000-00001C000000}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rmal 2" xfId="37" xr:uid="{00000000-0005-0000-0000-000027000000}"/>
    <cellStyle name="Normal 2 2" xfId="46" xr:uid="{00000000-0005-0000-0000-000028000000}"/>
    <cellStyle name="Normal 2 2 2" xfId="49" xr:uid="{00000000-0005-0000-0000-000029000000}"/>
    <cellStyle name="Normal 3" xfId="38" xr:uid="{00000000-0005-0000-0000-00002A000000}"/>
    <cellStyle name="Normal 4" xfId="47" xr:uid="{00000000-0005-0000-0000-00002B000000}"/>
    <cellStyle name="Normal 5" xfId="52" xr:uid="{00000000-0005-0000-0000-00002C000000}"/>
    <cellStyle name="Normal 6" xfId="53" xr:uid="{4E727BBF-A23F-4A33-9AC9-9DBC4A083CAF}"/>
    <cellStyle name="Normal 6 2" xfId="54" xr:uid="{E3230549-B2B2-4AA4-8B97-1AD2C54F44C9}"/>
    <cellStyle name="Normal 7" xfId="55" xr:uid="{B06CDC5C-C578-47F7-880B-3577C3BC76FE}"/>
    <cellStyle name="Normal 8" xfId="56" xr:uid="{509916B6-E9DF-496B-A179-7CDCCD83DDB5}"/>
    <cellStyle name="Note" xfId="39" builtinId="10" customBuiltin="1"/>
    <cellStyle name="Output" xfId="40" builtinId="21" customBuiltin="1"/>
    <cellStyle name="Percent" xfId="41" builtinId="5"/>
    <cellStyle name="Percent 2" xfId="42" xr:uid="{00000000-0005-0000-0000-000030000000}"/>
    <cellStyle name="Percent 2 2" xfId="48" xr:uid="{00000000-0005-0000-0000-000031000000}"/>
    <cellStyle name="Title" xfId="43" builtinId="15" customBuiltin="1"/>
    <cellStyle name="Total" xfId="44" builtinId="25" customBuiltin="1"/>
    <cellStyle name="Warning Text" xfId="45" builtinId="11" customBuiltin="1"/>
  </cellStyles>
  <dxfs count="0"/>
  <tableStyles count="0" defaultTableStyle="TableStyleMedium9" defaultPivotStyle="PivotStyleLight16"/>
  <colors>
    <mruColors>
      <color rgb="FF0000FF"/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jpeg"/><Relationship Id="rId2" Type="http://schemas.openxmlformats.org/officeDocument/2006/relationships/image" Target="../media/image5.jpeg"/><Relationship Id="rId1" Type="http://schemas.openxmlformats.org/officeDocument/2006/relationships/image" Target="../media/image2.png"/><Relationship Id="rId4" Type="http://schemas.openxmlformats.org/officeDocument/2006/relationships/image" Target="../media/image7.jpeg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231215" y="98238"/>
    <xdr:ext cx="846557" cy="607732"/>
    <xdr:pic>
      <xdr:nvPicPr>
        <xdr:cNvPr id="2" name="Picture 1">
          <a:extLst>
            <a:ext uri="{FF2B5EF4-FFF2-40B4-BE49-F238E27FC236}">
              <a16:creationId xmlns:a16="http://schemas.microsoft.com/office/drawing/2014/main" id="{8B625A0C-06C0-4927-8D0B-7D85853DCF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1215" y="98238"/>
          <a:ext cx="846557" cy="607732"/>
        </a:xfrm>
        <a:prstGeom prst="rect">
          <a:avLst/>
        </a:prstGeom>
      </xdr:spPr>
    </xdr:pic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219074</xdr:colOff>
      <xdr:row>0</xdr:row>
      <xdr:rowOff>66675</xdr:rowOff>
    </xdr:from>
    <xdr:to>
      <xdr:col>9</xdr:col>
      <xdr:colOff>152399</xdr:colOff>
      <xdr:row>0</xdr:row>
      <xdr:rowOff>474345</xdr:rowOff>
    </xdr:to>
    <xdr:pic>
      <xdr:nvPicPr>
        <xdr:cNvPr id="2" name="Picture 4" descr="D:\ออฟฟิต\new logo\logo metric color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762624" y="66675"/>
          <a:ext cx="600075" cy="419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oneCellAnchor>
    <xdr:from>
      <xdr:col>0</xdr:col>
      <xdr:colOff>121920</xdr:colOff>
      <xdr:row>0</xdr:row>
      <xdr:rowOff>144780</xdr:rowOff>
    </xdr:from>
    <xdr:ext cx="1103122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A839DD37-0576-9209-BD8D-AA9B18AA7962}"/>
            </a:ext>
          </a:extLst>
        </xdr:cNvPr>
        <xdr:cNvSpPr txBox="1"/>
      </xdr:nvSpPr>
      <xdr:spPr>
        <a:xfrm>
          <a:off x="121920" y="144780"/>
          <a:ext cx="1103122" cy="264560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ctr"/>
          <a:r>
            <a:rPr lang="en-US" sz="1100"/>
            <a:t>OWNER'S LOGO</a:t>
          </a:r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666750</xdr:colOff>
      <xdr:row>0</xdr:row>
      <xdr:rowOff>78889</xdr:rowOff>
    </xdr:from>
    <xdr:to>
      <xdr:col>10</xdr:col>
      <xdr:colOff>1253302</xdr:colOff>
      <xdr:row>0</xdr:row>
      <xdr:rowOff>491638</xdr:rowOff>
    </xdr:to>
    <xdr:pic>
      <xdr:nvPicPr>
        <xdr:cNvPr id="2" name="Picture 1" descr="D:\ออฟฟิต\new logo\logo metric color.png">
          <a:extLst>
            <a:ext uri="{FF2B5EF4-FFF2-40B4-BE49-F238E27FC236}">
              <a16:creationId xmlns:a16="http://schemas.microsoft.com/office/drawing/2014/main" id="{D48D36B2-5A80-48FB-B566-0AC92A3013C0}"/>
            </a:ext>
            <a:ext uri="{147F2762-F138-4A5C-976F-8EAC2B608ADB}">
              <a16:predDERef xmlns:a16="http://schemas.microsoft.com/office/drawing/2014/main" pred="{6AF5531E-64A2-4C87-A946-8BC2B5026F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97390" y="78889"/>
          <a:ext cx="586552" cy="41274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0</xdr:col>
      <xdr:colOff>83820</xdr:colOff>
      <xdr:row>0</xdr:row>
      <xdr:rowOff>152400</xdr:rowOff>
    </xdr:from>
    <xdr:ext cx="1103122" cy="26456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AFE45314-867B-42AE-A435-BB17C9DBC4C2}"/>
            </a:ext>
          </a:extLst>
        </xdr:cNvPr>
        <xdr:cNvSpPr txBox="1"/>
      </xdr:nvSpPr>
      <xdr:spPr>
        <a:xfrm>
          <a:off x="83820" y="152400"/>
          <a:ext cx="1103122" cy="264560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ctr"/>
          <a:r>
            <a:rPr lang="en-US" sz="1100"/>
            <a:t>OWNER'S LOGO</a:t>
          </a:r>
        </a:p>
      </xdr:txBody>
    </xdr:sp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666750</xdr:colOff>
      <xdr:row>0</xdr:row>
      <xdr:rowOff>78889</xdr:rowOff>
    </xdr:from>
    <xdr:to>
      <xdr:col>10</xdr:col>
      <xdr:colOff>1253302</xdr:colOff>
      <xdr:row>0</xdr:row>
      <xdr:rowOff>491638</xdr:rowOff>
    </xdr:to>
    <xdr:pic>
      <xdr:nvPicPr>
        <xdr:cNvPr id="2" name="Picture 1" descr="D:\ออฟฟิต\new logo\logo metric color.png">
          <a:extLst>
            <a:ext uri="{FF2B5EF4-FFF2-40B4-BE49-F238E27FC236}">
              <a16:creationId xmlns:a16="http://schemas.microsoft.com/office/drawing/2014/main" id="{8C647133-3E44-4DB0-8AD2-D52A8424435B}"/>
            </a:ext>
            <a:ext uri="{147F2762-F138-4A5C-976F-8EAC2B608ADB}">
              <a16:predDERef xmlns:a16="http://schemas.microsoft.com/office/drawing/2014/main" pred="{6AF5531E-64A2-4C87-A946-8BC2B5026F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01100" y="78889"/>
          <a:ext cx="583377" cy="41274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0</xdr:col>
      <xdr:colOff>99060</xdr:colOff>
      <xdr:row>0</xdr:row>
      <xdr:rowOff>175260</xdr:rowOff>
    </xdr:from>
    <xdr:ext cx="1103122" cy="26456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BC02CF90-4C19-49FF-8052-2FE384D7C29B}"/>
            </a:ext>
          </a:extLst>
        </xdr:cNvPr>
        <xdr:cNvSpPr txBox="1"/>
      </xdr:nvSpPr>
      <xdr:spPr>
        <a:xfrm>
          <a:off x="99060" y="175260"/>
          <a:ext cx="1103122" cy="264560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ctr"/>
          <a:r>
            <a:rPr lang="en-US" sz="1100"/>
            <a:t>OWNER'S LOGO</a:t>
          </a:r>
        </a:p>
      </xdr:txBody>
    </xdr:sp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666750</xdr:colOff>
      <xdr:row>0</xdr:row>
      <xdr:rowOff>78889</xdr:rowOff>
    </xdr:from>
    <xdr:to>
      <xdr:col>10</xdr:col>
      <xdr:colOff>1250127</xdr:colOff>
      <xdr:row>0</xdr:row>
      <xdr:rowOff>491638</xdr:rowOff>
    </xdr:to>
    <xdr:pic>
      <xdr:nvPicPr>
        <xdr:cNvPr id="2" name="Picture 1" descr="D:\ออฟฟิต\new logo\logo metric color.png">
          <a:extLst>
            <a:ext uri="{FF2B5EF4-FFF2-40B4-BE49-F238E27FC236}">
              <a16:creationId xmlns:a16="http://schemas.microsoft.com/office/drawing/2014/main" id="{C1D65DCF-5FBD-4CE1-BA4F-7640EFD53E9B}"/>
            </a:ext>
            <a:ext uri="{147F2762-F138-4A5C-976F-8EAC2B608ADB}">
              <a16:predDERef xmlns:a16="http://schemas.microsoft.com/office/drawing/2014/main" pred="{6AF5531E-64A2-4C87-A946-8BC2B5026F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01100" y="78889"/>
          <a:ext cx="583377" cy="41274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0</xdr:col>
      <xdr:colOff>114300</xdr:colOff>
      <xdr:row>0</xdr:row>
      <xdr:rowOff>160020</xdr:rowOff>
    </xdr:from>
    <xdr:ext cx="1103122" cy="26456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5697AAE4-8CD7-430A-8072-BB170D7E21CB}"/>
            </a:ext>
          </a:extLst>
        </xdr:cNvPr>
        <xdr:cNvSpPr txBox="1"/>
      </xdr:nvSpPr>
      <xdr:spPr>
        <a:xfrm>
          <a:off x="114300" y="160020"/>
          <a:ext cx="1103122" cy="264560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ctr"/>
          <a:r>
            <a:rPr lang="en-US" sz="1100"/>
            <a:t>OWNER'S LOGO</a:t>
          </a:r>
        </a:p>
      </xdr:txBody>
    </xdr:sp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666750</xdr:colOff>
      <xdr:row>0</xdr:row>
      <xdr:rowOff>78889</xdr:rowOff>
    </xdr:from>
    <xdr:to>
      <xdr:col>10</xdr:col>
      <xdr:colOff>1240602</xdr:colOff>
      <xdr:row>0</xdr:row>
      <xdr:rowOff>491638</xdr:rowOff>
    </xdr:to>
    <xdr:pic>
      <xdr:nvPicPr>
        <xdr:cNvPr id="2" name="Picture 1" descr="D:\ออฟฟิต\new logo\logo metric color.png">
          <a:extLst>
            <a:ext uri="{FF2B5EF4-FFF2-40B4-BE49-F238E27FC236}">
              <a16:creationId xmlns:a16="http://schemas.microsoft.com/office/drawing/2014/main" id="{409A17C1-3B37-4533-88E2-A6DCDFB82EC9}"/>
            </a:ext>
            <a:ext uri="{147F2762-F138-4A5C-976F-8EAC2B608ADB}">
              <a16:predDERef xmlns:a16="http://schemas.microsoft.com/office/drawing/2014/main" pred="{6AF5531E-64A2-4C87-A946-8BC2B5026F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01100" y="78889"/>
          <a:ext cx="583377" cy="41274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0</xdr:col>
      <xdr:colOff>114300</xdr:colOff>
      <xdr:row>0</xdr:row>
      <xdr:rowOff>160020</xdr:rowOff>
    </xdr:from>
    <xdr:ext cx="1103122" cy="26456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838328D3-04E2-4A83-8608-C5ECE96CAAD9}"/>
            </a:ext>
          </a:extLst>
        </xdr:cNvPr>
        <xdr:cNvSpPr txBox="1"/>
      </xdr:nvSpPr>
      <xdr:spPr>
        <a:xfrm>
          <a:off x="114300" y="160020"/>
          <a:ext cx="1103122" cy="264560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ctr"/>
          <a:r>
            <a:rPr lang="en-US" sz="1100"/>
            <a:t>OWNER'S LOGO</a:t>
          </a:r>
        </a:p>
      </xdr:txBody>
    </xdr:sp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666750</xdr:colOff>
      <xdr:row>0</xdr:row>
      <xdr:rowOff>78889</xdr:rowOff>
    </xdr:from>
    <xdr:to>
      <xdr:col>10</xdr:col>
      <xdr:colOff>1253937</xdr:colOff>
      <xdr:row>0</xdr:row>
      <xdr:rowOff>491638</xdr:rowOff>
    </xdr:to>
    <xdr:pic>
      <xdr:nvPicPr>
        <xdr:cNvPr id="2" name="Picture 1" descr="D:\ออฟฟิต\new logo\logo metric color.png">
          <a:extLst>
            <a:ext uri="{FF2B5EF4-FFF2-40B4-BE49-F238E27FC236}">
              <a16:creationId xmlns:a16="http://schemas.microsoft.com/office/drawing/2014/main" id="{F2D1167C-9823-4A8E-8382-514E8FC42B71}"/>
            </a:ext>
            <a:ext uri="{147F2762-F138-4A5C-976F-8EAC2B608ADB}">
              <a16:predDERef xmlns:a16="http://schemas.microsoft.com/office/drawing/2014/main" pred="{6AF5531E-64A2-4C87-A946-8BC2B5026F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01100" y="78889"/>
          <a:ext cx="583377" cy="41274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0</xdr:col>
      <xdr:colOff>91440</xdr:colOff>
      <xdr:row>0</xdr:row>
      <xdr:rowOff>144780</xdr:rowOff>
    </xdr:from>
    <xdr:ext cx="1103122" cy="26456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B4352F72-17B4-4584-9645-317438176CBD}"/>
            </a:ext>
          </a:extLst>
        </xdr:cNvPr>
        <xdr:cNvSpPr txBox="1"/>
      </xdr:nvSpPr>
      <xdr:spPr>
        <a:xfrm>
          <a:off x="91440" y="144780"/>
          <a:ext cx="1103122" cy="264560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ctr"/>
          <a:r>
            <a:rPr lang="en-US" sz="1100"/>
            <a:t>OWNER'S LOGO</a:t>
          </a:r>
        </a:p>
      </xdr:txBody>
    </xdr:sp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867046</xdr:colOff>
      <xdr:row>0</xdr:row>
      <xdr:rowOff>51653</xdr:rowOff>
    </xdr:from>
    <xdr:ext cx="621602" cy="437896"/>
    <xdr:pic>
      <xdr:nvPicPr>
        <xdr:cNvPr id="2" name="Picture 1">
          <a:extLst>
            <a:ext uri="{FF2B5EF4-FFF2-40B4-BE49-F238E27FC236}">
              <a16:creationId xmlns:a16="http://schemas.microsoft.com/office/drawing/2014/main" id="{C002DA46-E815-4966-976E-23F3ABAEF9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hqprint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7054155" y="51653"/>
          <a:ext cx="621602" cy="437896"/>
        </a:xfrm>
        <a:prstGeom prst="rect">
          <a:avLst/>
        </a:prstGeom>
      </xdr:spPr>
    </xdr:pic>
    <xdr:clientData/>
  </xdr:oneCellAnchor>
  <xdr:twoCellAnchor>
    <xdr:from>
      <xdr:col>11</xdr:col>
      <xdr:colOff>112643</xdr:colOff>
      <xdr:row>0</xdr:row>
      <xdr:rowOff>238539</xdr:rowOff>
    </xdr:from>
    <xdr:to>
      <xdr:col>14</xdr:col>
      <xdr:colOff>658301</xdr:colOff>
      <xdr:row>1</xdr:row>
      <xdr:rowOff>257341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54E158CE-05D6-4F35-8D13-D7F0AD646649}"/>
            </a:ext>
          </a:extLst>
        </xdr:cNvPr>
        <xdr:cNvSpPr txBox="1"/>
      </xdr:nvSpPr>
      <xdr:spPr>
        <a:xfrm>
          <a:off x="5433391" y="238539"/>
          <a:ext cx="1592580" cy="283845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100"/>
            <a:t>SAMPLE</a:t>
          </a: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219074</xdr:colOff>
      <xdr:row>0</xdr:row>
      <xdr:rowOff>66675</xdr:rowOff>
    </xdr:from>
    <xdr:to>
      <xdr:col>9</xdr:col>
      <xdr:colOff>152399</xdr:colOff>
      <xdr:row>0</xdr:row>
      <xdr:rowOff>478155</xdr:rowOff>
    </xdr:to>
    <xdr:pic>
      <xdr:nvPicPr>
        <xdr:cNvPr id="2" name="Picture 4" descr="D:\ออฟฟิต\new logo\logo metric color.png">
          <a:extLst>
            <a:ext uri="{FF2B5EF4-FFF2-40B4-BE49-F238E27FC236}">
              <a16:creationId xmlns:a16="http://schemas.microsoft.com/office/drawing/2014/main" id="{A9854380-5E45-42A1-934B-0F4EC5998B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800724" y="66675"/>
          <a:ext cx="600075" cy="4114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oneCellAnchor>
    <xdr:from>
      <xdr:col>8</xdr:col>
      <xdr:colOff>219074</xdr:colOff>
      <xdr:row>45</xdr:row>
      <xdr:rowOff>66675</xdr:rowOff>
    </xdr:from>
    <xdr:ext cx="600075" cy="411480"/>
    <xdr:pic>
      <xdr:nvPicPr>
        <xdr:cNvPr id="3" name="Picture 4" descr="D:\ออฟฟิต\new logo\logo metric color.png">
          <a:extLst>
            <a:ext uri="{FF2B5EF4-FFF2-40B4-BE49-F238E27FC236}">
              <a16:creationId xmlns:a16="http://schemas.microsoft.com/office/drawing/2014/main" id="{1118A60F-1EB5-4776-8207-B7D823C01A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825217" y="66675"/>
          <a:ext cx="600075" cy="4114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219074</xdr:colOff>
      <xdr:row>90</xdr:row>
      <xdr:rowOff>66675</xdr:rowOff>
    </xdr:from>
    <xdr:ext cx="600075" cy="411480"/>
    <xdr:pic>
      <xdr:nvPicPr>
        <xdr:cNvPr id="5" name="Picture 4" descr="D:\ออฟฟิต\new logo\logo metric color.png">
          <a:extLst>
            <a:ext uri="{FF2B5EF4-FFF2-40B4-BE49-F238E27FC236}">
              <a16:creationId xmlns:a16="http://schemas.microsoft.com/office/drawing/2014/main" id="{A1C2A156-CCD7-4A71-9B58-45C306E8D9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825217" y="10353675"/>
          <a:ext cx="600075" cy="4114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219074</xdr:colOff>
      <xdr:row>180</xdr:row>
      <xdr:rowOff>66675</xdr:rowOff>
    </xdr:from>
    <xdr:ext cx="600075" cy="411480"/>
    <xdr:pic>
      <xdr:nvPicPr>
        <xdr:cNvPr id="9" name="Picture 8" descr="D:\ออฟฟิต\new logo\logo metric color.png">
          <a:extLst>
            <a:ext uri="{FF2B5EF4-FFF2-40B4-BE49-F238E27FC236}">
              <a16:creationId xmlns:a16="http://schemas.microsoft.com/office/drawing/2014/main" id="{02D1C274-5CF9-48CA-A8FB-22A7FB3379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825217" y="30927675"/>
          <a:ext cx="600075" cy="4114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twoCellAnchor>
    <xdr:from>
      <xdr:col>10</xdr:col>
      <xdr:colOff>209551</xdr:colOff>
      <xdr:row>3</xdr:row>
      <xdr:rowOff>38100</xdr:rowOff>
    </xdr:from>
    <xdr:to>
      <xdr:col>12</xdr:col>
      <xdr:colOff>552451</xdr:colOff>
      <xdr:row>4</xdr:row>
      <xdr:rowOff>123825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D5479120-36EF-FC8E-A57D-06D36EC1D09E}"/>
            </a:ext>
          </a:extLst>
        </xdr:cNvPr>
        <xdr:cNvSpPr txBox="1"/>
      </xdr:nvSpPr>
      <xdr:spPr>
        <a:xfrm>
          <a:off x="6686551" y="1009650"/>
          <a:ext cx="1562100" cy="285750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100"/>
            <a:t>SAMPLE</a:t>
          </a:r>
          <a:r>
            <a:rPr lang="en-US" sz="1100" baseline="0"/>
            <a:t> (OPTIONAL)</a:t>
          </a:r>
          <a:endParaRPr lang="en-US" sz="1100"/>
        </a:p>
      </xdr:txBody>
    </xdr:sp>
    <xdr:clientData/>
  </xdr:twoCellAnchor>
  <xdr:twoCellAnchor editAs="oneCell">
    <xdr:from>
      <xdr:col>0</xdr:col>
      <xdr:colOff>62705</xdr:colOff>
      <xdr:row>90</xdr:row>
      <xdr:rowOff>167640</xdr:rowOff>
    </xdr:from>
    <xdr:to>
      <xdr:col>2</xdr:col>
      <xdr:colOff>680245</xdr:colOff>
      <xdr:row>90</xdr:row>
      <xdr:rowOff>478779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042CCCA4-CCEF-419D-A63D-9E3BE63AB6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62705" y="20665440"/>
          <a:ext cx="1160465" cy="311139"/>
        </a:xfrm>
        <a:prstGeom prst="rect">
          <a:avLst/>
        </a:prstGeom>
      </xdr:spPr>
    </xdr:pic>
    <xdr:clientData/>
  </xdr:twoCellAnchor>
  <xdr:twoCellAnchor editAs="oneCell">
    <xdr:from>
      <xdr:col>0</xdr:col>
      <xdr:colOff>72564</xdr:colOff>
      <xdr:row>45</xdr:row>
      <xdr:rowOff>139065</xdr:rowOff>
    </xdr:from>
    <xdr:to>
      <xdr:col>2</xdr:col>
      <xdr:colOff>725630</xdr:colOff>
      <xdr:row>45</xdr:row>
      <xdr:rowOff>459729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316D4F55-8642-437E-A325-42074C6DA8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72564" y="10387965"/>
          <a:ext cx="1195991" cy="320664"/>
        </a:xfrm>
        <a:prstGeom prst="rect">
          <a:avLst/>
        </a:prstGeom>
      </xdr:spPr>
    </xdr:pic>
    <xdr:clientData/>
  </xdr:twoCellAnchor>
  <xdr:twoCellAnchor editAs="oneCell">
    <xdr:from>
      <xdr:col>0</xdr:col>
      <xdr:colOff>62267</xdr:colOff>
      <xdr:row>0</xdr:row>
      <xdr:rowOff>169545</xdr:rowOff>
    </xdr:from>
    <xdr:to>
      <xdr:col>2</xdr:col>
      <xdr:colOff>694017</xdr:colOff>
      <xdr:row>0</xdr:row>
      <xdr:rowOff>484494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340423CB-3E51-4F40-B1ED-5CB60EB8BA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62267" y="169545"/>
          <a:ext cx="1174675" cy="314949"/>
        </a:xfrm>
        <a:prstGeom prst="rect">
          <a:avLst/>
        </a:prstGeom>
      </xdr:spPr>
    </xdr:pic>
    <xdr:clientData/>
  </xdr:twoCellAnchor>
  <xdr:twoCellAnchor editAs="oneCell">
    <xdr:from>
      <xdr:col>0</xdr:col>
      <xdr:colOff>63657</xdr:colOff>
      <xdr:row>135</xdr:row>
      <xdr:rowOff>129540</xdr:rowOff>
    </xdr:from>
    <xdr:to>
      <xdr:col>2</xdr:col>
      <xdr:colOff>681197</xdr:colOff>
      <xdr:row>135</xdr:row>
      <xdr:rowOff>440679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3EEAC93B-E47F-4527-AD23-E542508C5F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63657" y="30876240"/>
          <a:ext cx="1160465" cy="311139"/>
        </a:xfrm>
        <a:prstGeom prst="rect">
          <a:avLst/>
        </a:prstGeom>
      </xdr:spPr>
    </xdr:pic>
    <xdr:clientData/>
  </xdr:twoCellAnchor>
  <xdr:twoCellAnchor editAs="oneCell">
    <xdr:from>
      <xdr:col>0</xdr:col>
      <xdr:colOff>63657</xdr:colOff>
      <xdr:row>180</xdr:row>
      <xdr:rowOff>129540</xdr:rowOff>
    </xdr:from>
    <xdr:to>
      <xdr:col>2</xdr:col>
      <xdr:colOff>681197</xdr:colOff>
      <xdr:row>180</xdr:row>
      <xdr:rowOff>440679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4048BEF0-1AD1-400E-99AC-15B009A190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63657" y="41125140"/>
          <a:ext cx="1160465" cy="311139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Users/H354389/Desktop/Aphirak%20SRIJAN/3_Jumbo%20T3/19_Designed%20review/20831-00200-MPS_Design%20review%20-%20PAP.xls" TargetMode="External"/><Relationship Id="rId1" Type="http://schemas.openxmlformats.org/officeDocument/2006/relationships/externalLinkPath" Target="/Users/H354389/Desktop/Aphirak%20SRIJAN/3_Jumbo%20T3/19_Designed%20review/20831-00200-MPS_Design%20review%20-%20PAP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Read-me"/>
      <sheetName val="Synthese"/>
      <sheetName val="Archive"/>
      <sheetName val="Faisabilite"/>
      <sheetName val="Orientation"/>
      <sheetName val="Dim Meca"/>
      <sheetName val="Dim Auto"/>
      <sheetName val="Energie"/>
      <sheetName val="Maintenabilite"/>
      <sheetName val="Integration"/>
      <sheetName val="Couts"/>
      <sheetName val="Couts (2)"/>
      <sheetName val="Partage"/>
      <sheetName val="EP"/>
      <sheetName val="TRS"/>
      <sheetName val="Detail Auto"/>
      <sheetName val="Detail Meca"/>
      <sheetName val="Liste"/>
      <sheetName val="Traduction"/>
      <sheetName val="Release Not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AFC" id="{0755BE3C-3E09-4224-AA81-973C7FA5FA97}"/>
  <namedSheetView name="View KK" id="{931FAF5B-82DE-4785-B773-A2897534BE65}"/>
</namedSheetViews>
</file>

<file path=xl/namedSheetViews/namedSheetView2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AFC" id="{6042557A-0840-45DD-8637-6F177A273677}"/>
  <namedSheetView name="View KK" id="{139364C6-59BC-472C-B745-2B7D9023ABE1}"/>
</namedSheetViews>
</file>

<file path=xl/namedSheetViews/namedSheetView3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AFC" id="{FB647636-DB71-41D8-88AE-880E38ECB016}"/>
</namedSheetViews>
</file>

<file path=xl/namedSheetViews/namedSheetView4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AFC" id="{DEF7F5CF-A165-4159-BFAC-136DA37D49A0}"/>
</namedSheetViews>
</file>

<file path=xl/namedSheetViews/namedSheetView5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AFC" id="{54435D5D-FD37-4F7D-A901-5AB2D32D10B4}"/>
</namedSheetView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19/04/relationships/namedSheetView" Target="../namedSheetViews/namedSheetView1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19/04/relationships/namedSheetView" Target="../namedSheetViews/namedSheetView2.x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microsoft.com/office/2019/04/relationships/namedSheetView" Target="../namedSheetViews/namedSheetView3.x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microsoft.com/office/2019/04/relationships/namedSheetView" Target="../namedSheetViews/namedSheetView4.x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microsoft.com/office/2019/04/relationships/namedSheetView" Target="../namedSheetViews/namedSheetView5.x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69EC83-E6D3-47BB-9B52-75A207CD9826}">
  <sheetPr>
    <pageSetUpPr fitToPage="1"/>
  </sheetPr>
  <dimension ref="A1:J59"/>
  <sheetViews>
    <sheetView zoomScaleNormal="100" zoomScaleSheetLayoutView="85" zoomScalePageLayoutView="85" workbookViewId="0">
      <selection activeCell="N12" sqref="N12"/>
    </sheetView>
  </sheetViews>
  <sheetFormatPr defaultColWidth="8.7109375" defaultRowHeight="15" x14ac:dyDescent="0.25"/>
  <cols>
    <col min="1" max="1" width="2.7109375" style="280" customWidth="1"/>
    <col min="2" max="2" width="5.7109375" style="280" customWidth="1"/>
    <col min="3" max="6" width="10.7109375" style="280" customWidth="1"/>
    <col min="7" max="8" width="22.7109375" style="280" customWidth="1"/>
    <col min="9" max="9" width="20.7109375" style="280" customWidth="1"/>
    <col min="10" max="10" width="2.7109375" style="280" customWidth="1"/>
    <col min="11" max="16384" width="8.7109375" style="280"/>
  </cols>
  <sheetData>
    <row r="1" spans="1:10" ht="40.5" customHeight="1" thickTop="1" x14ac:dyDescent="0.25">
      <c r="A1" s="278" t="s">
        <v>0</v>
      </c>
      <c r="B1" s="327" t="s">
        <v>1</v>
      </c>
      <c r="C1" s="327"/>
      <c r="D1" s="327"/>
      <c r="E1" s="327"/>
      <c r="F1" s="327"/>
      <c r="G1" s="323" t="s">
        <v>2</v>
      </c>
      <c r="H1" s="326" t="s">
        <v>3</v>
      </c>
      <c r="I1" s="326" t="s">
        <v>4</v>
      </c>
      <c r="J1" s="279"/>
    </row>
    <row r="2" spans="1:10" ht="40.5" customHeight="1" thickBot="1" x14ac:dyDescent="0.3">
      <c r="A2" s="281"/>
      <c r="B2" s="328"/>
      <c r="C2" s="328"/>
      <c r="D2" s="328"/>
      <c r="E2" s="328"/>
      <c r="F2" s="328"/>
      <c r="G2" s="324" t="s">
        <v>5</v>
      </c>
      <c r="H2" s="325" t="s">
        <v>6</v>
      </c>
      <c r="I2" s="325" t="s">
        <v>7</v>
      </c>
      <c r="J2" s="282"/>
    </row>
    <row r="3" spans="1:10" ht="16.5" thickTop="1" x14ac:dyDescent="0.25">
      <c r="A3" s="283"/>
      <c r="B3" s="284"/>
      <c r="C3" s="284"/>
      <c r="D3" s="284"/>
      <c r="E3" s="284"/>
      <c r="F3" s="284"/>
      <c r="G3" s="284"/>
      <c r="H3" s="284"/>
      <c r="I3" s="284"/>
      <c r="J3" s="285"/>
    </row>
    <row r="4" spans="1:10" ht="14.25" customHeight="1" x14ac:dyDescent="0.25">
      <c r="A4" s="283"/>
      <c r="B4" s="286"/>
      <c r="C4" s="286"/>
      <c r="D4" s="287"/>
      <c r="E4" s="286"/>
      <c r="F4" s="286"/>
      <c r="G4" s="286"/>
      <c r="H4" s="286"/>
      <c r="I4" s="286"/>
      <c r="J4" s="285"/>
    </row>
    <row r="5" spans="1:10" ht="14.25" customHeight="1" x14ac:dyDescent="0.25">
      <c r="A5" s="283"/>
      <c r="B5" s="286"/>
      <c r="C5" s="286"/>
      <c r="D5" s="287"/>
      <c r="E5" s="286"/>
      <c r="F5" s="286"/>
      <c r="G5" s="286"/>
      <c r="H5" s="286"/>
      <c r="I5" s="286"/>
      <c r="J5" s="285"/>
    </row>
    <row r="6" spans="1:10" ht="14.25" customHeight="1" x14ac:dyDescent="0.25">
      <c r="A6" s="283"/>
      <c r="B6" s="286"/>
      <c r="C6" s="286"/>
      <c r="D6" s="287"/>
      <c r="E6" s="286"/>
      <c r="F6" s="286"/>
      <c r="G6" s="286"/>
      <c r="H6" s="286"/>
      <c r="I6" s="286"/>
      <c r="J6" s="285"/>
    </row>
    <row r="7" spans="1:10" ht="14.25" customHeight="1" x14ac:dyDescent="0.25">
      <c r="A7" s="283"/>
      <c r="B7" s="286"/>
      <c r="C7" s="286"/>
      <c r="D7" s="287"/>
      <c r="E7" s="286"/>
      <c r="F7" s="286"/>
      <c r="G7" s="286"/>
      <c r="H7" s="286"/>
      <c r="I7" s="286"/>
      <c r="J7" s="285"/>
    </row>
    <row r="8" spans="1:10" ht="15.75" x14ac:dyDescent="0.25">
      <c r="A8" s="283"/>
      <c r="B8" s="310"/>
      <c r="C8" s="310"/>
      <c r="D8" s="310"/>
      <c r="E8" s="310"/>
      <c r="F8" s="310"/>
      <c r="G8" s="310"/>
      <c r="H8" s="310"/>
      <c r="I8" s="310"/>
      <c r="J8" s="285"/>
    </row>
    <row r="9" spans="1:10" ht="36" x14ac:dyDescent="0.25">
      <c r="A9" s="283"/>
      <c r="B9" s="329" t="s">
        <v>8</v>
      </c>
      <c r="C9" s="329"/>
      <c r="D9" s="329"/>
      <c r="E9" s="329"/>
      <c r="F9" s="329"/>
      <c r="G9" s="329"/>
      <c r="H9" s="329"/>
      <c r="I9" s="329"/>
      <c r="J9" s="285"/>
    </row>
    <row r="10" spans="1:10" ht="18.75" x14ac:dyDescent="0.25">
      <c r="A10" s="283"/>
      <c r="B10" s="311"/>
      <c r="C10" s="311"/>
      <c r="D10" s="311"/>
      <c r="E10" s="311"/>
      <c r="F10" s="311"/>
      <c r="G10" s="311"/>
      <c r="H10" s="311"/>
      <c r="I10" s="311"/>
      <c r="J10" s="285"/>
    </row>
    <row r="11" spans="1:10" ht="15.75" x14ac:dyDescent="0.25">
      <c r="A11" s="283"/>
      <c r="B11" s="314"/>
      <c r="C11" s="312"/>
      <c r="D11" s="312"/>
      <c r="E11" s="312"/>
      <c r="F11" s="312"/>
      <c r="G11" s="312"/>
      <c r="H11" s="312"/>
      <c r="I11" s="312"/>
      <c r="J11" s="285"/>
    </row>
    <row r="12" spans="1:10" s="290" customFormat="1" ht="15.75" x14ac:dyDescent="0.25">
      <c r="A12" s="288"/>
      <c r="B12" s="315"/>
      <c r="C12" s="312"/>
      <c r="D12" s="312"/>
      <c r="E12" s="312"/>
      <c r="F12" s="312"/>
      <c r="G12" s="312"/>
      <c r="H12" s="312"/>
      <c r="I12" s="312"/>
      <c r="J12" s="289"/>
    </row>
    <row r="13" spans="1:10" s="290" customFormat="1" ht="15.75" x14ac:dyDescent="0.25">
      <c r="A13" s="288"/>
      <c r="B13" s="315"/>
      <c r="C13" s="312"/>
      <c r="D13" s="312"/>
      <c r="E13" s="312"/>
      <c r="F13" s="312"/>
      <c r="G13" s="312"/>
      <c r="H13" s="312"/>
      <c r="I13" s="312"/>
      <c r="J13" s="289"/>
    </row>
    <row r="14" spans="1:10" s="290" customFormat="1" ht="15.75" x14ac:dyDescent="0.25">
      <c r="A14" s="288"/>
      <c r="B14" s="315"/>
      <c r="C14" s="312"/>
      <c r="D14" s="312"/>
      <c r="E14" s="312"/>
      <c r="F14" s="312"/>
      <c r="G14" s="312"/>
      <c r="H14" s="312"/>
      <c r="I14" s="312"/>
      <c r="J14" s="289"/>
    </row>
    <row r="15" spans="1:10" ht="15.75" x14ac:dyDescent="0.25">
      <c r="A15" s="283"/>
      <c r="B15" s="291"/>
      <c r="C15" s="291"/>
      <c r="D15" s="291"/>
      <c r="E15" s="291"/>
      <c r="F15" s="291"/>
      <c r="G15" s="291"/>
      <c r="H15" s="291"/>
      <c r="I15" s="291"/>
      <c r="J15" s="285"/>
    </row>
    <row r="16" spans="1:10" ht="18.75" x14ac:dyDescent="0.25">
      <c r="A16" s="283"/>
      <c r="B16" s="311"/>
      <c r="C16" s="311"/>
      <c r="D16" s="311"/>
      <c r="E16" s="311"/>
      <c r="F16" s="311"/>
      <c r="G16" s="311"/>
      <c r="H16" s="311"/>
      <c r="I16" s="311"/>
      <c r="J16" s="285"/>
    </row>
    <row r="17" spans="1:10" ht="15.75" customHeight="1" x14ac:dyDescent="0.25">
      <c r="A17" s="283"/>
      <c r="B17" s="313"/>
      <c r="C17" s="313"/>
      <c r="D17" s="313"/>
      <c r="E17" s="313"/>
      <c r="F17" s="313"/>
      <c r="G17" s="313"/>
      <c r="H17" s="313"/>
      <c r="I17" s="313"/>
      <c r="J17" s="285"/>
    </row>
    <row r="18" spans="1:10" ht="15.75" x14ac:dyDescent="0.25">
      <c r="A18" s="283"/>
      <c r="B18" s="310"/>
      <c r="C18" s="310"/>
      <c r="D18" s="310"/>
      <c r="E18" s="310"/>
      <c r="F18" s="310"/>
      <c r="G18" s="310"/>
      <c r="H18" s="310"/>
      <c r="I18" s="310"/>
      <c r="J18" s="285"/>
    </row>
    <row r="19" spans="1:10" ht="18.75" x14ac:dyDescent="0.25">
      <c r="A19" s="283"/>
      <c r="B19" s="311"/>
      <c r="C19" s="311"/>
      <c r="D19" s="311"/>
      <c r="E19" s="311"/>
      <c r="F19" s="311"/>
      <c r="G19" s="311"/>
      <c r="H19" s="311"/>
      <c r="I19" s="311"/>
      <c r="J19" s="285"/>
    </row>
    <row r="20" spans="1:10" ht="15" customHeight="1" x14ac:dyDescent="0.25">
      <c r="A20" s="283"/>
      <c r="B20" s="313"/>
      <c r="C20" s="313"/>
      <c r="D20" s="313"/>
      <c r="E20" s="313"/>
      <c r="F20" s="313"/>
      <c r="G20" s="313"/>
      <c r="H20" s="313"/>
      <c r="I20" s="313"/>
      <c r="J20" s="285"/>
    </row>
    <row r="21" spans="1:10" ht="15.75" x14ac:dyDescent="0.25">
      <c r="A21" s="283"/>
      <c r="B21" s="310"/>
      <c r="C21" s="310"/>
      <c r="D21" s="310"/>
      <c r="E21" s="310"/>
      <c r="F21" s="310"/>
      <c r="G21" s="310"/>
      <c r="H21" s="310"/>
      <c r="I21" s="310"/>
      <c r="J21" s="285"/>
    </row>
    <row r="22" spans="1:10" ht="18.75" x14ac:dyDescent="0.25">
      <c r="A22" s="283"/>
      <c r="B22" s="311"/>
      <c r="C22" s="311"/>
      <c r="D22" s="311"/>
      <c r="E22" s="311"/>
      <c r="F22" s="311"/>
      <c r="G22" s="311"/>
      <c r="H22" s="311"/>
      <c r="I22" s="311"/>
      <c r="J22" s="285"/>
    </row>
    <row r="23" spans="1:10" ht="15.75" customHeight="1" x14ac:dyDescent="0.25">
      <c r="A23" s="283"/>
      <c r="B23" s="313"/>
      <c r="C23" s="313"/>
      <c r="D23" s="313"/>
      <c r="E23" s="313"/>
      <c r="F23" s="313"/>
      <c r="G23" s="313"/>
      <c r="H23" s="313"/>
      <c r="I23" s="313"/>
      <c r="J23" s="285"/>
    </row>
    <row r="24" spans="1:10" ht="15.75" x14ac:dyDescent="0.25">
      <c r="A24" s="283"/>
      <c r="B24" s="310"/>
      <c r="C24" s="310"/>
      <c r="D24" s="310"/>
      <c r="E24" s="310"/>
      <c r="F24" s="310"/>
      <c r="G24" s="310"/>
      <c r="H24" s="310"/>
      <c r="I24" s="310"/>
      <c r="J24" s="285"/>
    </row>
    <row r="25" spans="1:10" ht="15.75" x14ac:dyDescent="0.25">
      <c r="A25" s="283"/>
      <c r="B25" s="291"/>
      <c r="C25" s="291"/>
      <c r="D25" s="291"/>
      <c r="E25" s="291"/>
      <c r="F25" s="291"/>
      <c r="G25" s="291"/>
      <c r="H25" s="291"/>
      <c r="I25" s="291"/>
      <c r="J25" s="285"/>
    </row>
    <row r="26" spans="1:10" ht="15.75" x14ac:dyDescent="0.25">
      <c r="A26" s="283"/>
      <c r="B26" s="291"/>
      <c r="C26" s="291"/>
      <c r="D26" s="291"/>
      <c r="E26" s="291"/>
      <c r="F26" s="291"/>
      <c r="G26" s="291"/>
      <c r="H26" s="291"/>
      <c r="I26" s="291"/>
      <c r="J26" s="285"/>
    </row>
    <row r="27" spans="1:10" ht="15.75" x14ac:dyDescent="0.25">
      <c r="A27" s="283"/>
      <c r="B27" s="291"/>
      <c r="C27" s="291"/>
      <c r="D27" s="291"/>
      <c r="E27" s="291"/>
      <c r="F27" s="291"/>
      <c r="G27" s="291"/>
      <c r="H27" s="291"/>
      <c r="I27" s="291"/>
      <c r="J27" s="285"/>
    </row>
    <row r="28" spans="1:10" ht="15.75" x14ac:dyDescent="0.25">
      <c r="A28" s="283"/>
      <c r="B28" s="291"/>
      <c r="C28" s="291"/>
      <c r="D28" s="291"/>
      <c r="E28" s="291"/>
      <c r="F28" s="291"/>
      <c r="G28" s="291"/>
      <c r="H28" s="291"/>
      <c r="I28" s="291"/>
      <c r="J28" s="285"/>
    </row>
    <row r="29" spans="1:10" ht="15.75" x14ac:dyDescent="0.25">
      <c r="A29" s="283"/>
      <c r="B29" s="291"/>
      <c r="C29" s="291"/>
      <c r="D29" s="291"/>
      <c r="E29" s="291"/>
      <c r="F29" s="291"/>
      <c r="G29" s="291"/>
      <c r="H29" s="291"/>
      <c r="I29" s="291"/>
      <c r="J29" s="285"/>
    </row>
    <row r="30" spans="1:10" ht="15.75" x14ac:dyDescent="0.25">
      <c r="A30" s="283"/>
      <c r="B30" s="291"/>
      <c r="C30" s="291"/>
      <c r="D30" s="291"/>
      <c r="E30" s="291"/>
      <c r="F30" s="291"/>
      <c r="G30" s="291"/>
      <c r="H30" s="291"/>
      <c r="I30" s="291"/>
      <c r="J30" s="285"/>
    </row>
    <row r="31" spans="1:10" ht="15.75" x14ac:dyDescent="0.25">
      <c r="A31" s="283"/>
      <c r="B31" s="291"/>
      <c r="C31" s="291"/>
      <c r="D31" s="291"/>
      <c r="E31" s="291"/>
      <c r="F31" s="291"/>
      <c r="G31" s="291"/>
      <c r="H31" s="291"/>
      <c r="I31" s="291"/>
      <c r="J31" s="285"/>
    </row>
    <row r="32" spans="1:10" ht="15.75" x14ac:dyDescent="0.25">
      <c r="A32" s="283"/>
      <c r="B32" s="291"/>
      <c r="C32" s="291"/>
      <c r="D32" s="291"/>
      <c r="E32" s="291"/>
      <c r="F32" s="291"/>
      <c r="G32" s="291"/>
      <c r="H32" s="291"/>
      <c r="I32" s="291"/>
      <c r="J32" s="285"/>
    </row>
    <row r="33" spans="1:10" ht="15.75" x14ac:dyDescent="0.25">
      <c r="A33" s="283"/>
      <c r="B33" s="291"/>
      <c r="C33" s="291"/>
      <c r="D33" s="291"/>
      <c r="E33" s="291"/>
      <c r="F33" s="291"/>
      <c r="G33" s="291"/>
      <c r="H33" s="291"/>
      <c r="I33" s="291"/>
      <c r="J33" s="285"/>
    </row>
    <row r="34" spans="1:10" ht="15.75" x14ac:dyDescent="0.25">
      <c r="A34" s="283"/>
      <c r="B34" s="291"/>
      <c r="C34" s="291"/>
      <c r="D34" s="291"/>
      <c r="E34" s="291"/>
      <c r="F34" s="291"/>
      <c r="G34" s="291"/>
      <c r="H34" s="291"/>
      <c r="I34" s="291"/>
      <c r="J34" s="285"/>
    </row>
    <row r="35" spans="1:10" ht="15.75" x14ac:dyDescent="0.25">
      <c r="A35" s="283"/>
      <c r="B35" s="291"/>
      <c r="C35" s="291"/>
      <c r="D35" s="291"/>
      <c r="E35" s="291"/>
      <c r="F35" s="291"/>
      <c r="G35" s="291"/>
      <c r="H35" s="291"/>
      <c r="I35" s="291"/>
      <c r="J35" s="285"/>
    </row>
    <row r="36" spans="1:10" ht="15.75" x14ac:dyDescent="0.25">
      <c r="A36" s="283"/>
      <c r="B36" s="291"/>
      <c r="C36" s="291"/>
      <c r="D36" s="291"/>
      <c r="E36" s="291"/>
      <c r="F36" s="291"/>
      <c r="G36" s="291"/>
      <c r="H36" s="291"/>
      <c r="I36" s="291"/>
      <c r="J36" s="285"/>
    </row>
    <row r="37" spans="1:10" ht="15.75" x14ac:dyDescent="0.25">
      <c r="A37" s="283"/>
      <c r="B37" s="291"/>
      <c r="C37" s="291"/>
      <c r="D37" s="291"/>
      <c r="E37" s="291"/>
      <c r="F37" s="291"/>
      <c r="G37" s="291"/>
      <c r="H37" s="291"/>
      <c r="I37" s="291"/>
      <c r="J37" s="285"/>
    </row>
    <row r="38" spans="1:10" ht="15.75" x14ac:dyDescent="0.25">
      <c r="A38" s="283"/>
      <c r="B38" s="291"/>
      <c r="C38" s="291"/>
      <c r="D38" s="291"/>
      <c r="E38" s="291"/>
      <c r="F38" s="291"/>
      <c r="G38" s="291"/>
      <c r="H38" s="291"/>
      <c r="I38" s="291"/>
      <c r="J38" s="285"/>
    </row>
    <row r="39" spans="1:10" ht="15.75" x14ac:dyDescent="0.25">
      <c r="A39" s="283"/>
      <c r="B39" s="291"/>
      <c r="C39" s="291"/>
      <c r="D39" s="291"/>
      <c r="E39" s="291"/>
      <c r="F39" s="291"/>
      <c r="G39" s="291"/>
      <c r="H39" s="291"/>
      <c r="I39" s="291"/>
      <c r="J39" s="285"/>
    </row>
    <row r="40" spans="1:10" ht="15.75" x14ac:dyDescent="0.25">
      <c r="A40" s="283"/>
      <c r="B40" s="291"/>
      <c r="C40" s="291"/>
      <c r="D40" s="291"/>
      <c r="E40" s="291"/>
      <c r="F40" s="291"/>
      <c r="G40" s="291"/>
      <c r="H40" s="291"/>
      <c r="I40" s="291"/>
      <c r="J40" s="285"/>
    </row>
    <row r="41" spans="1:10" ht="15.75" x14ac:dyDescent="0.25">
      <c r="A41" s="283"/>
      <c r="B41" s="291"/>
      <c r="C41" s="291"/>
      <c r="D41" s="291"/>
      <c r="E41" s="291"/>
      <c r="F41" s="291"/>
      <c r="G41" s="291"/>
      <c r="H41" s="291"/>
      <c r="I41" s="291"/>
      <c r="J41" s="285"/>
    </row>
    <row r="42" spans="1:10" ht="15.75" x14ac:dyDescent="0.25">
      <c r="A42" s="283"/>
      <c r="B42" s="291"/>
      <c r="C42" s="291"/>
      <c r="D42" s="291"/>
      <c r="E42" s="291"/>
      <c r="F42" s="291"/>
      <c r="G42" s="291"/>
      <c r="H42" s="291"/>
      <c r="I42" s="291"/>
      <c r="J42" s="285"/>
    </row>
    <row r="43" spans="1:10" ht="15.75" x14ac:dyDescent="0.25">
      <c r="A43" s="283"/>
      <c r="B43" s="291"/>
      <c r="C43" s="291"/>
      <c r="D43" s="291"/>
      <c r="E43" s="291"/>
      <c r="F43" s="291"/>
      <c r="G43" s="291"/>
      <c r="H43" s="291"/>
      <c r="I43" s="291"/>
      <c r="J43" s="285"/>
    </row>
    <row r="44" spans="1:10" ht="15.75" x14ac:dyDescent="0.25">
      <c r="A44" s="283"/>
      <c r="B44" s="291"/>
      <c r="C44" s="291"/>
      <c r="D44" s="291"/>
      <c r="E44" s="291"/>
      <c r="F44" s="291"/>
      <c r="G44" s="291"/>
      <c r="H44" s="291"/>
      <c r="I44" s="291"/>
      <c r="J44" s="285"/>
    </row>
    <row r="45" spans="1:10" ht="15.75" x14ac:dyDescent="0.25">
      <c r="A45" s="283"/>
      <c r="B45" s="291"/>
      <c r="C45" s="291"/>
      <c r="D45" s="291"/>
      <c r="E45" s="291"/>
      <c r="F45" s="291"/>
      <c r="G45" s="291"/>
      <c r="H45" s="291"/>
      <c r="I45" s="291"/>
      <c r="J45" s="285"/>
    </row>
    <row r="46" spans="1:10" ht="15.75" x14ac:dyDescent="0.25">
      <c r="A46" s="283"/>
      <c r="B46" s="291"/>
      <c r="C46" s="291"/>
      <c r="D46" s="291"/>
      <c r="E46" s="291"/>
      <c r="F46" s="291"/>
      <c r="G46" s="291"/>
      <c r="H46" s="291"/>
      <c r="I46" s="291"/>
      <c r="J46" s="285"/>
    </row>
    <row r="47" spans="1:10" ht="18.75" x14ac:dyDescent="0.25">
      <c r="A47" s="283"/>
      <c r="B47" s="333" t="s">
        <v>9</v>
      </c>
      <c r="C47" s="333"/>
      <c r="D47" s="333"/>
      <c r="E47" s="333"/>
      <c r="F47" s="333"/>
      <c r="G47" s="333"/>
      <c r="H47" s="333"/>
      <c r="I47" s="333"/>
      <c r="J47" s="285"/>
    </row>
    <row r="48" spans="1:10" ht="9.6" customHeight="1" x14ac:dyDescent="0.25">
      <c r="A48" s="283"/>
      <c r="B48" s="291"/>
      <c r="C48" s="291"/>
      <c r="D48" s="291"/>
      <c r="E48" s="291"/>
      <c r="F48" s="291"/>
      <c r="G48" s="291"/>
      <c r="H48" s="291"/>
      <c r="I48" s="291"/>
      <c r="J48" s="285"/>
    </row>
    <row r="49" spans="1:10" ht="24" customHeight="1" x14ac:dyDescent="0.25">
      <c r="A49" s="283"/>
      <c r="B49" s="316" t="s">
        <v>10</v>
      </c>
      <c r="C49" s="316" t="s">
        <v>11</v>
      </c>
      <c r="D49" s="317" t="s">
        <v>12</v>
      </c>
      <c r="E49" s="317" t="s">
        <v>13</v>
      </c>
      <c r="F49" s="316" t="s">
        <v>14</v>
      </c>
      <c r="G49" s="334" t="s">
        <v>15</v>
      </c>
      <c r="H49" s="335"/>
      <c r="I49" s="336"/>
      <c r="J49" s="285"/>
    </row>
    <row r="50" spans="1:10" ht="15.75" x14ac:dyDescent="0.25">
      <c r="A50" s="283"/>
      <c r="B50" s="292" t="s">
        <v>16</v>
      </c>
      <c r="C50" s="293">
        <v>45917</v>
      </c>
      <c r="D50" s="294" t="s">
        <v>17</v>
      </c>
      <c r="E50" s="294" t="s">
        <v>18</v>
      </c>
      <c r="F50" s="294" t="s">
        <v>18</v>
      </c>
      <c r="G50" s="330" t="s">
        <v>19</v>
      </c>
      <c r="H50" s="331"/>
      <c r="I50" s="332"/>
      <c r="J50" s="285"/>
    </row>
    <row r="51" spans="1:10" ht="15.75" x14ac:dyDescent="0.25">
      <c r="A51" s="283"/>
      <c r="B51" s="292" t="s">
        <v>20</v>
      </c>
      <c r="C51" s="293">
        <v>46149</v>
      </c>
      <c r="D51" s="294" t="s">
        <v>17</v>
      </c>
      <c r="E51" s="294" t="s">
        <v>18</v>
      </c>
      <c r="F51" s="294" t="s">
        <v>18</v>
      </c>
      <c r="G51" s="330" t="s">
        <v>21</v>
      </c>
      <c r="H51" s="331"/>
      <c r="I51" s="332"/>
      <c r="J51" s="285"/>
    </row>
    <row r="52" spans="1:10" ht="15.75" x14ac:dyDescent="0.25">
      <c r="A52" s="283"/>
      <c r="B52" s="298"/>
      <c r="C52" s="299"/>
      <c r="D52" s="294"/>
      <c r="E52" s="294"/>
      <c r="F52" s="300"/>
      <c r="G52" s="330"/>
      <c r="H52" s="331"/>
      <c r="I52" s="332"/>
      <c r="J52" s="285"/>
    </row>
    <row r="53" spans="1:10" ht="15.75" x14ac:dyDescent="0.25">
      <c r="A53" s="283"/>
      <c r="B53" s="298"/>
      <c r="C53" s="299"/>
      <c r="D53" s="294"/>
      <c r="E53" s="294"/>
      <c r="F53" s="300"/>
      <c r="G53" s="295"/>
      <c r="H53" s="296"/>
      <c r="I53" s="297"/>
      <c r="J53" s="285"/>
    </row>
    <row r="54" spans="1:10" ht="15.75" x14ac:dyDescent="0.25">
      <c r="A54" s="283"/>
      <c r="B54" s="298"/>
      <c r="C54" s="299"/>
      <c r="D54" s="294"/>
      <c r="E54" s="294"/>
      <c r="F54" s="300"/>
      <c r="G54" s="330"/>
      <c r="H54" s="331"/>
      <c r="I54" s="332"/>
      <c r="J54" s="285"/>
    </row>
    <row r="55" spans="1:10" ht="15.75" x14ac:dyDescent="0.25">
      <c r="A55" s="283"/>
      <c r="B55" s="292"/>
      <c r="C55" s="299"/>
      <c r="D55" s="294"/>
      <c r="E55" s="294"/>
      <c r="F55" s="300"/>
      <c r="G55" s="330"/>
      <c r="H55" s="331"/>
      <c r="I55" s="332"/>
      <c r="J55" s="285"/>
    </row>
    <row r="56" spans="1:10" ht="15.75" x14ac:dyDescent="0.25">
      <c r="A56" s="283"/>
      <c r="B56" s="298"/>
      <c r="C56" s="299"/>
      <c r="D56" s="294"/>
      <c r="E56" s="294"/>
      <c r="F56" s="300"/>
      <c r="G56" s="330"/>
      <c r="H56" s="331"/>
      <c r="I56" s="332"/>
      <c r="J56" s="285"/>
    </row>
    <row r="57" spans="1:10" ht="15.75" x14ac:dyDescent="0.25">
      <c r="A57" s="283"/>
      <c r="B57" s="318"/>
      <c r="C57" s="319"/>
      <c r="D57" s="320"/>
      <c r="E57" s="320"/>
      <c r="F57" s="321"/>
      <c r="G57" s="322"/>
      <c r="H57" s="322"/>
      <c r="I57" s="322"/>
      <c r="J57" s="285"/>
    </row>
    <row r="58" spans="1:10" ht="16.5" thickBot="1" x14ac:dyDescent="0.3">
      <c r="A58" s="301"/>
      <c r="B58" s="304"/>
      <c r="C58" s="302"/>
      <c r="D58" s="303"/>
      <c r="E58" s="303"/>
      <c r="F58" s="304"/>
      <c r="G58" s="304"/>
      <c r="H58" s="304"/>
      <c r="I58" s="304"/>
      <c r="J58" s="305"/>
    </row>
    <row r="59" spans="1:10" ht="15.75" thickTop="1" x14ac:dyDescent="0.25"/>
  </sheetData>
  <mergeCells count="10">
    <mergeCell ref="B1:F2"/>
    <mergeCell ref="B9:I9"/>
    <mergeCell ref="G54:I54"/>
    <mergeCell ref="G55:I55"/>
    <mergeCell ref="G56:I56"/>
    <mergeCell ref="B47:I47"/>
    <mergeCell ref="G49:I49"/>
    <mergeCell ref="G50:I50"/>
    <mergeCell ref="G51:I51"/>
    <mergeCell ref="G52:I52"/>
  </mergeCells>
  <printOptions horizontalCentered="1"/>
  <pageMargins left="0.7" right="0.7" top="0.8" bottom="0.66352941176470603" header="0.3" footer="0.3"/>
  <pageSetup paperSize="9" scale="73" fitToHeight="0" orientation="portrait" r:id="rId1"/>
  <headerFooter>
    <oddHeader>&amp;L&amp;"FreesiaUPC,Regular"&amp;14TP-PM-DSN-006
7-MAY-2026&amp;C&amp;"FreesiaUPC,Regular"&amp;14Drawing List&amp;R&amp;"FreesiaUPC,Regular"&amp;14R01
&amp;P of &amp;N</oddHeader>
    <oddFooter>&amp;C&amp;"FreesiaUPC,Regular"&amp;14&amp;K01+005Hard copies of this document are for REFERENCE ONLY and should not be considered the latest revision beyond the date of printing.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</sheetPr>
  <dimension ref="A1:Z46"/>
  <sheetViews>
    <sheetView zoomScaleNormal="100" workbookViewId="0">
      <selection activeCell="R27" sqref="R27"/>
    </sheetView>
  </sheetViews>
  <sheetFormatPr defaultRowHeight="15" x14ac:dyDescent="0.25"/>
  <cols>
    <col min="1" max="1" width="3.42578125" style="8" customWidth="1"/>
    <col min="2" max="2" width="4.42578125" style="7" customWidth="1"/>
    <col min="3" max="3" width="25" style="8" customWidth="1"/>
    <col min="4" max="4" width="4.42578125" style="8" customWidth="1"/>
    <col min="5" max="5" width="24.42578125" style="8" customWidth="1"/>
    <col min="6" max="6" width="4.42578125" style="9" customWidth="1"/>
    <col min="7" max="7" width="7.5703125" style="9" customWidth="1"/>
    <col min="8" max="9" width="10" style="9" customWidth="1"/>
    <col min="10" max="10" width="3.42578125" style="10" customWidth="1"/>
    <col min="11" max="260" width="9.42578125" style="8"/>
    <col min="261" max="261" width="3.42578125" style="8" customWidth="1"/>
    <col min="262" max="262" width="6.5703125" style="8" customWidth="1"/>
    <col min="263" max="263" width="55.5703125" style="8" customWidth="1"/>
    <col min="264" max="265" width="12.42578125" style="8" customWidth="1"/>
    <col min="266" max="266" width="9.42578125" style="8"/>
    <col min="267" max="267" width="3.42578125" style="8" customWidth="1"/>
    <col min="268" max="516" width="9.42578125" style="8"/>
    <col min="517" max="517" width="3.42578125" style="8" customWidth="1"/>
    <col min="518" max="518" width="6.5703125" style="8" customWidth="1"/>
    <col min="519" max="519" width="55.5703125" style="8" customWidth="1"/>
    <col min="520" max="521" width="12.42578125" style="8" customWidth="1"/>
    <col min="522" max="522" width="9.42578125" style="8"/>
    <col min="523" max="523" width="3.42578125" style="8" customWidth="1"/>
    <col min="524" max="772" width="9.42578125" style="8"/>
    <col min="773" max="773" width="3.42578125" style="8" customWidth="1"/>
    <col min="774" max="774" width="6.5703125" style="8" customWidth="1"/>
    <col min="775" max="775" width="55.5703125" style="8" customWidth="1"/>
    <col min="776" max="777" width="12.42578125" style="8" customWidth="1"/>
    <col min="778" max="778" width="9.42578125" style="8"/>
    <col min="779" max="779" width="3.42578125" style="8" customWidth="1"/>
    <col min="780" max="1028" width="9.42578125" style="8"/>
    <col min="1029" max="1029" width="3.42578125" style="8" customWidth="1"/>
    <col min="1030" max="1030" width="6.5703125" style="8" customWidth="1"/>
    <col min="1031" max="1031" width="55.5703125" style="8" customWidth="1"/>
    <col min="1032" max="1033" width="12.42578125" style="8" customWidth="1"/>
    <col min="1034" max="1034" width="9.42578125" style="8"/>
    <col min="1035" max="1035" width="3.42578125" style="8" customWidth="1"/>
    <col min="1036" max="1284" width="9.42578125" style="8"/>
    <col min="1285" max="1285" width="3.42578125" style="8" customWidth="1"/>
    <col min="1286" max="1286" width="6.5703125" style="8" customWidth="1"/>
    <col min="1287" max="1287" width="55.5703125" style="8" customWidth="1"/>
    <col min="1288" max="1289" width="12.42578125" style="8" customWidth="1"/>
    <col min="1290" max="1290" width="9.42578125" style="8"/>
    <col min="1291" max="1291" width="3.42578125" style="8" customWidth="1"/>
    <col min="1292" max="1540" width="9.42578125" style="8"/>
    <col min="1541" max="1541" width="3.42578125" style="8" customWidth="1"/>
    <col min="1542" max="1542" width="6.5703125" style="8" customWidth="1"/>
    <col min="1543" max="1543" width="55.5703125" style="8" customWidth="1"/>
    <col min="1544" max="1545" width="12.42578125" style="8" customWidth="1"/>
    <col min="1546" max="1546" width="9.42578125" style="8"/>
    <col min="1547" max="1547" width="3.42578125" style="8" customWidth="1"/>
    <col min="1548" max="1796" width="9.42578125" style="8"/>
    <col min="1797" max="1797" width="3.42578125" style="8" customWidth="1"/>
    <col min="1798" max="1798" width="6.5703125" style="8" customWidth="1"/>
    <col min="1799" max="1799" width="55.5703125" style="8" customWidth="1"/>
    <col min="1800" max="1801" width="12.42578125" style="8" customWidth="1"/>
    <col min="1802" max="1802" width="9.42578125" style="8"/>
    <col min="1803" max="1803" width="3.42578125" style="8" customWidth="1"/>
    <col min="1804" max="2052" width="9.42578125" style="8"/>
    <col min="2053" max="2053" width="3.42578125" style="8" customWidth="1"/>
    <col min="2054" max="2054" width="6.5703125" style="8" customWidth="1"/>
    <col min="2055" max="2055" width="55.5703125" style="8" customWidth="1"/>
    <col min="2056" max="2057" width="12.42578125" style="8" customWidth="1"/>
    <col min="2058" max="2058" width="9.42578125" style="8"/>
    <col min="2059" max="2059" width="3.42578125" style="8" customWidth="1"/>
    <col min="2060" max="2308" width="9.42578125" style="8"/>
    <col min="2309" max="2309" width="3.42578125" style="8" customWidth="1"/>
    <col min="2310" max="2310" width="6.5703125" style="8" customWidth="1"/>
    <col min="2311" max="2311" width="55.5703125" style="8" customWidth="1"/>
    <col min="2312" max="2313" width="12.42578125" style="8" customWidth="1"/>
    <col min="2314" max="2314" width="9.42578125" style="8"/>
    <col min="2315" max="2315" width="3.42578125" style="8" customWidth="1"/>
    <col min="2316" max="2564" width="9.42578125" style="8"/>
    <col min="2565" max="2565" width="3.42578125" style="8" customWidth="1"/>
    <col min="2566" max="2566" width="6.5703125" style="8" customWidth="1"/>
    <col min="2567" max="2567" width="55.5703125" style="8" customWidth="1"/>
    <col min="2568" max="2569" width="12.42578125" style="8" customWidth="1"/>
    <col min="2570" max="2570" width="9.42578125" style="8"/>
    <col min="2571" max="2571" width="3.42578125" style="8" customWidth="1"/>
    <col min="2572" max="2820" width="9.42578125" style="8"/>
    <col min="2821" max="2821" width="3.42578125" style="8" customWidth="1"/>
    <col min="2822" max="2822" width="6.5703125" style="8" customWidth="1"/>
    <col min="2823" max="2823" width="55.5703125" style="8" customWidth="1"/>
    <col min="2824" max="2825" width="12.42578125" style="8" customWidth="1"/>
    <col min="2826" max="2826" width="9.42578125" style="8"/>
    <col min="2827" max="2827" width="3.42578125" style="8" customWidth="1"/>
    <col min="2828" max="3076" width="9.42578125" style="8"/>
    <col min="3077" max="3077" width="3.42578125" style="8" customWidth="1"/>
    <col min="3078" max="3078" width="6.5703125" style="8" customWidth="1"/>
    <col min="3079" max="3079" width="55.5703125" style="8" customWidth="1"/>
    <col min="3080" max="3081" width="12.42578125" style="8" customWidth="1"/>
    <col min="3082" max="3082" width="9.42578125" style="8"/>
    <col min="3083" max="3083" width="3.42578125" style="8" customWidth="1"/>
    <col min="3084" max="3332" width="9.42578125" style="8"/>
    <col min="3333" max="3333" width="3.42578125" style="8" customWidth="1"/>
    <col min="3334" max="3334" width="6.5703125" style="8" customWidth="1"/>
    <col min="3335" max="3335" width="55.5703125" style="8" customWidth="1"/>
    <col min="3336" max="3337" width="12.42578125" style="8" customWidth="1"/>
    <col min="3338" max="3338" width="9.42578125" style="8"/>
    <col min="3339" max="3339" width="3.42578125" style="8" customWidth="1"/>
    <col min="3340" max="3588" width="9.42578125" style="8"/>
    <col min="3589" max="3589" width="3.42578125" style="8" customWidth="1"/>
    <col min="3590" max="3590" width="6.5703125" style="8" customWidth="1"/>
    <col min="3591" max="3591" width="55.5703125" style="8" customWidth="1"/>
    <col min="3592" max="3593" width="12.42578125" style="8" customWidth="1"/>
    <col min="3594" max="3594" width="9.42578125" style="8"/>
    <col min="3595" max="3595" width="3.42578125" style="8" customWidth="1"/>
    <col min="3596" max="3844" width="9.42578125" style="8"/>
    <col min="3845" max="3845" width="3.42578125" style="8" customWidth="1"/>
    <col min="3846" max="3846" width="6.5703125" style="8" customWidth="1"/>
    <col min="3847" max="3847" width="55.5703125" style="8" customWidth="1"/>
    <col min="3848" max="3849" width="12.42578125" style="8" customWidth="1"/>
    <col min="3850" max="3850" width="9.42578125" style="8"/>
    <col min="3851" max="3851" width="3.42578125" style="8" customWidth="1"/>
    <col min="3852" max="4100" width="9.42578125" style="8"/>
    <col min="4101" max="4101" width="3.42578125" style="8" customWidth="1"/>
    <col min="4102" max="4102" width="6.5703125" style="8" customWidth="1"/>
    <col min="4103" max="4103" width="55.5703125" style="8" customWidth="1"/>
    <col min="4104" max="4105" width="12.42578125" style="8" customWidth="1"/>
    <col min="4106" max="4106" width="9.42578125" style="8"/>
    <col min="4107" max="4107" width="3.42578125" style="8" customWidth="1"/>
    <col min="4108" max="4356" width="9.42578125" style="8"/>
    <col min="4357" max="4357" width="3.42578125" style="8" customWidth="1"/>
    <col min="4358" max="4358" width="6.5703125" style="8" customWidth="1"/>
    <col min="4359" max="4359" width="55.5703125" style="8" customWidth="1"/>
    <col min="4360" max="4361" width="12.42578125" style="8" customWidth="1"/>
    <col min="4362" max="4362" width="9.42578125" style="8"/>
    <col min="4363" max="4363" width="3.42578125" style="8" customWidth="1"/>
    <col min="4364" max="4612" width="9.42578125" style="8"/>
    <col min="4613" max="4613" width="3.42578125" style="8" customWidth="1"/>
    <col min="4614" max="4614" width="6.5703125" style="8" customWidth="1"/>
    <col min="4615" max="4615" width="55.5703125" style="8" customWidth="1"/>
    <col min="4616" max="4617" width="12.42578125" style="8" customWidth="1"/>
    <col min="4618" max="4618" width="9.42578125" style="8"/>
    <col min="4619" max="4619" width="3.42578125" style="8" customWidth="1"/>
    <col min="4620" max="4868" width="9.42578125" style="8"/>
    <col min="4869" max="4869" width="3.42578125" style="8" customWidth="1"/>
    <col min="4870" max="4870" width="6.5703125" style="8" customWidth="1"/>
    <col min="4871" max="4871" width="55.5703125" style="8" customWidth="1"/>
    <col min="4872" max="4873" width="12.42578125" style="8" customWidth="1"/>
    <col min="4874" max="4874" width="9.42578125" style="8"/>
    <col min="4875" max="4875" width="3.42578125" style="8" customWidth="1"/>
    <col min="4876" max="5124" width="9.42578125" style="8"/>
    <col min="5125" max="5125" width="3.42578125" style="8" customWidth="1"/>
    <col min="5126" max="5126" width="6.5703125" style="8" customWidth="1"/>
    <col min="5127" max="5127" width="55.5703125" style="8" customWidth="1"/>
    <col min="5128" max="5129" width="12.42578125" style="8" customWidth="1"/>
    <col min="5130" max="5130" width="9.42578125" style="8"/>
    <col min="5131" max="5131" width="3.42578125" style="8" customWidth="1"/>
    <col min="5132" max="5380" width="9.42578125" style="8"/>
    <col min="5381" max="5381" width="3.42578125" style="8" customWidth="1"/>
    <col min="5382" max="5382" width="6.5703125" style="8" customWidth="1"/>
    <col min="5383" max="5383" width="55.5703125" style="8" customWidth="1"/>
    <col min="5384" max="5385" width="12.42578125" style="8" customWidth="1"/>
    <col min="5386" max="5386" width="9.42578125" style="8"/>
    <col min="5387" max="5387" width="3.42578125" style="8" customWidth="1"/>
    <col min="5388" max="5636" width="9.42578125" style="8"/>
    <col min="5637" max="5637" width="3.42578125" style="8" customWidth="1"/>
    <col min="5638" max="5638" width="6.5703125" style="8" customWidth="1"/>
    <col min="5639" max="5639" width="55.5703125" style="8" customWidth="1"/>
    <col min="5640" max="5641" width="12.42578125" style="8" customWidth="1"/>
    <col min="5642" max="5642" width="9.42578125" style="8"/>
    <col min="5643" max="5643" width="3.42578125" style="8" customWidth="1"/>
    <col min="5644" max="5892" width="9.42578125" style="8"/>
    <col min="5893" max="5893" width="3.42578125" style="8" customWidth="1"/>
    <col min="5894" max="5894" width="6.5703125" style="8" customWidth="1"/>
    <col min="5895" max="5895" width="55.5703125" style="8" customWidth="1"/>
    <col min="5896" max="5897" width="12.42578125" style="8" customWidth="1"/>
    <col min="5898" max="5898" width="9.42578125" style="8"/>
    <col min="5899" max="5899" width="3.42578125" style="8" customWidth="1"/>
    <col min="5900" max="6148" width="9.42578125" style="8"/>
    <col min="6149" max="6149" width="3.42578125" style="8" customWidth="1"/>
    <col min="6150" max="6150" width="6.5703125" style="8" customWidth="1"/>
    <col min="6151" max="6151" width="55.5703125" style="8" customWidth="1"/>
    <col min="6152" max="6153" width="12.42578125" style="8" customWidth="1"/>
    <col min="6154" max="6154" width="9.42578125" style="8"/>
    <col min="6155" max="6155" width="3.42578125" style="8" customWidth="1"/>
    <col min="6156" max="6404" width="9.42578125" style="8"/>
    <col min="6405" max="6405" width="3.42578125" style="8" customWidth="1"/>
    <col min="6406" max="6406" width="6.5703125" style="8" customWidth="1"/>
    <col min="6407" max="6407" width="55.5703125" style="8" customWidth="1"/>
    <col min="6408" max="6409" width="12.42578125" style="8" customWidth="1"/>
    <col min="6410" max="6410" width="9.42578125" style="8"/>
    <col min="6411" max="6411" width="3.42578125" style="8" customWidth="1"/>
    <col min="6412" max="6660" width="9.42578125" style="8"/>
    <col min="6661" max="6661" width="3.42578125" style="8" customWidth="1"/>
    <col min="6662" max="6662" width="6.5703125" style="8" customWidth="1"/>
    <col min="6663" max="6663" width="55.5703125" style="8" customWidth="1"/>
    <col min="6664" max="6665" width="12.42578125" style="8" customWidth="1"/>
    <col min="6666" max="6666" width="9.42578125" style="8"/>
    <col min="6667" max="6667" width="3.42578125" style="8" customWidth="1"/>
    <col min="6668" max="6916" width="9.42578125" style="8"/>
    <col min="6917" max="6917" width="3.42578125" style="8" customWidth="1"/>
    <col min="6918" max="6918" width="6.5703125" style="8" customWidth="1"/>
    <col min="6919" max="6919" width="55.5703125" style="8" customWidth="1"/>
    <col min="6920" max="6921" width="12.42578125" style="8" customWidth="1"/>
    <col min="6922" max="6922" width="9.42578125" style="8"/>
    <col min="6923" max="6923" width="3.42578125" style="8" customWidth="1"/>
    <col min="6924" max="7172" width="9.42578125" style="8"/>
    <col min="7173" max="7173" width="3.42578125" style="8" customWidth="1"/>
    <col min="7174" max="7174" width="6.5703125" style="8" customWidth="1"/>
    <col min="7175" max="7175" width="55.5703125" style="8" customWidth="1"/>
    <col min="7176" max="7177" width="12.42578125" style="8" customWidth="1"/>
    <col min="7178" max="7178" width="9.42578125" style="8"/>
    <col min="7179" max="7179" width="3.42578125" style="8" customWidth="1"/>
    <col min="7180" max="7428" width="9.42578125" style="8"/>
    <col min="7429" max="7429" width="3.42578125" style="8" customWidth="1"/>
    <col min="7430" max="7430" width="6.5703125" style="8" customWidth="1"/>
    <col min="7431" max="7431" width="55.5703125" style="8" customWidth="1"/>
    <col min="7432" max="7433" width="12.42578125" style="8" customWidth="1"/>
    <col min="7434" max="7434" width="9.42578125" style="8"/>
    <col min="7435" max="7435" width="3.42578125" style="8" customWidth="1"/>
    <col min="7436" max="7684" width="9.42578125" style="8"/>
    <col min="7685" max="7685" width="3.42578125" style="8" customWidth="1"/>
    <col min="7686" max="7686" width="6.5703125" style="8" customWidth="1"/>
    <col min="7687" max="7687" width="55.5703125" style="8" customWidth="1"/>
    <col min="7688" max="7689" width="12.42578125" style="8" customWidth="1"/>
    <col min="7690" max="7690" width="9.42578125" style="8"/>
    <col min="7691" max="7691" width="3.42578125" style="8" customWidth="1"/>
    <col min="7692" max="7940" width="9.42578125" style="8"/>
    <col min="7941" max="7941" width="3.42578125" style="8" customWidth="1"/>
    <col min="7942" max="7942" width="6.5703125" style="8" customWidth="1"/>
    <col min="7943" max="7943" width="55.5703125" style="8" customWidth="1"/>
    <col min="7944" max="7945" width="12.42578125" style="8" customWidth="1"/>
    <col min="7946" max="7946" width="9.42578125" style="8"/>
    <col min="7947" max="7947" width="3.42578125" style="8" customWidth="1"/>
    <col min="7948" max="8196" width="9.42578125" style="8"/>
    <col min="8197" max="8197" width="3.42578125" style="8" customWidth="1"/>
    <col min="8198" max="8198" width="6.5703125" style="8" customWidth="1"/>
    <col min="8199" max="8199" width="55.5703125" style="8" customWidth="1"/>
    <col min="8200" max="8201" width="12.42578125" style="8" customWidth="1"/>
    <col min="8202" max="8202" width="9.42578125" style="8"/>
    <col min="8203" max="8203" width="3.42578125" style="8" customWidth="1"/>
    <col min="8204" max="8452" width="9.42578125" style="8"/>
    <col min="8453" max="8453" width="3.42578125" style="8" customWidth="1"/>
    <col min="8454" max="8454" width="6.5703125" style="8" customWidth="1"/>
    <col min="8455" max="8455" width="55.5703125" style="8" customWidth="1"/>
    <col min="8456" max="8457" width="12.42578125" style="8" customWidth="1"/>
    <col min="8458" max="8458" width="9.42578125" style="8"/>
    <col min="8459" max="8459" width="3.42578125" style="8" customWidth="1"/>
    <col min="8460" max="8708" width="9.42578125" style="8"/>
    <col min="8709" max="8709" width="3.42578125" style="8" customWidth="1"/>
    <col min="8710" max="8710" width="6.5703125" style="8" customWidth="1"/>
    <col min="8711" max="8711" width="55.5703125" style="8" customWidth="1"/>
    <col min="8712" max="8713" width="12.42578125" style="8" customWidth="1"/>
    <col min="8714" max="8714" width="9.42578125" style="8"/>
    <col min="8715" max="8715" width="3.42578125" style="8" customWidth="1"/>
    <col min="8716" max="8964" width="9.42578125" style="8"/>
    <col min="8965" max="8965" width="3.42578125" style="8" customWidth="1"/>
    <col min="8966" max="8966" width="6.5703125" style="8" customWidth="1"/>
    <col min="8967" max="8967" width="55.5703125" style="8" customWidth="1"/>
    <col min="8968" max="8969" width="12.42578125" style="8" customWidth="1"/>
    <col min="8970" max="8970" width="9.42578125" style="8"/>
    <col min="8971" max="8971" width="3.42578125" style="8" customWidth="1"/>
    <col min="8972" max="9220" width="9.42578125" style="8"/>
    <col min="9221" max="9221" width="3.42578125" style="8" customWidth="1"/>
    <col min="9222" max="9222" width="6.5703125" style="8" customWidth="1"/>
    <col min="9223" max="9223" width="55.5703125" style="8" customWidth="1"/>
    <col min="9224" max="9225" width="12.42578125" style="8" customWidth="1"/>
    <col min="9226" max="9226" width="9.42578125" style="8"/>
    <col min="9227" max="9227" width="3.42578125" style="8" customWidth="1"/>
    <col min="9228" max="9476" width="9.42578125" style="8"/>
    <col min="9477" max="9477" width="3.42578125" style="8" customWidth="1"/>
    <col min="9478" max="9478" width="6.5703125" style="8" customWidth="1"/>
    <col min="9479" max="9479" width="55.5703125" style="8" customWidth="1"/>
    <col min="9480" max="9481" width="12.42578125" style="8" customWidth="1"/>
    <col min="9482" max="9482" width="9.42578125" style="8"/>
    <col min="9483" max="9483" width="3.42578125" style="8" customWidth="1"/>
    <col min="9484" max="9732" width="9.42578125" style="8"/>
    <col min="9733" max="9733" width="3.42578125" style="8" customWidth="1"/>
    <col min="9734" max="9734" width="6.5703125" style="8" customWidth="1"/>
    <col min="9735" max="9735" width="55.5703125" style="8" customWidth="1"/>
    <col min="9736" max="9737" width="12.42578125" style="8" customWidth="1"/>
    <col min="9738" max="9738" width="9.42578125" style="8"/>
    <col min="9739" max="9739" width="3.42578125" style="8" customWidth="1"/>
    <col min="9740" max="9988" width="9.42578125" style="8"/>
    <col min="9989" max="9989" width="3.42578125" style="8" customWidth="1"/>
    <col min="9990" max="9990" width="6.5703125" style="8" customWidth="1"/>
    <col min="9991" max="9991" width="55.5703125" style="8" customWidth="1"/>
    <col min="9992" max="9993" width="12.42578125" style="8" customWidth="1"/>
    <col min="9994" max="9994" width="9.42578125" style="8"/>
    <col min="9995" max="9995" width="3.42578125" style="8" customWidth="1"/>
    <col min="9996" max="10244" width="9.42578125" style="8"/>
    <col min="10245" max="10245" width="3.42578125" style="8" customWidth="1"/>
    <col min="10246" max="10246" width="6.5703125" style="8" customWidth="1"/>
    <col min="10247" max="10247" width="55.5703125" style="8" customWidth="1"/>
    <col min="10248" max="10249" width="12.42578125" style="8" customWidth="1"/>
    <col min="10250" max="10250" width="9.42578125" style="8"/>
    <col min="10251" max="10251" width="3.42578125" style="8" customWidth="1"/>
    <col min="10252" max="10500" width="9.42578125" style="8"/>
    <col min="10501" max="10501" width="3.42578125" style="8" customWidth="1"/>
    <col min="10502" max="10502" width="6.5703125" style="8" customWidth="1"/>
    <col min="10503" max="10503" width="55.5703125" style="8" customWidth="1"/>
    <col min="10504" max="10505" width="12.42578125" style="8" customWidth="1"/>
    <col min="10506" max="10506" width="9.42578125" style="8"/>
    <col min="10507" max="10507" width="3.42578125" style="8" customWidth="1"/>
    <col min="10508" max="10756" width="9.42578125" style="8"/>
    <col min="10757" max="10757" width="3.42578125" style="8" customWidth="1"/>
    <col min="10758" max="10758" width="6.5703125" style="8" customWidth="1"/>
    <col min="10759" max="10759" width="55.5703125" style="8" customWidth="1"/>
    <col min="10760" max="10761" width="12.42578125" style="8" customWidth="1"/>
    <col min="10762" max="10762" width="9.42578125" style="8"/>
    <col min="10763" max="10763" width="3.42578125" style="8" customWidth="1"/>
    <col min="10764" max="11012" width="9.42578125" style="8"/>
    <col min="11013" max="11013" width="3.42578125" style="8" customWidth="1"/>
    <col min="11014" max="11014" width="6.5703125" style="8" customWidth="1"/>
    <col min="11015" max="11015" width="55.5703125" style="8" customWidth="1"/>
    <col min="11016" max="11017" width="12.42578125" style="8" customWidth="1"/>
    <col min="11018" max="11018" width="9.42578125" style="8"/>
    <col min="11019" max="11019" width="3.42578125" style="8" customWidth="1"/>
    <col min="11020" max="11268" width="9.42578125" style="8"/>
    <col min="11269" max="11269" width="3.42578125" style="8" customWidth="1"/>
    <col min="11270" max="11270" width="6.5703125" style="8" customWidth="1"/>
    <col min="11271" max="11271" width="55.5703125" style="8" customWidth="1"/>
    <col min="11272" max="11273" width="12.42578125" style="8" customWidth="1"/>
    <col min="11274" max="11274" width="9.42578125" style="8"/>
    <col min="11275" max="11275" width="3.42578125" style="8" customWidth="1"/>
    <col min="11276" max="11524" width="9.42578125" style="8"/>
    <col min="11525" max="11525" width="3.42578125" style="8" customWidth="1"/>
    <col min="11526" max="11526" width="6.5703125" style="8" customWidth="1"/>
    <col min="11527" max="11527" width="55.5703125" style="8" customWidth="1"/>
    <col min="11528" max="11529" width="12.42578125" style="8" customWidth="1"/>
    <col min="11530" max="11530" width="9.42578125" style="8"/>
    <col min="11531" max="11531" width="3.42578125" style="8" customWidth="1"/>
    <col min="11532" max="11780" width="9.42578125" style="8"/>
    <col min="11781" max="11781" width="3.42578125" style="8" customWidth="1"/>
    <col min="11782" max="11782" width="6.5703125" style="8" customWidth="1"/>
    <col min="11783" max="11783" width="55.5703125" style="8" customWidth="1"/>
    <col min="11784" max="11785" width="12.42578125" style="8" customWidth="1"/>
    <col min="11786" max="11786" width="9.42578125" style="8"/>
    <col min="11787" max="11787" width="3.42578125" style="8" customWidth="1"/>
    <col min="11788" max="12036" width="9.42578125" style="8"/>
    <col min="12037" max="12037" width="3.42578125" style="8" customWidth="1"/>
    <col min="12038" max="12038" width="6.5703125" style="8" customWidth="1"/>
    <col min="12039" max="12039" width="55.5703125" style="8" customWidth="1"/>
    <col min="12040" max="12041" width="12.42578125" style="8" customWidth="1"/>
    <col min="12042" max="12042" width="9.42578125" style="8"/>
    <col min="12043" max="12043" width="3.42578125" style="8" customWidth="1"/>
    <col min="12044" max="12292" width="9.42578125" style="8"/>
    <col min="12293" max="12293" width="3.42578125" style="8" customWidth="1"/>
    <col min="12294" max="12294" width="6.5703125" style="8" customWidth="1"/>
    <col min="12295" max="12295" width="55.5703125" style="8" customWidth="1"/>
    <col min="12296" max="12297" width="12.42578125" style="8" customWidth="1"/>
    <col min="12298" max="12298" width="9.42578125" style="8"/>
    <col min="12299" max="12299" width="3.42578125" style="8" customWidth="1"/>
    <col min="12300" max="12548" width="9.42578125" style="8"/>
    <col min="12549" max="12549" width="3.42578125" style="8" customWidth="1"/>
    <col min="12550" max="12550" width="6.5703125" style="8" customWidth="1"/>
    <col min="12551" max="12551" width="55.5703125" style="8" customWidth="1"/>
    <col min="12552" max="12553" width="12.42578125" style="8" customWidth="1"/>
    <col min="12554" max="12554" width="9.42578125" style="8"/>
    <col min="12555" max="12555" width="3.42578125" style="8" customWidth="1"/>
    <col min="12556" max="12804" width="9.42578125" style="8"/>
    <col min="12805" max="12805" width="3.42578125" style="8" customWidth="1"/>
    <col min="12806" max="12806" width="6.5703125" style="8" customWidth="1"/>
    <col min="12807" max="12807" width="55.5703125" style="8" customWidth="1"/>
    <col min="12808" max="12809" width="12.42578125" style="8" customWidth="1"/>
    <col min="12810" max="12810" width="9.42578125" style="8"/>
    <col min="12811" max="12811" width="3.42578125" style="8" customWidth="1"/>
    <col min="12812" max="13060" width="9.42578125" style="8"/>
    <col min="13061" max="13061" width="3.42578125" style="8" customWidth="1"/>
    <col min="13062" max="13062" width="6.5703125" style="8" customWidth="1"/>
    <col min="13063" max="13063" width="55.5703125" style="8" customWidth="1"/>
    <col min="13064" max="13065" width="12.42578125" style="8" customWidth="1"/>
    <col min="13066" max="13066" width="9.42578125" style="8"/>
    <col min="13067" max="13067" width="3.42578125" style="8" customWidth="1"/>
    <col min="13068" max="13316" width="9.42578125" style="8"/>
    <col min="13317" max="13317" width="3.42578125" style="8" customWidth="1"/>
    <col min="13318" max="13318" width="6.5703125" style="8" customWidth="1"/>
    <col min="13319" max="13319" width="55.5703125" style="8" customWidth="1"/>
    <col min="13320" max="13321" width="12.42578125" style="8" customWidth="1"/>
    <col min="13322" max="13322" width="9.42578125" style="8"/>
    <col min="13323" max="13323" width="3.42578125" style="8" customWidth="1"/>
    <col min="13324" max="13572" width="9.42578125" style="8"/>
    <col min="13573" max="13573" width="3.42578125" style="8" customWidth="1"/>
    <col min="13574" max="13574" width="6.5703125" style="8" customWidth="1"/>
    <col min="13575" max="13575" width="55.5703125" style="8" customWidth="1"/>
    <col min="13576" max="13577" width="12.42578125" style="8" customWidth="1"/>
    <col min="13578" max="13578" width="9.42578125" style="8"/>
    <col min="13579" max="13579" width="3.42578125" style="8" customWidth="1"/>
    <col min="13580" max="13828" width="9.42578125" style="8"/>
    <col min="13829" max="13829" width="3.42578125" style="8" customWidth="1"/>
    <col min="13830" max="13830" width="6.5703125" style="8" customWidth="1"/>
    <col min="13831" max="13831" width="55.5703125" style="8" customWidth="1"/>
    <col min="13832" max="13833" width="12.42578125" style="8" customWidth="1"/>
    <col min="13834" max="13834" width="9.42578125" style="8"/>
    <col min="13835" max="13835" width="3.42578125" style="8" customWidth="1"/>
    <col min="13836" max="14084" width="9.42578125" style="8"/>
    <col min="14085" max="14085" width="3.42578125" style="8" customWidth="1"/>
    <col min="14086" max="14086" width="6.5703125" style="8" customWidth="1"/>
    <col min="14087" max="14087" width="55.5703125" style="8" customWidth="1"/>
    <col min="14088" max="14089" width="12.42578125" style="8" customWidth="1"/>
    <col min="14090" max="14090" width="9.42578125" style="8"/>
    <col min="14091" max="14091" width="3.42578125" style="8" customWidth="1"/>
    <col min="14092" max="14340" width="9.42578125" style="8"/>
    <col min="14341" max="14341" width="3.42578125" style="8" customWidth="1"/>
    <col min="14342" max="14342" width="6.5703125" style="8" customWidth="1"/>
    <col min="14343" max="14343" width="55.5703125" style="8" customWidth="1"/>
    <col min="14344" max="14345" width="12.42578125" style="8" customWidth="1"/>
    <col min="14346" max="14346" width="9.42578125" style="8"/>
    <col min="14347" max="14347" width="3.42578125" style="8" customWidth="1"/>
    <col min="14348" max="14596" width="9.42578125" style="8"/>
    <col min="14597" max="14597" width="3.42578125" style="8" customWidth="1"/>
    <col min="14598" max="14598" width="6.5703125" style="8" customWidth="1"/>
    <col min="14599" max="14599" width="55.5703125" style="8" customWidth="1"/>
    <col min="14600" max="14601" width="12.42578125" style="8" customWidth="1"/>
    <col min="14602" max="14602" width="9.42578125" style="8"/>
    <col min="14603" max="14603" width="3.42578125" style="8" customWidth="1"/>
    <col min="14604" max="14852" width="9.42578125" style="8"/>
    <col min="14853" max="14853" width="3.42578125" style="8" customWidth="1"/>
    <col min="14854" max="14854" width="6.5703125" style="8" customWidth="1"/>
    <col min="14855" max="14855" width="55.5703125" style="8" customWidth="1"/>
    <col min="14856" max="14857" width="12.42578125" style="8" customWidth="1"/>
    <col min="14858" max="14858" width="9.42578125" style="8"/>
    <col min="14859" max="14859" width="3.42578125" style="8" customWidth="1"/>
    <col min="14860" max="15108" width="9.42578125" style="8"/>
    <col min="15109" max="15109" width="3.42578125" style="8" customWidth="1"/>
    <col min="15110" max="15110" width="6.5703125" style="8" customWidth="1"/>
    <col min="15111" max="15111" width="55.5703125" style="8" customWidth="1"/>
    <col min="15112" max="15113" width="12.42578125" style="8" customWidth="1"/>
    <col min="15114" max="15114" width="9.42578125" style="8"/>
    <col min="15115" max="15115" width="3.42578125" style="8" customWidth="1"/>
    <col min="15116" max="15364" width="9.42578125" style="8"/>
    <col min="15365" max="15365" width="3.42578125" style="8" customWidth="1"/>
    <col min="15366" max="15366" width="6.5703125" style="8" customWidth="1"/>
    <col min="15367" max="15367" width="55.5703125" style="8" customWidth="1"/>
    <col min="15368" max="15369" width="12.42578125" style="8" customWidth="1"/>
    <col min="15370" max="15370" width="9.42578125" style="8"/>
    <col min="15371" max="15371" width="3.42578125" style="8" customWidth="1"/>
    <col min="15372" max="15620" width="9.42578125" style="8"/>
    <col min="15621" max="15621" width="3.42578125" style="8" customWidth="1"/>
    <col min="15622" max="15622" width="6.5703125" style="8" customWidth="1"/>
    <col min="15623" max="15623" width="55.5703125" style="8" customWidth="1"/>
    <col min="15624" max="15625" width="12.42578125" style="8" customWidth="1"/>
    <col min="15626" max="15626" width="9.42578125" style="8"/>
    <col min="15627" max="15627" width="3.42578125" style="8" customWidth="1"/>
    <col min="15628" max="15876" width="9.42578125" style="8"/>
    <col min="15877" max="15877" width="3.42578125" style="8" customWidth="1"/>
    <col min="15878" max="15878" width="6.5703125" style="8" customWidth="1"/>
    <col min="15879" max="15879" width="55.5703125" style="8" customWidth="1"/>
    <col min="15880" max="15881" width="12.42578125" style="8" customWidth="1"/>
    <col min="15882" max="15882" width="9.42578125" style="8"/>
    <col min="15883" max="15883" width="3.42578125" style="8" customWidth="1"/>
    <col min="15884" max="16132" width="9.42578125" style="8"/>
    <col min="16133" max="16133" width="3.42578125" style="8" customWidth="1"/>
    <col min="16134" max="16134" width="6.5703125" style="8" customWidth="1"/>
    <col min="16135" max="16135" width="55.5703125" style="8" customWidth="1"/>
    <col min="16136" max="16137" width="12.42578125" style="8" customWidth="1"/>
    <col min="16138" max="16138" width="9.42578125" style="8"/>
    <col min="16139" max="16139" width="3.42578125" style="8" customWidth="1"/>
    <col min="16140" max="16384" width="9.42578125" style="8"/>
  </cols>
  <sheetData>
    <row r="1" spans="1:26" s="1" customFormat="1" ht="45" customHeight="1" x14ac:dyDescent="0.25">
      <c r="A1" s="337" t="s">
        <v>22</v>
      </c>
      <c r="B1" s="338"/>
      <c r="C1" s="338"/>
      <c r="D1" s="338"/>
      <c r="E1" s="338"/>
      <c r="F1" s="338"/>
      <c r="G1" s="338"/>
      <c r="H1" s="338"/>
      <c r="I1" s="338"/>
      <c r="J1" s="339"/>
      <c r="K1" s="124" t="s">
        <v>23</v>
      </c>
    </row>
    <row r="2" spans="1:26" s="1" customFormat="1" ht="15.75" x14ac:dyDescent="0.25">
      <c r="A2" s="29"/>
      <c r="B2" s="340"/>
      <c r="C2" s="340"/>
      <c r="D2" s="340"/>
      <c r="E2" s="340"/>
      <c r="F2" s="340"/>
      <c r="G2" s="340"/>
      <c r="H2" s="340"/>
      <c r="I2" s="340"/>
      <c r="J2" s="31"/>
    </row>
    <row r="3" spans="1:26" s="1" customFormat="1" ht="15.75" x14ac:dyDescent="0.25">
      <c r="A3" s="29"/>
      <c r="B3" s="30"/>
      <c r="C3" s="30"/>
      <c r="D3" s="30"/>
      <c r="E3" s="30"/>
      <c r="F3" s="30"/>
      <c r="G3" s="30"/>
      <c r="H3" s="30"/>
      <c r="I3" s="30"/>
      <c r="J3" s="31"/>
    </row>
    <row r="4" spans="1:26" s="1" customFormat="1" ht="15.75" x14ac:dyDescent="0.25">
      <c r="A4" s="29"/>
      <c r="B4" s="30" t="s">
        <v>8</v>
      </c>
      <c r="C4" s="30"/>
      <c r="D4" s="30"/>
      <c r="E4" s="30"/>
      <c r="F4" s="30"/>
      <c r="G4" s="30"/>
      <c r="H4" s="30"/>
      <c r="I4" s="30"/>
      <c r="J4" s="31"/>
    </row>
    <row r="5" spans="1:26" s="1" customFormat="1" ht="15.75" x14ac:dyDescent="0.25">
      <c r="A5" s="29"/>
      <c r="B5" s="30"/>
      <c r="C5" s="30"/>
      <c r="D5" s="30"/>
      <c r="E5" s="30"/>
      <c r="F5" s="30"/>
      <c r="G5" s="30"/>
      <c r="H5" s="30"/>
      <c r="I5" s="30"/>
      <c r="J5" s="31"/>
    </row>
    <row r="6" spans="1:26" s="1" customFormat="1" ht="15.75" x14ac:dyDescent="0.25">
      <c r="A6" s="29"/>
      <c r="B6" s="30"/>
      <c r="C6" s="30"/>
      <c r="D6" s="30"/>
      <c r="E6" s="30"/>
      <c r="F6" s="30"/>
      <c r="G6" s="30"/>
      <c r="H6" s="30"/>
      <c r="I6" s="30"/>
      <c r="J6" s="31"/>
    </row>
    <row r="7" spans="1:26" s="1" customFormat="1" ht="15.75" x14ac:dyDescent="0.25">
      <c r="A7" s="29"/>
      <c r="B7" s="30"/>
      <c r="C7" s="30"/>
      <c r="D7" s="30"/>
      <c r="E7" s="30"/>
      <c r="F7" s="30"/>
      <c r="G7" s="30"/>
      <c r="H7" s="30"/>
      <c r="I7" s="30"/>
      <c r="J7" s="31"/>
    </row>
    <row r="8" spans="1:26" s="1" customFormat="1" ht="15.75" x14ac:dyDescent="0.25">
      <c r="A8" s="29"/>
      <c r="B8" s="30"/>
      <c r="C8" s="30"/>
      <c r="D8" s="30"/>
      <c r="E8" s="30"/>
      <c r="F8" s="30"/>
      <c r="G8" s="30"/>
      <c r="H8" s="30"/>
      <c r="I8" s="30"/>
      <c r="J8" s="31"/>
    </row>
    <row r="9" spans="1:26" s="1" customFormat="1" ht="15.75" x14ac:dyDescent="0.25">
      <c r="A9" s="29"/>
      <c r="B9" s="30"/>
      <c r="C9" s="30"/>
      <c r="D9" s="30"/>
      <c r="E9" s="30"/>
      <c r="F9" s="30"/>
      <c r="G9" s="30"/>
      <c r="H9" s="30"/>
      <c r="I9" s="30"/>
      <c r="J9" s="31"/>
    </row>
    <row r="10" spans="1:26" s="1" customFormat="1" ht="15.75" x14ac:dyDescent="0.25">
      <c r="A10" s="29"/>
      <c r="B10" s="30"/>
      <c r="C10" s="30"/>
      <c r="D10" s="30"/>
      <c r="E10" s="30"/>
      <c r="F10" s="30"/>
      <c r="G10" s="30"/>
      <c r="H10" s="30"/>
      <c r="I10" s="30"/>
      <c r="J10" s="31"/>
    </row>
    <row r="11" spans="1:26" s="1" customFormat="1" ht="15.75" x14ac:dyDescent="0.25">
      <c r="A11" s="29"/>
      <c r="B11" s="30"/>
      <c r="C11" s="30"/>
      <c r="D11" s="30"/>
      <c r="E11" s="30"/>
      <c r="F11" s="30"/>
      <c r="G11" s="30"/>
      <c r="H11" s="30"/>
      <c r="I11" s="30"/>
      <c r="J11" s="31"/>
    </row>
    <row r="12" spans="1:26" s="1" customFormat="1" ht="15.75" x14ac:dyDescent="0.25">
      <c r="A12" s="29"/>
      <c r="B12" s="30"/>
      <c r="C12" s="30"/>
      <c r="D12" s="30"/>
      <c r="E12" s="30"/>
      <c r="F12" s="30"/>
      <c r="G12" s="30"/>
      <c r="H12" s="30"/>
      <c r="I12" s="30"/>
      <c r="J12" s="31"/>
    </row>
    <row r="13" spans="1:26" s="1" customFormat="1" ht="15.75" x14ac:dyDescent="0.25">
      <c r="A13" s="29"/>
      <c r="B13" s="30"/>
      <c r="C13" s="30"/>
      <c r="D13" s="30"/>
      <c r="E13" s="30"/>
      <c r="F13" s="30"/>
      <c r="G13" s="30"/>
      <c r="H13" s="30"/>
      <c r="I13" s="30"/>
      <c r="J13" s="31"/>
    </row>
    <row r="14" spans="1:26" s="1" customFormat="1" ht="15.75" x14ac:dyDescent="0.25">
      <c r="A14" s="29"/>
      <c r="B14" s="30"/>
      <c r="C14" s="30"/>
      <c r="D14" s="30"/>
      <c r="E14" s="30"/>
      <c r="F14" s="30"/>
      <c r="G14" s="30"/>
      <c r="H14" s="30"/>
      <c r="I14" s="30"/>
      <c r="J14" s="31"/>
    </row>
    <row r="15" spans="1:26" s="1" customFormat="1" ht="15.75" x14ac:dyDescent="0.25">
      <c r="A15" s="29"/>
      <c r="B15" s="30"/>
      <c r="C15" s="30"/>
      <c r="D15" s="30"/>
      <c r="E15" s="30"/>
      <c r="F15" s="30"/>
      <c r="G15" s="30"/>
      <c r="H15" s="30"/>
      <c r="I15" s="30"/>
      <c r="J15" s="31"/>
    </row>
    <row r="16" spans="1:26" s="1" customFormat="1" x14ac:dyDescent="0.25">
      <c r="A16" s="20"/>
      <c r="B16" s="28"/>
      <c r="C16" s="28"/>
      <c r="D16" s="28"/>
      <c r="E16" s="28"/>
      <c r="F16" s="28"/>
      <c r="G16" s="28"/>
      <c r="H16" s="28"/>
      <c r="I16" s="28"/>
      <c r="J16" s="21"/>
      <c r="K16" s="2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s="1" customFormat="1" ht="69.75" customHeight="1" x14ac:dyDescent="0.25">
      <c r="A17" s="20"/>
      <c r="B17" s="341" t="s">
        <v>24</v>
      </c>
      <c r="C17" s="341"/>
      <c r="D17" s="341"/>
      <c r="E17" s="341"/>
      <c r="F17" s="341"/>
      <c r="G17" s="341"/>
      <c r="H17" s="341"/>
      <c r="I17" s="341"/>
      <c r="J17" s="21"/>
      <c r="K17" s="2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s="1" customFormat="1" ht="15" customHeight="1" x14ac:dyDescent="0.2">
      <c r="A18" s="20"/>
      <c r="B18" s="342"/>
      <c r="C18" s="342"/>
      <c r="D18" s="342"/>
      <c r="E18" s="342"/>
      <c r="F18" s="342"/>
      <c r="G18" s="342"/>
      <c r="H18" s="342"/>
      <c r="I18" s="342"/>
      <c r="J18" s="21"/>
      <c r="K18" s="2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s="1" customFormat="1" ht="15" customHeight="1" x14ac:dyDescent="0.2">
      <c r="A19" s="20"/>
      <c r="B19" s="343"/>
      <c r="C19" s="343"/>
      <c r="D19" s="343"/>
      <c r="E19" s="343"/>
      <c r="F19" s="343"/>
      <c r="G19" s="343"/>
      <c r="H19" s="343"/>
      <c r="I19" s="343"/>
      <c r="J19" s="21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s="1" customFormat="1" ht="15" customHeight="1" x14ac:dyDescent="0.2">
      <c r="A20" s="20"/>
      <c r="B20" s="343"/>
      <c r="C20" s="343"/>
      <c r="D20" s="343"/>
      <c r="E20" s="343"/>
      <c r="F20" s="343"/>
      <c r="G20" s="343"/>
      <c r="H20" s="343"/>
      <c r="I20" s="343"/>
      <c r="J20" s="21"/>
      <c r="K20" s="2"/>
      <c r="L20" s="2"/>
      <c r="M20" s="2"/>
      <c r="N20" s="2"/>
      <c r="O20" s="2"/>
      <c r="P20" s="2"/>
      <c r="Q20" s="2"/>
      <c r="R20" s="2"/>
      <c r="S20" s="2"/>
      <c r="T20" s="3"/>
      <c r="U20" s="3"/>
      <c r="V20" s="3"/>
      <c r="W20" s="3"/>
      <c r="X20" s="3"/>
      <c r="Y20" s="3"/>
      <c r="Z20" s="3"/>
    </row>
    <row r="21" spans="1:26" s="1" customFormat="1" ht="15" customHeight="1" x14ac:dyDescent="0.25">
      <c r="A21" s="20"/>
      <c r="B21" s="126" t="s">
        <v>25</v>
      </c>
      <c r="C21" s="127"/>
      <c r="D21" s="127"/>
      <c r="E21" s="127"/>
      <c r="F21" s="12"/>
      <c r="G21" s="12"/>
      <c r="H21" s="12"/>
      <c r="I21" s="12"/>
      <c r="J21" s="21"/>
      <c r="K21" s="124" t="s">
        <v>26</v>
      </c>
      <c r="L21" s="2"/>
      <c r="M21" s="2"/>
      <c r="N21" s="2"/>
      <c r="O21" s="2"/>
      <c r="P21" s="2"/>
      <c r="Q21" s="2"/>
      <c r="R21" s="2"/>
      <c r="S21" s="2"/>
      <c r="T21" s="3"/>
      <c r="U21" s="3"/>
      <c r="V21" s="3"/>
      <c r="W21" s="3"/>
      <c r="X21" s="3"/>
      <c r="Y21" s="3"/>
      <c r="Z21" s="3"/>
    </row>
    <row r="22" spans="1:26" s="1" customFormat="1" ht="15" customHeight="1" x14ac:dyDescent="0.2">
      <c r="A22" s="20"/>
      <c r="B22" s="12"/>
      <c r="F22" s="12"/>
      <c r="G22" s="12"/>
      <c r="H22" s="12"/>
      <c r="I22" s="12"/>
      <c r="J22" s="21"/>
      <c r="K22" s="2"/>
      <c r="L22" s="2"/>
      <c r="M22" s="2"/>
      <c r="N22" s="2"/>
      <c r="O22" s="2"/>
      <c r="P22" s="2"/>
      <c r="Q22" s="2"/>
      <c r="R22" s="2"/>
      <c r="S22" s="2"/>
      <c r="T22" s="3"/>
      <c r="U22" s="3"/>
      <c r="V22" s="3"/>
      <c r="W22" s="3"/>
      <c r="X22" s="3"/>
      <c r="Y22" s="3"/>
      <c r="Z22" s="3"/>
    </row>
    <row r="23" spans="1:26" s="1" customFormat="1" ht="15" customHeight="1" x14ac:dyDescent="0.2">
      <c r="A23" s="20"/>
      <c r="B23" s="118"/>
      <c r="C23" s="119" t="s">
        <v>27</v>
      </c>
      <c r="D23" s="12"/>
      <c r="E23" s="121">
        <v>1</v>
      </c>
      <c r="F23" s="118"/>
      <c r="G23" s="118"/>
      <c r="H23" s="118"/>
      <c r="I23" s="118"/>
      <c r="J23" s="21"/>
      <c r="K23" s="2"/>
      <c r="L23" s="2"/>
      <c r="M23" s="2"/>
      <c r="N23" s="2"/>
      <c r="O23" s="2"/>
      <c r="P23" s="2"/>
      <c r="Q23" s="2"/>
      <c r="R23" s="2"/>
      <c r="S23" s="2"/>
      <c r="T23" s="3"/>
      <c r="U23" s="3"/>
      <c r="V23" s="3"/>
      <c r="W23" s="3"/>
      <c r="X23" s="3"/>
      <c r="Y23" s="3"/>
      <c r="Z23" s="3"/>
    </row>
    <row r="24" spans="1:26" s="6" customFormat="1" ht="15" customHeight="1" x14ac:dyDescent="0.2">
      <c r="A24" s="22"/>
      <c r="B24" s="118"/>
      <c r="C24" s="120" t="s">
        <v>28</v>
      </c>
      <c r="D24" s="118"/>
      <c r="E24" s="121">
        <v>1</v>
      </c>
      <c r="F24" s="118"/>
      <c r="G24" s="118"/>
      <c r="H24" s="118"/>
      <c r="I24" s="118"/>
      <c r="J24" s="23"/>
      <c r="K24" s="4"/>
      <c r="L24" s="4"/>
      <c r="M24" s="4"/>
      <c r="N24" s="4"/>
      <c r="O24" s="4"/>
      <c r="P24" s="4"/>
      <c r="Q24" s="4"/>
      <c r="R24" s="4"/>
      <c r="S24" s="4"/>
      <c r="T24" s="5"/>
      <c r="U24" s="5"/>
      <c r="V24" s="5"/>
      <c r="W24" s="5"/>
      <c r="X24" s="5"/>
      <c r="Y24" s="5"/>
      <c r="Z24" s="5"/>
    </row>
    <row r="25" spans="1:26" s="6" customFormat="1" ht="15" customHeight="1" x14ac:dyDescent="0.2">
      <c r="A25" s="22"/>
      <c r="B25" s="118"/>
      <c r="C25" s="120" t="s">
        <v>29</v>
      </c>
      <c r="D25" s="118"/>
      <c r="E25" s="121">
        <v>1</v>
      </c>
      <c r="F25" s="118"/>
      <c r="G25" s="118"/>
      <c r="H25" s="118"/>
      <c r="I25" s="118"/>
      <c r="J25" s="23"/>
      <c r="K25" s="4"/>
      <c r="L25" s="4"/>
      <c r="M25" s="5"/>
      <c r="N25" s="4"/>
      <c r="O25" s="5"/>
      <c r="P25" s="4"/>
      <c r="Q25" s="4"/>
      <c r="R25" s="4"/>
      <c r="S25" s="4"/>
      <c r="T25" s="4"/>
      <c r="U25" s="5"/>
      <c r="V25" s="5"/>
      <c r="W25" s="5"/>
      <c r="X25" s="5"/>
      <c r="Y25" s="5"/>
      <c r="Z25" s="5"/>
    </row>
    <row r="26" spans="1:26" s="6" customFormat="1" ht="15" customHeight="1" x14ac:dyDescent="0.25">
      <c r="A26" s="22"/>
      <c r="B26" s="12"/>
      <c r="C26" s="120" t="s">
        <v>30</v>
      </c>
      <c r="D26" s="118"/>
      <c r="E26" s="121">
        <v>1</v>
      </c>
      <c r="F26" s="64"/>
      <c r="G26" s="12"/>
      <c r="H26" s="65"/>
      <c r="I26" s="12"/>
      <c r="J26" s="23"/>
      <c r="K26" s="4"/>
      <c r="L26" s="4"/>
      <c r="M26" s="4"/>
      <c r="N26" s="4"/>
      <c r="O26" s="4"/>
      <c r="P26" s="4"/>
      <c r="Q26" s="4"/>
      <c r="R26" s="4"/>
      <c r="S26" s="4"/>
      <c r="T26" s="5"/>
      <c r="U26" s="5"/>
      <c r="V26" s="5"/>
      <c r="W26" s="5"/>
      <c r="X26" s="5"/>
      <c r="Y26" s="5"/>
      <c r="Z26" s="5"/>
    </row>
    <row r="27" spans="1:26" s="6" customFormat="1" ht="15" customHeight="1" x14ac:dyDescent="0.2">
      <c r="A27" s="22"/>
      <c r="B27" s="12"/>
      <c r="C27" s="119" t="s">
        <v>31</v>
      </c>
      <c r="D27" s="12"/>
      <c r="E27" s="121">
        <v>1</v>
      </c>
      <c r="F27" s="12"/>
      <c r="G27" s="12"/>
      <c r="H27" s="12"/>
      <c r="I27" s="12"/>
      <c r="J27" s="23"/>
      <c r="K27" s="4"/>
      <c r="L27" s="4"/>
      <c r="M27" s="4"/>
      <c r="N27" s="4"/>
      <c r="O27" s="4"/>
      <c r="P27" s="4"/>
      <c r="Q27" s="4"/>
      <c r="R27" s="4"/>
      <c r="S27" s="4"/>
      <c r="T27" s="5"/>
      <c r="U27" s="5"/>
      <c r="V27" s="5"/>
      <c r="W27" s="5"/>
      <c r="X27" s="5"/>
      <c r="Y27" s="5"/>
      <c r="Z27" s="5"/>
    </row>
    <row r="28" spans="1:26" s="6" customFormat="1" ht="15" customHeight="1" x14ac:dyDescent="0.2">
      <c r="A28" s="22"/>
      <c r="B28" s="12"/>
      <c r="C28" s="117"/>
      <c r="D28" s="12"/>
      <c r="E28" s="12"/>
      <c r="F28" s="12"/>
      <c r="G28" s="12"/>
      <c r="H28" s="12"/>
      <c r="I28" s="12"/>
      <c r="J28" s="23"/>
      <c r="K28" s="4"/>
      <c r="L28" s="4"/>
      <c r="M28" s="4"/>
      <c r="N28" s="4"/>
      <c r="O28" s="4"/>
      <c r="P28" s="4"/>
      <c r="Q28" s="4"/>
      <c r="R28" s="4"/>
      <c r="S28" s="4"/>
      <c r="T28" s="5"/>
      <c r="U28" s="5"/>
      <c r="V28" s="5"/>
      <c r="W28" s="5"/>
      <c r="X28" s="5"/>
      <c r="Y28" s="5"/>
      <c r="Z28" s="5"/>
    </row>
    <row r="29" spans="1:26" s="6" customFormat="1" ht="15" customHeight="1" x14ac:dyDescent="0.2">
      <c r="A29" s="22"/>
      <c r="B29" s="343"/>
      <c r="C29" s="343"/>
      <c r="D29" s="343"/>
      <c r="E29" s="343"/>
      <c r="F29" s="343"/>
      <c r="G29" s="343"/>
      <c r="H29" s="343"/>
      <c r="I29" s="343"/>
      <c r="J29" s="23"/>
      <c r="K29" s="4"/>
      <c r="L29" s="4"/>
      <c r="M29" s="4"/>
      <c r="N29" s="4"/>
      <c r="O29" s="4"/>
      <c r="P29" s="4"/>
      <c r="Q29" s="4"/>
      <c r="R29" s="4"/>
      <c r="S29" s="4"/>
      <c r="T29" s="5"/>
      <c r="U29" s="5"/>
      <c r="V29" s="5"/>
      <c r="W29" s="5"/>
      <c r="X29" s="5"/>
      <c r="Y29" s="5"/>
      <c r="Z29" s="5"/>
    </row>
    <row r="30" spans="1:26" s="6" customFormat="1" ht="15" customHeight="1" x14ac:dyDescent="0.2">
      <c r="A30" s="22"/>
      <c r="B30" s="343"/>
      <c r="C30" s="343"/>
      <c r="D30" s="343"/>
      <c r="E30" s="343"/>
      <c r="F30" s="343"/>
      <c r="G30" s="343"/>
      <c r="H30" s="343"/>
      <c r="I30" s="343"/>
      <c r="J30" s="23"/>
      <c r="K30" s="4"/>
      <c r="L30" s="4"/>
      <c r="M30" s="4"/>
      <c r="N30" s="4"/>
      <c r="O30" s="4"/>
      <c r="P30" s="4"/>
      <c r="Q30" s="4"/>
      <c r="R30" s="4"/>
      <c r="S30" s="4"/>
      <c r="T30" s="5"/>
      <c r="U30" s="5"/>
      <c r="V30" s="5"/>
      <c r="W30" s="5"/>
      <c r="X30" s="5"/>
      <c r="Y30" s="5"/>
      <c r="Z30" s="5"/>
    </row>
    <row r="31" spans="1:26" s="6" customFormat="1" ht="15" customHeight="1" x14ac:dyDescent="0.2">
      <c r="A31" s="22"/>
      <c r="B31" s="343"/>
      <c r="C31" s="343"/>
      <c r="D31" s="343"/>
      <c r="E31" s="343"/>
      <c r="F31" s="343"/>
      <c r="G31" s="343"/>
      <c r="H31" s="343"/>
      <c r="I31" s="343"/>
      <c r="J31" s="23"/>
      <c r="K31" s="4"/>
      <c r="L31" s="4"/>
      <c r="M31" s="4"/>
      <c r="N31" s="4"/>
      <c r="O31" s="4"/>
      <c r="P31" s="4"/>
      <c r="Q31" s="4"/>
      <c r="R31" s="4"/>
      <c r="S31" s="4"/>
      <c r="T31" s="5"/>
      <c r="U31" s="5"/>
      <c r="V31" s="5"/>
      <c r="W31" s="5"/>
      <c r="X31" s="5"/>
      <c r="Y31" s="5"/>
      <c r="Z31" s="5"/>
    </row>
    <row r="32" spans="1:26" s="6" customFormat="1" ht="15" customHeight="1" x14ac:dyDescent="0.25">
      <c r="A32" s="22"/>
      <c r="B32" s="136"/>
      <c r="C32" s="137"/>
      <c r="D32" s="138"/>
      <c r="E32" s="139"/>
      <c r="F32" s="346"/>
      <c r="G32" s="347"/>
      <c r="H32" s="140"/>
      <c r="I32" s="141"/>
      <c r="J32" s="23"/>
      <c r="K32" s="4"/>
      <c r="L32" s="4"/>
      <c r="M32" s="4"/>
      <c r="N32" s="4"/>
      <c r="O32" s="4"/>
      <c r="P32" s="4"/>
      <c r="Q32" s="4"/>
      <c r="R32" s="4"/>
      <c r="S32" s="4"/>
      <c r="T32" s="5"/>
      <c r="U32" s="5"/>
      <c r="V32" s="5"/>
      <c r="W32" s="5"/>
      <c r="X32" s="5"/>
      <c r="Y32" s="5"/>
      <c r="Z32" s="5"/>
    </row>
    <row r="33" spans="1:26" s="6" customFormat="1" ht="15" customHeight="1" x14ac:dyDescent="0.25">
      <c r="A33" s="22"/>
      <c r="B33" s="136"/>
      <c r="C33" s="137"/>
      <c r="D33" s="138"/>
      <c r="E33" s="139"/>
      <c r="F33" s="346"/>
      <c r="G33" s="347"/>
      <c r="H33" s="140"/>
      <c r="I33" s="141"/>
      <c r="J33" s="23"/>
      <c r="K33" s="4"/>
      <c r="L33" s="4"/>
      <c r="M33" s="4"/>
      <c r="N33" s="4"/>
      <c r="O33" s="4"/>
      <c r="P33" s="4"/>
      <c r="Q33" s="4"/>
      <c r="R33" s="4"/>
      <c r="S33" s="4"/>
      <c r="T33" s="5"/>
      <c r="U33" s="5"/>
      <c r="V33" s="5"/>
      <c r="W33" s="5"/>
      <c r="X33" s="5"/>
      <c r="Y33" s="5"/>
      <c r="Z33" s="5"/>
    </row>
    <row r="34" spans="1:26" s="1" customFormat="1" ht="15" customHeight="1" x14ac:dyDescent="0.25">
      <c r="A34" s="20"/>
      <c r="B34" s="136"/>
      <c r="C34" s="137"/>
      <c r="D34" s="138"/>
      <c r="E34" s="139"/>
      <c r="F34" s="346"/>
      <c r="G34" s="347"/>
      <c r="H34" s="140"/>
      <c r="I34" s="141"/>
      <c r="J34" s="24"/>
    </row>
    <row r="35" spans="1:26" s="1" customFormat="1" ht="15" customHeight="1" x14ac:dyDescent="0.25">
      <c r="A35" s="20"/>
      <c r="B35" s="136"/>
      <c r="C35" s="137"/>
      <c r="D35" s="138"/>
      <c r="E35" s="139"/>
      <c r="F35" s="346"/>
      <c r="G35" s="347"/>
      <c r="H35" s="140"/>
      <c r="I35" s="141"/>
      <c r="J35" s="24"/>
    </row>
    <row r="36" spans="1:26" s="1" customFormat="1" ht="15" customHeight="1" x14ac:dyDescent="0.25">
      <c r="A36" s="20"/>
      <c r="B36" s="136"/>
      <c r="C36" s="137"/>
      <c r="D36" s="138"/>
      <c r="E36" s="139"/>
      <c r="F36" s="346"/>
      <c r="G36" s="347"/>
      <c r="H36" s="140"/>
      <c r="I36" s="141"/>
      <c r="J36" s="24"/>
    </row>
    <row r="37" spans="1:26" s="1" customFormat="1" ht="15" customHeight="1" x14ac:dyDescent="0.25">
      <c r="A37" s="20"/>
      <c r="B37" s="136"/>
      <c r="C37" s="137"/>
      <c r="D37" s="142"/>
      <c r="E37" s="143"/>
      <c r="F37" s="346"/>
      <c r="G37" s="347"/>
      <c r="H37" s="140"/>
      <c r="I37" s="144"/>
      <c r="J37" s="24"/>
    </row>
    <row r="38" spans="1:26" s="1" customFormat="1" ht="15" customHeight="1" x14ac:dyDescent="0.25">
      <c r="A38" s="20"/>
      <c r="B38" s="136"/>
      <c r="C38" s="137"/>
      <c r="D38" s="138"/>
      <c r="E38" s="139"/>
      <c r="F38" s="346"/>
      <c r="G38" s="347"/>
      <c r="H38" s="140"/>
      <c r="I38" s="141"/>
      <c r="J38" s="24"/>
    </row>
    <row r="39" spans="1:26" s="1" customFormat="1" ht="15" customHeight="1" x14ac:dyDescent="0.25">
      <c r="A39" s="20"/>
      <c r="B39" s="136"/>
      <c r="C39" s="137"/>
      <c r="D39" s="138"/>
      <c r="E39" s="139"/>
      <c r="F39" s="346"/>
      <c r="G39" s="347"/>
      <c r="H39" s="140"/>
      <c r="I39" s="141"/>
      <c r="J39" s="24"/>
      <c r="K39" s="125" t="s">
        <v>32</v>
      </c>
    </row>
    <row r="40" spans="1:26" s="1" customFormat="1" ht="18" customHeight="1" x14ac:dyDescent="0.25">
      <c r="A40" s="20"/>
      <c r="B40" s="145" t="s">
        <v>33</v>
      </c>
      <c r="C40" s="146" t="s">
        <v>34</v>
      </c>
      <c r="D40" s="147"/>
      <c r="E40" s="148"/>
      <c r="F40" s="344" t="s">
        <v>35</v>
      </c>
      <c r="G40" s="345"/>
      <c r="H40" s="149" t="s">
        <v>36</v>
      </c>
      <c r="I40" s="149" t="s">
        <v>37</v>
      </c>
      <c r="J40" s="24"/>
    </row>
    <row r="41" spans="1:26" s="1" customFormat="1" ht="18" customHeight="1" x14ac:dyDescent="0.25">
      <c r="A41" s="20"/>
      <c r="B41" s="13"/>
      <c r="C41" s="14"/>
      <c r="D41" s="14"/>
      <c r="E41" s="14"/>
      <c r="F41" s="15"/>
      <c r="G41" s="15"/>
      <c r="H41" s="15"/>
      <c r="I41" s="16"/>
      <c r="J41" s="24"/>
    </row>
    <row r="42" spans="1:26" s="1" customFormat="1" ht="25.35" customHeight="1" x14ac:dyDescent="0.2">
      <c r="A42" s="353" t="s">
        <v>38</v>
      </c>
      <c r="B42" s="354"/>
      <c r="C42" s="354"/>
      <c r="D42" s="150"/>
      <c r="E42" s="151"/>
      <c r="F42" s="355" t="s">
        <v>39</v>
      </c>
      <c r="G42" s="356"/>
      <c r="H42" s="152" t="s">
        <v>40</v>
      </c>
      <c r="I42" s="355" t="s">
        <v>41</v>
      </c>
      <c r="J42" s="357"/>
    </row>
    <row r="43" spans="1:26" s="1" customFormat="1" ht="25.35" customHeight="1" x14ac:dyDescent="0.25">
      <c r="A43" s="153"/>
      <c r="B43" s="18" t="s">
        <v>42</v>
      </c>
      <c r="C43" s="18"/>
      <c r="D43" s="18"/>
      <c r="E43" s="19"/>
      <c r="F43" s="358" t="s">
        <v>43</v>
      </c>
      <c r="G43" s="359"/>
      <c r="H43" s="17" t="s">
        <v>43</v>
      </c>
      <c r="I43" s="360" t="s">
        <v>43</v>
      </c>
      <c r="J43" s="361"/>
      <c r="K43" s="125" t="s">
        <v>44</v>
      </c>
    </row>
    <row r="44" spans="1:26" s="1" customFormat="1" ht="25.35" customHeight="1" thickBot="1" x14ac:dyDescent="0.3">
      <c r="A44" s="348"/>
      <c r="B44" s="349"/>
      <c r="C44" s="349"/>
      <c r="D44" s="25"/>
      <c r="E44" s="26"/>
      <c r="F44" s="350" t="s">
        <v>45</v>
      </c>
      <c r="G44" s="351"/>
      <c r="H44" s="27" t="s">
        <v>46</v>
      </c>
      <c r="I44" s="350" t="s">
        <v>47</v>
      </c>
      <c r="J44" s="352"/>
    </row>
    <row r="45" spans="1:26" x14ac:dyDescent="0.25">
      <c r="A45" s="1"/>
    </row>
    <row r="46" spans="1:26" x14ac:dyDescent="0.25">
      <c r="A46" s="1"/>
    </row>
  </sheetData>
  <dataConsolidate/>
  <mergeCells count="26">
    <mergeCell ref="A44:C44"/>
    <mergeCell ref="F44:G44"/>
    <mergeCell ref="I44:J44"/>
    <mergeCell ref="A42:C42"/>
    <mergeCell ref="F42:G42"/>
    <mergeCell ref="I42:J42"/>
    <mergeCell ref="F43:G43"/>
    <mergeCell ref="I43:J43"/>
    <mergeCell ref="B20:I20"/>
    <mergeCell ref="F40:G40"/>
    <mergeCell ref="B29:I29"/>
    <mergeCell ref="B31:I31"/>
    <mergeCell ref="F38:G38"/>
    <mergeCell ref="F39:G39"/>
    <mergeCell ref="F37:G37"/>
    <mergeCell ref="F36:G36"/>
    <mergeCell ref="F35:G35"/>
    <mergeCell ref="F34:G34"/>
    <mergeCell ref="F33:G33"/>
    <mergeCell ref="F32:G32"/>
    <mergeCell ref="B30:I30"/>
    <mergeCell ref="A1:J1"/>
    <mergeCell ref="B2:I2"/>
    <mergeCell ref="B17:I17"/>
    <mergeCell ref="B18:I18"/>
    <mergeCell ref="B19:I19"/>
  </mergeCells>
  <dataValidations disablePrompts="1" count="3">
    <dataValidation type="list" allowBlank="1" showInputMessage="1" showErrorMessage="1" promptTitle="SYSTEM" prompt="SELECT FROM DROP DOWN LIST" sqref="WVN983068:WVR983068 JB20:JF22 WLR983068:WLV983068 WBV983068:WBZ983068 VRZ983068:VSD983068 VID983068:VIH983068 UYH983068:UYL983068 UOL983068:UOP983068 UEP983068:UET983068 TUT983068:TUX983068 TKX983068:TLB983068 TBB983068:TBF983068 SRF983068:SRJ983068 SHJ983068:SHN983068 RXN983068:RXR983068 RNR983068:RNV983068 RDV983068:RDZ983068 QTZ983068:QUD983068 QKD983068:QKH983068 QAH983068:QAL983068 PQL983068:PQP983068 PGP983068:PGT983068 OWT983068:OWX983068 OMX983068:ONB983068 ODB983068:ODF983068 NTF983068:NTJ983068 NJJ983068:NJN983068 MZN983068:MZR983068 MPR983068:MPV983068 MFV983068:MFZ983068 LVZ983068:LWD983068 LMD983068:LMH983068 LCH983068:LCL983068 KSL983068:KSP983068 KIP983068:KIT983068 JYT983068:JYX983068 JOX983068:JPB983068 JFB983068:JFF983068 IVF983068:IVJ983068 ILJ983068:ILN983068 IBN983068:IBR983068 HRR983068:HRV983068 HHV983068:HHZ983068 GXZ983068:GYD983068 GOD983068:GOH983068 GEH983068:GEL983068 FUL983068:FUP983068 FKP983068:FKT983068 FAT983068:FAX983068 EQX983068:ERB983068 EHB983068:EHF983068 DXF983068:DXJ983068 DNJ983068:DNN983068 DDN983068:DDR983068 CTR983068:CTV983068 CJV983068:CJZ983068 BZZ983068:CAD983068 BQD983068:BQH983068 BGH983068:BGL983068 AWL983068:AWP983068 AMP983068:AMT983068 ACT983068:ACX983068 SX983068:TB983068 JB983068:JF983068 B983068:I983068 WVN917532:WVR917532 WLR917532:WLV917532 WBV917532:WBZ917532 VRZ917532:VSD917532 VID917532:VIH917532 UYH917532:UYL917532 UOL917532:UOP917532 UEP917532:UET917532 TUT917532:TUX917532 TKX917532:TLB917532 TBB917532:TBF917532 SRF917532:SRJ917532 SHJ917532:SHN917532 RXN917532:RXR917532 RNR917532:RNV917532 RDV917532:RDZ917532 QTZ917532:QUD917532 QKD917532:QKH917532 QAH917532:QAL917532 PQL917532:PQP917532 PGP917532:PGT917532 OWT917532:OWX917532 OMX917532:ONB917532 ODB917532:ODF917532 NTF917532:NTJ917532 NJJ917532:NJN917532 MZN917532:MZR917532 MPR917532:MPV917532 MFV917532:MFZ917532 LVZ917532:LWD917532 LMD917532:LMH917532 LCH917532:LCL917532 KSL917532:KSP917532 KIP917532:KIT917532 JYT917532:JYX917532 JOX917532:JPB917532 JFB917532:JFF917532 IVF917532:IVJ917532 ILJ917532:ILN917532 IBN917532:IBR917532 HRR917532:HRV917532 HHV917532:HHZ917532 GXZ917532:GYD917532 GOD917532:GOH917532 GEH917532:GEL917532 FUL917532:FUP917532 FKP917532:FKT917532 FAT917532:FAX917532 EQX917532:ERB917532 EHB917532:EHF917532 DXF917532:DXJ917532 DNJ917532:DNN917532 DDN917532:DDR917532 CTR917532:CTV917532 CJV917532:CJZ917532 BZZ917532:CAD917532 BQD917532:BQH917532 BGH917532:BGL917532 AWL917532:AWP917532 AMP917532:AMT917532 ACT917532:ACX917532 SX917532:TB917532 JB917532:JF917532 B917532:I917532 WVN851996:WVR851996 WLR851996:WLV851996 WBV851996:WBZ851996 VRZ851996:VSD851996 VID851996:VIH851996 UYH851996:UYL851996 UOL851996:UOP851996 UEP851996:UET851996 TUT851996:TUX851996 TKX851996:TLB851996 TBB851996:TBF851996 SRF851996:SRJ851996 SHJ851996:SHN851996 RXN851996:RXR851996 RNR851996:RNV851996 RDV851996:RDZ851996 QTZ851996:QUD851996 QKD851996:QKH851996 QAH851996:QAL851996 PQL851996:PQP851996 PGP851996:PGT851996 OWT851996:OWX851996 OMX851996:ONB851996 ODB851996:ODF851996 NTF851996:NTJ851996 NJJ851996:NJN851996 MZN851996:MZR851996 MPR851996:MPV851996 MFV851996:MFZ851996 LVZ851996:LWD851996 LMD851996:LMH851996 LCH851996:LCL851996 KSL851996:KSP851996 KIP851996:KIT851996 JYT851996:JYX851996 JOX851996:JPB851996 JFB851996:JFF851996 IVF851996:IVJ851996 ILJ851996:ILN851996 IBN851996:IBR851996 HRR851996:HRV851996 HHV851996:HHZ851996 GXZ851996:GYD851996 GOD851996:GOH851996 GEH851996:GEL851996 FUL851996:FUP851996 FKP851996:FKT851996 FAT851996:FAX851996 EQX851996:ERB851996 EHB851996:EHF851996 DXF851996:DXJ851996 DNJ851996:DNN851996 DDN851996:DDR851996 CTR851996:CTV851996 CJV851996:CJZ851996 BZZ851996:CAD851996 BQD851996:BQH851996 BGH851996:BGL851996 AWL851996:AWP851996 AMP851996:AMT851996 ACT851996:ACX851996 SX851996:TB851996 JB851996:JF851996 B851996:I851996 WVN786460:WVR786460 WLR786460:WLV786460 WBV786460:WBZ786460 VRZ786460:VSD786460 VID786460:VIH786460 UYH786460:UYL786460 UOL786460:UOP786460 UEP786460:UET786460 TUT786460:TUX786460 TKX786460:TLB786460 TBB786460:TBF786460 SRF786460:SRJ786460 SHJ786460:SHN786460 RXN786460:RXR786460 RNR786460:RNV786460 RDV786460:RDZ786460 QTZ786460:QUD786460 QKD786460:QKH786460 QAH786460:QAL786460 PQL786460:PQP786460 PGP786460:PGT786460 OWT786460:OWX786460 OMX786460:ONB786460 ODB786460:ODF786460 NTF786460:NTJ786460 NJJ786460:NJN786460 MZN786460:MZR786460 MPR786460:MPV786460 MFV786460:MFZ786460 LVZ786460:LWD786460 LMD786460:LMH786460 LCH786460:LCL786460 KSL786460:KSP786460 KIP786460:KIT786460 JYT786460:JYX786460 JOX786460:JPB786460 JFB786460:JFF786460 IVF786460:IVJ786460 ILJ786460:ILN786460 IBN786460:IBR786460 HRR786460:HRV786460 HHV786460:HHZ786460 GXZ786460:GYD786460 GOD786460:GOH786460 GEH786460:GEL786460 FUL786460:FUP786460 FKP786460:FKT786460 FAT786460:FAX786460 EQX786460:ERB786460 EHB786460:EHF786460 DXF786460:DXJ786460 DNJ786460:DNN786460 DDN786460:DDR786460 CTR786460:CTV786460 CJV786460:CJZ786460 BZZ786460:CAD786460 BQD786460:BQH786460 BGH786460:BGL786460 AWL786460:AWP786460 AMP786460:AMT786460 ACT786460:ACX786460 SX786460:TB786460 JB786460:JF786460 B786460:I786460 WVN720924:WVR720924 WLR720924:WLV720924 WBV720924:WBZ720924 VRZ720924:VSD720924 VID720924:VIH720924 UYH720924:UYL720924 UOL720924:UOP720924 UEP720924:UET720924 TUT720924:TUX720924 TKX720924:TLB720924 TBB720924:TBF720924 SRF720924:SRJ720924 SHJ720924:SHN720924 RXN720924:RXR720924 RNR720924:RNV720924 RDV720924:RDZ720924 QTZ720924:QUD720924 QKD720924:QKH720924 QAH720924:QAL720924 PQL720924:PQP720924 PGP720924:PGT720924 OWT720924:OWX720924 OMX720924:ONB720924 ODB720924:ODF720924 NTF720924:NTJ720924 NJJ720924:NJN720924 MZN720924:MZR720924 MPR720924:MPV720924 MFV720924:MFZ720924 LVZ720924:LWD720924 LMD720924:LMH720924 LCH720924:LCL720924 KSL720924:KSP720924 KIP720924:KIT720924 JYT720924:JYX720924 JOX720924:JPB720924 JFB720924:JFF720924 IVF720924:IVJ720924 ILJ720924:ILN720924 IBN720924:IBR720924 HRR720924:HRV720924 HHV720924:HHZ720924 GXZ720924:GYD720924 GOD720924:GOH720924 GEH720924:GEL720924 FUL720924:FUP720924 FKP720924:FKT720924 FAT720924:FAX720924 EQX720924:ERB720924 EHB720924:EHF720924 DXF720924:DXJ720924 DNJ720924:DNN720924 DDN720924:DDR720924 CTR720924:CTV720924 CJV720924:CJZ720924 BZZ720924:CAD720924 BQD720924:BQH720924 BGH720924:BGL720924 AWL720924:AWP720924 AMP720924:AMT720924 ACT720924:ACX720924 SX720924:TB720924 JB720924:JF720924 B720924:I720924 WVN655388:WVR655388 WLR655388:WLV655388 WBV655388:WBZ655388 VRZ655388:VSD655388 VID655388:VIH655388 UYH655388:UYL655388 UOL655388:UOP655388 UEP655388:UET655388 TUT655388:TUX655388 TKX655388:TLB655388 TBB655388:TBF655388 SRF655388:SRJ655388 SHJ655388:SHN655388 RXN655388:RXR655388 RNR655388:RNV655388 RDV655388:RDZ655388 QTZ655388:QUD655388 QKD655388:QKH655388 QAH655388:QAL655388 PQL655388:PQP655388 PGP655388:PGT655388 OWT655388:OWX655388 OMX655388:ONB655388 ODB655388:ODF655388 NTF655388:NTJ655388 NJJ655388:NJN655388 MZN655388:MZR655388 MPR655388:MPV655388 MFV655388:MFZ655388 LVZ655388:LWD655388 LMD655388:LMH655388 LCH655388:LCL655388 KSL655388:KSP655388 KIP655388:KIT655388 JYT655388:JYX655388 JOX655388:JPB655388 JFB655388:JFF655388 IVF655388:IVJ655388 ILJ655388:ILN655388 IBN655388:IBR655388 HRR655388:HRV655388 HHV655388:HHZ655388 GXZ655388:GYD655388 GOD655388:GOH655388 GEH655388:GEL655388 FUL655388:FUP655388 FKP655388:FKT655388 FAT655388:FAX655388 EQX655388:ERB655388 EHB655388:EHF655388 DXF655388:DXJ655388 DNJ655388:DNN655388 DDN655388:DDR655388 CTR655388:CTV655388 CJV655388:CJZ655388 BZZ655388:CAD655388 BQD655388:BQH655388 BGH655388:BGL655388 AWL655388:AWP655388 AMP655388:AMT655388 ACT655388:ACX655388 SX655388:TB655388 JB655388:JF655388 B655388:I655388 WVN589852:WVR589852 WLR589852:WLV589852 WBV589852:WBZ589852 VRZ589852:VSD589852 VID589852:VIH589852 UYH589852:UYL589852 UOL589852:UOP589852 UEP589852:UET589852 TUT589852:TUX589852 TKX589852:TLB589852 TBB589852:TBF589852 SRF589852:SRJ589852 SHJ589852:SHN589852 RXN589852:RXR589852 RNR589852:RNV589852 RDV589852:RDZ589852 QTZ589852:QUD589852 QKD589852:QKH589852 QAH589852:QAL589852 PQL589852:PQP589852 PGP589852:PGT589852 OWT589852:OWX589852 OMX589852:ONB589852 ODB589852:ODF589852 NTF589852:NTJ589852 NJJ589852:NJN589852 MZN589852:MZR589852 MPR589852:MPV589852 MFV589852:MFZ589852 LVZ589852:LWD589852 LMD589852:LMH589852 LCH589852:LCL589852 KSL589852:KSP589852 KIP589852:KIT589852 JYT589852:JYX589852 JOX589852:JPB589852 JFB589852:JFF589852 IVF589852:IVJ589852 ILJ589852:ILN589852 IBN589852:IBR589852 HRR589852:HRV589852 HHV589852:HHZ589852 GXZ589852:GYD589852 GOD589852:GOH589852 GEH589852:GEL589852 FUL589852:FUP589852 FKP589852:FKT589852 FAT589852:FAX589852 EQX589852:ERB589852 EHB589852:EHF589852 DXF589852:DXJ589852 DNJ589852:DNN589852 DDN589852:DDR589852 CTR589852:CTV589852 CJV589852:CJZ589852 BZZ589852:CAD589852 BQD589852:BQH589852 BGH589852:BGL589852 AWL589852:AWP589852 AMP589852:AMT589852 ACT589852:ACX589852 SX589852:TB589852 JB589852:JF589852 B589852:I589852 WVN524316:WVR524316 WLR524316:WLV524316 WBV524316:WBZ524316 VRZ524316:VSD524316 VID524316:VIH524316 UYH524316:UYL524316 UOL524316:UOP524316 UEP524316:UET524316 TUT524316:TUX524316 TKX524316:TLB524316 TBB524316:TBF524316 SRF524316:SRJ524316 SHJ524316:SHN524316 RXN524316:RXR524316 RNR524316:RNV524316 RDV524316:RDZ524316 QTZ524316:QUD524316 QKD524316:QKH524316 QAH524316:QAL524316 PQL524316:PQP524316 PGP524316:PGT524316 OWT524316:OWX524316 OMX524316:ONB524316 ODB524316:ODF524316 NTF524316:NTJ524316 NJJ524316:NJN524316 MZN524316:MZR524316 MPR524316:MPV524316 MFV524316:MFZ524316 LVZ524316:LWD524316 LMD524316:LMH524316 LCH524316:LCL524316 KSL524316:KSP524316 KIP524316:KIT524316 JYT524316:JYX524316 JOX524316:JPB524316 JFB524316:JFF524316 IVF524316:IVJ524316 ILJ524316:ILN524316 IBN524316:IBR524316 HRR524316:HRV524316 HHV524316:HHZ524316 GXZ524316:GYD524316 GOD524316:GOH524316 GEH524316:GEL524316 FUL524316:FUP524316 FKP524316:FKT524316 FAT524316:FAX524316 EQX524316:ERB524316 EHB524316:EHF524316 DXF524316:DXJ524316 DNJ524316:DNN524316 DDN524316:DDR524316 CTR524316:CTV524316 CJV524316:CJZ524316 BZZ524316:CAD524316 BQD524316:BQH524316 BGH524316:BGL524316 AWL524316:AWP524316 AMP524316:AMT524316 ACT524316:ACX524316 SX524316:TB524316 JB524316:JF524316 B524316:I524316 WVN458780:WVR458780 WLR458780:WLV458780 WBV458780:WBZ458780 VRZ458780:VSD458780 VID458780:VIH458780 UYH458780:UYL458780 UOL458780:UOP458780 UEP458780:UET458780 TUT458780:TUX458780 TKX458780:TLB458780 TBB458780:TBF458780 SRF458780:SRJ458780 SHJ458780:SHN458780 RXN458780:RXR458780 RNR458780:RNV458780 RDV458780:RDZ458780 QTZ458780:QUD458780 QKD458780:QKH458780 QAH458780:QAL458780 PQL458780:PQP458780 PGP458780:PGT458780 OWT458780:OWX458780 OMX458780:ONB458780 ODB458780:ODF458780 NTF458780:NTJ458780 NJJ458780:NJN458780 MZN458780:MZR458780 MPR458780:MPV458780 MFV458780:MFZ458780 LVZ458780:LWD458780 LMD458780:LMH458780 LCH458780:LCL458780 KSL458780:KSP458780 KIP458780:KIT458780 JYT458780:JYX458780 JOX458780:JPB458780 JFB458780:JFF458780 IVF458780:IVJ458780 ILJ458780:ILN458780 IBN458780:IBR458780 HRR458780:HRV458780 HHV458780:HHZ458780 GXZ458780:GYD458780 GOD458780:GOH458780 GEH458780:GEL458780 FUL458780:FUP458780 FKP458780:FKT458780 FAT458780:FAX458780 EQX458780:ERB458780 EHB458780:EHF458780 DXF458780:DXJ458780 DNJ458780:DNN458780 DDN458780:DDR458780 CTR458780:CTV458780 CJV458780:CJZ458780 BZZ458780:CAD458780 BQD458780:BQH458780 BGH458780:BGL458780 AWL458780:AWP458780 AMP458780:AMT458780 ACT458780:ACX458780 SX458780:TB458780 JB458780:JF458780 B458780:I458780 WVN393244:WVR393244 WLR393244:WLV393244 WBV393244:WBZ393244 VRZ393244:VSD393244 VID393244:VIH393244 UYH393244:UYL393244 UOL393244:UOP393244 UEP393244:UET393244 TUT393244:TUX393244 TKX393244:TLB393244 TBB393244:TBF393244 SRF393244:SRJ393244 SHJ393244:SHN393244 RXN393244:RXR393244 RNR393244:RNV393244 RDV393244:RDZ393244 QTZ393244:QUD393244 QKD393244:QKH393244 QAH393244:QAL393244 PQL393244:PQP393244 PGP393244:PGT393244 OWT393244:OWX393244 OMX393244:ONB393244 ODB393244:ODF393244 NTF393244:NTJ393244 NJJ393244:NJN393244 MZN393244:MZR393244 MPR393244:MPV393244 MFV393244:MFZ393244 LVZ393244:LWD393244 LMD393244:LMH393244 LCH393244:LCL393244 KSL393244:KSP393244 KIP393244:KIT393244 JYT393244:JYX393244 JOX393244:JPB393244 JFB393244:JFF393244 IVF393244:IVJ393244 ILJ393244:ILN393244 IBN393244:IBR393244 HRR393244:HRV393244 HHV393244:HHZ393244 GXZ393244:GYD393244 GOD393244:GOH393244 GEH393244:GEL393244 FUL393244:FUP393244 FKP393244:FKT393244 FAT393244:FAX393244 EQX393244:ERB393244 EHB393244:EHF393244 DXF393244:DXJ393244 DNJ393244:DNN393244 DDN393244:DDR393244 CTR393244:CTV393244 CJV393244:CJZ393244 BZZ393244:CAD393244 BQD393244:BQH393244 BGH393244:BGL393244 AWL393244:AWP393244 AMP393244:AMT393244 ACT393244:ACX393244 SX393244:TB393244 JB393244:JF393244 B393244:I393244 WVN327708:WVR327708 WLR327708:WLV327708 WBV327708:WBZ327708 VRZ327708:VSD327708 VID327708:VIH327708 UYH327708:UYL327708 UOL327708:UOP327708 UEP327708:UET327708 TUT327708:TUX327708 TKX327708:TLB327708 TBB327708:TBF327708 SRF327708:SRJ327708 SHJ327708:SHN327708 RXN327708:RXR327708 RNR327708:RNV327708 RDV327708:RDZ327708 QTZ327708:QUD327708 QKD327708:QKH327708 QAH327708:QAL327708 PQL327708:PQP327708 PGP327708:PGT327708 OWT327708:OWX327708 OMX327708:ONB327708 ODB327708:ODF327708 NTF327708:NTJ327708 NJJ327708:NJN327708 MZN327708:MZR327708 MPR327708:MPV327708 MFV327708:MFZ327708 LVZ327708:LWD327708 LMD327708:LMH327708 LCH327708:LCL327708 KSL327708:KSP327708 KIP327708:KIT327708 JYT327708:JYX327708 JOX327708:JPB327708 JFB327708:JFF327708 IVF327708:IVJ327708 ILJ327708:ILN327708 IBN327708:IBR327708 HRR327708:HRV327708 HHV327708:HHZ327708 GXZ327708:GYD327708 GOD327708:GOH327708 GEH327708:GEL327708 FUL327708:FUP327708 FKP327708:FKT327708 FAT327708:FAX327708 EQX327708:ERB327708 EHB327708:EHF327708 DXF327708:DXJ327708 DNJ327708:DNN327708 DDN327708:DDR327708 CTR327708:CTV327708 CJV327708:CJZ327708 BZZ327708:CAD327708 BQD327708:BQH327708 BGH327708:BGL327708 AWL327708:AWP327708 AMP327708:AMT327708 ACT327708:ACX327708 SX327708:TB327708 JB327708:JF327708 B327708:I327708 WVN262172:WVR262172 WLR262172:WLV262172 WBV262172:WBZ262172 VRZ262172:VSD262172 VID262172:VIH262172 UYH262172:UYL262172 UOL262172:UOP262172 UEP262172:UET262172 TUT262172:TUX262172 TKX262172:TLB262172 TBB262172:TBF262172 SRF262172:SRJ262172 SHJ262172:SHN262172 RXN262172:RXR262172 RNR262172:RNV262172 RDV262172:RDZ262172 QTZ262172:QUD262172 QKD262172:QKH262172 QAH262172:QAL262172 PQL262172:PQP262172 PGP262172:PGT262172 OWT262172:OWX262172 OMX262172:ONB262172 ODB262172:ODF262172 NTF262172:NTJ262172 NJJ262172:NJN262172 MZN262172:MZR262172 MPR262172:MPV262172 MFV262172:MFZ262172 LVZ262172:LWD262172 LMD262172:LMH262172 LCH262172:LCL262172 KSL262172:KSP262172 KIP262172:KIT262172 JYT262172:JYX262172 JOX262172:JPB262172 JFB262172:JFF262172 IVF262172:IVJ262172 ILJ262172:ILN262172 IBN262172:IBR262172 HRR262172:HRV262172 HHV262172:HHZ262172 GXZ262172:GYD262172 GOD262172:GOH262172 GEH262172:GEL262172 FUL262172:FUP262172 FKP262172:FKT262172 FAT262172:FAX262172 EQX262172:ERB262172 EHB262172:EHF262172 DXF262172:DXJ262172 DNJ262172:DNN262172 DDN262172:DDR262172 CTR262172:CTV262172 CJV262172:CJZ262172 BZZ262172:CAD262172 BQD262172:BQH262172 BGH262172:BGL262172 AWL262172:AWP262172 AMP262172:AMT262172 ACT262172:ACX262172 SX262172:TB262172 JB262172:JF262172 B262172:I262172 WVN196636:WVR196636 WLR196636:WLV196636 WBV196636:WBZ196636 VRZ196636:VSD196636 VID196636:VIH196636 UYH196636:UYL196636 UOL196636:UOP196636 UEP196636:UET196636 TUT196636:TUX196636 TKX196636:TLB196636 TBB196636:TBF196636 SRF196636:SRJ196636 SHJ196636:SHN196636 RXN196636:RXR196636 RNR196636:RNV196636 RDV196636:RDZ196636 QTZ196636:QUD196636 QKD196636:QKH196636 QAH196636:QAL196636 PQL196636:PQP196636 PGP196636:PGT196636 OWT196636:OWX196636 OMX196636:ONB196636 ODB196636:ODF196636 NTF196636:NTJ196636 NJJ196636:NJN196636 MZN196636:MZR196636 MPR196636:MPV196636 MFV196636:MFZ196636 LVZ196636:LWD196636 LMD196636:LMH196636 LCH196636:LCL196636 KSL196636:KSP196636 KIP196636:KIT196636 JYT196636:JYX196636 JOX196636:JPB196636 JFB196636:JFF196636 IVF196636:IVJ196636 ILJ196636:ILN196636 IBN196636:IBR196636 HRR196636:HRV196636 HHV196636:HHZ196636 GXZ196636:GYD196636 GOD196636:GOH196636 GEH196636:GEL196636 FUL196636:FUP196636 FKP196636:FKT196636 FAT196636:FAX196636 EQX196636:ERB196636 EHB196636:EHF196636 DXF196636:DXJ196636 DNJ196636:DNN196636 DDN196636:DDR196636 CTR196636:CTV196636 CJV196636:CJZ196636 BZZ196636:CAD196636 BQD196636:BQH196636 BGH196636:BGL196636 AWL196636:AWP196636 AMP196636:AMT196636 ACT196636:ACX196636 SX196636:TB196636 JB196636:JF196636 B196636:I196636 WVN131100:WVR131100 WLR131100:WLV131100 WBV131100:WBZ131100 VRZ131100:VSD131100 VID131100:VIH131100 UYH131100:UYL131100 UOL131100:UOP131100 UEP131100:UET131100 TUT131100:TUX131100 TKX131100:TLB131100 TBB131100:TBF131100 SRF131100:SRJ131100 SHJ131100:SHN131100 RXN131100:RXR131100 RNR131100:RNV131100 RDV131100:RDZ131100 QTZ131100:QUD131100 QKD131100:QKH131100 QAH131100:QAL131100 PQL131100:PQP131100 PGP131100:PGT131100 OWT131100:OWX131100 OMX131100:ONB131100 ODB131100:ODF131100 NTF131100:NTJ131100 NJJ131100:NJN131100 MZN131100:MZR131100 MPR131100:MPV131100 MFV131100:MFZ131100 LVZ131100:LWD131100 LMD131100:LMH131100 LCH131100:LCL131100 KSL131100:KSP131100 KIP131100:KIT131100 JYT131100:JYX131100 JOX131100:JPB131100 JFB131100:JFF131100 IVF131100:IVJ131100 ILJ131100:ILN131100 IBN131100:IBR131100 HRR131100:HRV131100 HHV131100:HHZ131100 GXZ131100:GYD131100 GOD131100:GOH131100 GEH131100:GEL131100 FUL131100:FUP131100 FKP131100:FKT131100 FAT131100:FAX131100 EQX131100:ERB131100 EHB131100:EHF131100 DXF131100:DXJ131100 DNJ131100:DNN131100 DDN131100:DDR131100 CTR131100:CTV131100 CJV131100:CJZ131100 BZZ131100:CAD131100 BQD131100:BQH131100 BGH131100:BGL131100 AWL131100:AWP131100 AMP131100:AMT131100 ACT131100:ACX131100 SX131100:TB131100 JB131100:JF131100 B131100:I131100 WVN65564:WVR65564 WLR65564:WLV65564 WBV65564:WBZ65564 VRZ65564:VSD65564 VID65564:VIH65564 UYH65564:UYL65564 UOL65564:UOP65564 UEP65564:UET65564 TUT65564:TUX65564 TKX65564:TLB65564 TBB65564:TBF65564 SRF65564:SRJ65564 SHJ65564:SHN65564 RXN65564:RXR65564 RNR65564:RNV65564 RDV65564:RDZ65564 QTZ65564:QUD65564 QKD65564:QKH65564 QAH65564:QAL65564 PQL65564:PQP65564 PGP65564:PGT65564 OWT65564:OWX65564 OMX65564:ONB65564 ODB65564:ODF65564 NTF65564:NTJ65564 NJJ65564:NJN65564 MZN65564:MZR65564 MPR65564:MPV65564 MFV65564:MFZ65564 LVZ65564:LWD65564 LMD65564:LMH65564 LCH65564:LCL65564 KSL65564:KSP65564 KIP65564:KIT65564 JYT65564:JYX65564 JOX65564:JPB65564 JFB65564:JFF65564 IVF65564:IVJ65564 ILJ65564:ILN65564 IBN65564:IBR65564 HRR65564:HRV65564 HHV65564:HHZ65564 GXZ65564:GYD65564 GOD65564:GOH65564 GEH65564:GEL65564 FUL65564:FUP65564 FKP65564:FKT65564 FAT65564:FAX65564 EQX65564:ERB65564 EHB65564:EHF65564 DXF65564:DXJ65564 DNJ65564:DNN65564 DDN65564:DDR65564 CTR65564:CTV65564 CJV65564:CJZ65564 BZZ65564:CAD65564 BQD65564:BQH65564 BGH65564:BGL65564 AWL65564:AWP65564 AMP65564:AMT65564 ACT65564:ACX65564 SX65564:TB65564 JB65564:JF65564 B65564:I65564 WVN20:WVR22 WLR20:WLV22 WBV20:WBZ22 VRZ20:VSD22 VID20:VIH22 UYH20:UYL22 UOL20:UOP22 UEP20:UET22 TUT20:TUX22 TKX20:TLB22 TBB20:TBF22 SRF20:SRJ22 SHJ20:SHN22 RXN20:RXR22 RNR20:RNV22 RDV20:RDZ22 QTZ20:QUD22 QKD20:QKH22 QAH20:QAL22 PQL20:PQP22 PGP20:PGT22 OWT20:OWX22 OMX20:ONB22 ODB20:ODF22 NTF20:NTJ22 NJJ20:NJN22 MZN20:MZR22 MPR20:MPV22 MFV20:MFZ22 LVZ20:LWD22 LMD20:LMH22 LCH20:LCL22 KSL20:KSP22 KIP20:KIT22 JYT20:JYX22 JOX20:JPB22 JFB20:JFF22 IVF20:IVJ22 ILJ20:ILN22 IBN20:IBR22 HRR20:HRV22 HHV20:HHZ22 GXZ20:GYD22 GOD20:GOH22 GEH20:GEL22 FUL20:FUP22 FKP20:FKT22 FAT20:FAX22 EQX20:ERB22 EHB20:EHF22 DXF20:DXJ22 DNJ20:DNN22 DDN20:DDR22 CTR20:CTV22 CJV20:CJZ22 BZZ20:CAD22 BQD20:BQH22 BGH20:BGL22 AWL20:AWP22 AMP20:AMT22 ACT20:ACX22 SX20:TB22" xr:uid="{00000000-0002-0000-0000-000000000000}">
      <formula1>$K$20:$S$20</formula1>
    </dataValidation>
    <dataValidation type="list" allowBlank="1" showInputMessage="1" showErrorMessage="1" promptTitle="WORK" prompt="SELECT FROM DROP DOWN LIST" sqref="WVN983067:WVR983067 B65563:I65563 JB65563:JF65563 SX65563:TB65563 ACT65563:ACX65563 AMP65563:AMT65563 AWL65563:AWP65563 BGH65563:BGL65563 BQD65563:BQH65563 BZZ65563:CAD65563 CJV65563:CJZ65563 CTR65563:CTV65563 DDN65563:DDR65563 DNJ65563:DNN65563 DXF65563:DXJ65563 EHB65563:EHF65563 EQX65563:ERB65563 FAT65563:FAX65563 FKP65563:FKT65563 FUL65563:FUP65563 GEH65563:GEL65563 GOD65563:GOH65563 GXZ65563:GYD65563 HHV65563:HHZ65563 HRR65563:HRV65563 IBN65563:IBR65563 ILJ65563:ILN65563 IVF65563:IVJ65563 JFB65563:JFF65563 JOX65563:JPB65563 JYT65563:JYX65563 KIP65563:KIT65563 KSL65563:KSP65563 LCH65563:LCL65563 LMD65563:LMH65563 LVZ65563:LWD65563 MFV65563:MFZ65563 MPR65563:MPV65563 MZN65563:MZR65563 NJJ65563:NJN65563 NTF65563:NTJ65563 ODB65563:ODF65563 OMX65563:ONB65563 OWT65563:OWX65563 PGP65563:PGT65563 PQL65563:PQP65563 QAH65563:QAL65563 QKD65563:QKH65563 QTZ65563:QUD65563 RDV65563:RDZ65563 RNR65563:RNV65563 RXN65563:RXR65563 SHJ65563:SHN65563 SRF65563:SRJ65563 TBB65563:TBF65563 TKX65563:TLB65563 TUT65563:TUX65563 UEP65563:UET65563 UOL65563:UOP65563 UYH65563:UYL65563 VID65563:VIH65563 VRZ65563:VSD65563 WBV65563:WBZ65563 WLR65563:WLV65563 WVN65563:WVR65563 B131099:I131099 JB131099:JF131099 SX131099:TB131099 ACT131099:ACX131099 AMP131099:AMT131099 AWL131099:AWP131099 BGH131099:BGL131099 BQD131099:BQH131099 BZZ131099:CAD131099 CJV131099:CJZ131099 CTR131099:CTV131099 DDN131099:DDR131099 DNJ131099:DNN131099 DXF131099:DXJ131099 EHB131099:EHF131099 EQX131099:ERB131099 FAT131099:FAX131099 FKP131099:FKT131099 FUL131099:FUP131099 GEH131099:GEL131099 GOD131099:GOH131099 GXZ131099:GYD131099 HHV131099:HHZ131099 HRR131099:HRV131099 IBN131099:IBR131099 ILJ131099:ILN131099 IVF131099:IVJ131099 JFB131099:JFF131099 JOX131099:JPB131099 JYT131099:JYX131099 KIP131099:KIT131099 KSL131099:KSP131099 LCH131099:LCL131099 LMD131099:LMH131099 LVZ131099:LWD131099 MFV131099:MFZ131099 MPR131099:MPV131099 MZN131099:MZR131099 NJJ131099:NJN131099 NTF131099:NTJ131099 ODB131099:ODF131099 OMX131099:ONB131099 OWT131099:OWX131099 PGP131099:PGT131099 PQL131099:PQP131099 QAH131099:QAL131099 QKD131099:QKH131099 QTZ131099:QUD131099 RDV131099:RDZ131099 RNR131099:RNV131099 RXN131099:RXR131099 SHJ131099:SHN131099 SRF131099:SRJ131099 TBB131099:TBF131099 TKX131099:TLB131099 TUT131099:TUX131099 UEP131099:UET131099 UOL131099:UOP131099 UYH131099:UYL131099 VID131099:VIH131099 VRZ131099:VSD131099 WBV131099:WBZ131099 WLR131099:WLV131099 WVN131099:WVR131099 B196635:I196635 JB196635:JF196635 SX196635:TB196635 ACT196635:ACX196635 AMP196635:AMT196635 AWL196635:AWP196635 BGH196635:BGL196635 BQD196635:BQH196635 BZZ196635:CAD196635 CJV196635:CJZ196635 CTR196635:CTV196635 DDN196635:DDR196635 DNJ196635:DNN196635 DXF196635:DXJ196635 EHB196635:EHF196635 EQX196635:ERB196635 FAT196635:FAX196635 FKP196635:FKT196635 FUL196635:FUP196635 GEH196635:GEL196635 GOD196635:GOH196635 GXZ196635:GYD196635 HHV196635:HHZ196635 HRR196635:HRV196635 IBN196635:IBR196635 ILJ196635:ILN196635 IVF196635:IVJ196635 JFB196635:JFF196635 JOX196635:JPB196635 JYT196635:JYX196635 KIP196635:KIT196635 KSL196635:KSP196635 LCH196635:LCL196635 LMD196635:LMH196635 LVZ196635:LWD196635 MFV196635:MFZ196635 MPR196635:MPV196635 MZN196635:MZR196635 NJJ196635:NJN196635 NTF196635:NTJ196635 ODB196635:ODF196635 OMX196635:ONB196635 OWT196635:OWX196635 PGP196635:PGT196635 PQL196635:PQP196635 QAH196635:QAL196635 QKD196635:QKH196635 QTZ196635:QUD196635 RDV196635:RDZ196635 RNR196635:RNV196635 RXN196635:RXR196635 SHJ196635:SHN196635 SRF196635:SRJ196635 TBB196635:TBF196635 TKX196635:TLB196635 TUT196635:TUX196635 UEP196635:UET196635 UOL196635:UOP196635 UYH196635:UYL196635 VID196635:VIH196635 VRZ196635:VSD196635 WBV196635:WBZ196635 WLR196635:WLV196635 WVN196635:WVR196635 B262171:I262171 JB262171:JF262171 SX262171:TB262171 ACT262171:ACX262171 AMP262171:AMT262171 AWL262171:AWP262171 BGH262171:BGL262171 BQD262171:BQH262171 BZZ262171:CAD262171 CJV262171:CJZ262171 CTR262171:CTV262171 DDN262171:DDR262171 DNJ262171:DNN262171 DXF262171:DXJ262171 EHB262171:EHF262171 EQX262171:ERB262171 FAT262171:FAX262171 FKP262171:FKT262171 FUL262171:FUP262171 GEH262171:GEL262171 GOD262171:GOH262171 GXZ262171:GYD262171 HHV262171:HHZ262171 HRR262171:HRV262171 IBN262171:IBR262171 ILJ262171:ILN262171 IVF262171:IVJ262171 JFB262171:JFF262171 JOX262171:JPB262171 JYT262171:JYX262171 KIP262171:KIT262171 KSL262171:KSP262171 LCH262171:LCL262171 LMD262171:LMH262171 LVZ262171:LWD262171 MFV262171:MFZ262171 MPR262171:MPV262171 MZN262171:MZR262171 NJJ262171:NJN262171 NTF262171:NTJ262171 ODB262171:ODF262171 OMX262171:ONB262171 OWT262171:OWX262171 PGP262171:PGT262171 PQL262171:PQP262171 QAH262171:QAL262171 QKD262171:QKH262171 QTZ262171:QUD262171 RDV262171:RDZ262171 RNR262171:RNV262171 RXN262171:RXR262171 SHJ262171:SHN262171 SRF262171:SRJ262171 TBB262171:TBF262171 TKX262171:TLB262171 TUT262171:TUX262171 UEP262171:UET262171 UOL262171:UOP262171 UYH262171:UYL262171 VID262171:VIH262171 VRZ262171:VSD262171 WBV262171:WBZ262171 WLR262171:WLV262171 WVN262171:WVR262171 B327707:I327707 JB327707:JF327707 SX327707:TB327707 ACT327707:ACX327707 AMP327707:AMT327707 AWL327707:AWP327707 BGH327707:BGL327707 BQD327707:BQH327707 BZZ327707:CAD327707 CJV327707:CJZ327707 CTR327707:CTV327707 DDN327707:DDR327707 DNJ327707:DNN327707 DXF327707:DXJ327707 EHB327707:EHF327707 EQX327707:ERB327707 FAT327707:FAX327707 FKP327707:FKT327707 FUL327707:FUP327707 GEH327707:GEL327707 GOD327707:GOH327707 GXZ327707:GYD327707 HHV327707:HHZ327707 HRR327707:HRV327707 IBN327707:IBR327707 ILJ327707:ILN327707 IVF327707:IVJ327707 JFB327707:JFF327707 JOX327707:JPB327707 JYT327707:JYX327707 KIP327707:KIT327707 KSL327707:KSP327707 LCH327707:LCL327707 LMD327707:LMH327707 LVZ327707:LWD327707 MFV327707:MFZ327707 MPR327707:MPV327707 MZN327707:MZR327707 NJJ327707:NJN327707 NTF327707:NTJ327707 ODB327707:ODF327707 OMX327707:ONB327707 OWT327707:OWX327707 PGP327707:PGT327707 PQL327707:PQP327707 QAH327707:QAL327707 QKD327707:QKH327707 QTZ327707:QUD327707 RDV327707:RDZ327707 RNR327707:RNV327707 RXN327707:RXR327707 SHJ327707:SHN327707 SRF327707:SRJ327707 TBB327707:TBF327707 TKX327707:TLB327707 TUT327707:TUX327707 UEP327707:UET327707 UOL327707:UOP327707 UYH327707:UYL327707 VID327707:VIH327707 VRZ327707:VSD327707 WBV327707:WBZ327707 WLR327707:WLV327707 WVN327707:WVR327707 B393243:I393243 JB393243:JF393243 SX393243:TB393243 ACT393243:ACX393243 AMP393243:AMT393243 AWL393243:AWP393243 BGH393243:BGL393243 BQD393243:BQH393243 BZZ393243:CAD393243 CJV393243:CJZ393243 CTR393243:CTV393243 DDN393243:DDR393243 DNJ393243:DNN393243 DXF393243:DXJ393243 EHB393243:EHF393243 EQX393243:ERB393243 FAT393243:FAX393243 FKP393243:FKT393243 FUL393243:FUP393243 GEH393243:GEL393243 GOD393243:GOH393243 GXZ393243:GYD393243 HHV393243:HHZ393243 HRR393243:HRV393243 IBN393243:IBR393243 ILJ393243:ILN393243 IVF393243:IVJ393243 JFB393243:JFF393243 JOX393243:JPB393243 JYT393243:JYX393243 KIP393243:KIT393243 KSL393243:KSP393243 LCH393243:LCL393243 LMD393243:LMH393243 LVZ393243:LWD393243 MFV393243:MFZ393243 MPR393243:MPV393243 MZN393243:MZR393243 NJJ393243:NJN393243 NTF393243:NTJ393243 ODB393243:ODF393243 OMX393243:ONB393243 OWT393243:OWX393243 PGP393243:PGT393243 PQL393243:PQP393243 QAH393243:QAL393243 QKD393243:QKH393243 QTZ393243:QUD393243 RDV393243:RDZ393243 RNR393243:RNV393243 RXN393243:RXR393243 SHJ393243:SHN393243 SRF393243:SRJ393243 TBB393243:TBF393243 TKX393243:TLB393243 TUT393243:TUX393243 UEP393243:UET393243 UOL393243:UOP393243 UYH393243:UYL393243 VID393243:VIH393243 VRZ393243:VSD393243 WBV393243:WBZ393243 WLR393243:WLV393243 WVN393243:WVR393243 B458779:I458779 JB458779:JF458779 SX458779:TB458779 ACT458779:ACX458779 AMP458779:AMT458779 AWL458779:AWP458779 BGH458779:BGL458779 BQD458779:BQH458779 BZZ458779:CAD458779 CJV458779:CJZ458779 CTR458779:CTV458779 DDN458779:DDR458779 DNJ458779:DNN458779 DXF458779:DXJ458779 EHB458779:EHF458779 EQX458779:ERB458779 FAT458779:FAX458779 FKP458779:FKT458779 FUL458779:FUP458779 GEH458779:GEL458779 GOD458779:GOH458779 GXZ458779:GYD458779 HHV458779:HHZ458779 HRR458779:HRV458779 IBN458779:IBR458779 ILJ458779:ILN458779 IVF458779:IVJ458779 JFB458779:JFF458779 JOX458779:JPB458779 JYT458779:JYX458779 KIP458779:KIT458779 KSL458779:KSP458779 LCH458779:LCL458779 LMD458779:LMH458779 LVZ458779:LWD458779 MFV458779:MFZ458779 MPR458779:MPV458779 MZN458779:MZR458779 NJJ458779:NJN458779 NTF458779:NTJ458779 ODB458779:ODF458779 OMX458779:ONB458779 OWT458779:OWX458779 PGP458779:PGT458779 PQL458779:PQP458779 QAH458779:QAL458779 QKD458779:QKH458779 QTZ458779:QUD458779 RDV458779:RDZ458779 RNR458779:RNV458779 RXN458779:RXR458779 SHJ458779:SHN458779 SRF458779:SRJ458779 TBB458779:TBF458779 TKX458779:TLB458779 TUT458779:TUX458779 UEP458779:UET458779 UOL458779:UOP458779 UYH458779:UYL458779 VID458779:VIH458779 VRZ458779:VSD458779 WBV458779:WBZ458779 WLR458779:WLV458779 WVN458779:WVR458779 B524315:I524315 JB524315:JF524315 SX524315:TB524315 ACT524315:ACX524315 AMP524315:AMT524315 AWL524315:AWP524315 BGH524315:BGL524315 BQD524315:BQH524315 BZZ524315:CAD524315 CJV524315:CJZ524315 CTR524315:CTV524315 DDN524315:DDR524315 DNJ524315:DNN524315 DXF524315:DXJ524315 EHB524315:EHF524315 EQX524315:ERB524315 FAT524315:FAX524315 FKP524315:FKT524315 FUL524315:FUP524315 GEH524315:GEL524315 GOD524315:GOH524315 GXZ524315:GYD524315 HHV524315:HHZ524315 HRR524315:HRV524315 IBN524315:IBR524315 ILJ524315:ILN524315 IVF524315:IVJ524315 JFB524315:JFF524315 JOX524315:JPB524315 JYT524315:JYX524315 KIP524315:KIT524315 KSL524315:KSP524315 LCH524315:LCL524315 LMD524315:LMH524315 LVZ524315:LWD524315 MFV524315:MFZ524315 MPR524315:MPV524315 MZN524315:MZR524315 NJJ524315:NJN524315 NTF524315:NTJ524315 ODB524315:ODF524315 OMX524315:ONB524315 OWT524315:OWX524315 PGP524315:PGT524315 PQL524315:PQP524315 QAH524315:QAL524315 QKD524315:QKH524315 QTZ524315:QUD524315 RDV524315:RDZ524315 RNR524315:RNV524315 RXN524315:RXR524315 SHJ524315:SHN524315 SRF524315:SRJ524315 TBB524315:TBF524315 TKX524315:TLB524315 TUT524315:TUX524315 UEP524315:UET524315 UOL524315:UOP524315 UYH524315:UYL524315 VID524315:VIH524315 VRZ524315:VSD524315 WBV524315:WBZ524315 WLR524315:WLV524315 WVN524315:WVR524315 B589851:I589851 JB589851:JF589851 SX589851:TB589851 ACT589851:ACX589851 AMP589851:AMT589851 AWL589851:AWP589851 BGH589851:BGL589851 BQD589851:BQH589851 BZZ589851:CAD589851 CJV589851:CJZ589851 CTR589851:CTV589851 DDN589851:DDR589851 DNJ589851:DNN589851 DXF589851:DXJ589851 EHB589851:EHF589851 EQX589851:ERB589851 FAT589851:FAX589851 FKP589851:FKT589851 FUL589851:FUP589851 GEH589851:GEL589851 GOD589851:GOH589851 GXZ589851:GYD589851 HHV589851:HHZ589851 HRR589851:HRV589851 IBN589851:IBR589851 ILJ589851:ILN589851 IVF589851:IVJ589851 JFB589851:JFF589851 JOX589851:JPB589851 JYT589851:JYX589851 KIP589851:KIT589851 KSL589851:KSP589851 LCH589851:LCL589851 LMD589851:LMH589851 LVZ589851:LWD589851 MFV589851:MFZ589851 MPR589851:MPV589851 MZN589851:MZR589851 NJJ589851:NJN589851 NTF589851:NTJ589851 ODB589851:ODF589851 OMX589851:ONB589851 OWT589851:OWX589851 PGP589851:PGT589851 PQL589851:PQP589851 QAH589851:QAL589851 QKD589851:QKH589851 QTZ589851:QUD589851 RDV589851:RDZ589851 RNR589851:RNV589851 RXN589851:RXR589851 SHJ589851:SHN589851 SRF589851:SRJ589851 TBB589851:TBF589851 TKX589851:TLB589851 TUT589851:TUX589851 UEP589851:UET589851 UOL589851:UOP589851 UYH589851:UYL589851 VID589851:VIH589851 VRZ589851:VSD589851 WBV589851:WBZ589851 WLR589851:WLV589851 WVN589851:WVR589851 B655387:I655387 JB655387:JF655387 SX655387:TB655387 ACT655387:ACX655387 AMP655387:AMT655387 AWL655387:AWP655387 BGH655387:BGL655387 BQD655387:BQH655387 BZZ655387:CAD655387 CJV655387:CJZ655387 CTR655387:CTV655387 DDN655387:DDR655387 DNJ655387:DNN655387 DXF655387:DXJ655387 EHB655387:EHF655387 EQX655387:ERB655387 FAT655387:FAX655387 FKP655387:FKT655387 FUL655387:FUP655387 GEH655387:GEL655387 GOD655387:GOH655387 GXZ655387:GYD655387 HHV655387:HHZ655387 HRR655387:HRV655387 IBN655387:IBR655387 ILJ655387:ILN655387 IVF655387:IVJ655387 JFB655387:JFF655387 JOX655387:JPB655387 JYT655387:JYX655387 KIP655387:KIT655387 KSL655387:KSP655387 LCH655387:LCL655387 LMD655387:LMH655387 LVZ655387:LWD655387 MFV655387:MFZ655387 MPR655387:MPV655387 MZN655387:MZR655387 NJJ655387:NJN655387 NTF655387:NTJ655387 ODB655387:ODF655387 OMX655387:ONB655387 OWT655387:OWX655387 PGP655387:PGT655387 PQL655387:PQP655387 QAH655387:QAL655387 QKD655387:QKH655387 QTZ655387:QUD655387 RDV655387:RDZ655387 RNR655387:RNV655387 RXN655387:RXR655387 SHJ655387:SHN655387 SRF655387:SRJ655387 TBB655387:TBF655387 TKX655387:TLB655387 TUT655387:TUX655387 UEP655387:UET655387 UOL655387:UOP655387 UYH655387:UYL655387 VID655387:VIH655387 VRZ655387:VSD655387 WBV655387:WBZ655387 WLR655387:WLV655387 WVN655387:WVR655387 B720923:I720923 JB720923:JF720923 SX720923:TB720923 ACT720923:ACX720923 AMP720923:AMT720923 AWL720923:AWP720923 BGH720923:BGL720923 BQD720923:BQH720923 BZZ720923:CAD720923 CJV720923:CJZ720923 CTR720923:CTV720923 DDN720923:DDR720923 DNJ720923:DNN720923 DXF720923:DXJ720923 EHB720923:EHF720923 EQX720923:ERB720923 FAT720923:FAX720923 FKP720923:FKT720923 FUL720923:FUP720923 GEH720923:GEL720923 GOD720923:GOH720923 GXZ720923:GYD720923 HHV720923:HHZ720923 HRR720923:HRV720923 IBN720923:IBR720923 ILJ720923:ILN720923 IVF720923:IVJ720923 JFB720923:JFF720923 JOX720923:JPB720923 JYT720923:JYX720923 KIP720923:KIT720923 KSL720923:KSP720923 LCH720923:LCL720923 LMD720923:LMH720923 LVZ720923:LWD720923 MFV720923:MFZ720923 MPR720923:MPV720923 MZN720923:MZR720923 NJJ720923:NJN720923 NTF720923:NTJ720923 ODB720923:ODF720923 OMX720923:ONB720923 OWT720923:OWX720923 PGP720923:PGT720923 PQL720923:PQP720923 QAH720923:QAL720923 QKD720923:QKH720923 QTZ720923:QUD720923 RDV720923:RDZ720923 RNR720923:RNV720923 RXN720923:RXR720923 SHJ720923:SHN720923 SRF720923:SRJ720923 TBB720923:TBF720923 TKX720923:TLB720923 TUT720923:TUX720923 UEP720923:UET720923 UOL720923:UOP720923 UYH720923:UYL720923 VID720923:VIH720923 VRZ720923:VSD720923 WBV720923:WBZ720923 WLR720923:WLV720923 WVN720923:WVR720923 B786459:I786459 JB786459:JF786459 SX786459:TB786459 ACT786459:ACX786459 AMP786459:AMT786459 AWL786459:AWP786459 BGH786459:BGL786459 BQD786459:BQH786459 BZZ786459:CAD786459 CJV786459:CJZ786459 CTR786459:CTV786459 DDN786459:DDR786459 DNJ786459:DNN786459 DXF786459:DXJ786459 EHB786459:EHF786459 EQX786459:ERB786459 FAT786459:FAX786459 FKP786459:FKT786459 FUL786459:FUP786459 GEH786459:GEL786459 GOD786459:GOH786459 GXZ786459:GYD786459 HHV786459:HHZ786459 HRR786459:HRV786459 IBN786459:IBR786459 ILJ786459:ILN786459 IVF786459:IVJ786459 JFB786459:JFF786459 JOX786459:JPB786459 JYT786459:JYX786459 KIP786459:KIT786459 KSL786459:KSP786459 LCH786459:LCL786459 LMD786459:LMH786459 LVZ786459:LWD786459 MFV786459:MFZ786459 MPR786459:MPV786459 MZN786459:MZR786459 NJJ786459:NJN786459 NTF786459:NTJ786459 ODB786459:ODF786459 OMX786459:ONB786459 OWT786459:OWX786459 PGP786459:PGT786459 PQL786459:PQP786459 QAH786459:QAL786459 QKD786459:QKH786459 QTZ786459:QUD786459 RDV786459:RDZ786459 RNR786459:RNV786459 RXN786459:RXR786459 SHJ786459:SHN786459 SRF786459:SRJ786459 TBB786459:TBF786459 TKX786459:TLB786459 TUT786459:TUX786459 UEP786459:UET786459 UOL786459:UOP786459 UYH786459:UYL786459 VID786459:VIH786459 VRZ786459:VSD786459 WBV786459:WBZ786459 WLR786459:WLV786459 WVN786459:WVR786459 B851995:I851995 JB851995:JF851995 SX851995:TB851995 ACT851995:ACX851995 AMP851995:AMT851995 AWL851995:AWP851995 BGH851995:BGL851995 BQD851995:BQH851995 BZZ851995:CAD851995 CJV851995:CJZ851995 CTR851995:CTV851995 DDN851995:DDR851995 DNJ851995:DNN851995 DXF851995:DXJ851995 EHB851995:EHF851995 EQX851995:ERB851995 FAT851995:FAX851995 FKP851995:FKT851995 FUL851995:FUP851995 GEH851995:GEL851995 GOD851995:GOH851995 GXZ851995:GYD851995 HHV851995:HHZ851995 HRR851995:HRV851995 IBN851995:IBR851995 ILJ851995:ILN851995 IVF851995:IVJ851995 JFB851995:JFF851995 JOX851995:JPB851995 JYT851995:JYX851995 KIP851995:KIT851995 KSL851995:KSP851995 LCH851995:LCL851995 LMD851995:LMH851995 LVZ851995:LWD851995 MFV851995:MFZ851995 MPR851995:MPV851995 MZN851995:MZR851995 NJJ851995:NJN851995 NTF851995:NTJ851995 ODB851995:ODF851995 OMX851995:ONB851995 OWT851995:OWX851995 PGP851995:PGT851995 PQL851995:PQP851995 QAH851995:QAL851995 QKD851995:QKH851995 QTZ851995:QUD851995 RDV851995:RDZ851995 RNR851995:RNV851995 RXN851995:RXR851995 SHJ851995:SHN851995 SRF851995:SRJ851995 TBB851995:TBF851995 TKX851995:TLB851995 TUT851995:TUX851995 UEP851995:UET851995 UOL851995:UOP851995 UYH851995:UYL851995 VID851995:VIH851995 VRZ851995:VSD851995 WBV851995:WBZ851995 WLR851995:WLV851995 WVN851995:WVR851995 B917531:I917531 JB917531:JF917531 SX917531:TB917531 ACT917531:ACX917531 AMP917531:AMT917531 AWL917531:AWP917531 BGH917531:BGL917531 BQD917531:BQH917531 BZZ917531:CAD917531 CJV917531:CJZ917531 CTR917531:CTV917531 DDN917531:DDR917531 DNJ917531:DNN917531 DXF917531:DXJ917531 EHB917531:EHF917531 EQX917531:ERB917531 FAT917531:FAX917531 FKP917531:FKT917531 FUL917531:FUP917531 GEH917531:GEL917531 GOD917531:GOH917531 GXZ917531:GYD917531 HHV917531:HHZ917531 HRR917531:HRV917531 IBN917531:IBR917531 ILJ917531:ILN917531 IVF917531:IVJ917531 JFB917531:JFF917531 JOX917531:JPB917531 JYT917531:JYX917531 KIP917531:KIT917531 KSL917531:KSP917531 LCH917531:LCL917531 LMD917531:LMH917531 LVZ917531:LWD917531 MFV917531:MFZ917531 MPR917531:MPV917531 MZN917531:MZR917531 NJJ917531:NJN917531 NTF917531:NTJ917531 ODB917531:ODF917531 OMX917531:ONB917531 OWT917531:OWX917531 PGP917531:PGT917531 PQL917531:PQP917531 QAH917531:QAL917531 QKD917531:QKH917531 QTZ917531:QUD917531 RDV917531:RDZ917531 RNR917531:RNV917531 RXN917531:RXR917531 SHJ917531:SHN917531 SRF917531:SRJ917531 TBB917531:TBF917531 TKX917531:TLB917531 TUT917531:TUX917531 UEP917531:UET917531 UOL917531:UOP917531 UYH917531:UYL917531 VID917531:VIH917531 VRZ917531:VSD917531 WBV917531:WBZ917531 WLR917531:WLV917531 WVN917531:WVR917531 B983067:I983067 JB983067:JF983067 SX983067:TB983067 ACT983067:ACX983067 AMP983067:AMT983067 AWL983067:AWP983067 BGH983067:BGL983067 BQD983067:BQH983067 BZZ983067:CAD983067 CJV983067:CJZ983067 CTR983067:CTV983067 DDN983067:DDR983067 DNJ983067:DNN983067 DXF983067:DXJ983067 EHB983067:EHF983067 EQX983067:ERB983067 FAT983067:FAX983067 FKP983067:FKT983067 FUL983067:FUP983067 GEH983067:GEL983067 GOD983067:GOH983067 GXZ983067:GYD983067 HHV983067:HHZ983067 HRR983067:HRV983067 IBN983067:IBR983067 ILJ983067:ILN983067 IVF983067:IVJ983067 JFB983067:JFF983067 JOX983067:JPB983067 JYT983067:JYX983067 KIP983067:KIT983067 KSL983067:KSP983067 LCH983067:LCL983067 LMD983067:LMH983067 LVZ983067:LWD983067 MFV983067:MFZ983067 MPR983067:MPV983067 MZN983067:MZR983067 NJJ983067:NJN983067 NTF983067:NTJ983067 ODB983067:ODF983067 OMX983067:ONB983067 OWT983067:OWX983067 PGP983067:PGT983067 PQL983067:PQP983067 QAH983067:QAL983067 QKD983067:QKH983067 QTZ983067:QUD983067 RDV983067:RDZ983067 RNR983067:RNV983067 RXN983067:RXR983067 SHJ983067:SHN983067 SRF983067:SRJ983067 TBB983067:TBF983067 TKX983067:TLB983067 TUT983067:TUX983067 UEP983067:UET983067 UOL983067:UOP983067 UYH983067:UYL983067 VID983067:VIH983067 VRZ983067:VSD983067 WBV983067:WBZ983067 WLR983067:WLV983067" xr:uid="{00000000-0002-0000-0000-000001000000}">
      <formula1>#REF!</formula1>
    </dataValidation>
    <dataValidation allowBlank="1" showInputMessage="1" showErrorMessage="1" promptTitle="SYSTEM" prompt="SELECT FROM DROP DOWN LIST" sqref="WVN983069:WVR983069 WLR983069:WLV983069 B65565:I65565 JB65565:JF65565 SX65565:TB65565 ACT65565:ACX65565 AMP65565:AMT65565 AWL65565:AWP65565 BGH65565:BGL65565 BQD65565:BQH65565 BZZ65565:CAD65565 CJV65565:CJZ65565 CTR65565:CTV65565 DDN65565:DDR65565 DNJ65565:DNN65565 DXF65565:DXJ65565 EHB65565:EHF65565 EQX65565:ERB65565 FAT65565:FAX65565 FKP65565:FKT65565 FUL65565:FUP65565 GEH65565:GEL65565 GOD65565:GOH65565 GXZ65565:GYD65565 HHV65565:HHZ65565 HRR65565:HRV65565 IBN65565:IBR65565 ILJ65565:ILN65565 IVF65565:IVJ65565 JFB65565:JFF65565 JOX65565:JPB65565 JYT65565:JYX65565 KIP65565:KIT65565 KSL65565:KSP65565 LCH65565:LCL65565 LMD65565:LMH65565 LVZ65565:LWD65565 MFV65565:MFZ65565 MPR65565:MPV65565 MZN65565:MZR65565 NJJ65565:NJN65565 NTF65565:NTJ65565 ODB65565:ODF65565 OMX65565:ONB65565 OWT65565:OWX65565 PGP65565:PGT65565 PQL65565:PQP65565 QAH65565:QAL65565 QKD65565:QKH65565 QTZ65565:QUD65565 RDV65565:RDZ65565 RNR65565:RNV65565 RXN65565:RXR65565 SHJ65565:SHN65565 SRF65565:SRJ65565 TBB65565:TBF65565 TKX65565:TLB65565 TUT65565:TUX65565 UEP65565:UET65565 UOL65565:UOP65565 UYH65565:UYL65565 VID65565:VIH65565 VRZ65565:VSD65565 WBV65565:WBZ65565 WLR65565:WLV65565 WVN65565:WVR65565 B131101:I131101 JB131101:JF131101 SX131101:TB131101 ACT131101:ACX131101 AMP131101:AMT131101 AWL131101:AWP131101 BGH131101:BGL131101 BQD131101:BQH131101 BZZ131101:CAD131101 CJV131101:CJZ131101 CTR131101:CTV131101 DDN131101:DDR131101 DNJ131101:DNN131101 DXF131101:DXJ131101 EHB131101:EHF131101 EQX131101:ERB131101 FAT131101:FAX131101 FKP131101:FKT131101 FUL131101:FUP131101 GEH131101:GEL131101 GOD131101:GOH131101 GXZ131101:GYD131101 HHV131101:HHZ131101 HRR131101:HRV131101 IBN131101:IBR131101 ILJ131101:ILN131101 IVF131101:IVJ131101 JFB131101:JFF131101 JOX131101:JPB131101 JYT131101:JYX131101 KIP131101:KIT131101 KSL131101:KSP131101 LCH131101:LCL131101 LMD131101:LMH131101 LVZ131101:LWD131101 MFV131101:MFZ131101 MPR131101:MPV131101 MZN131101:MZR131101 NJJ131101:NJN131101 NTF131101:NTJ131101 ODB131101:ODF131101 OMX131101:ONB131101 OWT131101:OWX131101 PGP131101:PGT131101 PQL131101:PQP131101 QAH131101:QAL131101 QKD131101:QKH131101 QTZ131101:QUD131101 RDV131101:RDZ131101 RNR131101:RNV131101 RXN131101:RXR131101 SHJ131101:SHN131101 SRF131101:SRJ131101 TBB131101:TBF131101 TKX131101:TLB131101 TUT131101:TUX131101 UEP131101:UET131101 UOL131101:UOP131101 UYH131101:UYL131101 VID131101:VIH131101 VRZ131101:VSD131101 WBV131101:WBZ131101 WLR131101:WLV131101 WVN131101:WVR131101 B196637:I196637 JB196637:JF196637 SX196637:TB196637 ACT196637:ACX196637 AMP196637:AMT196637 AWL196637:AWP196637 BGH196637:BGL196637 BQD196637:BQH196637 BZZ196637:CAD196637 CJV196637:CJZ196637 CTR196637:CTV196637 DDN196637:DDR196637 DNJ196637:DNN196637 DXF196637:DXJ196637 EHB196637:EHF196637 EQX196637:ERB196637 FAT196637:FAX196637 FKP196637:FKT196637 FUL196637:FUP196637 GEH196637:GEL196637 GOD196637:GOH196637 GXZ196637:GYD196637 HHV196637:HHZ196637 HRR196637:HRV196637 IBN196637:IBR196637 ILJ196637:ILN196637 IVF196637:IVJ196637 JFB196637:JFF196637 JOX196637:JPB196637 JYT196637:JYX196637 KIP196637:KIT196637 KSL196637:KSP196637 LCH196637:LCL196637 LMD196637:LMH196637 LVZ196637:LWD196637 MFV196637:MFZ196637 MPR196637:MPV196637 MZN196637:MZR196637 NJJ196637:NJN196637 NTF196637:NTJ196637 ODB196637:ODF196637 OMX196637:ONB196637 OWT196637:OWX196637 PGP196637:PGT196637 PQL196637:PQP196637 QAH196637:QAL196637 QKD196637:QKH196637 QTZ196637:QUD196637 RDV196637:RDZ196637 RNR196637:RNV196637 RXN196637:RXR196637 SHJ196637:SHN196637 SRF196637:SRJ196637 TBB196637:TBF196637 TKX196637:TLB196637 TUT196637:TUX196637 UEP196637:UET196637 UOL196637:UOP196637 UYH196637:UYL196637 VID196637:VIH196637 VRZ196637:VSD196637 WBV196637:WBZ196637 WLR196637:WLV196637 WVN196637:WVR196637 B262173:I262173 JB262173:JF262173 SX262173:TB262173 ACT262173:ACX262173 AMP262173:AMT262173 AWL262173:AWP262173 BGH262173:BGL262173 BQD262173:BQH262173 BZZ262173:CAD262173 CJV262173:CJZ262173 CTR262173:CTV262173 DDN262173:DDR262173 DNJ262173:DNN262173 DXF262173:DXJ262173 EHB262173:EHF262173 EQX262173:ERB262173 FAT262173:FAX262173 FKP262173:FKT262173 FUL262173:FUP262173 GEH262173:GEL262173 GOD262173:GOH262173 GXZ262173:GYD262173 HHV262173:HHZ262173 HRR262173:HRV262173 IBN262173:IBR262173 ILJ262173:ILN262173 IVF262173:IVJ262173 JFB262173:JFF262173 JOX262173:JPB262173 JYT262173:JYX262173 KIP262173:KIT262173 KSL262173:KSP262173 LCH262173:LCL262173 LMD262173:LMH262173 LVZ262173:LWD262173 MFV262173:MFZ262173 MPR262173:MPV262173 MZN262173:MZR262173 NJJ262173:NJN262173 NTF262173:NTJ262173 ODB262173:ODF262173 OMX262173:ONB262173 OWT262173:OWX262173 PGP262173:PGT262173 PQL262173:PQP262173 QAH262173:QAL262173 QKD262173:QKH262173 QTZ262173:QUD262173 RDV262173:RDZ262173 RNR262173:RNV262173 RXN262173:RXR262173 SHJ262173:SHN262173 SRF262173:SRJ262173 TBB262173:TBF262173 TKX262173:TLB262173 TUT262173:TUX262173 UEP262173:UET262173 UOL262173:UOP262173 UYH262173:UYL262173 VID262173:VIH262173 VRZ262173:VSD262173 WBV262173:WBZ262173 WLR262173:WLV262173 WVN262173:WVR262173 B327709:I327709 JB327709:JF327709 SX327709:TB327709 ACT327709:ACX327709 AMP327709:AMT327709 AWL327709:AWP327709 BGH327709:BGL327709 BQD327709:BQH327709 BZZ327709:CAD327709 CJV327709:CJZ327709 CTR327709:CTV327709 DDN327709:DDR327709 DNJ327709:DNN327709 DXF327709:DXJ327709 EHB327709:EHF327709 EQX327709:ERB327709 FAT327709:FAX327709 FKP327709:FKT327709 FUL327709:FUP327709 GEH327709:GEL327709 GOD327709:GOH327709 GXZ327709:GYD327709 HHV327709:HHZ327709 HRR327709:HRV327709 IBN327709:IBR327709 ILJ327709:ILN327709 IVF327709:IVJ327709 JFB327709:JFF327709 JOX327709:JPB327709 JYT327709:JYX327709 KIP327709:KIT327709 KSL327709:KSP327709 LCH327709:LCL327709 LMD327709:LMH327709 LVZ327709:LWD327709 MFV327709:MFZ327709 MPR327709:MPV327709 MZN327709:MZR327709 NJJ327709:NJN327709 NTF327709:NTJ327709 ODB327709:ODF327709 OMX327709:ONB327709 OWT327709:OWX327709 PGP327709:PGT327709 PQL327709:PQP327709 QAH327709:QAL327709 QKD327709:QKH327709 QTZ327709:QUD327709 RDV327709:RDZ327709 RNR327709:RNV327709 RXN327709:RXR327709 SHJ327709:SHN327709 SRF327709:SRJ327709 TBB327709:TBF327709 TKX327709:TLB327709 TUT327709:TUX327709 UEP327709:UET327709 UOL327709:UOP327709 UYH327709:UYL327709 VID327709:VIH327709 VRZ327709:VSD327709 WBV327709:WBZ327709 WLR327709:WLV327709 WVN327709:WVR327709 B393245:I393245 JB393245:JF393245 SX393245:TB393245 ACT393245:ACX393245 AMP393245:AMT393245 AWL393245:AWP393245 BGH393245:BGL393245 BQD393245:BQH393245 BZZ393245:CAD393245 CJV393245:CJZ393245 CTR393245:CTV393245 DDN393245:DDR393245 DNJ393245:DNN393245 DXF393245:DXJ393245 EHB393245:EHF393245 EQX393245:ERB393245 FAT393245:FAX393245 FKP393245:FKT393245 FUL393245:FUP393245 GEH393245:GEL393245 GOD393245:GOH393245 GXZ393245:GYD393245 HHV393245:HHZ393245 HRR393245:HRV393245 IBN393245:IBR393245 ILJ393245:ILN393245 IVF393245:IVJ393245 JFB393245:JFF393245 JOX393245:JPB393245 JYT393245:JYX393245 KIP393245:KIT393245 KSL393245:KSP393245 LCH393245:LCL393245 LMD393245:LMH393245 LVZ393245:LWD393245 MFV393245:MFZ393245 MPR393245:MPV393245 MZN393245:MZR393245 NJJ393245:NJN393245 NTF393245:NTJ393245 ODB393245:ODF393245 OMX393245:ONB393245 OWT393245:OWX393245 PGP393245:PGT393245 PQL393245:PQP393245 QAH393245:QAL393245 QKD393245:QKH393245 QTZ393245:QUD393245 RDV393245:RDZ393245 RNR393245:RNV393245 RXN393245:RXR393245 SHJ393245:SHN393245 SRF393245:SRJ393245 TBB393245:TBF393245 TKX393245:TLB393245 TUT393245:TUX393245 UEP393245:UET393245 UOL393245:UOP393245 UYH393245:UYL393245 VID393245:VIH393245 VRZ393245:VSD393245 WBV393245:WBZ393245 WLR393245:WLV393245 WVN393245:WVR393245 B458781:I458781 JB458781:JF458781 SX458781:TB458781 ACT458781:ACX458781 AMP458781:AMT458781 AWL458781:AWP458781 BGH458781:BGL458781 BQD458781:BQH458781 BZZ458781:CAD458781 CJV458781:CJZ458781 CTR458781:CTV458781 DDN458781:DDR458781 DNJ458781:DNN458781 DXF458781:DXJ458781 EHB458781:EHF458781 EQX458781:ERB458781 FAT458781:FAX458781 FKP458781:FKT458781 FUL458781:FUP458781 GEH458781:GEL458781 GOD458781:GOH458781 GXZ458781:GYD458781 HHV458781:HHZ458781 HRR458781:HRV458781 IBN458781:IBR458781 ILJ458781:ILN458781 IVF458781:IVJ458781 JFB458781:JFF458781 JOX458781:JPB458781 JYT458781:JYX458781 KIP458781:KIT458781 KSL458781:KSP458781 LCH458781:LCL458781 LMD458781:LMH458781 LVZ458781:LWD458781 MFV458781:MFZ458781 MPR458781:MPV458781 MZN458781:MZR458781 NJJ458781:NJN458781 NTF458781:NTJ458781 ODB458781:ODF458781 OMX458781:ONB458781 OWT458781:OWX458781 PGP458781:PGT458781 PQL458781:PQP458781 QAH458781:QAL458781 QKD458781:QKH458781 QTZ458781:QUD458781 RDV458781:RDZ458781 RNR458781:RNV458781 RXN458781:RXR458781 SHJ458781:SHN458781 SRF458781:SRJ458781 TBB458781:TBF458781 TKX458781:TLB458781 TUT458781:TUX458781 UEP458781:UET458781 UOL458781:UOP458781 UYH458781:UYL458781 VID458781:VIH458781 VRZ458781:VSD458781 WBV458781:WBZ458781 WLR458781:WLV458781 WVN458781:WVR458781 B524317:I524317 JB524317:JF524317 SX524317:TB524317 ACT524317:ACX524317 AMP524317:AMT524317 AWL524317:AWP524317 BGH524317:BGL524317 BQD524317:BQH524317 BZZ524317:CAD524317 CJV524317:CJZ524317 CTR524317:CTV524317 DDN524317:DDR524317 DNJ524317:DNN524317 DXF524317:DXJ524317 EHB524317:EHF524317 EQX524317:ERB524317 FAT524317:FAX524317 FKP524317:FKT524317 FUL524317:FUP524317 GEH524317:GEL524317 GOD524317:GOH524317 GXZ524317:GYD524317 HHV524317:HHZ524317 HRR524317:HRV524317 IBN524317:IBR524317 ILJ524317:ILN524317 IVF524317:IVJ524317 JFB524317:JFF524317 JOX524317:JPB524317 JYT524317:JYX524317 KIP524317:KIT524317 KSL524317:KSP524317 LCH524317:LCL524317 LMD524317:LMH524317 LVZ524317:LWD524317 MFV524317:MFZ524317 MPR524317:MPV524317 MZN524317:MZR524317 NJJ524317:NJN524317 NTF524317:NTJ524317 ODB524317:ODF524317 OMX524317:ONB524317 OWT524317:OWX524317 PGP524317:PGT524317 PQL524317:PQP524317 QAH524317:QAL524317 QKD524317:QKH524317 QTZ524317:QUD524317 RDV524317:RDZ524317 RNR524317:RNV524317 RXN524317:RXR524317 SHJ524317:SHN524317 SRF524317:SRJ524317 TBB524317:TBF524317 TKX524317:TLB524317 TUT524317:TUX524317 UEP524317:UET524317 UOL524317:UOP524317 UYH524317:UYL524317 VID524317:VIH524317 VRZ524317:VSD524317 WBV524317:WBZ524317 WLR524317:WLV524317 WVN524317:WVR524317 B589853:I589853 JB589853:JF589853 SX589853:TB589853 ACT589853:ACX589853 AMP589853:AMT589853 AWL589853:AWP589853 BGH589853:BGL589853 BQD589853:BQH589853 BZZ589853:CAD589853 CJV589853:CJZ589853 CTR589853:CTV589853 DDN589853:DDR589853 DNJ589853:DNN589853 DXF589853:DXJ589853 EHB589853:EHF589853 EQX589853:ERB589853 FAT589853:FAX589853 FKP589853:FKT589853 FUL589853:FUP589853 GEH589853:GEL589853 GOD589853:GOH589853 GXZ589853:GYD589853 HHV589853:HHZ589853 HRR589853:HRV589853 IBN589853:IBR589853 ILJ589853:ILN589853 IVF589853:IVJ589853 JFB589853:JFF589853 JOX589853:JPB589853 JYT589853:JYX589853 KIP589853:KIT589853 KSL589853:KSP589853 LCH589853:LCL589853 LMD589853:LMH589853 LVZ589853:LWD589853 MFV589853:MFZ589853 MPR589853:MPV589853 MZN589853:MZR589853 NJJ589853:NJN589853 NTF589853:NTJ589853 ODB589853:ODF589853 OMX589853:ONB589853 OWT589853:OWX589853 PGP589853:PGT589853 PQL589853:PQP589853 QAH589853:QAL589853 QKD589853:QKH589853 QTZ589853:QUD589853 RDV589853:RDZ589853 RNR589853:RNV589853 RXN589853:RXR589853 SHJ589853:SHN589853 SRF589853:SRJ589853 TBB589853:TBF589853 TKX589853:TLB589853 TUT589853:TUX589853 UEP589853:UET589853 UOL589853:UOP589853 UYH589853:UYL589853 VID589853:VIH589853 VRZ589853:VSD589853 WBV589853:WBZ589853 WLR589853:WLV589853 WVN589853:WVR589853 B655389:I655389 JB655389:JF655389 SX655389:TB655389 ACT655389:ACX655389 AMP655389:AMT655389 AWL655389:AWP655389 BGH655389:BGL655389 BQD655389:BQH655389 BZZ655389:CAD655389 CJV655389:CJZ655389 CTR655389:CTV655389 DDN655389:DDR655389 DNJ655389:DNN655389 DXF655389:DXJ655389 EHB655389:EHF655389 EQX655389:ERB655389 FAT655389:FAX655389 FKP655389:FKT655389 FUL655389:FUP655389 GEH655389:GEL655389 GOD655389:GOH655389 GXZ655389:GYD655389 HHV655389:HHZ655389 HRR655389:HRV655389 IBN655389:IBR655389 ILJ655389:ILN655389 IVF655389:IVJ655389 JFB655389:JFF655389 JOX655389:JPB655389 JYT655389:JYX655389 KIP655389:KIT655389 KSL655389:KSP655389 LCH655389:LCL655389 LMD655389:LMH655389 LVZ655389:LWD655389 MFV655389:MFZ655389 MPR655389:MPV655389 MZN655389:MZR655389 NJJ655389:NJN655389 NTF655389:NTJ655389 ODB655389:ODF655389 OMX655389:ONB655389 OWT655389:OWX655389 PGP655389:PGT655389 PQL655389:PQP655389 QAH655389:QAL655389 QKD655389:QKH655389 QTZ655389:QUD655389 RDV655389:RDZ655389 RNR655389:RNV655389 RXN655389:RXR655389 SHJ655389:SHN655389 SRF655389:SRJ655389 TBB655389:TBF655389 TKX655389:TLB655389 TUT655389:TUX655389 UEP655389:UET655389 UOL655389:UOP655389 UYH655389:UYL655389 VID655389:VIH655389 VRZ655389:VSD655389 WBV655389:WBZ655389 WLR655389:WLV655389 WVN655389:WVR655389 B720925:I720925 JB720925:JF720925 SX720925:TB720925 ACT720925:ACX720925 AMP720925:AMT720925 AWL720925:AWP720925 BGH720925:BGL720925 BQD720925:BQH720925 BZZ720925:CAD720925 CJV720925:CJZ720925 CTR720925:CTV720925 DDN720925:DDR720925 DNJ720925:DNN720925 DXF720925:DXJ720925 EHB720925:EHF720925 EQX720925:ERB720925 FAT720925:FAX720925 FKP720925:FKT720925 FUL720925:FUP720925 GEH720925:GEL720925 GOD720925:GOH720925 GXZ720925:GYD720925 HHV720925:HHZ720925 HRR720925:HRV720925 IBN720925:IBR720925 ILJ720925:ILN720925 IVF720925:IVJ720925 JFB720925:JFF720925 JOX720925:JPB720925 JYT720925:JYX720925 KIP720925:KIT720925 KSL720925:KSP720925 LCH720925:LCL720925 LMD720925:LMH720925 LVZ720925:LWD720925 MFV720925:MFZ720925 MPR720925:MPV720925 MZN720925:MZR720925 NJJ720925:NJN720925 NTF720925:NTJ720925 ODB720925:ODF720925 OMX720925:ONB720925 OWT720925:OWX720925 PGP720925:PGT720925 PQL720925:PQP720925 QAH720925:QAL720925 QKD720925:QKH720925 QTZ720925:QUD720925 RDV720925:RDZ720925 RNR720925:RNV720925 RXN720925:RXR720925 SHJ720925:SHN720925 SRF720925:SRJ720925 TBB720925:TBF720925 TKX720925:TLB720925 TUT720925:TUX720925 UEP720925:UET720925 UOL720925:UOP720925 UYH720925:UYL720925 VID720925:VIH720925 VRZ720925:VSD720925 WBV720925:WBZ720925 WLR720925:WLV720925 WVN720925:WVR720925 B786461:I786461 JB786461:JF786461 SX786461:TB786461 ACT786461:ACX786461 AMP786461:AMT786461 AWL786461:AWP786461 BGH786461:BGL786461 BQD786461:BQH786461 BZZ786461:CAD786461 CJV786461:CJZ786461 CTR786461:CTV786461 DDN786461:DDR786461 DNJ786461:DNN786461 DXF786461:DXJ786461 EHB786461:EHF786461 EQX786461:ERB786461 FAT786461:FAX786461 FKP786461:FKT786461 FUL786461:FUP786461 GEH786461:GEL786461 GOD786461:GOH786461 GXZ786461:GYD786461 HHV786461:HHZ786461 HRR786461:HRV786461 IBN786461:IBR786461 ILJ786461:ILN786461 IVF786461:IVJ786461 JFB786461:JFF786461 JOX786461:JPB786461 JYT786461:JYX786461 KIP786461:KIT786461 KSL786461:KSP786461 LCH786461:LCL786461 LMD786461:LMH786461 LVZ786461:LWD786461 MFV786461:MFZ786461 MPR786461:MPV786461 MZN786461:MZR786461 NJJ786461:NJN786461 NTF786461:NTJ786461 ODB786461:ODF786461 OMX786461:ONB786461 OWT786461:OWX786461 PGP786461:PGT786461 PQL786461:PQP786461 QAH786461:QAL786461 QKD786461:QKH786461 QTZ786461:QUD786461 RDV786461:RDZ786461 RNR786461:RNV786461 RXN786461:RXR786461 SHJ786461:SHN786461 SRF786461:SRJ786461 TBB786461:TBF786461 TKX786461:TLB786461 TUT786461:TUX786461 UEP786461:UET786461 UOL786461:UOP786461 UYH786461:UYL786461 VID786461:VIH786461 VRZ786461:VSD786461 WBV786461:WBZ786461 WLR786461:WLV786461 WVN786461:WVR786461 B851997:I851997 JB851997:JF851997 SX851997:TB851997 ACT851997:ACX851997 AMP851997:AMT851997 AWL851997:AWP851997 BGH851997:BGL851997 BQD851997:BQH851997 BZZ851997:CAD851997 CJV851997:CJZ851997 CTR851997:CTV851997 DDN851997:DDR851997 DNJ851997:DNN851997 DXF851997:DXJ851997 EHB851997:EHF851997 EQX851997:ERB851997 FAT851997:FAX851997 FKP851997:FKT851997 FUL851997:FUP851997 GEH851997:GEL851997 GOD851997:GOH851997 GXZ851997:GYD851997 HHV851997:HHZ851997 HRR851997:HRV851997 IBN851997:IBR851997 ILJ851997:ILN851997 IVF851997:IVJ851997 JFB851997:JFF851997 JOX851997:JPB851997 JYT851997:JYX851997 KIP851997:KIT851997 KSL851997:KSP851997 LCH851997:LCL851997 LMD851997:LMH851997 LVZ851997:LWD851997 MFV851997:MFZ851997 MPR851997:MPV851997 MZN851997:MZR851997 NJJ851997:NJN851997 NTF851997:NTJ851997 ODB851997:ODF851997 OMX851997:ONB851997 OWT851997:OWX851997 PGP851997:PGT851997 PQL851997:PQP851997 QAH851997:QAL851997 QKD851997:QKH851997 QTZ851997:QUD851997 RDV851997:RDZ851997 RNR851997:RNV851997 RXN851997:RXR851997 SHJ851997:SHN851997 SRF851997:SRJ851997 TBB851997:TBF851997 TKX851997:TLB851997 TUT851997:TUX851997 UEP851997:UET851997 UOL851997:UOP851997 UYH851997:UYL851997 VID851997:VIH851997 VRZ851997:VSD851997 WBV851997:WBZ851997 WLR851997:WLV851997 WVN851997:WVR851997 B917533:I917533 JB917533:JF917533 SX917533:TB917533 ACT917533:ACX917533 AMP917533:AMT917533 AWL917533:AWP917533 BGH917533:BGL917533 BQD917533:BQH917533 BZZ917533:CAD917533 CJV917533:CJZ917533 CTR917533:CTV917533 DDN917533:DDR917533 DNJ917533:DNN917533 DXF917533:DXJ917533 EHB917533:EHF917533 EQX917533:ERB917533 FAT917533:FAX917533 FKP917533:FKT917533 FUL917533:FUP917533 GEH917533:GEL917533 GOD917533:GOH917533 GXZ917533:GYD917533 HHV917533:HHZ917533 HRR917533:HRV917533 IBN917533:IBR917533 ILJ917533:ILN917533 IVF917533:IVJ917533 JFB917533:JFF917533 JOX917533:JPB917533 JYT917533:JYX917533 KIP917533:KIT917533 KSL917533:KSP917533 LCH917533:LCL917533 LMD917533:LMH917533 LVZ917533:LWD917533 MFV917533:MFZ917533 MPR917533:MPV917533 MZN917533:MZR917533 NJJ917533:NJN917533 NTF917533:NTJ917533 ODB917533:ODF917533 OMX917533:ONB917533 OWT917533:OWX917533 PGP917533:PGT917533 PQL917533:PQP917533 QAH917533:QAL917533 QKD917533:QKH917533 QTZ917533:QUD917533 RDV917533:RDZ917533 RNR917533:RNV917533 RXN917533:RXR917533 SHJ917533:SHN917533 SRF917533:SRJ917533 TBB917533:TBF917533 TKX917533:TLB917533 TUT917533:TUX917533 UEP917533:UET917533 UOL917533:UOP917533 UYH917533:UYL917533 VID917533:VIH917533 VRZ917533:VSD917533 WBV917533:WBZ917533 WLR917533:WLV917533 WVN917533:WVR917533 B983069:I983069 JB983069:JF983069 SX983069:TB983069 ACT983069:ACX983069 AMP983069:AMT983069 AWL983069:AWP983069 BGH983069:BGL983069 BQD983069:BQH983069 BZZ983069:CAD983069 CJV983069:CJZ983069 CTR983069:CTV983069 DDN983069:DDR983069 DNJ983069:DNN983069 DXF983069:DXJ983069 EHB983069:EHF983069 EQX983069:ERB983069 FAT983069:FAX983069 FKP983069:FKT983069 FUL983069:FUP983069 GEH983069:GEL983069 GOD983069:GOH983069 GXZ983069:GYD983069 HHV983069:HHZ983069 HRR983069:HRV983069 IBN983069:IBR983069 ILJ983069:ILN983069 IVF983069:IVJ983069 JFB983069:JFF983069 JOX983069:JPB983069 JYT983069:JYX983069 KIP983069:KIT983069 KSL983069:KSP983069 LCH983069:LCL983069 LMD983069:LMH983069 LVZ983069:LWD983069 MFV983069:MFZ983069 MPR983069:MPV983069 MZN983069:MZR983069 NJJ983069:NJN983069 NTF983069:NTJ983069 ODB983069:ODF983069 OMX983069:ONB983069 OWT983069:OWX983069 PGP983069:PGT983069 PQL983069:PQP983069 QAH983069:QAL983069 QKD983069:QKH983069 QTZ983069:QUD983069 RDV983069:RDZ983069 RNR983069:RNV983069 RXN983069:RXR983069 SHJ983069:SHN983069 SRF983069:SRJ983069 TBB983069:TBF983069 TKX983069:TLB983069 TUT983069:TUX983069 UEP983069:UET983069 UOL983069:UOP983069 UYH983069:UYL983069 VID983069:VIH983069 VRZ983069:VSD983069 WBV983069:WBZ983069 ACT23:ACX33 SX23:TB33 JB23:JF33 WVN23:WVR33 WLR23:WLV33 WBV23:WBZ33 VRZ23:VSD33 VID23:VIH33 UYH23:UYL33 UOL23:UOP33 UEP23:UET33 TUT23:TUX33 TKX23:TLB33 TBB23:TBF33 SRF23:SRJ33 SHJ23:SHN33 RXN23:RXR33 RNR23:RNV33 RDV23:RDZ33 QTZ23:QUD33 QKD23:QKH33 QAH23:QAL33 PQL23:PQP33 PGP23:PGT33 OWT23:OWX33 OMX23:ONB33 ODB23:ODF33 NTF23:NTJ33 NJJ23:NJN33 MZN23:MZR33 MPR23:MPV33 MFV23:MFZ33 LVZ23:LWD33 LMD23:LMH33 LCH23:LCL33 KSL23:KSP33 KIP23:KIT33 JYT23:JYX33 JOX23:JPB33 JFB23:JFF33 IVF23:IVJ33 ILJ23:ILN33 IBN23:IBR33 HRR23:HRV33 HHV23:HHZ33 GXZ23:GYD33 GOD23:GOH33 GEH23:GEL33 FUL23:FUP33 FKP23:FKT33 FAT23:FAX33 EQX23:ERB33 EHB23:EHF33 DXF23:DXJ33 DNJ23:DNN33 DDN23:DDR33 CTR23:CTV33 CJV23:CJZ33 BZZ23:CAD33 BQD23:BQH33 BGH23:BGL33 AWL23:AWP33 AMP23:AMT33" xr:uid="{00000000-0002-0000-0000-000002000000}"/>
  </dataValidations>
  <printOptions horizontalCentered="1"/>
  <pageMargins left="0.7" right="0.7" top="0.65441176470588203" bottom="0.66352941176470592" header="0.3" footer="0.3"/>
  <pageSetup paperSize="8" scale="72" fitToHeight="0" orientation="portrait" r:id="rId1"/>
  <headerFooter>
    <oddHeader>&amp;L&amp;"FreesiaUPC,Regular"&amp;14TP-PM-DSN-006
7-MAY-2026&amp;C&amp;"FreesiaUPC,Regular"&amp;14Drawing List&amp;R&amp;"FreesiaUPC,Regular"&amp;14R01
&amp;P of &amp;N</oddHeader>
    <oddFooter>&amp;C&amp;"FreesiaUPC,Regular"&amp;14&amp;K01+005Hard copies of this document are for REFERENCE ONLY and should not be considered the latest revision beyond the date of printing.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F7F4A7-6078-4D20-936A-D6F088A474AB}">
  <sheetPr>
    <tabColor rgb="FF92D050"/>
  </sheetPr>
  <dimension ref="A1:U267"/>
  <sheetViews>
    <sheetView zoomScaleNormal="100" workbookViewId="0">
      <selection activeCell="E15" sqref="E15"/>
    </sheetView>
  </sheetViews>
  <sheetFormatPr defaultColWidth="9.140625" defaultRowHeight="15" outlineLevelRow="1" outlineLevelCol="1" x14ac:dyDescent="0.25"/>
  <cols>
    <col min="1" max="1" width="22" style="58" customWidth="1"/>
    <col min="2" max="2" width="2.42578125" style="60" customWidth="1"/>
    <col min="3" max="3" width="5.5703125" style="58" customWidth="1"/>
    <col min="4" max="4" width="2.42578125" style="60" customWidth="1"/>
    <col min="5" max="5" width="65.42578125" style="59" customWidth="1"/>
    <col min="6" max="8" width="4.5703125" style="60" customWidth="1" outlineLevel="1"/>
    <col min="9" max="10" width="9.140625" style="61" customWidth="1"/>
    <col min="11" max="11" width="20.42578125" style="61" customWidth="1"/>
    <col min="12" max="12" width="9.140625" style="52" customWidth="1" outlineLevel="1"/>
    <col min="13" max="14" width="11.5703125" style="52" customWidth="1" outlineLevel="1"/>
    <col min="15" max="15" width="9.42578125" style="257" customWidth="1"/>
    <col min="16" max="16" width="9.5703125" style="257" customWidth="1"/>
    <col min="17" max="20" width="8.5703125" style="257" customWidth="1"/>
    <col min="21" max="21" width="9.42578125" style="258" customWidth="1"/>
    <col min="22" max="16384" width="9.140625" style="53"/>
  </cols>
  <sheetData>
    <row r="1" spans="1:21" s="48" customFormat="1" ht="45" customHeight="1" x14ac:dyDescent="0.25">
      <c r="A1" s="365" t="str">
        <f>'Cover(2)'!A1</f>
        <v>PROJECT NAME
LOCATION, PROVINCE, THAILAND</v>
      </c>
      <c r="B1" s="366"/>
      <c r="C1" s="366"/>
      <c r="D1" s="366"/>
      <c r="E1" s="366"/>
      <c r="F1" s="366"/>
      <c r="G1" s="366"/>
      <c r="H1" s="366"/>
      <c r="I1" s="366"/>
      <c r="J1" s="366"/>
      <c r="K1" s="367"/>
      <c r="L1" s="47"/>
      <c r="M1" s="47"/>
      <c r="N1" s="47"/>
      <c r="O1" s="223"/>
      <c r="P1" s="223"/>
      <c r="Q1" s="223"/>
      <c r="R1" s="223"/>
      <c r="S1" s="223"/>
      <c r="T1" s="223"/>
      <c r="U1" s="224"/>
    </row>
    <row r="2" spans="1:21" s="48" customFormat="1" ht="15" customHeight="1" x14ac:dyDescent="0.25">
      <c r="A2" s="133"/>
      <c r="B2" s="122"/>
      <c r="C2" s="133"/>
      <c r="D2" s="133"/>
      <c r="E2" s="133"/>
      <c r="F2" s="133"/>
      <c r="G2" s="133"/>
      <c r="H2" s="133"/>
      <c r="I2" s="133"/>
      <c r="J2" s="133"/>
      <c r="K2" s="122"/>
      <c r="L2" s="49"/>
      <c r="M2" s="49"/>
      <c r="N2" s="225"/>
      <c r="O2" s="226"/>
      <c r="P2" s="227"/>
      <c r="Q2" s="227"/>
      <c r="R2" s="227"/>
      <c r="S2" s="227"/>
      <c r="T2" s="227"/>
      <c r="U2" s="227"/>
    </row>
    <row r="3" spans="1:21" s="48" customFormat="1" ht="18" customHeight="1" thickBot="1" x14ac:dyDescent="0.3">
      <c r="A3" s="132" t="str" cm="1">
        <f t="array" aca="1" ref="A3" ca="1">MID(CELL("filename", A1), FIND("]", CELL("filename", A1)) + 1, LEN(CELL("filename", A1)))</f>
        <v>1. CIVIL</v>
      </c>
      <c r="B3" s="186"/>
      <c r="C3" s="132"/>
      <c r="D3" s="35"/>
      <c r="E3" s="35"/>
      <c r="F3" s="35"/>
      <c r="G3" s="35"/>
      <c r="H3" s="35"/>
      <c r="I3" s="36"/>
      <c r="J3" s="36"/>
      <c r="K3" s="123"/>
      <c r="L3" s="379" t="s">
        <v>48</v>
      </c>
      <c r="M3" s="379"/>
      <c r="N3" s="380"/>
      <c r="O3" s="228"/>
      <c r="P3" s="228"/>
      <c r="Q3" s="228"/>
      <c r="R3" s="228"/>
      <c r="S3" s="228"/>
      <c r="T3" s="228"/>
      <c r="U3" s="229"/>
    </row>
    <row r="4" spans="1:21" s="48" customFormat="1" ht="18" customHeight="1" x14ac:dyDescent="0.25">
      <c r="A4" s="33"/>
      <c r="B4" s="34" t="s">
        <v>8</v>
      </c>
      <c r="C4" s="33"/>
      <c r="D4" s="34"/>
      <c r="E4" s="35"/>
      <c r="F4" s="34"/>
      <c r="G4" s="34"/>
      <c r="H4" s="34"/>
      <c r="I4" s="36"/>
      <c r="J4" s="36"/>
      <c r="K4" s="36"/>
      <c r="L4" s="381" t="s">
        <v>49</v>
      </c>
      <c r="M4" s="381" t="s">
        <v>50</v>
      </c>
      <c r="N4" s="381" t="s">
        <v>51</v>
      </c>
      <c r="O4" s="230"/>
      <c r="P4" s="382" t="s">
        <v>52</v>
      </c>
      <c r="Q4" s="362" t="s">
        <v>53</v>
      </c>
      <c r="R4" s="362"/>
      <c r="S4" s="362" t="s">
        <v>54</v>
      </c>
      <c r="T4" s="362"/>
      <c r="U4" s="363" t="s">
        <v>55</v>
      </c>
    </row>
    <row r="5" spans="1:21" s="48" customFormat="1" ht="18" customHeight="1" thickBot="1" x14ac:dyDescent="0.3">
      <c r="A5" s="368" t="s">
        <v>56</v>
      </c>
      <c r="B5" s="369"/>
      <c r="C5" s="370"/>
      <c r="D5" s="374" t="s">
        <v>57</v>
      </c>
      <c r="E5" s="374"/>
      <c r="F5" s="375" t="s">
        <v>58</v>
      </c>
      <c r="G5" s="376"/>
      <c r="H5" s="377"/>
      <c r="I5" s="374" t="s">
        <v>59</v>
      </c>
      <c r="J5" s="374" t="s">
        <v>60</v>
      </c>
      <c r="K5" s="378" t="s">
        <v>15</v>
      </c>
      <c r="L5" s="381"/>
      <c r="M5" s="381"/>
      <c r="N5" s="381"/>
      <c r="O5" s="230"/>
      <c r="P5" s="383"/>
      <c r="Q5" s="265" t="s">
        <v>61</v>
      </c>
      <c r="R5" s="265" t="s">
        <v>62</v>
      </c>
      <c r="S5" s="265" t="s">
        <v>61</v>
      </c>
      <c r="T5" s="265" t="s">
        <v>62</v>
      </c>
      <c r="U5" s="364"/>
    </row>
    <row r="6" spans="1:21" s="48" customFormat="1" ht="28.5" customHeight="1" x14ac:dyDescent="0.2">
      <c r="A6" s="371"/>
      <c r="B6" s="372"/>
      <c r="C6" s="373"/>
      <c r="D6" s="374"/>
      <c r="E6" s="374"/>
      <c r="F6" s="201" t="s">
        <v>63</v>
      </c>
      <c r="G6" s="201" t="s">
        <v>63</v>
      </c>
      <c r="H6" s="201" t="s">
        <v>63</v>
      </c>
      <c r="I6" s="374"/>
      <c r="J6" s="374"/>
      <c r="K6" s="378"/>
      <c r="L6" s="231"/>
      <c r="M6" s="232"/>
      <c r="N6" s="233"/>
      <c r="O6" s="234"/>
      <c r="P6" s="262"/>
      <c r="Q6" s="235"/>
      <c r="R6" s="235"/>
      <c r="S6" s="235"/>
      <c r="T6" s="235"/>
      <c r="U6" s="236"/>
    </row>
    <row r="7" spans="1:21" s="48" customFormat="1" ht="15" customHeight="1" x14ac:dyDescent="0.2">
      <c r="A7" s="32" t="s">
        <v>64</v>
      </c>
      <c r="B7" s="187"/>
      <c r="C7" s="32"/>
      <c r="D7" s="11"/>
      <c r="E7" s="11"/>
      <c r="F7" s="11"/>
      <c r="G7" s="11"/>
      <c r="H7" s="11"/>
      <c r="I7" s="11"/>
      <c r="J7" s="11"/>
      <c r="K7" s="11"/>
      <c r="L7" s="237"/>
      <c r="M7" s="238"/>
      <c r="N7" s="239"/>
      <c r="O7" s="234"/>
      <c r="P7" s="262"/>
      <c r="Q7" s="235"/>
      <c r="R7" s="235"/>
      <c r="S7" s="235"/>
      <c r="T7" s="235"/>
      <c r="U7" s="236"/>
    </row>
    <row r="8" spans="1:21" s="48" customFormat="1" ht="15" customHeight="1" x14ac:dyDescent="0.2">
      <c r="A8" s="37"/>
      <c r="B8" s="188"/>
      <c r="C8" s="37"/>
      <c r="D8" s="38"/>
      <c r="E8" s="41"/>
      <c r="F8" s="38"/>
      <c r="G8" s="38"/>
      <c r="H8" s="38"/>
      <c r="I8" s="38"/>
      <c r="J8" s="40"/>
      <c r="K8" s="40"/>
      <c r="L8" s="240"/>
      <c r="M8" s="241"/>
      <c r="N8" s="242"/>
      <c r="O8" s="234"/>
      <c r="P8" s="262"/>
      <c r="Q8" s="235"/>
      <c r="R8" s="235"/>
      <c r="S8" s="235"/>
      <c r="T8" s="235"/>
      <c r="U8" s="236"/>
    </row>
    <row r="9" spans="1:21" s="48" customFormat="1" ht="15" customHeight="1" outlineLevel="1" x14ac:dyDescent="0.25">
      <c r="A9" s="43" t="s">
        <v>65</v>
      </c>
      <c r="B9" s="38" t="s">
        <v>66</v>
      </c>
      <c r="C9" s="41" t="s">
        <v>67</v>
      </c>
      <c r="D9" s="38"/>
      <c r="E9" s="41" t="s">
        <v>68</v>
      </c>
      <c r="F9" s="38" t="s">
        <v>69</v>
      </c>
      <c r="G9" s="38"/>
      <c r="H9" s="38"/>
      <c r="I9" s="38"/>
      <c r="J9" s="40"/>
      <c r="K9" s="189"/>
      <c r="L9" s="240" t="s">
        <v>70</v>
      </c>
      <c r="M9" s="241" t="s">
        <v>70</v>
      </c>
      <c r="N9" s="242" t="s">
        <v>71</v>
      </c>
      <c r="O9" s="234"/>
      <c r="P9" s="306">
        <v>1</v>
      </c>
      <c r="Q9" s="307">
        <v>0.8</v>
      </c>
      <c r="R9" s="307">
        <v>0.8</v>
      </c>
      <c r="S9" s="307">
        <v>1</v>
      </c>
      <c r="T9" s="307">
        <v>0.95</v>
      </c>
      <c r="U9" s="266">
        <f>MAX(R9,T9)</f>
        <v>0.95</v>
      </c>
    </row>
    <row r="10" spans="1:21" s="48" customFormat="1" ht="15" customHeight="1" outlineLevel="1" x14ac:dyDescent="0.25">
      <c r="A10" s="43" t="s">
        <v>72</v>
      </c>
      <c r="B10" s="40" t="s">
        <v>66</v>
      </c>
      <c r="C10" s="41" t="s">
        <v>67</v>
      </c>
      <c r="D10" s="38"/>
      <c r="E10" s="41" t="s">
        <v>68</v>
      </c>
      <c r="F10" s="38" t="s">
        <v>69</v>
      </c>
      <c r="G10" s="38"/>
      <c r="H10" s="38"/>
      <c r="I10" s="38"/>
      <c r="J10" s="40"/>
      <c r="K10" s="189"/>
      <c r="L10" s="240" t="s">
        <v>70</v>
      </c>
      <c r="M10" s="241" t="s">
        <v>70</v>
      </c>
      <c r="N10" s="242" t="s">
        <v>71</v>
      </c>
      <c r="O10" s="234"/>
      <c r="P10" s="306">
        <v>1.5</v>
      </c>
      <c r="Q10" s="307">
        <v>0.6</v>
      </c>
      <c r="R10" s="307">
        <v>0.6</v>
      </c>
      <c r="S10" s="307">
        <v>1</v>
      </c>
      <c r="T10" s="307">
        <v>0.9</v>
      </c>
      <c r="U10" s="266">
        <f t="shared" ref="U10:U73" si="0">MAX(R10,T10)</f>
        <v>0.9</v>
      </c>
    </row>
    <row r="11" spans="1:21" s="48" customFormat="1" ht="15" customHeight="1" outlineLevel="1" x14ac:dyDescent="0.25">
      <c r="A11" s="43" t="s">
        <v>73</v>
      </c>
      <c r="B11" s="40" t="s">
        <v>66</v>
      </c>
      <c r="C11" s="41" t="s">
        <v>67</v>
      </c>
      <c r="D11" s="38"/>
      <c r="E11" s="41" t="s">
        <v>74</v>
      </c>
      <c r="F11" s="38" t="s">
        <v>69</v>
      </c>
      <c r="G11" s="38"/>
      <c r="H11" s="38"/>
      <c r="I11" s="38"/>
      <c r="J11" s="40"/>
      <c r="K11" s="189"/>
      <c r="L11" s="240" t="s">
        <v>70</v>
      </c>
      <c r="M11" s="241" t="s">
        <v>70</v>
      </c>
      <c r="N11" s="242" t="s">
        <v>71</v>
      </c>
      <c r="O11" s="234"/>
      <c r="P11" s="306">
        <v>1.5</v>
      </c>
      <c r="Q11" s="307">
        <v>0.6</v>
      </c>
      <c r="R11" s="307">
        <v>0.6</v>
      </c>
      <c r="S11" s="307">
        <v>1</v>
      </c>
      <c r="T11" s="307">
        <v>0.9</v>
      </c>
      <c r="U11" s="266">
        <f t="shared" si="0"/>
        <v>0.9</v>
      </c>
    </row>
    <row r="12" spans="1:21" s="48" customFormat="1" ht="15" customHeight="1" outlineLevel="1" x14ac:dyDescent="0.2">
      <c r="A12" s="43" t="s">
        <v>75</v>
      </c>
      <c r="B12" s="38" t="s">
        <v>66</v>
      </c>
      <c r="C12" s="41" t="s">
        <v>67</v>
      </c>
      <c r="D12" s="38"/>
      <c r="E12" s="41" t="s">
        <v>76</v>
      </c>
      <c r="F12" s="38" t="s">
        <v>69</v>
      </c>
      <c r="G12" s="38"/>
      <c r="H12" s="38"/>
      <c r="I12" s="38"/>
      <c r="J12" s="40"/>
      <c r="K12" s="189"/>
      <c r="L12" s="243" t="s">
        <v>70</v>
      </c>
      <c r="M12" s="241" t="s">
        <v>70</v>
      </c>
      <c r="N12" s="242" t="s">
        <v>71</v>
      </c>
      <c r="O12" s="234"/>
      <c r="P12" s="306">
        <v>1.5</v>
      </c>
      <c r="Q12" s="307">
        <v>0.6</v>
      </c>
      <c r="R12" s="307">
        <v>0.2</v>
      </c>
      <c r="S12" s="307">
        <v>1</v>
      </c>
      <c r="T12" s="307">
        <v>0.9</v>
      </c>
      <c r="U12" s="266">
        <f t="shared" si="0"/>
        <v>0.9</v>
      </c>
    </row>
    <row r="13" spans="1:21" s="48" customFormat="1" ht="15" customHeight="1" outlineLevel="1" x14ac:dyDescent="0.2">
      <c r="A13" s="43"/>
      <c r="B13" s="38"/>
      <c r="C13" s="41"/>
      <c r="D13" s="38"/>
      <c r="E13" s="161"/>
      <c r="F13" s="38"/>
      <c r="G13" s="38"/>
      <c r="H13" s="38"/>
      <c r="I13" s="38"/>
      <c r="J13" s="40"/>
      <c r="K13" s="189"/>
      <c r="L13" s="244"/>
      <c r="M13" s="245"/>
      <c r="N13" s="246"/>
      <c r="O13" s="234"/>
      <c r="P13" s="306"/>
      <c r="Q13" s="307"/>
      <c r="R13" s="307"/>
      <c r="S13" s="307"/>
      <c r="T13" s="307"/>
      <c r="U13" s="266"/>
    </row>
    <row r="14" spans="1:21" s="48" customFormat="1" ht="15" customHeight="1" outlineLevel="1" x14ac:dyDescent="0.25">
      <c r="A14" s="43"/>
      <c r="B14" s="38"/>
      <c r="C14" s="41"/>
      <c r="D14" s="38"/>
      <c r="E14" s="37"/>
      <c r="F14" s="38"/>
      <c r="G14" s="38"/>
      <c r="H14" s="38"/>
      <c r="I14" s="38"/>
      <c r="J14" s="40"/>
      <c r="K14" s="189"/>
      <c r="L14" s="244"/>
      <c r="M14" s="245"/>
      <c r="N14" s="247"/>
      <c r="O14" s="234"/>
      <c r="P14" s="306"/>
      <c r="Q14" s="307"/>
      <c r="R14" s="307"/>
      <c r="S14" s="307"/>
      <c r="T14" s="307"/>
      <c r="U14" s="266"/>
    </row>
    <row r="15" spans="1:21" s="48" customFormat="1" ht="15" customHeight="1" outlineLevel="1" x14ac:dyDescent="0.25">
      <c r="A15" s="43" t="s">
        <v>77</v>
      </c>
      <c r="B15" s="38" t="s">
        <v>66</v>
      </c>
      <c r="C15" s="185" t="s">
        <v>67</v>
      </c>
      <c r="D15" s="38"/>
      <c r="E15" s="41" t="s">
        <v>78</v>
      </c>
      <c r="F15" s="38"/>
      <c r="G15" s="38"/>
      <c r="H15" s="38"/>
      <c r="I15" s="38"/>
      <c r="J15" s="40"/>
      <c r="K15" s="40"/>
      <c r="L15" s="240" t="s">
        <v>70</v>
      </c>
      <c r="M15" s="248" t="s">
        <v>79</v>
      </c>
      <c r="N15" s="242" t="s">
        <v>71</v>
      </c>
      <c r="O15" s="234"/>
      <c r="P15" s="306">
        <v>2.5</v>
      </c>
      <c r="Q15" s="307">
        <v>0.8</v>
      </c>
      <c r="R15" s="307">
        <v>0.6</v>
      </c>
      <c r="S15" s="307">
        <v>1</v>
      </c>
      <c r="T15" s="307">
        <v>0.9</v>
      </c>
      <c r="U15" s="266">
        <f t="shared" si="0"/>
        <v>0.9</v>
      </c>
    </row>
    <row r="16" spans="1:21" s="48" customFormat="1" ht="15" customHeight="1" outlineLevel="1" x14ac:dyDescent="0.25">
      <c r="A16" s="43" t="s">
        <v>80</v>
      </c>
      <c r="B16" s="38" t="s">
        <v>66</v>
      </c>
      <c r="C16" s="185" t="s">
        <v>67</v>
      </c>
      <c r="D16" s="38"/>
      <c r="E16" s="41" t="s">
        <v>81</v>
      </c>
      <c r="F16" s="38" t="s">
        <v>69</v>
      </c>
      <c r="G16" s="38"/>
      <c r="H16" s="38"/>
      <c r="I16" s="38"/>
      <c r="J16" s="40"/>
      <c r="K16" s="40"/>
      <c r="L16" s="240" t="s">
        <v>70</v>
      </c>
      <c r="M16" s="248" t="s">
        <v>79</v>
      </c>
      <c r="N16" s="242" t="s">
        <v>71</v>
      </c>
      <c r="O16" s="234"/>
      <c r="P16" s="306">
        <v>2.5</v>
      </c>
      <c r="Q16" s="307">
        <v>0.8</v>
      </c>
      <c r="R16" s="307">
        <v>0.7</v>
      </c>
      <c r="S16" s="307">
        <v>1</v>
      </c>
      <c r="T16" s="307">
        <v>0.9</v>
      </c>
      <c r="U16" s="266">
        <f t="shared" si="0"/>
        <v>0.9</v>
      </c>
    </row>
    <row r="17" spans="1:21" s="48" customFormat="1" ht="15" customHeight="1" outlineLevel="1" x14ac:dyDescent="0.25">
      <c r="A17" s="43" t="s">
        <v>82</v>
      </c>
      <c r="B17" s="38" t="s">
        <v>66</v>
      </c>
      <c r="C17" s="185" t="s">
        <v>67</v>
      </c>
      <c r="D17" s="38"/>
      <c r="E17" s="161" t="s">
        <v>83</v>
      </c>
      <c r="F17" s="38" t="s">
        <v>69</v>
      </c>
      <c r="G17" s="38"/>
      <c r="H17" s="38"/>
      <c r="I17" s="38"/>
      <c r="J17" s="40"/>
      <c r="K17" s="40"/>
      <c r="L17" s="240" t="s">
        <v>70</v>
      </c>
      <c r="M17" s="248" t="s">
        <v>79</v>
      </c>
      <c r="N17" s="242" t="s">
        <v>71</v>
      </c>
      <c r="O17" s="234"/>
      <c r="P17" s="306">
        <v>2.5</v>
      </c>
      <c r="Q17" s="307">
        <v>0.8</v>
      </c>
      <c r="R17" s="307">
        <v>0.7</v>
      </c>
      <c r="S17" s="307">
        <v>1</v>
      </c>
      <c r="T17" s="307">
        <v>0.8</v>
      </c>
      <c r="U17" s="266">
        <f t="shared" si="0"/>
        <v>0.8</v>
      </c>
    </row>
    <row r="18" spans="1:21" s="48" customFormat="1" ht="15" customHeight="1" outlineLevel="1" x14ac:dyDescent="0.25">
      <c r="A18" s="43" t="s">
        <v>84</v>
      </c>
      <c r="B18" s="38" t="s">
        <v>66</v>
      </c>
      <c r="C18" s="185" t="s">
        <v>67</v>
      </c>
      <c r="D18" s="38"/>
      <c r="E18" s="161" t="e">
        <f>"BLDG. 642 &amp; 190 &amp; 651 - "&amp;MID(#REF!,FIND(" ",#REF!,22)+1,100)</f>
        <v>#REF!</v>
      </c>
      <c r="F18" s="38" t="s">
        <v>69</v>
      </c>
      <c r="G18" s="38"/>
      <c r="H18" s="38"/>
      <c r="I18" s="38"/>
      <c r="J18" s="40"/>
      <c r="K18" s="40"/>
      <c r="L18" s="244"/>
      <c r="M18" s="245"/>
      <c r="N18" s="249"/>
      <c r="O18" s="234"/>
      <c r="P18" s="306"/>
      <c r="Q18" s="307"/>
      <c r="R18" s="307"/>
      <c r="S18" s="307"/>
      <c r="T18" s="307"/>
      <c r="U18" s="266"/>
    </row>
    <row r="19" spans="1:21" s="48" customFormat="1" ht="15" customHeight="1" outlineLevel="1" x14ac:dyDescent="0.25">
      <c r="A19" s="43" t="s">
        <v>85</v>
      </c>
      <c r="B19" s="38" t="s">
        <v>66</v>
      </c>
      <c r="C19" s="185" t="s">
        <v>67</v>
      </c>
      <c r="D19" s="38"/>
      <c r="E19" s="161" t="e">
        <f>"BLDG. 642 &amp; 190 &amp; 651 - "&amp;MID(#REF!,FIND(" ",#REF!,22)+1,100)</f>
        <v>#REF!</v>
      </c>
      <c r="F19" s="38" t="s">
        <v>69</v>
      </c>
      <c r="G19" s="38"/>
      <c r="H19" s="38"/>
      <c r="I19" s="38"/>
      <c r="J19" s="40"/>
      <c r="K19" s="40"/>
      <c r="L19" s="244"/>
      <c r="M19" s="245"/>
      <c r="N19" s="249"/>
      <c r="O19" s="234"/>
      <c r="P19" s="306"/>
      <c r="Q19" s="307"/>
      <c r="R19" s="307"/>
      <c r="S19" s="307"/>
      <c r="T19" s="307"/>
      <c r="U19" s="266"/>
    </row>
    <row r="20" spans="1:21" s="48" customFormat="1" ht="15" customHeight="1" outlineLevel="1" x14ac:dyDescent="0.25">
      <c r="A20" s="43" t="s">
        <v>86</v>
      </c>
      <c r="B20" s="38" t="s">
        <v>66</v>
      </c>
      <c r="C20" s="185" t="s">
        <v>67</v>
      </c>
      <c r="D20" s="38"/>
      <c r="E20" s="161" t="e">
        <f>"BLDG. 642 &amp; 190 &amp; 651 - "&amp;MID(#REF!,FIND(" ",#REF!,22)+1,100)</f>
        <v>#REF!</v>
      </c>
      <c r="F20" s="38" t="s">
        <v>69</v>
      </c>
      <c r="G20" s="38"/>
      <c r="H20" s="38"/>
      <c r="I20" s="38"/>
      <c r="J20" s="40"/>
      <c r="K20" s="40"/>
      <c r="L20" s="240" t="s">
        <v>70</v>
      </c>
      <c r="M20" s="248" t="s">
        <v>79</v>
      </c>
      <c r="N20" s="242" t="s">
        <v>71</v>
      </c>
      <c r="O20" s="234"/>
      <c r="P20" s="306">
        <v>2.5</v>
      </c>
      <c r="Q20" s="307">
        <v>0.6</v>
      </c>
      <c r="R20" s="307">
        <v>0.6</v>
      </c>
      <c r="S20" s="307">
        <v>1</v>
      </c>
      <c r="T20" s="307">
        <v>0.9</v>
      </c>
      <c r="U20" s="266">
        <f t="shared" si="0"/>
        <v>0.9</v>
      </c>
    </row>
    <row r="21" spans="1:21" s="48" customFormat="1" ht="15" customHeight="1" outlineLevel="1" x14ac:dyDescent="0.25">
      <c r="A21" s="43" t="s">
        <v>87</v>
      </c>
      <c r="B21" s="38" t="s">
        <v>66</v>
      </c>
      <c r="C21" s="185" t="s">
        <v>67</v>
      </c>
      <c r="D21" s="38"/>
      <c r="E21" s="161" t="s">
        <v>88</v>
      </c>
      <c r="F21" s="38" t="s">
        <v>69</v>
      </c>
      <c r="G21" s="38"/>
      <c r="H21" s="38"/>
      <c r="I21" s="38"/>
      <c r="J21" s="40"/>
      <c r="K21" s="40"/>
      <c r="L21" s="240" t="s">
        <v>70</v>
      </c>
      <c r="M21" s="248" t="s">
        <v>79</v>
      </c>
      <c r="N21" s="242" t="s">
        <v>71</v>
      </c>
      <c r="O21" s="234"/>
      <c r="P21" s="306">
        <v>2.5</v>
      </c>
      <c r="Q21" s="307">
        <v>0.3</v>
      </c>
      <c r="R21" s="307">
        <v>0.6</v>
      </c>
      <c r="S21" s="307">
        <v>1</v>
      </c>
      <c r="T21" s="307">
        <v>0.9</v>
      </c>
      <c r="U21" s="266">
        <f t="shared" si="0"/>
        <v>0.9</v>
      </c>
    </row>
    <row r="22" spans="1:21" s="48" customFormat="1" ht="15" customHeight="1" outlineLevel="1" x14ac:dyDescent="0.25">
      <c r="A22" s="43"/>
      <c r="B22" s="38"/>
      <c r="C22" s="185"/>
      <c r="D22" s="38"/>
      <c r="E22" s="161"/>
      <c r="F22" s="38"/>
      <c r="G22" s="38"/>
      <c r="H22" s="38"/>
      <c r="I22" s="38"/>
      <c r="J22" s="40"/>
      <c r="K22" s="40"/>
      <c r="L22" s="240" t="s">
        <v>70</v>
      </c>
      <c r="M22" s="248" t="s">
        <v>79</v>
      </c>
      <c r="N22" s="242" t="s">
        <v>71</v>
      </c>
      <c r="O22" s="234"/>
      <c r="P22" s="306">
        <v>2.5</v>
      </c>
      <c r="Q22" s="307">
        <v>0.3</v>
      </c>
      <c r="R22" s="307">
        <v>0.1</v>
      </c>
      <c r="S22" s="307">
        <v>1</v>
      </c>
      <c r="T22" s="307">
        <v>0.7</v>
      </c>
      <c r="U22" s="266">
        <f t="shared" si="0"/>
        <v>0.7</v>
      </c>
    </row>
    <row r="23" spans="1:21" s="48" customFormat="1" ht="15" customHeight="1" outlineLevel="1" x14ac:dyDescent="0.25">
      <c r="A23" s="41"/>
      <c r="B23" s="38"/>
      <c r="C23" s="41"/>
      <c r="D23" s="38"/>
      <c r="E23" s="37"/>
      <c r="F23" s="38"/>
      <c r="G23" s="38"/>
      <c r="H23" s="38"/>
      <c r="I23" s="38"/>
      <c r="J23" s="40"/>
      <c r="K23" s="40"/>
      <c r="L23" s="244"/>
      <c r="M23" s="245"/>
      <c r="N23" s="249"/>
      <c r="O23" s="234"/>
      <c r="P23" s="306"/>
      <c r="Q23" s="307"/>
      <c r="R23" s="307"/>
      <c r="S23" s="307"/>
      <c r="T23" s="307"/>
      <c r="U23" s="266"/>
    </row>
    <row r="24" spans="1:21" s="48" customFormat="1" ht="15" customHeight="1" outlineLevel="1" x14ac:dyDescent="0.2">
      <c r="A24" s="43" t="s">
        <v>89</v>
      </c>
      <c r="B24" s="38" t="s">
        <v>66</v>
      </c>
      <c r="C24" s="185" t="s">
        <v>67</v>
      </c>
      <c r="D24" s="38"/>
      <c r="E24" s="42" t="s">
        <v>90</v>
      </c>
      <c r="F24" s="38" t="s">
        <v>69</v>
      </c>
      <c r="G24" s="38"/>
      <c r="H24" s="38"/>
      <c r="I24" s="38"/>
      <c r="J24" s="40"/>
      <c r="K24" s="40"/>
      <c r="L24" s="244"/>
      <c r="M24" s="245"/>
      <c r="N24" s="249"/>
      <c r="O24" s="234"/>
      <c r="P24" s="306"/>
      <c r="Q24" s="307"/>
      <c r="R24" s="307"/>
      <c r="S24" s="307"/>
      <c r="T24" s="307"/>
      <c r="U24" s="266"/>
    </row>
    <row r="25" spans="1:21" s="48" customFormat="1" ht="15" customHeight="1" outlineLevel="1" x14ac:dyDescent="0.2">
      <c r="A25" s="43" t="s">
        <v>91</v>
      </c>
      <c r="B25" s="38" t="s">
        <v>66</v>
      </c>
      <c r="C25" s="185" t="s">
        <v>67</v>
      </c>
      <c r="D25" s="38"/>
      <c r="E25" s="42" t="s">
        <v>92</v>
      </c>
      <c r="F25" s="38" t="s">
        <v>69</v>
      </c>
      <c r="G25" s="38"/>
      <c r="H25" s="38"/>
      <c r="I25" s="38"/>
      <c r="J25" s="40"/>
      <c r="K25" s="40"/>
      <c r="L25" s="240" t="s">
        <v>70</v>
      </c>
      <c r="M25" s="241" t="s">
        <v>79</v>
      </c>
      <c r="N25" s="242" t="s">
        <v>71</v>
      </c>
      <c r="O25" s="234"/>
      <c r="P25" s="306">
        <v>1.5</v>
      </c>
      <c r="Q25" s="307">
        <v>0.6</v>
      </c>
      <c r="R25" s="307">
        <v>0.6</v>
      </c>
      <c r="S25" s="307">
        <v>1</v>
      </c>
      <c r="T25" s="307">
        <v>0.9</v>
      </c>
      <c r="U25" s="266">
        <f t="shared" si="0"/>
        <v>0.9</v>
      </c>
    </row>
    <row r="26" spans="1:21" s="48" customFormat="1" ht="15" customHeight="1" outlineLevel="1" x14ac:dyDescent="0.2">
      <c r="A26" s="43" t="s">
        <v>93</v>
      </c>
      <c r="B26" s="38" t="s">
        <v>66</v>
      </c>
      <c r="C26" s="185" t="s">
        <v>67</v>
      </c>
      <c r="D26" s="38"/>
      <c r="E26" s="42" t="s">
        <v>94</v>
      </c>
      <c r="F26" s="38" t="s">
        <v>69</v>
      </c>
      <c r="G26" s="38"/>
      <c r="H26" s="38"/>
      <c r="I26" s="38"/>
      <c r="J26" s="40"/>
      <c r="K26" s="40"/>
      <c r="L26" s="240" t="s">
        <v>70</v>
      </c>
      <c r="M26" s="241" t="s">
        <v>79</v>
      </c>
      <c r="N26" s="242" t="s">
        <v>71</v>
      </c>
      <c r="O26" s="234"/>
      <c r="P26" s="306">
        <v>0.5</v>
      </c>
      <c r="Q26" s="307">
        <v>0</v>
      </c>
      <c r="R26" s="307">
        <v>0</v>
      </c>
      <c r="S26" s="307">
        <v>1</v>
      </c>
      <c r="T26" s="307">
        <v>0.3</v>
      </c>
      <c r="U26" s="266">
        <f t="shared" si="0"/>
        <v>0.3</v>
      </c>
    </row>
    <row r="27" spans="1:21" s="48" customFormat="1" ht="15" customHeight="1" outlineLevel="1" x14ac:dyDescent="0.2">
      <c r="A27" s="43" t="s">
        <v>95</v>
      </c>
      <c r="B27" s="38" t="s">
        <v>66</v>
      </c>
      <c r="C27" s="185" t="s">
        <v>67</v>
      </c>
      <c r="D27" s="38"/>
      <c r="E27" s="42" t="s">
        <v>96</v>
      </c>
      <c r="F27" s="38" t="s">
        <v>69</v>
      </c>
      <c r="G27" s="38"/>
      <c r="H27" s="38"/>
      <c r="I27" s="38"/>
      <c r="J27" s="40"/>
      <c r="K27" s="40"/>
      <c r="L27" s="240" t="s">
        <v>70</v>
      </c>
      <c r="M27" s="241" t="s">
        <v>79</v>
      </c>
      <c r="N27" s="242" t="s">
        <v>71</v>
      </c>
      <c r="O27" s="234"/>
      <c r="P27" s="306">
        <v>0.5</v>
      </c>
      <c r="Q27" s="307">
        <v>0</v>
      </c>
      <c r="R27" s="307">
        <v>0</v>
      </c>
      <c r="S27" s="307">
        <v>1</v>
      </c>
      <c r="T27" s="307">
        <v>0.3</v>
      </c>
      <c r="U27" s="266">
        <f t="shared" si="0"/>
        <v>0.3</v>
      </c>
    </row>
    <row r="28" spans="1:21" s="48" customFormat="1" ht="15" customHeight="1" outlineLevel="1" x14ac:dyDescent="0.2">
      <c r="A28" s="43" t="s">
        <v>95</v>
      </c>
      <c r="B28" s="38" t="s">
        <v>66</v>
      </c>
      <c r="C28" s="185" t="s">
        <v>67</v>
      </c>
      <c r="D28" s="38"/>
      <c r="E28" s="42" t="s">
        <v>97</v>
      </c>
      <c r="F28" s="38" t="s">
        <v>69</v>
      </c>
      <c r="G28" s="38"/>
      <c r="H28" s="38"/>
      <c r="I28" s="38"/>
      <c r="J28" s="40"/>
      <c r="K28" s="40"/>
      <c r="L28" s="240" t="s">
        <v>70</v>
      </c>
      <c r="M28" s="241" t="s">
        <v>79</v>
      </c>
      <c r="N28" s="242" t="s">
        <v>71</v>
      </c>
      <c r="O28" s="234"/>
      <c r="P28" s="306">
        <v>0.5</v>
      </c>
      <c r="Q28" s="307">
        <v>0</v>
      </c>
      <c r="R28" s="307">
        <v>0</v>
      </c>
      <c r="S28" s="307">
        <v>1</v>
      </c>
      <c r="T28" s="307">
        <v>0.3</v>
      </c>
      <c r="U28" s="266">
        <f t="shared" si="0"/>
        <v>0.3</v>
      </c>
    </row>
    <row r="29" spans="1:21" s="48" customFormat="1" ht="15" customHeight="1" outlineLevel="1" x14ac:dyDescent="0.2">
      <c r="A29" s="43"/>
      <c r="B29" s="38"/>
      <c r="C29" s="185"/>
      <c r="D29" s="38"/>
      <c r="E29" s="42"/>
      <c r="F29" s="38"/>
      <c r="G29" s="38"/>
      <c r="H29" s="38"/>
      <c r="I29" s="38"/>
      <c r="J29" s="40"/>
      <c r="K29" s="37"/>
      <c r="L29" s="240" t="s">
        <v>70</v>
      </c>
      <c r="M29" s="245" t="s">
        <v>98</v>
      </c>
      <c r="N29" s="242" t="s">
        <v>99</v>
      </c>
      <c r="O29" s="234"/>
      <c r="P29" s="306">
        <v>1.5</v>
      </c>
      <c r="Q29" s="307">
        <v>0.3</v>
      </c>
      <c r="R29" s="307">
        <v>0.7</v>
      </c>
      <c r="S29" s="307">
        <v>1</v>
      </c>
      <c r="T29" s="307">
        <v>0.8</v>
      </c>
      <c r="U29" s="266">
        <f t="shared" si="0"/>
        <v>0.8</v>
      </c>
    </row>
    <row r="30" spans="1:21" s="48" customFormat="1" ht="15" customHeight="1" outlineLevel="1" x14ac:dyDescent="0.2">
      <c r="A30" s="43"/>
      <c r="B30" s="38"/>
      <c r="C30" s="185"/>
      <c r="D30" s="38"/>
      <c r="E30" s="42"/>
      <c r="F30" s="38"/>
      <c r="G30" s="38"/>
      <c r="H30" s="38"/>
      <c r="I30" s="38"/>
      <c r="J30" s="40"/>
      <c r="K30" s="40"/>
      <c r="L30" s="240" t="s">
        <v>70</v>
      </c>
      <c r="M30" s="245" t="s">
        <v>98</v>
      </c>
      <c r="N30" s="242" t="s">
        <v>99</v>
      </c>
      <c r="O30" s="234"/>
      <c r="P30" s="306">
        <v>1</v>
      </c>
      <c r="Q30" s="307">
        <v>0.3</v>
      </c>
      <c r="R30" s="307">
        <v>0.3</v>
      </c>
      <c r="S30" s="307">
        <v>1</v>
      </c>
      <c r="T30" s="307">
        <v>0.8</v>
      </c>
      <c r="U30" s="266">
        <f t="shared" si="0"/>
        <v>0.8</v>
      </c>
    </row>
    <row r="31" spans="1:21" s="48" customFormat="1" ht="15" customHeight="1" thickBot="1" x14ac:dyDescent="0.25">
      <c r="A31" s="41"/>
      <c r="B31" s="38"/>
      <c r="C31" s="41"/>
      <c r="D31" s="38"/>
      <c r="E31" s="43" t="str">
        <f>"SUB-TOTAL "&amp;UPPER(A7)&amp;" DRAWINGS"</f>
        <v>SUB-TOTAL GENERAL DRAWING DRAWINGS</v>
      </c>
      <c r="F31" s="38"/>
      <c r="G31" s="38"/>
      <c r="H31" s="38"/>
      <c r="I31" s="115">
        <f>COUNTA(F9:F28)</f>
        <v>15</v>
      </c>
      <c r="J31" s="36"/>
      <c r="K31" s="36"/>
      <c r="L31" s="240" t="s">
        <v>70</v>
      </c>
      <c r="M31" s="245" t="s">
        <v>98</v>
      </c>
      <c r="N31" s="250" t="s">
        <v>99</v>
      </c>
      <c r="O31" s="234"/>
      <c r="P31" s="306">
        <v>1</v>
      </c>
      <c r="Q31" s="307">
        <v>0</v>
      </c>
      <c r="R31" s="307">
        <v>0</v>
      </c>
      <c r="S31" s="307">
        <v>1</v>
      </c>
      <c r="T31" s="307">
        <v>0.8</v>
      </c>
      <c r="U31" s="266">
        <f t="shared" si="0"/>
        <v>0.8</v>
      </c>
    </row>
    <row r="32" spans="1:21" s="48" customFormat="1" ht="15" customHeight="1" thickTop="1" x14ac:dyDescent="0.2">
      <c r="A32" s="41"/>
      <c r="B32" s="38"/>
      <c r="C32" s="41"/>
      <c r="D32" s="38"/>
      <c r="E32" s="43"/>
      <c r="F32" s="38"/>
      <c r="G32" s="38"/>
      <c r="H32" s="38"/>
      <c r="I32" s="38"/>
      <c r="J32" s="36"/>
      <c r="K32" s="36"/>
      <c r="L32" s="240" t="s">
        <v>70</v>
      </c>
      <c r="M32" s="245" t="s">
        <v>98</v>
      </c>
      <c r="N32" s="250" t="s">
        <v>99</v>
      </c>
      <c r="O32" s="234"/>
      <c r="P32" s="306">
        <v>1</v>
      </c>
      <c r="Q32" s="307">
        <v>0</v>
      </c>
      <c r="R32" s="307">
        <v>0</v>
      </c>
      <c r="S32" s="307">
        <v>1</v>
      </c>
      <c r="T32" s="307">
        <v>0.5</v>
      </c>
      <c r="U32" s="266">
        <f t="shared" si="0"/>
        <v>0.5</v>
      </c>
    </row>
    <row r="33" spans="1:21" s="48" customFormat="1" ht="15" customHeight="1" x14ac:dyDescent="0.25">
      <c r="A33" s="32" t="s">
        <v>100</v>
      </c>
      <c r="B33" s="187"/>
      <c r="C33" s="32"/>
      <c r="D33" s="11"/>
      <c r="E33" s="11"/>
      <c r="F33" s="11"/>
      <c r="G33" s="11"/>
      <c r="H33" s="11"/>
      <c r="I33" s="11"/>
      <c r="J33" s="11"/>
      <c r="K33" s="11"/>
      <c r="L33" s="240" t="s">
        <v>70</v>
      </c>
      <c r="M33" s="241" t="s">
        <v>70</v>
      </c>
      <c r="N33" s="242" t="s">
        <v>71</v>
      </c>
      <c r="O33" s="234"/>
      <c r="P33" s="306">
        <v>1</v>
      </c>
      <c r="Q33" s="307">
        <v>0</v>
      </c>
      <c r="R33" s="307">
        <v>0.4</v>
      </c>
      <c r="S33" s="307">
        <v>1</v>
      </c>
      <c r="T33" s="307">
        <v>0.5</v>
      </c>
      <c r="U33" s="266">
        <f t="shared" si="0"/>
        <v>0.5</v>
      </c>
    </row>
    <row r="34" spans="1:21" s="48" customFormat="1" ht="15" customHeight="1" x14ac:dyDescent="0.2">
      <c r="A34" s="37"/>
      <c r="B34" s="188"/>
      <c r="C34" s="37"/>
      <c r="D34" s="38"/>
      <c r="E34" s="41"/>
      <c r="F34" s="38"/>
      <c r="G34" s="38"/>
      <c r="H34" s="38"/>
      <c r="I34" s="38"/>
      <c r="J34" s="40"/>
      <c r="K34" s="40"/>
      <c r="L34" s="240"/>
      <c r="M34" s="241"/>
      <c r="N34" s="251"/>
      <c r="O34" s="234"/>
      <c r="P34" s="306"/>
      <c r="Q34" s="307"/>
      <c r="R34" s="307"/>
      <c r="S34" s="307"/>
      <c r="T34" s="307"/>
      <c r="U34" s="266"/>
    </row>
    <row r="35" spans="1:21" s="48" customFormat="1" ht="15" customHeight="1" outlineLevel="1" x14ac:dyDescent="0.2">
      <c r="A35" s="43" t="s">
        <v>101</v>
      </c>
      <c r="B35" s="38" t="s">
        <v>66</v>
      </c>
      <c r="C35" s="185" t="s">
        <v>67</v>
      </c>
      <c r="D35" s="38"/>
      <c r="E35" s="161" t="s">
        <v>102</v>
      </c>
      <c r="F35" s="38" t="s">
        <v>69</v>
      </c>
      <c r="G35" s="37"/>
      <c r="H35" s="37"/>
      <c r="I35" s="37"/>
      <c r="J35" s="37"/>
      <c r="K35" s="37"/>
      <c r="L35" s="244"/>
      <c r="M35" s="245"/>
      <c r="N35" s="246"/>
      <c r="O35" s="234"/>
      <c r="P35" s="306"/>
      <c r="Q35" s="307"/>
      <c r="R35" s="307"/>
      <c r="S35" s="307"/>
      <c r="T35" s="307"/>
      <c r="U35" s="266"/>
    </row>
    <row r="36" spans="1:21" s="48" customFormat="1" ht="15" customHeight="1" outlineLevel="1" x14ac:dyDescent="0.25">
      <c r="A36" s="43" t="s">
        <v>103</v>
      </c>
      <c r="B36" s="38" t="s">
        <v>66</v>
      </c>
      <c r="C36" s="185" t="s">
        <v>67</v>
      </c>
      <c r="D36" s="38"/>
      <c r="E36" s="161" t="s">
        <v>104</v>
      </c>
      <c r="F36" s="38" t="s">
        <v>69</v>
      </c>
      <c r="G36" s="37"/>
      <c r="H36" s="37"/>
      <c r="I36" s="37"/>
      <c r="J36" s="37"/>
      <c r="K36" s="37"/>
      <c r="L36" s="240" t="s">
        <v>70</v>
      </c>
      <c r="M36" s="248" t="s">
        <v>79</v>
      </c>
      <c r="N36" s="242" t="s">
        <v>71</v>
      </c>
      <c r="O36" s="234"/>
      <c r="P36" s="306">
        <v>1</v>
      </c>
      <c r="Q36" s="307">
        <v>0.6</v>
      </c>
      <c r="R36" s="307">
        <v>0.6</v>
      </c>
      <c r="S36" s="307">
        <v>1</v>
      </c>
      <c r="T36" s="307">
        <v>0.9</v>
      </c>
      <c r="U36" s="266">
        <f t="shared" si="0"/>
        <v>0.9</v>
      </c>
    </row>
    <row r="37" spans="1:21" s="48" customFormat="1" ht="15" customHeight="1" outlineLevel="1" x14ac:dyDescent="0.25">
      <c r="A37" s="43" t="s">
        <v>105</v>
      </c>
      <c r="B37" s="38" t="s">
        <v>66</v>
      </c>
      <c r="C37" s="185" t="s">
        <v>67</v>
      </c>
      <c r="D37" s="38"/>
      <c r="E37" s="161" t="s">
        <v>106</v>
      </c>
      <c r="F37" s="38" t="s">
        <v>69</v>
      </c>
      <c r="G37" s="38"/>
      <c r="H37" s="38"/>
      <c r="I37" s="38"/>
      <c r="J37" s="40"/>
      <c r="K37" s="40"/>
      <c r="L37" s="240" t="s">
        <v>70</v>
      </c>
      <c r="M37" s="248" t="s">
        <v>79</v>
      </c>
      <c r="N37" s="242" t="s">
        <v>71</v>
      </c>
      <c r="O37" s="234"/>
      <c r="P37" s="306">
        <v>1.5</v>
      </c>
      <c r="Q37" s="307">
        <v>0.6</v>
      </c>
      <c r="R37" s="307">
        <v>0.6</v>
      </c>
      <c r="S37" s="307">
        <v>1</v>
      </c>
      <c r="T37" s="307">
        <v>0.8</v>
      </c>
      <c r="U37" s="266">
        <f t="shared" si="0"/>
        <v>0.8</v>
      </c>
    </row>
    <row r="38" spans="1:21" s="48" customFormat="1" ht="15" customHeight="1" outlineLevel="1" x14ac:dyDescent="0.2">
      <c r="A38" s="43" t="s">
        <v>107</v>
      </c>
      <c r="B38" s="38" t="s">
        <v>66</v>
      </c>
      <c r="C38" s="185" t="s">
        <v>67</v>
      </c>
      <c r="D38" s="38"/>
      <c r="E38" s="161" t="s">
        <v>108</v>
      </c>
      <c r="F38" s="38" t="s">
        <v>69</v>
      </c>
      <c r="G38" s="38"/>
      <c r="H38" s="38"/>
      <c r="I38" s="38"/>
      <c r="J38" s="40"/>
      <c r="K38" s="40"/>
      <c r="L38" s="244"/>
      <c r="M38" s="245"/>
      <c r="N38" s="246"/>
      <c r="O38" s="234"/>
      <c r="P38" s="306"/>
      <c r="Q38" s="307"/>
      <c r="R38" s="307"/>
      <c r="S38" s="307"/>
      <c r="T38" s="307"/>
      <c r="U38" s="266"/>
    </row>
    <row r="39" spans="1:21" s="48" customFormat="1" ht="15" customHeight="1" outlineLevel="1" x14ac:dyDescent="0.2">
      <c r="A39" s="43" t="s">
        <v>109</v>
      </c>
      <c r="B39" s="38" t="s">
        <v>66</v>
      </c>
      <c r="C39" s="185" t="s">
        <v>67</v>
      </c>
      <c r="D39" s="38"/>
      <c r="E39" s="161" t="s">
        <v>110</v>
      </c>
      <c r="F39" s="38" t="s">
        <v>69</v>
      </c>
      <c r="G39" s="38"/>
      <c r="H39" s="38"/>
      <c r="I39" s="38"/>
      <c r="J39" s="40"/>
      <c r="K39" s="40"/>
      <c r="L39" s="244"/>
      <c r="M39" s="245"/>
      <c r="N39" s="246"/>
      <c r="O39" s="234"/>
      <c r="P39" s="306"/>
      <c r="Q39" s="307"/>
      <c r="R39" s="307"/>
      <c r="S39" s="307"/>
      <c r="T39" s="307"/>
      <c r="U39" s="266"/>
    </row>
    <row r="40" spans="1:21" s="48" customFormat="1" ht="15" customHeight="1" outlineLevel="1" x14ac:dyDescent="0.25">
      <c r="A40" s="43" t="s">
        <v>111</v>
      </c>
      <c r="B40" s="38" t="s">
        <v>66</v>
      </c>
      <c r="C40" s="185" t="s">
        <v>67</v>
      </c>
      <c r="D40" s="38"/>
      <c r="E40" s="161" t="s">
        <v>112</v>
      </c>
      <c r="F40" s="38" t="s">
        <v>69</v>
      </c>
      <c r="G40" s="38"/>
      <c r="H40" s="38"/>
      <c r="I40" s="38"/>
      <c r="J40" s="40"/>
      <c r="K40" s="40"/>
      <c r="L40" s="240" t="s">
        <v>70</v>
      </c>
      <c r="M40" s="248" t="s">
        <v>79</v>
      </c>
      <c r="N40" s="242" t="s">
        <v>71</v>
      </c>
      <c r="O40" s="234"/>
      <c r="P40" s="306">
        <v>1</v>
      </c>
      <c r="Q40" s="307">
        <v>0.6</v>
      </c>
      <c r="R40" s="307">
        <v>0.4</v>
      </c>
      <c r="S40" s="307">
        <v>1</v>
      </c>
      <c r="T40" s="307">
        <v>0.5</v>
      </c>
      <c r="U40" s="266">
        <f t="shared" si="0"/>
        <v>0.5</v>
      </c>
    </row>
    <row r="41" spans="1:21" s="48" customFormat="1" ht="15" customHeight="1" outlineLevel="1" x14ac:dyDescent="0.25">
      <c r="A41" s="43" t="s">
        <v>113</v>
      </c>
      <c r="B41" s="38" t="s">
        <v>66</v>
      </c>
      <c r="C41" s="185" t="s">
        <v>67</v>
      </c>
      <c r="D41" s="38"/>
      <c r="E41" s="161" t="s">
        <v>114</v>
      </c>
      <c r="F41" s="38" t="s">
        <v>69</v>
      </c>
      <c r="G41" s="38"/>
      <c r="H41" s="38"/>
      <c r="I41" s="38"/>
      <c r="J41" s="40"/>
      <c r="K41" s="40"/>
      <c r="L41" s="240" t="s">
        <v>70</v>
      </c>
      <c r="M41" s="248" t="s">
        <v>79</v>
      </c>
      <c r="N41" s="242" t="s">
        <v>71</v>
      </c>
      <c r="O41" s="234"/>
      <c r="P41" s="306">
        <v>1.5</v>
      </c>
      <c r="Q41" s="307">
        <v>0.6</v>
      </c>
      <c r="R41" s="307">
        <v>0</v>
      </c>
      <c r="S41" s="307">
        <v>1</v>
      </c>
      <c r="T41" s="307">
        <v>0.9</v>
      </c>
      <c r="U41" s="266">
        <f t="shared" si="0"/>
        <v>0.9</v>
      </c>
    </row>
    <row r="42" spans="1:21" s="48" customFormat="1" ht="15" customHeight="1" outlineLevel="1" x14ac:dyDescent="0.2">
      <c r="A42" s="43" t="s">
        <v>115</v>
      </c>
      <c r="B42" s="38" t="s">
        <v>66</v>
      </c>
      <c r="C42" s="185" t="s">
        <v>67</v>
      </c>
      <c r="D42" s="38"/>
      <c r="E42" s="42" t="s">
        <v>116</v>
      </c>
      <c r="F42" s="38" t="s">
        <v>69</v>
      </c>
      <c r="G42" s="38"/>
      <c r="H42" s="38"/>
      <c r="I42" s="38"/>
      <c r="J42" s="40"/>
      <c r="K42" s="40"/>
      <c r="L42" s="240" t="s">
        <v>70</v>
      </c>
      <c r="M42" s="248" t="s">
        <v>79</v>
      </c>
      <c r="N42" s="242" t="s">
        <v>71</v>
      </c>
      <c r="O42" s="234"/>
      <c r="P42" s="306">
        <v>1</v>
      </c>
      <c r="Q42" s="307">
        <v>0</v>
      </c>
      <c r="R42" s="307">
        <v>0</v>
      </c>
      <c r="S42" s="307">
        <v>1</v>
      </c>
      <c r="T42" s="307">
        <v>0.3</v>
      </c>
      <c r="U42" s="266">
        <f t="shared" si="0"/>
        <v>0.3</v>
      </c>
    </row>
    <row r="43" spans="1:21" s="48" customFormat="1" ht="15" customHeight="1" outlineLevel="1" x14ac:dyDescent="0.2">
      <c r="A43" s="43" t="s">
        <v>117</v>
      </c>
      <c r="B43" s="38" t="s">
        <v>66</v>
      </c>
      <c r="C43" s="185" t="s">
        <v>67</v>
      </c>
      <c r="D43" s="38"/>
      <c r="E43" s="42" t="s">
        <v>118</v>
      </c>
      <c r="F43" s="38" t="s">
        <v>69</v>
      </c>
      <c r="G43" s="38"/>
      <c r="H43" s="38"/>
      <c r="I43" s="38"/>
      <c r="J43" s="40"/>
      <c r="K43" s="40"/>
      <c r="L43" s="244"/>
      <c r="M43" s="245"/>
      <c r="N43" s="246"/>
      <c r="O43" s="234"/>
      <c r="P43" s="306"/>
      <c r="Q43" s="307"/>
      <c r="R43" s="307"/>
      <c r="S43" s="307"/>
      <c r="T43" s="307"/>
      <c r="U43" s="266"/>
    </row>
    <row r="44" spans="1:21" s="48" customFormat="1" ht="15" customHeight="1" outlineLevel="1" x14ac:dyDescent="0.2">
      <c r="A44" s="43" t="s">
        <v>119</v>
      </c>
      <c r="B44" s="38" t="s">
        <v>66</v>
      </c>
      <c r="C44" s="185" t="s">
        <v>67</v>
      </c>
      <c r="D44" s="38"/>
      <c r="E44" s="42" t="s">
        <v>120</v>
      </c>
      <c r="F44" s="38" t="s">
        <v>69</v>
      </c>
      <c r="G44" s="38"/>
      <c r="H44" s="38"/>
      <c r="I44" s="38"/>
      <c r="J44" s="40"/>
      <c r="K44" s="40"/>
      <c r="L44" s="244"/>
      <c r="M44" s="245"/>
      <c r="N44" s="246"/>
      <c r="O44" s="234"/>
      <c r="P44" s="306"/>
      <c r="Q44" s="307"/>
      <c r="R44" s="307"/>
      <c r="S44" s="307"/>
      <c r="T44" s="307"/>
      <c r="U44" s="266"/>
    </row>
    <row r="45" spans="1:21" s="48" customFormat="1" ht="15" customHeight="1" outlineLevel="1" x14ac:dyDescent="0.2">
      <c r="A45" s="43" t="s">
        <v>121</v>
      </c>
      <c r="B45" s="38" t="s">
        <v>66</v>
      </c>
      <c r="C45" s="185" t="s">
        <v>67</v>
      </c>
      <c r="D45" s="38"/>
      <c r="E45" s="42" t="s">
        <v>122</v>
      </c>
      <c r="F45" s="38" t="s">
        <v>69</v>
      </c>
      <c r="G45" s="38"/>
      <c r="H45" s="38"/>
      <c r="I45" s="38"/>
      <c r="J45" s="40"/>
      <c r="K45" s="40"/>
      <c r="L45" s="240" t="s">
        <v>70</v>
      </c>
      <c r="M45" s="241" t="s">
        <v>70</v>
      </c>
      <c r="N45" s="252" t="s">
        <v>71</v>
      </c>
      <c r="O45" s="234"/>
      <c r="P45" s="306">
        <v>1</v>
      </c>
      <c r="Q45" s="307">
        <v>0.6</v>
      </c>
      <c r="R45" s="307">
        <v>0.6</v>
      </c>
      <c r="S45" s="307">
        <v>1</v>
      </c>
      <c r="T45" s="307">
        <v>0.95</v>
      </c>
      <c r="U45" s="266">
        <f t="shared" si="0"/>
        <v>0.95</v>
      </c>
    </row>
    <row r="46" spans="1:21" s="48" customFormat="1" ht="15" customHeight="1" outlineLevel="1" x14ac:dyDescent="0.2">
      <c r="A46" s="43" t="s">
        <v>123</v>
      </c>
      <c r="B46" s="38" t="s">
        <v>66</v>
      </c>
      <c r="C46" s="185" t="s">
        <v>67</v>
      </c>
      <c r="D46" s="38"/>
      <c r="E46" s="42" t="s">
        <v>124</v>
      </c>
      <c r="F46" s="38" t="s">
        <v>69</v>
      </c>
      <c r="G46" s="38"/>
      <c r="H46" s="38"/>
      <c r="I46" s="38"/>
      <c r="J46" s="40"/>
      <c r="K46" s="40"/>
      <c r="L46" s="240" t="s">
        <v>70</v>
      </c>
      <c r="M46" s="241" t="s">
        <v>70</v>
      </c>
      <c r="N46" s="252" t="s">
        <v>71</v>
      </c>
      <c r="O46" s="234"/>
      <c r="P46" s="306">
        <v>1</v>
      </c>
      <c r="Q46" s="307">
        <v>0.6</v>
      </c>
      <c r="R46" s="307">
        <v>0.6</v>
      </c>
      <c r="S46" s="307">
        <v>1</v>
      </c>
      <c r="T46" s="307">
        <v>0.95</v>
      </c>
      <c r="U46" s="266">
        <f t="shared" si="0"/>
        <v>0.95</v>
      </c>
    </row>
    <row r="47" spans="1:21" s="48" customFormat="1" ht="15" customHeight="1" outlineLevel="1" x14ac:dyDescent="0.2">
      <c r="A47" s="43"/>
      <c r="B47" s="38"/>
      <c r="C47" s="185"/>
      <c r="D47" s="38"/>
      <c r="E47" s="42"/>
      <c r="F47" s="38"/>
      <c r="G47" s="38"/>
      <c r="H47" s="38"/>
      <c r="I47" s="38"/>
      <c r="J47" s="40"/>
      <c r="K47" s="40"/>
      <c r="L47" s="240" t="s">
        <v>70</v>
      </c>
      <c r="M47" s="241" t="s">
        <v>70</v>
      </c>
      <c r="N47" s="252" t="s">
        <v>71</v>
      </c>
      <c r="O47" s="234"/>
      <c r="P47" s="306">
        <v>1</v>
      </c>
      <c r="Q47" s="307">
        <v>0.3</v>
      </c>
      <c r="R47" s="307">
        <v>0.3</v>
      </c>
      <c r="S47" s="307">
        <v>1</v>
      </c>
      <c r="T47" s="307">
        <v>0.95</v>
      </c>
      <c r="U47" s="266">
        <f t="shared" si="0"/>
        <v>0.95</v>
      </c>
    </row>
    <row r="48" spans="1:21" s="48" customFormat="1" ht="15" customHeight="1" outlineLevel="1" x14ac:dyDescent="0.2">
      <c r="A48" s="43" t="s">
        <v>125</v>
      </c>
      <c r="B48" s="38" t="s">
        <v>66</v>
      </c>
      <c r="C48" s="185" t="s">
        <v>67</v>
      </c>
      <c r="D48" s="38"/>
      <c r="E48" s="42" t="s">
        <v>126</v>
      </c>
      <c r="F48" s="38" t="s">
        <v>69</v>
      </c>
      <c r="G48" s="38"/>
      <c r="H48" s="38"/>
      <c r="I48" s="38"/>
      <c r="J48" s="40"/>
      <c r="K48" s="40"/>
      <c r="L48" s="244"/>
      <c r="M48" s="245"/>
      <c r="N48" s="253"/>
      <c r="O48" s="234"/>
      <c r="P48" s="306"/>
      <c r="Q48" s="307"/>
      <c r="R48" s="307"/>
      <c r="S48" s="307"/>
      <c r="T48" s="307"/>
      <c r="U48" s="266"/>
    </row>
    <row r="49" spans="1:21" s="48" customFormat="1" ht="15" customHeight="1" outlineLevel="1" x14ac:dyDescent="0.2">
      <c r="A49" s="43" t="s">
        <v>127</v>
      </c>
      <c r="B49" s="38" t="s">
        <v>66</v>
      </c>
      <c r="C49" s="185" t="s">
        <v>67</v>
      </c>
      <c r="D49" s="38"/>
      <c r="E49" s="42" t="s">
        <v>128</v>
      </c>
      <c r="F49" s="38" t="s">
        <v>69</v>
      </c>
      <c r="G49" s="38"/>
      <c r="H49" s="38"/>
      <c r="I49" s="38"/>
      <c r="J49" s="40"/>
      <c r="K49" s="40"/>
      <c r="L49" s="244"/>
      <c r="M49" s="245"/>
      <c r="N49" s="253"/>
      <c r="O49" s="234"/>
      <c r="P49" s="306"/>
      <c r="Q49" s="307"/>
      <c r="R49" s="307"/>
      <c r="S49" s="307"/>
      <c r="T49" s="307"/>
      <c r="U49" s="266"/>
    </row>
    <row r="50" spans="1:21" s="48" customFormat="1" ht="15" customHeight="1" outlineLevel="1" x14ac:dyDescent="0.2">
      <c r="A50" s="43" t="s">
        <v>129</v>
      </c>
      <c r="B50" s="38" t="s">
        <v>66</v>
      </c>
      <c r="C50" s="185" t="s">
        <v>67</v>
      </c>
      <c r="D50" s="38"/>
      <c r="E50" s="42" t="s">
        <v>130</v>
      </c>
      <c r="F50" s="38" t="s">
        <v>69</v>
      </c>
      <c r="G50" s="38"/>
      <c r="H50" s="38"/>
      <c r="I50" s="38"/>
      <c r="J50" s="40"/>
      <c r="K50" s="40"/>
      <c r="L50" s="240" t="s">
        <v>70</v>
      </c>
      <c r="M50" s="241" t="s">
        <v>70</v>
      </c>
      <c r="N50" s="252" t="s">
        <v>71</v>
      </c>
      <c r="O50" s="234"/>
      <c r="P50" s="306">
        <v>1</v>
      </c>
      <c r="Q50" s="307">
        <v>0.6</v>
      </c>
      <c r="R50" s="307">
        <v>0.6</v>
      </c>
      <c r="S50" s="307">
        <v>1</v>
      </c>
      <c r="T50" s="307">
        <v>0.95</v>
      </c>
      <c r="U50" s="266">
        <f t="shared" si="0"/>
        <v>0.95</v>
      </c>
    </row>
    <row r="51" spans="1:21" s="48" customFormat="1" ht="15" customHeight="1" outlineLevel="1" x14ac:dyDescent="0.2">
      <c r="A51" s="43" t="s">
        <v>131</v>
      </c>
      <c r="B51" s="38" t="s">
        <v>66</v>
      </c>
      <c r="C51" s="185" t="s">
        <v>67</v>
      </c>
      <c r="D51" s="38"/>
      <c r="E51" s="42" t="s">
        <v>132</v>
      </c>
      <c r="F51" s="38" t="s">
        <v>69</v>
      </c>
      <c r="G51" s="38"/>
      <c r="H51" s="38"/>
      <c r="I51" s="38"/>
      <c r="J51" s="40"/>
      <c r="K51" s="40"/>
      <c r="L51" s="240" t="s">
        <v>70</v>
      </c>
      <c r="M51" s="241" t="s">
        <v>70</v>
      </c>
      <c r="N51" s="252" t="s">
        <v>71</v>
      </c>
      <c r="O51" s="234"/>
      <c r="P51" s="306">
        <v>1</v>
      </c>
      <c r="Q51" s="307">
        <v>0.3</v>
      </c>
      <c r="R51" s="307">
        <v>0.6</v>
      </c>
      <c r="S51" s="307">
        <v>1</v>
      </c>
      <c r="T51" s="307">
        <v>0.95</v>
      </c>
      <c r="U51" s="266">
        <f t="shared" si="0"/>
        <v>0.95</v>
      </c>
    </row>
    <row r="52" spans="1:21" s="48" customFormat="1" ht="15" customHeight="1" outlineLevel="1" x14ac:dyDescent="0.2">
      <c r="A52" s="43" t="s">
        <v>133</v>
      </c>
      <c r="B52" s="38" t="s">
        <v>66</v>
      </c>
      <c r="C52" s="185" t="s">
        <v>67</v>
      </c>
      <c r="D52" s="38"/>
      <c r="E52" s="42" t="s">
        <v>134</v>
      </c>
      <c r="F52" s="38" t="s">
        <v>69</v>
      </c>
      <c r="G52" s="38"/>
      <c r="H52" s="38"/>
      <c r="I52" s="38"/>
      <c r="J52" s="40"/>
      <c r="K52" s="40"/>
      <c r="L52" s="244"/>
      <c r="M52" s="245"/>
      <c r="N52" s="253"/>
      <c r="O52" s="234"/>
      <c r="P52" s="306"/>
      <c r="Q52" s="307"/>
      <c r="R52" s="307"/>
      <c r="S52" s="307"/>
      <c r="T52" s="307"/>
      <c r="U52" s="266"/>
    </row>
    <row r="53" spans="1:21" s="48" customFormat="1" ht="15" customHeight="1" outlineLevel="1" x14ac:dyDescent="0.2">
      <c r="A53" s="43" t="s">
        <v>135</v>
      </c>
      <c r="B53" s="38" t="s">
        <v>66</v>
      </c>
      <c r="C53" s="185" t="s">
        <v>67</v>
      </c>
      <c r="D53" s="38"/>
      <c r="E53" s="42" t="s">
        <v>136</v>
      </c>
      <c r="F53" s="38" t="s">
        <v>69</v>
      </c>
      <c r="G53" s="38"/>
      <c r="H53" s="38"/>
      <c r="I53" s="38"/>
      <c r="J53" s="40"/>
      <c r="K53" s="40"/>
      <c r="L53" s="254"/>
      <c r="M53" s="255"/>
      <c r="N53" s="253"/>
      <c r="O53" s="234"/>
      <c r="P53" s="306"/>
      <c r="Q53" s="307"/>
      <c r="R53" s="307"/>
      <c r="S53" s="307"/>
      <c r="T53" s="307"/>
      <c r="U53" s="266"/>
    </row>
    <row r="54" spans="1:21" s="48" customFormat="1" ht="15" customHeight="1" outlineLevel="1" x14ac:dyDescent="0.2">
      <c r="A54" s="43" t="s">
        <v>137</v>
      </c>
      <c r="B54" s="38" t="s">
        <v>66</v>
      </c>
      <c r="C54" s="185" t="s">
        <v>67</v>
      </c>
      <c r="D54" s="38"/>
      <c r="E54" s="42" t="s">
        <v>138</v>
      </c>
      <c r="F54" s="38" t="s">
        <v>69</v>
      </c>
      <c r="G54" s="38"/>
      <c r="H54" s="38"/>
      <c r="I54" s="38"/>
      <c r="J54" s="40"/>
      <c r="K54" s="40"/>
      <c r="L54" s="240" t="s">
        <v>70</v>
      </c>
      <c r="M54" s="241" t="s">
        <v>70</v>
      </c>
      <c r="N54" s="252" t="s">
        <v>71</v>
      </c>
      <c r="O54" s="234"/>
      <c r="P54" s="306">
        <v>1</v>
      </c>
      <c r="Q54" s="307">
        <v>0.3</v>
      </c>
      <c r="R54" s="307">
        <v>0</v>
      </c>
      <c r="S54" s="307">
        <v>1</v>
      </c>
      <c r="T54" s="307">
        <v>0.3</v>
      </c>
      <c r="U54" s="266">
        <f t="shared" si="0"/>
        <v>0.3</v>
      </c>
    </row>
    <row r="55" spans="1:21" s="48" customFormat="1" ht="15" customHeight="1" outlineLevel="1" x14ac:dyDescent="0.2">
      <c r="A55" s="43" t="s">
        <v>139</v>
      </c>
      <c r="B55" s="38" t="s">
        <v>66</v>
      </c>
      <c r="C55" s="185" t="s">
        <v>67</v>
      </c>
      <c r="D55" s="38"/>
      <c r="E55" s="42" t="s">
        <v>140</v>
      </c>
      <c r="F55" s="38" t="s">
        <v>69</v>
      </c>
      <c r="G55" s="38"/>
      <c r="H55" s="38"/>
      <c r="I55" s="38"/>
      <c r="J55" s="40"/>
      <c r="K55" s="40"/>
      <c r="L55" s="240" t="s">
        <v>70</v>
      </c>
      <c r="M55" s="241" t="s">
        <v>70</v>
      </c>
      <c r="N55" s="252" t="s">
        <v>71</v>
      </c>
      <c r="O55" s="234"/>
      <c r="P55" s="306">
        <v>1</v>
      </c>
      <c r="Q55" s="307">
        <v>0.6</v>
      </c>
      <c r="R55" s="307">
        <v>0.6</v>
      </c>
      <c r="S55" s="307">
        <v>1</v>
      </c>
      <c r="T55" s="307">
        <v>0.95</v>
      </c>
      <c r="U55" s="266">
        <f t="shared" si="0"/>
        <v>0.95</v>
      </c>
    </row>
    <row r="56" spans="1:21" s="48" customFormat="1" ht="15" customHeight="1" outlineLevel="1" x14ac:dyDescent="0.2">
      <c r="A56" s="43" t="s">
        <v>141</v>
      </c>
      <c r="B56" s="38" t="s">
        <v>66</v>
      </c>
      <c r="C56" s="185" t="s">
        <v>67</v>
      </c>
      <c r="D56" s="38"/>
      <c r="E56" s="42" t="s">
        <v>142</v>
      </c>
      <c r="F56" s="38" t="s">
        <v>69</v>
      </c>
      <c r="G56" s="38"/>
      <c r="H56" s="38"/>
      <c r="I56" s="38"/>
      <c r="J56" s="40"/>
      <c r="K56" s="40"/>
      <c r="L56" s="240" t="s">
        <v>70</v>
      </c>
      <c r="M56" s="241" t="s">
        <v>70</v>
      </c>
      <c r="N56" s="252" t="s">
        <v>71</v>
      </c>
      <c r="O56" s="234"/>
      <c r="P56" s="306">
        <v>1</v>
      </c>
      <c r="Q56" s="307">
        <v>0.6</v>
      </c>
      <c r="R56" s="307">
        <v>0.6</v>
      </c>
      <c r="S56" s="307">
        <v>1</v>
      </c>
      <c r="T56" s="307">
        <v>0.95</v>
      </c>
      <c r="U56" s="266">
        <f t="shared" si="0"/>
        <v>0.95</v>
      </c>
    </row>
    <row r="57" spans="1:21" s="48" customFormat="1" ht="15" customHeight="1" outlineLevel="1" x14ac:dyDescent="0.2">
      <c r="A57" s="43"/>
      <c r="B57" s="38"/>
      <c r="C57" s="185"/>
      <c r="D57" s="38"/>
      <c r="E57" s="37"/>
      <c r="F57" s="38"/>
      <c r="G57" s="38"/>
      <c r="H57" s="38"/>
      <c r="I57" s="38"/>
      <c r="J57" s="40"/>
      <c r="K57" s="40"/>
      <c r="L57" s="240" t="s">
        <v>70</v>
      </c>
      <c r="M57" s="241" t="s">
        <v>70</v>
      </c>
      <c r="N57" s="252" t="s">
        <v>71</v>
      </c>
      <c r="O57" s="234"/>
      <c r="P57" s="306">
        <v>1</v>
      </c>
      <c r="Q57" s="307">
        <v>0.6</v>
      </c>
      <c r="R57" s="307">
        <v>0.6</v>
      </c>
      <c r="S57" s="307">
        <v>1</v>
      </c>
      <c r="T57" s="307">
        <v>0.6</v>
      </c>
      <c r="U57" s="266">
        <f t="shared" si="0"/>
        <v>0.6</v>
      </c>
    </row>
    <row r="58" spans="1:21" s="48" customFormat="1" ht="15" customHeight="1" outlineLevel="1" x14ac:dyDescent="0.2">
      <c r="A58" s="43"/>
      <c r="B58" s="38"/>
      <c r="C58" s="185"/>
      <c r="D58" s="38"/>
      <c r="E58" s="37"/>
      <c r="F58" s="38"/>
      <c r="G58" s="38"/>
      <c r="H58" s="38"/>
      <c r="I58" s="38"/>
      <c r="J58" s="40"/>
      <c r="K58" s="40"/>
      <c r="L58" s="240" t="s">
        <v>70</v>
      </c>
      <c r="M58" s="241" t="s">
        <v>70</v>
      </c>
      <c r="N58" s="252" t="s">
        <v>71</v>
      </c>
      <c r="O58" s="234"/>
      <c r="P58" s="306">
        <v>1</v>
      </c>
      <c r="Q58" s="307">
        <v>0.6</v>
      </c>
      <c r="R58" s="307">
        <v>0.6</v>
      </c>
      <c r="S58" s="307">
        <v>1</v>
      </c>
      <c r="T58" s="307">
        <v>0.3</v>
      </c>
      <c r="U58" s="266">
        <f t="shared" si="0"/>
        <v>0.6</v>
      </c>
    </row>
    <row r="59" spans="1:21" s="48" customFormat="1" ht="15" customHeight="1" thickBot="1" x14ac:dyDescent="0.25">
      <c r="A59" s="41"/>
      <c r="B59" s="38"/>
      <c r="C59" s="41"/>
      <c r="D59" s="38"/>
      <c r="E59" s="43" t="str">
        <f>"SUB-TOTAL "&amp;UPPER(A33)&amp;" DRAWINGS"</f>
        <v>SUB-TOTAL BUILDING NAME OR AREA NAME 1 DRAWINGS</v>
      </c>
      <c r="F59" s="38"/>
      <c r="G59" s="38"/>
      <c r="H59" s="38"/>
      <c r="I59" s="115">
        <f>COUNTA(F35:F56)</f>
        <v>21</v>
      </c>
      <c r="J59" s="36"/>
      <c r="K59" s="36"/>
      <c r="L59" s="240" t="s">
        <v>70</v>
      </c>
      <c r="M59" s="241" t="s">
        <v>70</v>
      </c>
      <c r="N59" s="252" t="s">
        <v>71</v>
      </c>
      <c r="O59" s="234"/>
      <c r="P59" s="306">
        <v>2</v>
      </c>
      <c r="Q59" s="307">
        <v>0.6</v>
      </c>
      <c r="R59" s="307">
        <v>0.6</v>
      </c>
      <c r="S59" s="307">
        <v>1</v>
      </c>
      <c r="T59" s="307">
        <v>0.3</v>
      </c>
      <c r="U59" s="266">
        <f t="shared" si="0"/>
        <v>0.6</v>
      </c>
    </row>
    <row r="60" spans="1:21" s="62" customFormat="1" ht="15" customHeight="1" thickTop="1" x14ac:dyDescent="0.2">
      <c r="A60" s="33"/>
      <c r="B60" s="34"/>
      <c r="C60" s="33"/>
      <c r="D60" s="36"/>
      <c r="E60" s="63"/>
      <c r="F60" s="36"/>
      <c r="G60" s="36"/>
      <c r="H60" s="36"/>
      <c r="I60" s="36"/>
      <c r="J60" s="36"/>
      <c r="K60" s="36"/>
      <c r="L60" s="240" t="s">
        <v>70</v>
      </c>
      <c r="M60" s="241" t="s">
        <v>70</v>
      </c>
      <c r="N60" s="252" t="s">
        <v>71</v>
      </c>
      <c r="O60" s="256"/>
      <c r="P60" s="306">
        <v>3</v>
      </c>
      <c r="Q60" s="307">
        <v>0.6</v>
      </c>
      <c r="R60" s="307">
        <v>0.6</v>
      </c>
      <c r="S60" s="307">
        <v>1</v>
      </c>
      <c r="T60" s="307">
        <v>0.3</v>
      </c>
      <c r="U60" s="266">
        <f t="shared" si="0"/>
        <v>0.6</v>
      </c>
    </row>
    <row r="61" spans="1:21" s="48" customFormat="1" ht="15" customHeight="1" x14ac:dyDescent="0.25">
      <c r="A61" s="32" t="s">
        <v>143</v>
      </c>
      <c r="B61" s="187"/>
      <c r="C61" s="32"/>
      <c r="D61" s="11"/>
      <c r="E61" s="11"/>
      <c r="F61" s="11"/>
      <c r="G61" s="11"/>
      <c r="H61" s="11"/>
      <c r="I61" s="11"/>
      <c r="J61" s="11"/>
      <c r="K61" s="11"/>
      <c r="L61" s="240" t="s">
        <v>70</v>
      </c>
      <c r="M61" s="241" t="s">
        <v>70</v>
      </c>
      <c r="N61" s="252" t="s">
        <v>71</v>
      </c>
      <c r="O61" s="257"/>
      <c r="P61" s="306">
        <v>4</v>
      </c>
      <c r="Q61" s="307">
        <v>0.6</v>
      </c>
      <c r="R61" s="307">
        <v>0.6</v>
      </c>
      <c r="S61" s="307">
        <v>1</v>
      </c>
      <c r="T61" s="307">
        <v>0.3</v>
      </c>
      <c r="U61" s="266">
        <f t="shared" si="0"/>
        <v>0.6</v>
      </c>
    </row>
    <row r="62" spans="1:21" s="48" customFormat="1" ht="15" customHeight="1" x14ac:dyDescent="0.25">
      <c r="A62" s="37"/>
      <c r="B62" s="188"/>
      <c r="C62" s="37"/>
      <c r="D62" s="38"/>
      <c r="E62" s="39"/>
      <c r="F62" s="38"/>
      <c r="G62" s="38"/>
      <c r="H62" s="38"/>
      <c r="I62" s="38"/>
      <c r="J62" s="40"/>
      <c r="K62" s="40"/>
      <c r="L62" s="240" t="s">
        <v>70</v>
      </c>
      <c r="M62" s="241" t="s">
        <v>70</v>
      </c>
      <c r="N62" s="252" t="s">
        <v>71</v>
      </c>
      <c r="O62" s="257"/>
      <c r="P62" s="306">
        <v>5</v>
      </c>
      <c r="Q62" s="307">
        <v>0.6</v>
      </c>
      <c r="R62" s="307">
        <v>0.6</v>
      </c>
      <c r="S62" s="307">
        <v>1</v>
      </c>
      <c r="T62" s="307">
        <v>0.3</v>
      </c>
      <c r="U62" s="266">
        <f t="shared" si="0"/>
        <v>0.6</v>
      </c>
    </row>
    <row r="63" spans="1:21" s="48" customFormat="1" ht="15" customHeight="1" outlineLevel="1" x14ac:dyDescent="0.25">
      <c r="A63" s="43" t="s">
        <v>144</v>
      </c>
      <c r="B63" s="38" t="s">
        <v>66</v>
      </c>
      <c r="C63" s="185" t="s">
        <v>67</v>
      </c>
      <c r="D63" s="38"/>
      <c r="E63" s="161" t="s">
        <v>145</v>
      </c>
      <c r="F63" s="38" t="s">
        <v>69</v>
      </c>
      <c r="G63" s="38"/>
      <c r="H63" s="38"/>
      <c r="I63" s="38"/>
      <c r="J63" s="40"/>
      <c r="K63" s="40"/>
      <c r="L63" s="240" t="s">
        <v>70</v>
      </c>
      <c r="M63" s="241" t="s">
        <v>70</v>
      </c>
      <c r="N63" s="252" t="s">
        <v>71</v>
      </c>
      <c r="O63" s="257"/>
      <c r="P63" s="306">
        <v>6</v>
      </c>
      <c r="Q63" s="307">
        <v>0.6</v>
      </c>
      <c r="R63" s="307">
        <v>0.6</v>
      </c>
      <c r="S63" s="307">
        <v>1</v>
      </c>
      <c r="T63" s="307">
        <v>0.3</v>
      </c>
      <c r="U63" s="266">
        <f t="shared" si="0"/>
        <v>0.6</v>
      </c>
    </row>
    <row r="64" spans="1:21" s="48" customFormat="1" ht="15" customHeight="1" outlineLevel="1" x14ac:dyDescent="0.25">
      <c r="A64" s="43"/>
      <c r="B64" s="38"/>
      <c r="C64" s="185"/>
      <c r="D64" s="38"/>
      <c r="E64" s="42"/>
      <c r="F64" s="38"/>
      <c r="G64" s="38"/>
      <c r="H64" s="38"/>
      <c r="I64" s="38"/>
      <c r="J64" s="40"/>
      <c r="K64" s="40"/>
      <c r="L64" s="240" t="s">
        <v>70</v>
      </c>
      <c r="M64" s="241" t="s">
        <v>70</v>
      </c>
      <c r="N64" s="252" t="s">
        <v>71</v>
      </c>
      <c r="O64" s="257"/>
      <c r="P64" s="306">
        <v>7</v>
      </c>
      <c r="Q64" s="307">
        <v>0.6</v>
      </c>
      <c r="R64" s="307">
        <v>0.6</v>
      </c>
      <c r="S64" s="307">
        <v>1</v>
      </c>
      <c r="T64" s="307">
        <v>0.3</v>
      </c>
      <c r="U64" s="266">
        <f t="shared" si="0"/>
        <v>0.6</v>
      </c>
    </row>
    <row r="65" spans="1:21" s="48" customFormat="1" ht="15" customHeight="1" outlineLevel="1" x14ac:dyDescent="0.25">
      <c r="A65" s="43"/>
      <c r="B65" s="38"/>
      <c r="C65" s="185"/>
      <c r="D65" s="38"/>
      <c r="E65" s="42"/>
      <c r="F65" s="38"/>
      <c r="G65" s="38"/>
      <c r="H65" s="38"/>
      <c r="I65" s="38"/>
      <c r="J65" s="40"/>
      <c r="K65" s="40"/>
      <c r="L65" s="240" t="s">
        <v>70</v>
      </c>
      <c r="M65" s="241" t="s">
        <v>70</v>
      </c>
      <c r="N65" s="252" t="s">
        <v>71</v>
      </c>
      <c r="O65" s="257"/>
      <c r="P65" s="306">
        <v>8</v>
      </c>
      <c r="Q65" s="307">
        <v>0.6</v>
      </c>
      <c r="R65" s="307">
        <v>0.6</v>
      </c>
      <c r="S65" s="307">
        <v>1</v>
      </c>
      <c r="T65" s="307">
        <v>0.3</v>
      </c>
      <c r="U65" s="266">
        <f t="shared" si="0"/>
        <v>0.6</v>
      </c>
    </row>
    <row r="66" spans="1:21" s="48" customFormat="1" ht="15" customHeight="1" thickBot="1" x14ac:dyDescent="0.3">
      <c r="A66" s="41"/>
      <c r="B66" s="38"/>
      <c r="C66" s="41"/>
      <c r="D66" s="38"/>
      <c r="E66" s="43" t="str">
        <f>"SUB-TOTAL "&amp;UPPER(A61)&amp;" DRAWINGS"</f>
        <v>SUB-TOTAL BUILDING NAME OR AREA NAME 2 DRAWINGS</v>
      </c>
      <c r="F66" s="38"/>
      <c r="G66" s="38"/>
      <c r="H66" s="38"/>
      <c r="I66" s="115">
        <f>COUNTA(F62:F65)</f>
        <v>1</v>
      </c>
      <c r="J66" s="36"/>
      <c r="K66" s="36"/>
      <c r="L66" s="240" t="s">
        <v>70</v>
      </c>
      <c r="M66" s="241" t="s">
        <v>70</v>
      </c>
      <c r="N66" s="252" t="s">
        <v>71</v>
      </c>
      <c r="O66" s="257"/>
      <c r="P66" s="306">
        <v>9</v>
      </c>
      <c r="Q66" s="307">
        <v>0.6</v>
      </c>
      <c r="R66" s="307">
        <v>0.6</v>
      </c>
      <c r="S66" s="307">
        <v>1</v>
      </c>
      <c r="T66" s="307">
        <v>0.3</v>
      </c>
      <c r="U66" s="266">
        <f t="shared" si="0"/>
        <v>0.6</v>
      </c>
    </row>
    <row r="67" spans="1:21" s="48" customFormat="1" ht="15" customHeight="1" thickTop="1" x14ac:dyDescent="0.25">
      <c r="A67" s="32" t="s">
        <v>146</v>
      </c>
      <c r="B67" s="187"/>
      <c r="C67" s="32"/>
      <c r="D67" s="11"/>
      <c r="E67" s="11"/>
      <c r="F67" s="11"/>
      <c r="G67" s="11"/>
      <c r="H67" s="11"/>
      <c r="I67" s="11"/>
      <c r="J67" s="11"/>
      <c r="K67" s="11"/>
      <c r="L67" s="240" t="s">
        <v>70</v>
      </c>
      <c r="M67" s="241" t="s">
        <v>70</v>
      </c>
      <c r="N67" s="252" t="s">
        <v>71</v>
      </c>
      <c r="O67" s="257"/>
      <c r="P67" s="306">
        <v>10</v>
      </c>
      <c r="Q67" s="307">
        <v>0.6</v>
      </c>
      <c r="R67" s="307">
        <v>0.6</v>
      </c>
      <c r="S67" s="307">
        <v>1</v>
      </c>
      <c r="T67" s="307">
        <v>0.3</v>
      </c>
      <c r="U67" s="266">
        <f t="shared" si="0"/>
        <v>0.6</v>
      </c>
    </row>
    <row r="68" spans="1:21" s="48" customFormat="1" ht="15" customHeight="1" x14ac:dyDescent="0.25">
      <c r="A68" s="37"/>
      <c r="B68" s="188"/>
      <c r="C68" s="37"/>
      <c r="D68" s="38"/>
      <c r="E68" s="39"/>
      <c r="F68" s="38"/>
      <c r="G68" s="38"/>
      <c r="H68" s="38"/>
      <c r="I68" s="38"/>
      <c r="J68" s="40"/>
      <c r="K68" s="40"/>
      <c r="L68" s="240" t="s">
        <v>70</v>
      </c>
      <c r="M68" s="241" t="s">
        <v>70</v>
      </c>
      <c r="N68" s="252" t="s">
        <v>71</v>
      </c>
      <c r="O68" s="257"/>
      <c r="P68" s="306">
        <v>11</v>
      </c>
      <c r="Q68" s="307">
        <v>0.6</v>
      </c>
      <c r="R68" s="307">
        <v>0.6</v>
      </c>
      <c r="S68" s="307">
        <v>1</v>
      </c>
      <c r="T68" s="307">
        <v>0.3</v>
      </c>
      <c r="U68" s="266">
        <f t="shared" si="0"/>
        <v>0.6</v>
      </c>
    </row>
    <row r="69" spans="1:21" s="48" customFormat="1" ht="15" customHeight="1" outlineLevel="1" x14ac:dyDescent="0.25">
      <c r="A69" s="43" t="s">
        <v>144</v>
      </c>
      <c r="B69" s="38" t="s">
        <v>66</v>
      </c>
      <c r="C69" s="185" t="s">
        <v>67</v>
      </c>
      <c r="D69" s="38"/>
      <c r="E69" s="161" t="s">
        <v>147</v>
      </c>
      <c r="F69" s="38" t="s">
        <v>69</v>
      </c>
      <c r="G69" s="38"/>
      <c r="H69" s="38"/>
      <c r="I69" s="38"/>
      <c r="J69" s="40"/>
      <c r="K69" s="40"/>
      <c r="L69" s="240" t="s">
        <v>70</v>
      </c>
      <c r="M69" s="241" t="s">
        <v>70</v>
      </c>
      <c r="N69" s="252" t="s">
        <v>71</v>
      </c>
      <c r="O69" s="257"/>
      <c r="P69" s="306">
        <v>12</v>
      </c>
      <c r="Q69" s="307">
        <v>0.6</v>
      </c>
      <c r="R69" s="307">
        <v>0.6</v>
      </c>
      <c r="S69" s="307">
        <v>1</v>
      </c>
      <c r="T69" s="307">
        <v>0.3</v>
      </c>
      <c r="U69" s="266">
        <f t="shared" si="0"/>
        <v>0.6</v>
      </c>
    </row>
    <row r="70" spans="1:21" s="48" customFormat="1" ht="15" customHeight="1" outlineLevel="1" x14ac:dyDescent="0.25">
      <c r="A70" s="43" t="s">
        <v>148</v>
      </c>
      <c r="B70" s="38" t="s">
        <v>66</v>
      </c>
      <c r="C70" s="185" t="s">
        <v>67</v>
      </c>
      <c r="D70" s="38"/>
      <c r="E70" s="42" t="s">
        <v>116</v>
      </c>
      <c r="F70" s="38" t="s">
        <v>69</v>
      </c>
      <c r="G70" s="38"/>
      <c r="H70" s="38"/>
      <c r="I70" s="38"/>
      <c r="J70" s="40"/>
      <c r="K70" s="40"/>
      <c r="L70" s="240" t="s">
        <v>70</v>
      </c>
      <c r="M70" s="241" t="s">
        <v>70</v>
      </c>
      <c r="N70" s="252" t="s">
        <v>71</v>
      </c>
      <c r="O70" s="257"/>
      <c r="P70" s="306">
        <v>13</v>
      </c>
      <c r="Q70" s="307">
        <v>0.6</v>
      </c>
      <c r="R70" s="307">
        <v>0.6</v>
      </c>
      <c r="S70" s="307">
        <v>1</v>
      </c>
      <c r="T70" s="307">
        <v>0.3</v>
      </c>
      <c r="U70" s="266">
        <f t="shared" si="0"/>
        <v>0.6</v>
      </c>
    </row>
    <row r="71" spans="1:21" s="48" customFormat="1" ht="15" customHeight="1" outlineLevel="1" x14ac:dyDescent="0.25">
      <c r="A71" s="43" t="s">
        <v>149</v>
      </c>
      <c r="B71" s="38" t="s">
        <v>66</v>
      </c>
      <c r="C71" s="185" t="s">
        <v>67</v>
      </c>
      <c r="D71" s="38"/>
      <c r="E71" s="42" t="s">
        <v>122</v>
      </c>
      <c r="F71" s="38" t="s">
        <v>69</v>
      </c>
      <c r="G71" s="38"/>
      <c r="H71" s="38"/>
      <c r="I71" s="38"/>
      <c r="J71" s="40"/>
      <c r="K71" s="40"/>
      <c r="L71" s="240" t="s">
        <v>70</v>
      </c>
      <c r="M71" s="241" t="s">
        <v>70</v>
      </c>
      <c r="N71" s="252" t="s">
        <v>71</v>
      </c>
      <c r="O71" s="257"/>
      <c r="P71" s="306">
        <v>14</v>
      </c>
      <c r="Q71" s="307">
        <v>0.6</v>
      </c>
      <c r="R71" s="307">
        <v>0.6</v>
      </c>
      <c r="S71" s="307">
        <v>1</v>
      </c>
      <c r="T71" s="307">
        <v>0.3</v>
      </c>
      <c r="U71" s="266">
        <f t="shared" si="0"/>
        <v>0.6</v>
      </c>
    </row>
    <row r="72" spans="1:21" s="48" customFormat="1" ht="15" customHeight="1" outlineLevel="1" x14ac:dyDescent="0.25">
      <c r="A72" s="43" t="s">
        <v>150</v>
      </c>
      <c r="B72" s="38" t="s">
        <v>66</v>
      </c>
      <c r="C72" s="185" t="s">
        <v>67</v>
      </c>
      <c r="D72" s="38"/>
      <c r="E72" s="42" t="s">
        <v>151</v>
      </c>
      <c r="F72" s="38" t="s">
        <v>69</v>
      </c>
      <c r="G72" s="38"/>
      <c r="H72" s="38"/>
      <c r="I72" s="38"/>
      <c r="J72" s="40"/>
      <c r="K72" s="40"/>
      <c r="L72" s="240" t="s">
        <v>70</v>
      </c>
      <c r="M72" s="241" t="s">
        <v>70</v>
      </c>
      <c r="N72" s="252" t="s">
        <v>71</v>
      </c>
      <c r="O72" s="257"/>
      <c r="P72" s="306">
        <v>15</v>
      </c>
      <c r="Q72" s="307">
        <v>0.6</v>
      </c>
      <c r="R72" s="307">
        <v>0.6</v>
      </c>
      <c r="S72" s="307">
        <v>1</v>
      </c>
      <c r="T72" s="307">
        <v>0.3</v>
      </c>
      <c r="U72" s="266">
        <f t="shared" si="0"/>
        <v>0.6</v>
      </c>
    </row>
    <row r="73" spans="1:21" s="48" customFormat="1" ht="15" customHeight="1" outlineLevel="1" x14ac:dyDescent="0.25">
      <c r="A73" s="43" t="s">
        <v>152</v>
      </c>
      <c r="B73" s="38" t="s">
        <v>66</v>
      </c>
      <c r="C73" s="185" t="s">
        <v>67</v>
      </c>
      <c r="D73" s="38"/>
      <c r="E73" s="42" t="s">
        <v>153</v>
      </c>
      <c r="F73" s="38" t="s">
        <v>69</v>
      </c>
      <c r="G73" s="38"/>
      <c r="H73" s="38"/>
      <c r="I73" s="38"/>
      <c r="J73" s="40"/>
      <c r="K73" s="40"/>
      <c r="L73" s="240" t="s">
        <v>70</v>
      </c>
      <c r="M73" s="241" t="s">
        <v>70</v>
      </c>
      <c r="N73" s="252" t="s">
        <v>71</v>
      </c>
      <c r="O73" s="257"/>
      <c r="P73" s="306">
        <v>16</v>
      </c>
      <c r="Q73" s="307">
        <v>0.6</v>
      </c>
      <c r="R73" s="307">
        <v>0.6</v>
      </c>
      <c r="S73" s="307">
        <v>1</v>
      </c>
      <c r="T73" s="307">
        <v>0.3</v>
      </c>
      <c r="U73" s="266">
        <f t="shared" si="0"/>
        <v>0.6</v>
      </c>
    </row>
    <row r="74" spans="1:21" s="48" customFormat="1" ht="15" customHeight="1" outlineLevel="1" x14ac:dyDescent="0.25">
      <c r="A74" s="43" t="s">
        <v>154</v>
      </c>
      <c r="B74" s="38" t="s">
        <v>66</v>
      </c>
      <c r="C74" s="185" t="s">
        <v>67</v>
      </c>
      <c r="D74" s="38"/>
      <c r="E74" s="42" t="s">
        <v>138</v>
      </c>
      <c r="F74" s="38" t="s">
        <v>69</v>
      </c>
      <c r="G74" s="38"/>
      <c r="H74" s="38"/>
      <c r="I74" s="38"/>
      <c r="J74" s="40"/>
      <c r="K74" s="40"/>
      <c r="L74" s="240" t="s">
        <v>70</v>
      </c>
      <c r="M74" s="241" t="s">
        <v>70</v>
      </c>
      <c r="N74" s="252" t="s">
        <v>71</v>
      </c>
      <c r="O74" s="257"/>
      <c r="P74" s="306">
        <v>17</v>
      </c>
      <c r="Q74" s="307">
        <v>0.6</v>
      </c>
      <c r="R74" s="307">
        <v>0.6</v>
      </c>
      <c r="S74" s="307">
        <v>1</v>
      </c>
      <c r="T74" s="307">
        <v>0.3</v>
      </c>
      <c r="U74" s="266">
        <f t="shared" ref="U74:U76" si="1">MAX(R74,T74)</f>
        <v>0.6</v>
      </c>
    </row>
    <row r="75" spans="1:21" s="48" customFormat="1" ht="15" customHeight="1" outlineLevel="1" x14ac:dyDescent="0.25">
      <c r="A75" s="43" t="s">
        <v>155</v>
      </c>
      <c r="B75" s="38" t="s">
        <v>66</v>
      </c>
      <c r="C75" s="185" t="s">
        <v>67</v>
      </c>
      <c r="D75" s="38"/>
      <c r="E75" s="42" t="s">
        <v>140</v>
      </c>
      <c r="F75" s="38" t="s">
        <v>69</v>
      </c>
      <c r="G75" s="38"/>
      <c r="H75" s="38"/>
      <c r="I75" s="38"/>
      <c r="J75" s="40"/>
      <c r="K75" s="40"/>
      <c r="L75" s="240" t="s">
        <v>70</v>
      </c>
      <c r="M75" s="241" t="s">
        <v>70</v>
      </c>
      <c r="N75" s="252" t="s">
        <v>71</v>
      </c>
      <c r="O75" s="257"/>
      <c r="P75" s="306">
        <v>18</v>
      </c>
      <c r="Q75" s="307">
        <v>0.6</v>
      </c>
      <c r="R75" s="307">
        <v>0.6</v>
      </c>
      <c r="S75" s="307">
        <v>1</v>
      </c>
      <c r="T75" s="307">
        <v>0.3</v>
      </c>
      <c r="U75" s="266">
        <f t="shared" si="1"/>
        <v>0.6</v>
      </c>
    </row>
    <row r="76" spans="1:21" s="48" customFormat="1" ht="15" customHeight="1" outlineLevel="1" thickBot="1" x14ac:dyDescent="0.3">
      <c r="A76" s="43" t="s">
        <v>156</v>
      </c>
      <c r="B76" s="38" t="s">
        <v>66</v>
      </c>
      <c r="C76" s="185" t="s">
        <v>67</v>
      </c>
      <c r="D76" s="38"/>
      <c r="E76" s="42" t="s">
        <v>142</v>
      </c>
      <c r="F76" s="38" t="s">
        <v>69</v>
      </c>
      <c r="G76" s="38"/>
      <c r="H76" s="38"/>
      <c r="I76" s="38"/>
      <c r="J76" s="40"/>
      <c r="K76" s="40"/>
      <c r="L76" s="259" t="s">
        <v>70</v>
      </c>
      <c r="M76" s="260" t="s">
        <v>70</v>
      </c>
      <c r="N76" s="261" t="s">
        <v>71</v>
      </c>
      <c r="O76" s="257"/>
      <c r="P76" s="306">
        <v>19</v>
      </c>
      <c r="Q76" s="307">
        <v>0.6</v>
      </c>
      <c r="R76" s="307">
        <v>0.6</v>
      </c>
      <c r="S76" s="307">
        <v>1</v>
      </c>
      <c r="T76" s="307">
        <v>0.3</v>
      </c>
      <c r="U76" s="266">
        <f t="shared" si="1"/>
        <v>0.6</v>
      </c>
    </row>
    <row r="77" spans="1:21" s="48" customFormat="1" ht="15" customHeight="1" outlineLevel="1" thickBot="1" x14ac:dyDescent="0.3">
      <c r="A77" s="43"/>
      <c r="B77" s="38"/>
      <c r="C77" s="43"/>
      <c r="D77" s="38"/>
      <c r="E77" s="42"/>
      <c r="F77" s="38"/>
      <c r="G77" s="38"/>
      <c r="H77" s="38"/>
      <c r="I77" s="38"/>
      <c r="J77" s="40"/>
      <c r="K77" s="40"/>
      <c r="L77" s="52"/>
      <c r="M77" s="52"/>
      <c r="N77" s="52"/>
      <c r="O77" s="257"/>
      <c r="P77" s="263">
        <f>SUM(P6:P76)</f>
        <v>234</v>
      </c>
      <c r="Q77" s="264">
        <f>SUMPRODUCT($P6:$P76,Q6:Q76)/$P77</f>
        <v>0.57970085470085475</v>
      </c>
      <c r="R77" s="264">
        <f>SUMPRODUCT($P6:$P76,R6:R76)/$P77</f>
        <v>0.57350427350427358</v>
      </c>
      <c r="S77" s="264">
        <f>SUMPRODUCT($P6:$P76,S6:S76)/$P77</f>
        <v>1</v>
      </c>
      <c r="T77" s="264">
        <f>SUMPRODUCT($P6:$P76,T6:T76)/$P77</f>
        <v>0.39380341880341879</v>
      </c>
      <c r="U77" s="267">
        <f>SUMPRODUCT($P6:$P76,U6:U76)/$P77</f>
        <v>0.63739316239316246</v>
      </c>
    </row>
    <row r="78" spans="1:21" s="48" customFormat="1" ht="15" customHeight="1" thickBot="1" x14ac:dyDescent="0.3">
      <c r="A78" s="41"/>
      <c r="B78" s="38"/>
      <c r="C78" s="41"/>
      <c r="D78" s="38"/>
      <c r="E78" s="43" t="str">
        <f>"SUB-TOTAL "&amp;UPPER(A67)&amp;" DRAWINGS"</f>
        <v>SUB-TOTAL BUILDING NAME OR AREA NAME 3 DRAWINGS</v>
      </c>
      <c r="F78" s="38"/>
      <c r="G78" s="38"/>
      <c r="H78" s="38"/>
      <c r="I78" s="115">
        <f>COUNTA(F69:F76)</f>
        <v>8</v>
      </c>
      <c r="J78" s="36"/>
      <c r="K78" s="36"/>
      <c r="L78" s="52"/>
      <c r="M78" s="52"/>
      <c r="N78" s="52"/>
      <c r="O78" s="257"/>
      <c r="P78" s="257"/>
      <c r="Q78" s="257"/>
      <c r="R78" s="257"/>
      <c r="S78" s="257"/>
      <c r="T78" s="257"/>
      <c r="U78" s="258"/>
    </row>
    <row r="79" spans="1:21" s="48" customFormat="1" ht="15" customHeight="1" thickTop="1" thickBot="1" x14ac:dyDescent="0.3">
      <c r="A79" s="41"/>
      <c r="B79" s="38"/>
      <c r="C79" s="41"/>
      <c r="D79" s="38"/>
      <c r="E79" s="43"/>
      <c r="F79" s="38"/>
      <c r="G79" s="38"/>
      <c r="H79" s="38"/>
      <c r="I79" s="115"/>
      <c r="J79" s="36"/>
      <c r="K79" s="36"/>
      <c r="L79" s="52"/>
      <c r="M79" s="52"/>
      <c r="N79" s="52"/>
      <c r="O79" s="257"/>
      <c r="P79" s="257"/>
      <c r="Q79" s="257"/>
      <c r="R79" s="257"/>
      <c r="S79" s="257"/>
      <c r="T79" s="257"/>
      <c r="U79" s="258"/>
    </row>
    <row r="80" spans="1:21" s="51" customFormat="1" ht="15" customHeight="1" thickTop="1" thickBot="1" x14ac:dyDescent="0.3">
      <c r="A80" s="41"/>
      <c r="B80" s="38"/>
      <c r="C80" s="41"/>
      <c r="D80" s="38"/>
      <c r="E80" s="43" t="s">
        <v>157</v>
      </c>
      <c r="F80" s="38"/>
      <c r="G80" s="38"/>
      <c r="H80" s="38"/>
      <c r="I80" s="115">
        <f>SUMIF(E7:E78,"*SUB-TOTAL*",I7:I78)</f>
        <v>45</v>
      </c>
      <c r="J80" s="36"/>
      <c r="K80" s="36"/>
      <c r="L80" s="52"/>
      <c r="M80" s="52"/>
      <c r="N80" s="52"/>
      <c r="O80" s="257"/>
      <c r="P80" s="257"/>
      <c r="Q80" s="257"/>
      <c r="R80" s="257"/>
      <c r="S80" s="257"/>
      <c r="T80" s="257"/>
      <c r="U80" s="258"/>
    </row>
    <row r="81" spans="1:21" s="51" customFormat="1" ht="15.75" thickTop="1" x14ac:dyDescent="0.25">
      <c r="A81" s="45"/>
      <c r="B81" s="44"/>
      <c r="C81" s="45"/>
      <c r="D81" s="44"/>
      <c r="E81" s="42"/>
      <c r="F81" s="44"/>
      <c r="G81" s="44"/>
      <c r="H81" s="44"/>
      <c r="I81" s="46"/>
      <c r="J81" s="46"/>
      <c r="K81" s="46"/>
      <c r="L81" s="52"/>
      <c r="M81" s="52"/>
      <c r="N81" s="52"/>
      <c r="O81" s="257"/>
      <c r="P81" s="257"/>
      <c r="Q81" s="257"/>
      <c r="R81" s="257"/>
      <c r="S81" s="257"/>
      <c r="T81" s="257"/>
      <c r="U81" s="258"/>
    </row>
    <row r="82" spans="1:21" x14ac:dyDescent="0.25">
      <c r="A82" s="45"/>
      <c r="B82" s="44"/>
      <c r="C82" s="45"/>
      <c r="D82" s="44"/>
      <c r="E82" s="42"/>
      <c r="F82" s="44"/>
      <c r="G82" s="44"/>
      <c r="H82" s="44"/>
      <c r="I82" s="46"/>
      <c r="J82" s="46"/>
      <c r="K82" s="46"/>
    </row>
    <row r="83" spans="1:21" x14ac:dyDescent="0.25">
      <c r="A83" s="45"/>
      <c r="B83" s="44"/>
      <c r="C83" s="45"/>
      <c r="D83" s="44"/>
      <c r="E83" s="42"/>
      <c r="F83" s="44"/>
      <c r="G83" s="44"/>
      <c r="H83" s="44"/>
      <c r="I83" s="46"/>
      <c r="J83" s="46"/>
      <c r="K83" s="46"/>
    </row>
    <row r="84" spans="1:21" x14ac:dyDescent="0.25">
      <c r="A84" s="45"/>
      <c r="B84" s="44"/>
      <c r="C84" s="45"/>
      <c r="D84" s="44"/>
      <c r="E84" s="42"/>
      <c r="F84" s="44"/>
      <c r="G84" s="44"/>
      <c r="H84" s="44"/>
      <c r="I84" s="46"/>
      <c r="J84" s="46"/>
      <c r="K84" s="46"/>
    </row>
    <row r="85" spans="1:21" x14ac:dyDescent="0.25">
      <c r="A85" s="45"/>
      <c r="B85" s="44"/>
      <c r="C85" s="45"/>
      <c r="D85" s="44"/>
      <c r="E85" s="42"/>
      <c r="F85" s="44"/>
      <c r="G85" s="44"/>
      <c r="H85" s="44"/>
      <c r="I85" s="46"/>
      <c r="J85" s="46"/>
      <c r="K85" s="46"/>
    </row>
    <row r="86" spans="1:21" x14ac:dyDescent="0.25">
      <c r="A86" s="45"/>
      <c r="B86" s="44"/>
      <c r="C86" s="45"/>
      <c r="D86" s="44"/>
      <c r="E86" s="42"/>
      <c r="F86" s="44"/>
      <c r="G86" s="44"/>
      <c r="H86" s="44"/>
      <c r="I86" s="46"/>
      <c r="J86" s="46"/>
      <c r="K86" s="46"/>
    </row>
    <row r="87" spans="1:21" x14ac:dyDescent="0.25">
      <c r="A87" s="45"/>
      <c r="B87" s="44"/>
      <c r="C87" s="45"/>
      <c r="D87" s="44"/>
      <c r="E87" s="42"/>
      <c r="F87" s="44"/>
      <c r="G87" s="44"/>
      <c r="H87" s="44"/>
      <c r="I87" s="46"/>
      <c r="J87" s="46"/>
      <c r="K87" s="46"/>
    </row>
    <row r="88" spans="1:21" x14ac:dyDescent="0.25">
      <c r="A88" s="45"/>
      <c r="B88" s="44"/>
      <c r="C88" s="45"/>
      <c r="D88" s="44"/>
      <c r="E88" s="42"/>
      <c r="F88" s="44"/>
      <c r="G88" s="44"/>
      <c r="H88" s="44"/>
      <c r="I88" s="46"/>
      <c r="J88" s="46"/>
      <c r="K88" s="46"/>
    </row>
    <row r="89" spans="1:21" x14ac:dyDescent="0.25">
      <c r="A89" s="45"/>
      <c r="B89" s="44"/>
      <c r="C89" s="45"/>
      <c r="D89" s="44"/>
      <c r="E89" s="42"/>
      <c r="F89" s="44"/>
      <c r="G89" s="44"/>
      <c r="H89" s="44"/>
      <c r="I89" s="46"/>
      <c r="J89" s="46"/>
      <c r="K89" s="46"/>
    </row>
    <row r="90" spans="1:21" x14ac:dyDescent="0.25">
      <c r="A90" s="45"/>
      <c r="B90" s="44"/>
      <c r="C90" s="45"/>
      <c r="D90" s="44"/>
      <c r="E90" s="42"/>
      <c r="F90" s="44"/>
      <c r="G90" s="44"/>
      <c r="H90" s="44"/>
      <c r="I90" s="46"/>
      <c r="J90" s="46"/>
      <c r="K90" s="46"/>
    </row>
    <row r="91" spans="1:21" x14ac:dyDescent="0.25">
      <c r="A91" s="45"/>
      <c r="B91" s="44"/>
      <c r="C91" s="45"/>
      <c r="D91" s="44"/>
      <c r="E91" s="42"/>
      <c r="F91" s="44"/>
      <c r="G91" s="44"/>
      <c r="H91" s="44"/>
      <c r="I91" s="46"/>
      <c r="J91" s="46"/>
      <c r="K91" s="46"/>
    </row>
    <row r="92" spans="1:21" x14ac:dyDescent="0.25">
      <c r="A92" s="45"/>
      <c r="B92" s="44"/>
      <c r="C92" s="45"/>
      <c r="D92" s="44"/>
      <c r="E92" s="42"/>
      <c r="F92" s="44"/>
      <c r="G92" s="44"/>
      <c r="H92" s="44"/>
      <c r="I92" s="46"/>
      <c r="J92" s="46"/>
      <c r="K92" s="46"/>
    </row>
    <row r="93" spans="1:21" x14ac:dyDescent="0.25">
      <c r="A93" s="45"/>
      <c r="B93" s="44"/>
      <c r="C93" s="45"/>
      <c r="D93" s="44"/>
      <c r="E93" s="42"/>
      <c r="F93" s="44"/>
      <c r="G93" s="44"/>
      <c r="H93" s="44"/>
      <c r="I93" s="46"/>
      <c r="J93" s="46"/>
      <c r="K93" s="46"/>
    </row>
    <row r="94" spans="1:21" x14ac:dyDescent="0.25">
      <c r="A94" s="45"/>
      <c r="B94" s="44"/>
      <c r="C94" s="45"/>
      <c r="D94" s="44"/>
      <c r="E94" s="42"/>
      <c r="F94" s="44"/>
      <c r="G94" s="44"/>
      <c r="H94" s="44"/>
      <c r="I94" s="46"/>
      <c r="J94" s="46"/>
      <c r="K94" s="46"/>
    </row>
    <row r="95" spans="1:21" x14ac:dyDescent="0.25">
      <c r="A95" s="45"/>
      <c r="B95" s="44"/>
      <c r="C95" s="45"/>
      <c r="D95" s="44"/>
      <c r="E95" s="42"/>
      <c r="F95" s="44"/>
      <c r="G95" s="44"/>
      <c r="H95" s="44"/>
      <c r="I95" s="46"/>
      <c r="J95" s="46"/>
      <c r="K95" s="46"/>
    </row>
    <row r="96" spans="1:21" x14ac:dyDescent="0.25">
      <c r="A96" s="45"/>
      <c r="B96" s="44"/>
      <c r="C96" s="45"/>
      <c r="D96" s="44"/>
      <c r="E96" s="42"/>
      <c r="F96" s="44"/>
      <c r="G96" s="44"/>
      <c r="H96" s="44"/>
      <c r="I96" s="46"/>
      <c r="J96" s="46"/>
      <c r="K96" s="46"/>
    </row>
    <row r="97" spans="1:11" x14ac:dyDescent="0.25">
      <c r="A97" s="45"/>
      <c r="B97" s="44"/>
      <c r="C97" s="45"/>
      <c r="D97" s="44"/>
      <c r="E97" s="42"/>
      <c r="F97" s="44"/>
      <c r="G97" s="44"/>
      <c r="H97" s="44"/>
      <c r="I97" s="46"/>
      <c r="J97" s="46"/>
      <c r="K97" s="46"/>
    </row>
    <row r="98" spans="1:11" x14ac:dyDescent="0.25">
      <c r="A98" s="45"/>
      <c r="B98" s="44"/>
      <c r="C98" s="45"/>
      <c r="D98" s="44"/>
      <c r="E98" s="42"/>
      <c r="F98" s="44"/>
      <c r="G98" s="44"/>
      <c r="H98" s="44"/>
      <c r="I98" s="46"/>
      <c r="J98" s="46"/>
      <c r="K98" s="46"/>
    </row>
    <row r="99" spans="1:11" x14ac:dyDescent="0.25">
      <c r="A99" s="45"/>
      <c r="B99" s="44"/>
      <c r="C99" s="45"/>
      <c r="D99" s="44"/>
      <c r="E99" s="42"/>
      <c r="F99" s="44"/>
      <c r="G99" s="44"/>
      <c r="H99" s="44"/>
      <c r="I99" s="46"/>
      <c r="J99" s="46"/>
      <c r="K99" s="46"/>
    </row>
    <row r="100" spans="1:11" x14ac:dyDescent="0.25">
      <c r="A100" s="45"/>
      <c r="B100" s="44"/>
      <c r="C100" s="45"/>
      <c r="D100" s="44"/>
      <c r="E100" s="42"/>
      <c r="F100" s="44"/>
      <c r="G100" s="44"/>
      <c r="H100" s="44"/>
      <c r="I100" s="46"/>
      <c r="J100" s="46"/>
      <c r="K100" s="46"/>
    </row>
    <row r="101" spans="1:11" x14ac:dyDescent="0.25">
      <c r="A101" s="45"/>
      <c r="B101" s="44"/>
      <c r="C101" s="45"/>
      <c r="D101" s="44"/>
      <c r="E101" s="42"/>
      <c r="F101" s="44"/>
      <c r="G101" s="44"/>
      <c r="H101" s="44"/>
      <c r="I101" s="46"/>
      <c r="J101" s="46"/>
      <c r="K101" s="46"/>
    </row>
    <row r="102" spans="1:11" x14ac:dyDescent="0.25">
      <c r="A102" s="45"/>
      <c r="B102" s="44"/>
      <c r="C102" s="45"/>
      <c r="D102" s="44"/>
      <c r="E102" s="42"/>
      <c r="F102" s="44"/>
      <c r="G102" s="44"/>
      <c r="H102" s="44"/>
      <c r="I102" s="46"/>
      <c r="J102" s="46"/>
      <c r="K102" s="46"/>
    </row>
    <row r="103" spans="1:11" x14ac:dyDescent="0.25">
      <c r="A103" s="45"/>
      <c r="B103" s="44"/>
      <c r="C103" s="45"/>
      <c r="D103" s="44"/>
      <c r="E103" s="42"/>
      <c r="F103" s="44"/>
      <c r="G103" s="44"/>
      <c r="H103" s="44"/>
      <c r="I103" s="46"/>
      <c r="J103" s="46"/>
      <c r="K103" s="46"/>
    </row>
    <row r="104" spans="1:11" x14ac:dyDescent="0.25">
      <c r="A104" s="45"/>
      <c r="B104" s="44"/>
      <c r="C104" s="45"/>
      <c r="D104" s="44"/>
      <c r="E104" s="42"/>
      <c r="F104" s="44"/>
      <c r="G104" s="44"/>
      <c r="H104" s="44"/>
      <c r="I104" s="46"/>
      <c r="J104" s="46"/>
      <c r="K104" s="46"/>
    </row>
    <row r="105" spans="1:11" x14ac:dyDescent="0.25">
      <c r="A105" s="45"/>
      <c r="B105" s="44"/>
      <c r="C105" s="45"/>
      <c r="D105" s="44"/>
      <c r="E105" s="42"/>
      <c r="F105" s="44"/>
      <c r="G105" s="44"/>
      <c r="H105" s="44"/>
      <c r="I105" s="46"/>
      <c r="J105" s="46"/>
      <c r="K105" s="46"/>
    </row>
    <row r="106" spans="1:11" x14ac:dyDescent="0.25">
      <c r="A106" s="45"/>
      <c r="B106" s="44"/>
      <c r="C106" s="45"/>
      <c r="D106" s="44"/>
      <c r="E106" s="42"/>
      <c r="F106" s="44"/>
      <c r="G106" s="44"/>
      <c r="H106" s="44"/>
      <c r="I106" s="46"/>
      <c r="J106" s="46"/>
      <c r="K106" s="46"/>
    </row>
    <row r="107" spans="1:11" x14ac:dyDescent="0.25">
      <c r="A107" s="45"/>
      <c r="B107" s="44"/>
      <c r="C107" s="45"/>
      <c r="D107" s="44"/>
      <c r="E107" s="42"/>
      <c r="F107" s="44"/>
      <c r="G107" s="44"/>
      <c r="H107" s="44"/>
      <c r="I107" s="46"/>
      <c r="J107" s="46"/>
      <c r="K107" s="46"/>
    </row>
    <row r="108" spans="1:11" x14ac:dyDescent="0.25">
      <c r="A108" s="45"/>
      <c r="B108" s="44"/>
      <c r="C108" s="45"/>
      <c r="D108" s="44"/>
      <c r="E108" s="42"/>
      <c r="F108" s="44"/>
      <c r="G108" s="44"/>
      <c r="H108" s="44"/>
      <c r="I108" s="46"/>
      <c r="J108" s="46"/>
      <c r="K108" s="46"/>
    </row>
    <row r="109" spans="1:11" x14ac:dyDescent="0.25">
      <c r="A109" s="54"/>
      <c r="B109" s="56"/>
      <c r="C109" s="54"/>
      <c r="D109" s="56"/>
      <c r="E109" s="55"/>
      <c r="F109" s="56"/>
      <c r="G109" s="56"/>
      <c r="H109" s="56"/>
      <c r="I109" s="57"/>
      <c r="J109" s="57"/>
      <c r="K109" s="57"/>
    </row>
    <row r="110" spans="1:11" x14ac:dyDescent="0.25">
      <c r="A110" s="54"/>
      <c r="B110" s="56"/>
      <c r="C110" s="54"/>
      <c r="D110" s="56"/>
      <c r="E110" s="55"/>
      <c r="F110" s="56"/>
      <c r="G110" s="56"/>
      <c r="H110" s="56"/>
      <c r="I110" s="57"/>
      <c r="J110" s="57"/>
      <c r="K110" s="57"/>
    </row>
    <row r="111" spans="1:11" x14ac:dyDescent="0.25">
      <c r="A111" s="54"/>
      <c r="B111" s="56"/>
      <c r="C111" s="54"/>
      <c r="D111" s="56"/>
      <c r="E111" s="55"/>
      <c r="F111" s="56"/>
      <c r="G111" s="56"/>
      <c r="H111" s="56"/>
      <c r="I111" s="57"/>
      <c r="J111" s="57"/>
      <c r="K111" s="57"/>
    </row>
    <row r="112" spans="1:11" x14ac:dyDescent="0.25">
      <c r="A112" s="54"/>
      <c r="B112" s="56"/>
      <c r="C112" s="54"/>
      <c r="D112" s="56"/>
      <c r="E112" s="55"/>
      <c r="F112" s="56"/>
      <c r="G112" s="56"/>
      <c r="H112" s="56"/>
      <c r="I112" s="57"/>
      <c r="J112" s="57"/>
      <c r="K112" s="57"/>
    </row>
    <row r="113" spans="1:11" x14ac:dyDescent="0.25">
      <c r="A113" s="54"/>
      <c r="B113" s="56"/>
      <c r="C113" s="54"/>
      <c r="D113" s="56"/>
      <c r="E113" s="55"/>
      <c r="F113" s="56"/>
      <c r="G113" s="56"/>
      <c r="H113" s="56"/>
      <c r="I113" s="57"/>
      <c r="J113" s="57"/>
      <c r="K113" s="57"/>
    </row>
    <row r="114" spans="1:11" x14ac:dyDescent="0.25">
      <c r="A114" s="54"/>
      <c r="B114" s="56"/>
      <c r="C114" s="54"/>
      <c r="D114" s="56"/>
      <c r="E114" s="55"/>
      <c r="F114" s="56"/>
      <c r="G114" s="56"/>
      <c r="H114" s="56"/>
      <c r="I114" s="57"/>
      <c r="J114" s="57"/>
      <c r="K114" s="57"/>
    </row>
    <row r="115" spans="1:11" x14ac:dyDescent="0.25">
      <c r="A115" s="54"/>
      <c r="B115" s="56"/>
      <c r="C115" s="54"/>
      <c r="D115" s="56"/>
      <c r="E115" s="55"/>
      <c r="F115" s="56"/>
      <c r="G115" s="56"/>
      <c r="H115" s="56"/>
      <c r="I115" s="57"/>
      <c r="J115" s="57"/>
      <c r="K115" s="57"/>
    </row>
    <row r="116" spans="1:11" x14ac:dyDescent="0.25">
      <c r="A116" s="54"/>
      <c r="B116" s="56"/>
      <c r="C116" s="54"/>
      <c r="D116" s="56"/>
      <c r="E116" s="55"/>
      <c r="F116" s="56"/>
      <c r="G116" s="56"/>
      <c r="H116" s="56"/>
      <c r="I116" s="57"/>
      <c r="J116" s="57"/>
      <c r="K116" s="57"/>
    </row>
    <row r="117" spans="1:11" x14ac:dyDescent="0.25">
      <c r="A117" s="54"/>
      <c r="B117" s="56"/>
      <c r="C117" s="54"/>
      <c r="D117" s="56"/>
      <c r="E117" s="55"/>
      <c r="F117" s="56"/>
      <c r="G117" s="56"/>
      <c r="H117" s="56"/>
      <c r="I117" s="57"/>
      <c r="J117" s="57"/>
      <c r="K117" s="57"/>
    </row>
    <row r="118" spans="1:11" x14ac:dyDescent="0.25">
      <c r="A118" s="54"/>
      <c r="B118" s="56"/>
      <c r="C118" s="54"/>
      <c r="D118" s="56"/>
      <c r="E118" s="55"/>
      <c r="F118" s="56"/>
      <c r="G118" s="56"/>
      <c r="H118" s="56"/>
      <c r="I118" s="57"/>
      <c r="J118" s="57"/>
      <c r="K118" s="57"/>
    </row>
    <row r="119" spans="1:11" x14ac:dyDescent="0.25">
      <c r="A119" s="54"/>
      <c r="B119" s="56"/>
      <c r="C119" s="54"/>
      <c r="D119" s="56"/>
      <c r="E119" s="55"/>
      <c r="F119" s="56"/>
      <c r="G119" s="56"/>
      <c r="H119" s="56"/>
      <c r="I119" s="57"/>
      <c r="J119" s="57"/>
      <c r="K119" s="57"/>
    </row>
    <row r="120" spans="1:11" x14ac:dyDescent="0.25">
      <c r="A120" s="54"/>
      <c r="B120" s="56"/>
      <c r="C120" s="54"/>
      <c r="D120" s="56"/>
      <c r="E120" s="55"/>
      <c r="F120" s="56"/>
      <c r="G120" s="56"/>
      <c r="H120" s="56"/>
      <c r="I120" s="57"/>
      <c r="J120" s="57"/>
      <c r="K120" s="57"/>
    </row>
    <row r="121" spans="1:11" x14ac:dyDescent="0.25">
      <c r="A121" s="54"/>
      <c r="B121" s="56"/>
      <c r="C121" s="54"/>
      <c r="D121" s="56"/>
      <c r="E121" s="55"/>
      <c r="F121" s="56"/>
      <c r="G121" s="56"/>
      <c r="H121" s="56"/>
      <c r="I121" s="57"/>
      <c r="J121" s="57"/>
      <c r="K121" s="57"/>
    </row>
    <row r="122" spans="1:11" x14ac:dyDescent="0.25">
      <c r="A122" s="54"/>
      <c r="B122" s="56"/>
      <c r="C122" s="54"/>
      <c r="D122" s="56"/>
      <c r="E122" s="55"/>
      <c r="F122" s="56"/>
      <c r="G122" s="56"/>
      <c r="H122" s="56"/>
      <c r="I122" s="57"/>
      <c r="J122" s="57"/>
      <c r="K122" s="57"/>
    </row>
    <row r="123" spans="1:11" x14ac:dyDescent="0.25">
      <c r="A123" s="54"/>
      <c r="B123" s="56"/>
      <c r="C123" s="54"/>
      <c r="D123" s="56"/>
      <c r="E123" s="55"/>
      <c r="F123" s="56"/>
      <c r="G123" s="56"/>
      <c r="H123" s="56"/>
      <c r="I123" s="57"/>
      <c r="J123" s="57"/>
      <c r="K123" s="57"/>
    </row>
    <row r="124" spans="1:11" x14ac:dyDescent="0.25">
      <c r="A124" s="54"/>
      <c r="B124" s="56"/>
      <c r="C124" s="54"/>
      <c r="D124" s="56"/>
      <c r="E124" s="55"/>
      <c r="F124" s="56"/>
      <c r="G124" s="56"/>
      <c r="H124" s="56"/>
      <c r="I124" s="57"/>
      <c r="J124" s="57"/>
      <c r="K124" s="57"/>
    </row>
    <row r="125" spans="1:11" x14ac:dyDescent="0.25">
      <c r="A125" s="54"/>
      <c r="B125" s="56"/>
      <c r="C125" s="54"/>
      <c r="D125" s="56"/>
      <c r="E125" s="55"/>
      <c r="F125" s="56"/>
      <c r="G125" s="56"/>
      <c r="H125" s="56"/>
      <c r="I125" s="57"/>
      <c r="J125" s="57"/>
      <c r="K125" s="57"/>
    </row>
    <row r="126" spans="1:11" x14ac:dyDescent="0.25">
      <c r="A126" s="54"/>
      <c r="B126" s="56"/>
      <c r="C126" s="54"/>
      <c r="D126" s="56"/>
      <c r="E126" s="55"/>
      <c r="F126" s="56"/>
      <c r="G126" s="56"/>
      <c r="H126" s="56"/>
      <c r="I126" s="57"/>
      <c r="J126" s="57"/>
      <c r="K126" s="57"/>
    </row>
    <row r="127" spans="1:11" x14ac:dyDescent="0.25">
      <c r="A127" s="54"/>
      <c r="B127" s="56"/>
      <c r="C127" s="54"/>
      <c r="D127" s="56"/>
      <c r="E127" s="55"/>
      <c r="F127" s="56"/>
      <c r="G127" s="56"/>
      <c r="H127" s="56"/>
      <c r="I127" s="57"/>
      <c r="J127" s="57"/>
      <c r="K127" s="57"/>
    </row>
    <row r="128" spans="1:11" x14ac:dyDescent="0.25">
      <c r="A128" s="54"/>
      <c r="B128" s="56"/>
      <c r="C128" s="54"/>
      <c r="D128" s="56"/>
      <c r="E128" s="55"/>
      <c r="F128" s="56"/>
      <c r="G128" s="56"/>
      <c r="H128" s="56"/>
      <c r="I128" s="57"/>
      <c r="J128" s="57"/>
      <c r="K128" s="57"/>
    </row>
    <row r="129" spans="1:11" x14ac:dyDescent="0.25">
      <c r="A129" s="54"/>
      <c r="B129" s="56"/>
      <c r="C129" s="54"/>
      <c r="D129" s="56"/>
      <c r="E129" s="55"/>
      <c r="F129" s="56"/>
      <c r="G129" s="56"/>
      <c r="H129" s="56"/>
      <c r="I129" s="57"/>
      <c r="J129" s="57"/>
      <c r="K129" s="57"/>
    </row>
    <row r="130" spans="1:11" x14ac:dyDescent="0.25">
      <c r="A130" s="54"/>
      <c r="B130" s="56"/>
      <c r="C130" s="54"/>
      <c r="D130" s="56"/>
      <c r="E130" s="55"/>
      <c r="F130" s="56"/>
      <c r="G130" s="56"/>
      <c r="H130" s="56"/>
      <c r="I130" s="57"/>
      <c r="J130" s="57"/>
      <c r="K130" s="57"/>
    </row>
    <row r="131" spans="1:11" x14ac:dyDescent="0.25">
      <c r="A131" s="54"/>
      <c r="B131" s="56"/>
      <c r="C131" s="54"/>
      <c r="D131" s="56"/>
      <c r="E131" s="55"/>
      <c r="F131" s="56"/>
      <c r="G131" s="56"/>
      <c r="H131" s="56"/>
      <c r="I131" s="57"/>
      <c r="J131" s="57"/>
      <c r="K131" s="57"/>
    </row>
    <row r="132" spans="1:11" x14ac:dyDescent="0.25">
      <c r="A132" s="54"/>
      <c r="B132" s="56"/>
      <c r="C132" s="54"/>
      <c r="D132" s="56"/>
      <c r="E132" s="55"/>
      <c r="F132" s="56"/>
      <c r="G132" s="56"/>
      <c r="H132" s="56"/>
      <c r="I132" s="57"/>
      <c r="J132" s="57"/>
      <c r="K132" s="57"/>
    </row>
    <row r="133" spans="1:11" x14ac:dyDescent="0.25">
      <c r="A133" s="54"/>
      <c r="B133" s="56"/>
      <c r="C133" s="54"/>
      <c r="D133" s="56"/>
      <c r="E133" s="55"/>
      <c r="F133" s="56"/>
      <c r="G133" s="56"/>
      <c r="H133" s="56"/>
      <c r="I133" s="57"/>
      <c r="J133" s="57"/>
      <c r="K133" s="57"/>
    </row>
    <row r="134" spans="1:11" x14ac:dyDescent="0.25">
      <c r="A134" s="54"/>
      <c r="B134" s="56"/>
      <c r="C134" s="54"/>
      <c r="D134" s="56"/>
      <c r="E134" s="55"/>
      <c r="F134" s="56"/>
      <c r="G134" s="56"/>
      <c r="H134" s="56"/>
      <c r="I134" s="57"/>
      <c r="J134" s="57"/>
      <c r="K134" s="57"/>
    </row>
    <row r="135" spans="1:11" x14ac:dyDescent="0.25">
      <c r="A135" s="54"/>
      <c r="B135" s="56"/>
      <c r="C135" s="54"/>
      <c r="D135" s="56"/>
      <c r="E135" s="55"/>
      <c r="F135" s="56"/>
      <c r="G135" s="56"/>
      <c r="H135" s="56"/>
      <c r="I135" s="57"/>
      <c r="J135" s="57"/>
      <c r="K135" s="57"/>
    </row>
    <row r="136" spans="1:11" x14ac:dyDescent="0.25">
      <c r="A136" s="54"/>
      <c r="B136" s="56"/>
      <c r="C136" s="54"/>
      <c r="D136" s="56"/>
      <c r="E136" s="55"/>
      <c r="F136" s="56"/>
      <c r="G136" s="56"/>
      <c r="H136" s="56"/>
      <c r="I136" s="57"/>
      <c r="J136" s="57"/>
      <c r="K136" s="57"/>
    </row>
    <row r="137" spans="1:11" x14ac:dyDescent="0.25">
      <c r="A137" s="54"/>
      <c r="B137" s="56"/>
      <c r="C137" s="54"/>
      <c r="D137" s="56"/>
      <c r="E137" s="55"/>
      <c r="F137" s="56"/>
      <c r="G137" s="56"/>
      <c r="H137" s="56"/>
      <c r="I137" s="57"/>
      <c r="J137" s="57"/>
      <c r="K137" s="57"/>
    </row>
    <row r="138" spans="1:11" x14ac:dyDescent="0.25">
      <c r="A138" s="54"/>
      <c r="B138" s="56"/>
      <c r="C138" s="54"/>
      <c r="D138" s="56"/>
      <c r="E138" s="55"/>
      <c r="F138" s="56"/>
      <c r="G138" s="56"/>
      <c r="H138" s="56"/>
      <c r="I138" s="57"/>
      <c r="J138" s="57"/>
      <c r="K138" s="57"/>
    </row>
    <row r="139" spans="1:11" x14ac:dyDescent="0.25">
      <c r="A139" s="54"/>
      <c r="B139" s="56"/>
      <c r="C139" s="54"/>
      <c r="D139" s="56"/>
      <c r="E139" s="55"/>
      <c r="F139" s="56"/>
      <c r="G139" s="56"/>
      <c r="H139" s="56"/>
      <c r="I139" s="57"/>
      <c r="J139" s="57"/>
      <c r="K139" s="57"/>
    </row>
    <row r="140" spans="1:11" x14ac:dyDescent="0.25">
      <c r="A140" s="54"/>
      <c r="B140" s="56"/>
      <c r="C140" s="54"/>
      <c r="D140" s="56"/>
      <c r="E140" s="55"/>
      <c r="F140" s="56"/>
      <c r="G140" s="56"/>
      <c r="H140" s="56"/>
      <c r="I140" s="57"/>
      <c r="J140" s="57"/>
      <c r="K140" s="57"/>
    </row>
    <row r="141" spans="1:11" x14ac:dyDescent="0.25">
      <c r="A141" s="54"/>
      <c r="B141" s="56"/>
      <c r="C141" s="54"/>
      <c r="D141" s="56"/>
      <c r="E141" s="55"/>
      <c r="F141" s="56"/>
      <c r="G141" s="56"/>
      <c r="H141" s="56"/>
      <c r="I141" s="57"/>
      <c r="J141" s="57"/>
      <c r="K141" s="57"/>
    </row>
    <row r="142" spans="1:11" x14ac:dyDescent="0.25">
      <c r="A142" s="54"/>
      <c r="B142" s="56"/>
      <c r="C142" s="54"/>
      <c r="D142" s="56"/>
      <c r="E142" s="55"/>
      <c r="F142" s="56"/>
      <c r="G142" s="56"/>
      <c r="H142" s="56"/>
      <c r="I142" s="57"/>
      <c r="J142" s="57"/>
      <c r="K142" s="57"/>
    </row>
    <row r="143" spans="1:11" x14ac:dyDescent="0.25">
      <c r="A143" s="54"/>
      <c r="B143" s="56"/>
      <c r="C143" s="54"/>
      <c r="D143" s="56"/>
      <c r="E143" s="55"/>
      <c r="F143" s="56"/>
      <c r="G143" s="56"/>
      <c r="H143" s="56"/>
      <c r="I143" s="57"/>
      <c r="J143" s="57"/>
      <c r="K143" s="57"/>
    </row>
    <row r="144" spans="1:11" x14ac:dyDescent="0.25">
      <c r="A144" s="54"/>
      <c r="B144" s="56"/>
      <c r="C144" s="54"/>
      <c r="D144" s="56"/>
      <c r="E144" s="55"/>
      <c r="F144" s="56"/>
      <c r="G144" s="56"/>
      <c r="H144" s="56"/>
      <c r="I144" s="57"/>
      <c r="J144" s="57"/>
      <c r="K144" s="57"/>
    </row>
    <row r="145" spans="1:11" x14ac:dyDescent="0.25">
      <c r="A145" s="54"/>
      <c r="B145" s="56"/>
      <c r="C145" s="54"/>
      <c r="D145" s="56"/>
      <c r="E145" s="55"/>
      <c r="F145" s="56"/>
      <c r="G145" s="56"/>
      <c r="H145" s="56"/>
      <c r="I145" s="57"/>
      <c r="J145" s="57"/>
      <c r="K145" s="57"/>
    </row>
    <row r="146" spans="1:11" x14ac:dyDescent="0.25">
      <c r="A146" s="54"/>
      <c r="B146" s="56"/>
      <c r="C146" s="54"/>
      <c r="D146" s="56"/>
      <c r="E146" s="55"/>
      <c r="F146" s="56"/>
      <c r="G146" s="56"/>
      <c r="H146" s="56"/>
      <c r="I146" s="57"/>
      <c r="J146" s="57"/>
      <c r="K146" s="57"/>
    </row>
    <row r="147" spans="1:11" x14ac:dyDescent="0.25">
      <c r="A147" s="54"/>
      <c r="B147" s="56"/>
      <c r="C147" s="54"/>
      <c r="D147" s="56"/>
      <c r="E147" s="55"/>
      <c r="F147" s="56"/>
      <c r="G147" s="56"/>
      <c r="H147" s="56"/>
      <c r="I147" s="57"/>
      <c r="J147" s="57"/>
      <c r="K147" s="57"/>
    </row>
    <row r="148" spans="1:11" x14ac:dyDescent="0.25">
      <c r="A148" s="54"/>
      <c r="B148" s="56"/>
      <c r="C148" s="54"/>
      <c r="D148" s="56"/>
      <c r="E148" s="55"/>
      <c r="F148" s="56"/>
      <c r="G148" s="56"/>
      <c r="H148" s="56"/>
      <c r="I148" s="57"/>
      <c r="J148" s="57"/>
      <c r="K148" s="57"/>
    </row>
    <row r="149" spans="1:11" x14ac:dyDescent="0.25">
      <c r="A149" s="54"/>
      <c r="B149" s="56"/>
      <c r="C149" s="54"/>
      <c r="D149" s="56"/>
      <c r="E149" s="55"/>
      <c r="F149" s="56"/>
      <c r="G149" s="56"/>
      <c r="H149" s="56"/>
      <c r="I149" s="57"/>
      <c r="J149" s="57"/>
      <c r="K149" s="57"/>
    </row>
    <row r="150" spans="1:11" x14ac:dyDescent="0.25">
      <c r="A150" s="54"/>
      <c r="B150" s="56"/>
      <c r="C150" s="54"/>
      <c r="D150" s="56"/>
      <c r="E150" s="55"/>
      <c r="F150" s="56"/>
      <c r="G150" s="56"/>
      <c r="H150" s="56"/>
      <c r="I150" s="57"/>
      <c r="J150" s="57"/>
      <c r="K150" s="57"/>
    </row>
    <row r="151" spans="1:11" x14ac:dyDescent="0.25">
      <c r="A151" s="54"/>
      <c r="B151" s="56"/>
      <c r="C151" s="54"/>
      <c r="D151" s="56"/>
      <c r="E151" s="55"/>
      <c r="F151" s="56"/>
      <c r="G151" s="56"/>
      <c r="H151" s="56"/>
      <c r="I151" s="57"/>
      <c r="J151" s="57"/>
      <c r="K151" s="57"/>
    </row>
    <row r="152" spans="1:11" x14ac:dyDescent="0.25">
      <c r="A152" s="54"/>
      <c r="B152" s="56"/>
      <c r="C152" s="54"/>
      <c r="D152" s="56"/>
      <c r="E152" s="55"/>
      <c r="F152" s="56"/>
      <c r="G152" s="56"/>
      <c r="H152" s="56"/>
      <c r="I152" s="57"/>
      <c r="J152" s="57"/>
      <c r="K152" s="57"/>
    </row>
    <row r="153" spans="1:11" x14ac:dyDescent="0.25">
      <c r="A153" s="54"/>
      <c r="B153" s="56"/>
      <c r="C153" s="54"/>
      <c r="D153" s="56"/>
      <c r="E153" s="55"/>
      <c r="F153" s="56"/>
      <c r="G153" s="56"/>
      <c r="H153" s="56"/>
      <c r="I153" s="57"/>
      <c r="J153" s="57"/>
      <c r="K153" s="57"/>
    </row>
    <row r="154" spans="1:11" x14ac:dyDescent="0.25">
      <c r="A154" s="54"/>
      <c r="B154" s="56"/>
      <c r="C154" s="54"/>
      <c r="D154" s="56"/>
      <c r="E154" s="55"/>
      <c r="F154" s="56"/>
      <c r="G154" s="56"/>
      <c r="H154" s="56"/>
      <c r="I154" s="57"/>
      <c r="J154" s="57"/>
      <c r="K154" s="57"/>
    </row>
    <row r="155" spans="1:11" x14ac:dyDescent="0.25">
      <c r="A155" s="54"/>
      <c r="B155" s="56"/>
      <c r="C155" s="54"/>
      <c r="D155" s="56"/>
      <c r="E155" s="55"/>
      <c r="F155" s="56"/>
      <c r="G155" s="56"/>
      <c r="H155" s="56"/>
      <c r="I155" s="57"/>
      <c r="J155" s="57"/>
      <c r="K155" s="57"/>
    </row>
    <row r="156" spans="1:11" x14ac:dyDescent="0.25">
      <c r="A156" s="54"/>
      <c r="B156" s="56"/>
      <c r="C156" s="54"/>
      <c r="D156" s="56"/>
      <c r="E156" s="55"/>
      <c r="F156" s="56"/>
      <c r="G156" s="56"/>
      <c r="H156" s="56"/>
      <c r="I156" s="57"/>
      <c r="J156" s="57"/>
      <c r="K156" s="57"/>
    </row>
    <row r="157" spans="1:11" x14ac:dyDescent="0.25">
      <c r="A157" s="54"/>
      <c r="B157" s="56"/>
      <c r="C157" s="54"/>
      <c r="D157" s="56"/>
      <c r="E157" s="55"/>
      <c r="F157" s="56"/>
      <c r="G157" s="56"/>
      <c r="H157" s="56"/>
      <c r="I157" s="57"/>
      <c r="J157" s="57"/>
      <c r="K157" s="57"/>
    </row>
    <row r="158" spans="1:11" x14ac:dyDescent="0.25">
      <c r="A158" s="54"/>
      <c r="B158" s="56"/>
      <c r="C158" s="54"/>
      <c r="D158" s="56"/>
      <c r="E158" s="55"/>
      <c r="F158" s="56"/>
      <c r="G158" s="56"/>
      <c r="H158" s="56"/>
      <c r="I158" s="57"/>
      <c r="J158" s="57"/>
      <c r="K158" s="57"/>
    </row>
    <row r="159" spans="1:11" x14ac:dyDescent="0.25">
      <c r="A159" s="54"/>
      <c r="B159" s="56"/>
      <c r="C159" s="54"/>
      <c r="D159" s="56"/>
      <c r="E159" s="55"/>
      <c r="F159" s="56"/>
      <c r="G159" s="56"/>
      <c r="H159" s="56"/>
      <c r="I159" s="57"/>
      <c r="J159" s="57"/>
      <c r="K159" s="57"/>
    </row>
    <row r="160" spans="1:11" x14ac:dyDescent="0.25">
      <c r="A160" s="54"/>
      <c r="B160" s="56"/>
      <c r="C160" s="54"/>
      <c r="D160" s="56"/>
      <c r="E160" s="55"/>
      <c r="F160" s="56"/>
      <c r="G160" s="56"/>
      <c r="H160" s="56"/>
      <c r="I160" s="57"/>
      <c r="J160" s="57"/>
      <c r="K160" s="57"/>
    </row>
    <row r="161" spans="1:11" x14ac:dyDescent="0.25">
      <c r="A161" s="54"/>
      <c r="B161" s="56"/>
      <c r="C161" s="54"/>
      <c r="D161" s="56"/>
      <c r="E161" s="55"/>
      <c r="F161" s="56"/>
      <c r="G161" s="56"/>
      <c r="H161" s="56"/>
      <c r="I161" s="57"/>
      <c r="J161" s="57"/>
      <c r="K161" s="57"/>
    </row>
    <row r="162" spans="1:11" x14ac:dyDescent="0.25">
      <c r="A162" s="54"/>
      <c r="B162" s="56"/>
      <c r="C162" s="54"/>
      <c r="D162" s="56"/>
      <c r="E162" s="55"/>
      <c r="F162" s="56"/>
      <c r="G162" s="56"/>
      <c r="H162" s="56"/>
      <c r="I162" s="57"/>
      <c r="J162" s="57"/>
      <c r="K162" s="57"/>
    </row>
    <row r="163" spans="1:11" x14ac:dyDescent="0.25">
      <c r="A163" s="54"/>
      <c r="B163" s="56"/>
      <c r="C163" s="54"/>
      <c r="D163" s="56"/>
      <c r="E163" s="55"/>
      <c r="F163" s="56"/>
      <c r="G163" s="56"/>
      <c r="H163" s="56"/>
      <c r="I163" s="57"/>
      <c r="J163" s="57"/>
      <c r="K163" s="57"/>
    </row>
    <row r="164" spans="1:11" x14ac:dyDescent="0.25">
      <c r="A164" s="54"/>
      <c r="B164" s="56"/>
      <c r="C164" s="54"/>
      <c r="D164" s="56"/>
      <c r="E164" s="55"/>
      <c r="F164" s="56"/>
      <c r="G164" s="56"/>
      <c r="H164" s="56"/>
      <c r="I164" s="57"/>
      <c r="J164" s="57"/>
      <c r="K164" s="57"/>
    </row>
    <row r="165" spans="1:11" x14ac:dyDescent="0.25">
      <c r="A165" s="54"/>
      <c r="B165" s="56"/>
      <c r="C165" s="54"/>
      <c r="D165" s="56"/>
      <c r="E165" s="55"/>
      <c r="F165" s="56"/>
      <c r="G165" s="56"/>
      <c r="H165" s="56"/>
      <c r="I165" s="57"/>
      <c r="J165" s="57"/>
      <c r="K165" s="57"/>
    </row>
    <row r="166" spans="1:11" x14ac:dyDescent="0.25">
      <c r="A166" s="54"/>
      <c r="B166" s="56"/>
      <c r="C166" s="54"/>
      <c r="D166" s="56"/>
      <c r="E166" s="55"/>
      <c r="F166" s="56"/>
      <c r="G166" s="56"/>
      <c r="H166" s="56"/>
      <c r="I166" s="57"/>
      <c r="J166" s="57"/>
      <c r="K166" s="57"/>
    </row>
    <row r="167" spans="1:11" x14ac:dyDescent="0.25">
      <c r="A167" s="54"/>
      <c r="B167" s="56"/>
      <c r="C167" s="54"/>
      <c r="D167" s="56"/>
      <c r="E167" s="55"/>
      <c r="F167" s="56"/>
      <c r="G167" s="56"/>
      <c r="H167" s="56"/>
      <c r="I167" s="57"/>
      <c r="J167" s="57"/>
      <c r="K167" s="57"/>
    </row>
    <row r="168" spans="1:11" x14ac:dyDescent="0.25">
      <c r="A168" s="54"/>
      <c r="B168" s="56"/>
      <c r="C168" s="54"/>
      <c r="D168" s="56"/>
      <c r="E168" s="55"/>
      <c r="F168" s="56"/>
      <c r="G168" s="56"/>
      <c r="H168" s="56"/>
      <c r="I168" s="57"/>
      <c r="J168" s="57"/>
      <c r="K168" s="57"/>
    </row>
    <row r="169" spans="1:11" x14ac:dyDescent="0.25">
      <c r="A169" s="54"/>
      <c r="B169" s="56"/>
      <c r="C169" s="54"/>
      <c r="D169" s="56"/>
      <c r="E169" s="55"/>
      <c r="F169" s="56"/>
      <c r="G169" s="56"/>
      <c r="H169" s="56"/>
      <c r="I169" s="57"/>
      <c r="J169" s="57"/>
      <c r="K169" s="57"/>
    </row>
    <row r="170" spans="1:11" x14ac:dyDescent="0.25">
      <c r="A170" s="54"/>
      <c r="B170" s="56"/>
      <c r="C170" s="54"/>
      <c r="D170" s="56"/>
      <c r="E170" s="55"/>
      <c r="F170" s="56"/>
      <c r="G170" s="56"/>
      <c r="H170" s="56"/>
      <c r="I170" s="57"/>
      <c r="J170" s="57"/>
      <c r="K170" s="57"/>
    </row>
    <row r="171" spans="1:11" x14ac:dyDescent="0.25">
      <c r="A171" s="54"/>
      <c r="B171" s="56"/>
      <c r="C171" s="54"/>
      <c r="D171" s="56"/>
      <c r="E171" s="55"/>
      <c r="F171" s="56"/>
      <c r="G171" s="56"/>
      <c r="H171" s="56"/>
      <c r="I171" s="57"/>
      <c r="J171" s="57"/>
      <c r="K171" s="57"/>
    </row>
    <row r="172" spans="1:11" x14ac:dyDescent="0.25">
      <c r="A172" s="54"/>
      <c r="B172" s="56"/>
      <c r="C172" s="54"/>
      <c r="D172" s="56"/>
      <c r="E172" s="55"/>
      <c r="F172" s="56"/>
      <c r="G172" s="56"/>
      <c r="H172" s="56"/>
      <c r="I172" s="57"/>
      <c r="J172" s="57"/>
      <c r="K172" s="57"/>
    </row>
    <row r="173" spans="1:11" x14ac:dyDescent="0.25">
      <c r="A173" s="54"/>
      <c r="B173" s="56"/>
      <c r="C173" s="54"/>
      <c r="D173" s="56"/>
      <c r="E173" s="55"/>
      <c r="F173" s="56"/>
      <c r="G173" s="56"/>
      <c r="H173" s="56"/>
      <c r="I173" s="57"/>
      <c r="J173" s="57"/>
      <c r="K173" s="57"/>
    </row>
    <row r="174" spans="1:11" x14ac:dyDescent="0.25">
      <c r="A174" s="54"/>
      <c r="B174" s="56"/>
      <c r="C174" s="54"/>
      <c r="D174" s="56"/>
      <c r="E174" s="55"/>
      <c r="F174" s="56"/>
      <c r="G174" s="56"/>
      <c r="H174" s="56"/>
      <c r="I174" s="57"/>
      <c r="J174" s="57"/>
      <c r="K174" s="57"/>
    </row>
    <row r="175" spans="1:11" x14ac:dyDescent="0.25">
      <c r="A175" s="54"/>
      <c r="B175" s="56"/>
      <c r="C175" s="54"/>
      <c r="D175" s="56"/>
      <c r="E175" s="55"/>
      <c r="F175" s="56"/>
      <c r="G175" s="56"/>
      <c r="H175" s="56"/>
      <c r="I175" s="57"/>
      <c r="J175" s="57"/>
      <c r="K175" s="57"/>
    </row>
    <row r="176" spans="1:11" x14ac:dyDescent="0.25">
      <c r="A176" s="54"/>
      <c r="B176" s="56"/>
      <c r="C176" s="54"/>
      <c r="D176" s="56"/>
      <c r="E176" s="55"/>
      <c r="F176" s="56"/>
      <c r="G176" s="56"/>
      <c r="H176" s="56"/>
      <c r="I176" s="57"/>
      <c r="J176" s="57"/>
      <c r="K176" s="57"/>
    </row>
    <row r="177" spans="1:11" x14ac:dyDescent="0.25">
      <c r="A177" s="54"/>
      <c r="B177" s="56"/>
      <c r="C177" s="54"/>
      <c r="D177" s="56"/>
      <c r="E177" s="55"/>
      <c r="F177" s="56"/>
      <c r="G177" s="56"/>
      <c r="H177" s="56"/>
      <c r="I177" s="57"/>
      <c r="J177" s="57"/>
      <c r="K177" s="57"/>
    </row>
    <row r="178" spans="1:11" x14ac:dyDescent="0.25">
      <c r="A178" s="54"/>
      <c r="B178" s="56"/>
      <c r="C178" s="54"/>
      <c r="D178" s="56"/>
      <c r="E178" s="55"/>
      <c r="F178" s="56"/>
      <c r="G178" s="56"/>
      <c r="H178" s="56"/>
      <c r="I178" s="57"/>
      <c r="J178" s="57"/>
      <c r="K178" s="57"/>
    </row>
    <row r="179" spans="1:11" x14ac:dyDescent="0.25">
      <c r="A179" s="54"/>
      <c r="B179" s="56"/>
      <c r="C179" s="54"/>
      <c r="D179" s="56"/>
      <c r="E179" s="55"/>
      <c r="F179" s="56"/>
      <c r="G179" s="56"/>
      <c r="H179" s="56"/>
      <c r="I179" s="57"/>
      <c r="J179" s="57"/>
      <c r="K179" s="57"/>
    </row>
    <row r="180" spans="1:11" x14ac:dyDescent="0.25">
      <c r="A180" s="54"/>
      <c r="B180" s="56"/>
      <c r="C180" s="54"/>
      <c r="D180" s="56"/>
      <c r="E180" s="55"/>
      <c r="F180" s="56"/>
      <c r="G180" s="56"/>
      <c r="H180" s="56"/>
      <c r="I180" s="57"/>
      <c r="J180" s="57"/>
      <c r="K180" s="57"/>
    </row>
    <row r="181" spans="1:11" x14ac:dyDescent="0.25">
      <c r="A181" s="54"/>
      <c r="B181" s="56"/>
      <c r="C181" s="54"/>
      <c r="D181" s="56"/>
      <c r="E181" s="55"/>
      <c r="F181" s="56"/>
      <c r="G181" s="56"/>
      <c r="H181" s="56"/>
      <c r="I181" s="57"/>
      <c r="J181" s="57"/>
      <c r="K181" s="57"/>
    </row>
    <row r="182" spans="1:11" x14ac:dyDescent="0.25">
      <c r="A182" s="54"/>
      <c r="B182" s="56"/>
      <c r="C182" s="54"/>
      <c r="D182" s="56"/>
      <c r="E182" s="55"/>
      <c r="F182" s="56"/>
      <c r="G182" s="56"/>
      <c r="H182" s="56"/>
      <c r="I182" s="57"/>
      <c r="J182" s="57"/>
      <c r="K182" s="57"/>
    </row>
    <row r="183" spans="1:11" x14ac:dyDescent="0.25">
      <c r="A183" s="54"/>
      <c r="B183" s="56"/>
      <c r="C183" s="54"/>
      <c r="D183" s="56"/>
      <c r="E183" s="55"/>
      <c r="F183" s="56"/>
      <c r="G183" s="56"/>
      <c r="H183" s="56"/>
      <c r="I183" s="57"/>
      <c r="J183" s="57"/>
      <c r="K183" s="57"/>
    </row>
    <row r="184" spans="1:11" x14ac:dyDescent="0.25">
      <c r="A184" s="54"/>
      <c r="B184" s="56"/>
      <c r="C184" s="54"/>
      <c r="D184" s="56"/>
      <c r="E184" s="55"/>
      <c r="F184" s="56"/>
      <c r="G184" s="56"/>
      <c r="H184" s="56"/>
      <c r="I184" s="57"/>
      <c r="J184" s="57"/>
      <c r="K184" s="57"/>
    </row>
    <row r="185" spans="1:11" x14ac:dyDescent="0.25">
      <c r="A185" s="54"/>
      <c r="B185" s="56"/>
      <c r="C185" s="54"/>
      <c r="D185" s="56"/>
      <c r="E185" s="55"/>
      <c r="F185" s="56"/>
      <c r="G185" s="56"/>
      <c r="H185" s="56"/>
      <c r="I185" s="57"/>
      <c r="J185" s="57"/>
      <c r="K185" s="57"/>
    </row>
    <row r="186" spans="1:11" x14ac:dyDescent="0.25">
      <c r="A186" s="54"/>
      <c r="B186" s="56"/>
      <c r="C186" s="54"/>
      <c r="D186" s="56"/>
      <c r="E186" s="55"/>
      <c r="F186" s="56"/>
      <c r="G186" s="56"/>
      <c r="H186" s="56"/>
      <c r="I186" s="57"/>
      <c r="J186" s="57"/>
      <c r="K186" s="57"/>
    </row>
    <row r="187" spans="1:11" x14ac:dyDescent="0.25">
      <c r="A187" s="54"/>
      <c r="B187" s="56"/>
      <c r="C187" s="54"/>
      <c r="D187" s="56"/>
      <c r="E187" s="55"/>
      <c r="F187" s="56"/>
      <c r="G187" s="56"/>
      <c r="H187" s="56"/>
      <c r="I187" s="57"/>
      <c r="J187" s="57"/>
      <c r="K187" s="57"/>
    </row>
    <row r="188" spans="1:11" x14ac:dyDescent="0.25">
      <c r="A188" s="54"/>
      <c r="B188" s="56"/>
      <c r="C188" s="54"/>
      <c r="D188" s="56"/>
      <c r="E188" s="55"/>
      <c r="F188" s="56"/>
      <c r="G188" s="56"/>
      <c r="H188" s="56"/>
      <c r="I188" s="57"/>
      <c r="J188" s="57"/>
      <c r="K188" s="57"/>
    </row>
    <row r="189" spans="1:11" x14ac:dyDescent="0.25">
      <c r="A189" s="54"/>
      <c r="B189" s="56"/>
      <c r="C189" s="54"/>
      <c r="D189" s="56"/>
      <c r="E189" s="55"/>
      <c r="F189" s="56"/>
      <c r="G189" s="56"/>
      <c r="H189" s="56"/>
      <c r="I189" s="57"/>
      <c r="J189" s="57"/>
      <c r="K189" s="57"/>
    </row>
    <row r="190" spans="1:11" x14ac:dyDescent="0.25">
      <c r="A190" s="54"/>
      <c r="B190" s="56"/>
      <c r="C190" s="54"/>
      <c r="D190" s="56"/>
      <c r="E190" s="55"/>
      <c r="F190" s="56"/>
      <c r="G190" s="56"/>
      <c r="H190" s="56"/>
      <c r="I190" s="57"/>
      <c r="J190" s="57"/>
      <c r="K190" s="57"/>
    </row>
    <row r="191" spans="1:11" x14ac:dyDescent="0.25">
      <c r="A191" s="54"/>
      <c r="B191" s="56"/>
      <c r="C191" s="54"/>
      <c r="D191" s="56"/>
      <c r="E191" s="55"/>
      <c r="F191" s="56"/>
      <c r="G191" s="56"/>
      <c r="H191" s="56"/>
      <c r="I191" s="57"/>
      <c r="J191" s="57"/>
      <c r="K191" s="57"/>
    </row>
    <row r="192" spans="1:11" x14ac:dyDescent="0.25">
      <c r="A192" s="54"/>
      <c r="B192" s="56"/>
      <c r="C192" s="54"/>
      <c r="D192" s="56"/>
      <c r="E192" s="55"/>
      <c r="F192" s="56"/>
      <c r="G192" s="56"/>
      <c r="H192" s="56"/>
      <c r="I192" s="57"/>
      <c r="J192" s="57"/>
      <c r="K192" s="57"/>
    </row>
    <row r="193" spans="1:11" x14ac:dyDescent="0.25">
      <c r="A193" s="54"/>
      <c r="B193" s="56"/>
      <c r="C193" s="54"/>
      <c r="D193" s="56"/>
      <c r="E193" s="55"/>
      <c r="F193" s="56"/>
      <c r="G193" s="56"/>
      <c r="H193" s="56"/>
      <c r="I193" s="57"/>
      <c r="J193" s="57"/>
      <c r="K193" s="57"/>
    </row>
    <row r="194" spans="1:11" x14ac:dyDescent="0.25">
      <c r="A194" s="54"/>
      <c r="B194" s="56"/>
      <c r="C194" s="54"/>
      <c r="D194" s="56"/>
      <c r="E194" s="55"/>
      <c r="F194" s="56"/>
      <c r="G194" s="56"/>
      <c r="H194" s="56"/>
      <c r="I194" s="57"/>
      <c r="J194" s="57"/>
      <c r="K194" s="57"/>
    </row>
    <row r="195" spans="1:11" x14ac:dyDescent="0.25">
      <c r="A195" s="54"/>
      <c r="B195" s="56"/>
      <c r="C195" s="54"/>
      <c r="D195" s="56"/>
      <c r="E195" s="55"/>
      <c r="F195" s="56"/>
      <c r="G195" s="56"/>
      <c r="H195" s="56"/>
      <c r="I195" s="57"/>
      <c r="J195" s="57"/>
      <c r="K195" s="57"/>
    </row>
    <row r="196" spans="1:11" x14ac:dyDescent="0.25">
      <c r="A196" s="54"/>
      <c r="B196" s="56"/>
      <c r="C196" s="54"/>
      <c r="D196" s="56"/>
      <c r="E196" s="55"/>
      <c r="F196" s="56"/>
      <c r="G196" s="56"/>
      <c r="H196" s="56"/>
      <c r="I196" s="57"/>
      <c r="J196" s="57"/>
      <c r="K196" s="57"/>
    </row>
    <row r="197" spans="1:11" x14ac:dyDescent="0.25">
      <c r="A197" s="54"/>
      <c r="B197" s="56"/>
      <c r="C197" s="54"/>
      <c r="D197" s="56"/>
      <c r="E197" s="55"/>
      <c r="F197" s="56"/>
      <c r="G197" s="56"/>
      <c r="H197" s="56"/>
      <c r="I197" s="57"/>
      <c r="J197" s="57"/>
      <c r="K197" s="57"/>
    </row>
    <row r="198" spans="1:11" x14ac:dyDescent="0.25">
      <c r="A198" s="54"/>
      <c r="B198" s="56"/>
      <c r="C198" s="54"/>
      <c r="D198" s="56"/>
      <c r="E198" s="55"/>
      <c r="F198" s="56"/>
      <c r="G198" s="56"/>
      <c r="H198" s="56"/>
      <c r="I198" s="57"/>
      <c r="J198" s="57"/>
      <c r="K198" s="57"/>
    </row>
    <row r="199" spans="1:11" x14ac:dyDescent="0.25">
      <c r="A199" s="54"/>
      <c r="B199" s="56"/>
      <c r="C199" s="54"/>
      <c r="D199" s="56"/>
      <c r="E199" s="55"/>
      <c r="F199" s="56"/>
      <c r="G199" s="56"/>
      <c r="H199" s="56"/>
      <c r="I199" s="57"/>
      <c r="J199" s="57"/>
      <c r="K199" s="57"/>
    </row>
    <row r="200" spans="1:11" x14ac:dyDescent="0.25">
      <c r="A200" s="54"/>
      <c r="B200" s="56"/>
      <c r="C200" s="54"/>
      <c r="D200" s="56"/>
      <c r="E200" s="55"/>
      <c r="F200" s="56"/>
      <c r="G200" s="56"/>
      <c r="H200" s="56"/>
      <c r="I200" s="57"/>
      <c r="J200" s="57"/>
      <c r="K200" s="57"/>
    </row>
    <row r="201" spans="1:11" x14ac:dyDescent="0.25">
      <c r="A201" s="54"/>
      <c r="B201" s="56"/>
      <c r="C201" s="54"/>
      <c r="D201" s="56"/>
      <c r="E201" s="55"/>
      <c r="F201" s="56"/>
      <c r="G201" s="56"/>
      <c r="H201" s="56"/>
      <c r="I201" s="57"/>
      <c r="J201" s="57"/>
      <c r="K201" s="57"/>
    </row>
    <row r="202" spans="1:11" x14ac:dyDescent="0.25">
      <c r="A202" s="54"/>
      <c r="B202" s="56"/>
      <c r="C202" s="54"/>
      <c r="D202" s="56"/>
      <c r="E202" s="55"/>
      <c r="F202" s="56"/>
      <c r="G202" s="56"/>
      <c r="H202" s="56"/>
      <c r="I202" s="57"/>
      <c r="J202" s="57"/>
      <c r="K202" s="57"/>
    </row>
    <row r="203" spans="1:11" x14ac:dyDescent="0.25">
      <c r="A203" s="54"/>
      <c r="B203" s="56"/>
      <c r="C203" s="54"/>
      <c r="D203" s="56"/>
      <c r="E203" s="55"/>
      <c r="F203" s="56"/>
      <c r="G203" s="56"/>
      <c r="H203" s="56"/>
      <c r="I203" s="57"/>
      <c r="J203" s="57"/>
      <c r="K203" s="57"/>
    </row>
    <row r="204" spans="1:11" x14ac:dyDescent="0.25">
      <c r="A204" s="54"/>
      <c r="B204" s="56"/>
      <c r="C204" s="54"/>
      <c r="D204" s="56"/>
      <c r="E204" s="55"/>
      <c r="F204" s="56"/>
      <c r="G204" s="56"/>
      <c r="H204" s="56"/>
      <c r="I204" s="57"/>
      <c r="J204" s="57"/>
      <c r="K204" s="57"/>
    </row>
    <row r="205" spans="1:11" x14ac:dyDescent="0.25">
      <c r="A205" s="54"/>
      <c r="B205" s="56"/>
      <c r="C205" s="54"/>
      <c r="D205" s="56"/>
      <c r="E205" s="55"/>
      <c r="F205" s="56"/>
      <c r="G205" s="56"/>
      <c r="H205" s="56"/>
      <c r="I205" s="57"/>
      <c r="J205" s="57"/>
      <c r="K205" s="57"/>
    </row>
    <row r="206" spans="1:11" x14ac:dyDescent="0.25">
      <c r="A206" s="54"/>
      <c r="B206" s="56"/>
      <c r="C206" s="54"/>
      <c r="D206" s="56"/>
      <c r="E206" s="55"/>
      <c r="F206" s="56"/>
      <c r="G206" s="56"/>
      <c r="H206" s="56"/>
      <c r="I206" s="57"/>
      <c r="J206" s="57"/>
      <c r="K206" s="57"/>
    </row>
    <row r="207" spans="1:11" x14ac:dyDescent="0.25">
      <c r="A207" s="54"/>
      <c r="B207" s="56"/>
      <c r="C207" s="54"/>
      <c r="D207" s="56"/>
      <c r="E207" s="55"/>
      <c r="F207" s="56"/>
      <c r="G207" s="56"/>
      <c r="H207" s="56"/>
      <c r="I207" s="57"/>
      <c r="J207" s="57"/>
      <c r="K207" s="57"/>
    </row>
    <row r="208" spans="1:11" x14ac:dyDescent="0.25">
      <c r="A208" s="54"/>
      <c r="B208" s="56"/>
      <c r="C208" s="54"/>
      <c r="D208" s="56"/>
      <c r="E208" s="55"/>
      <c r="F208" s="56"/>
      <c r="G208" s="56"/>
      <c r="H208" s="56"/>
      <c r="I208" s="57"/>
      <c r="J208" s="57"/>
      <c r="K208" s="57"/>
    </row>
    <row r="209" spans="1:11" x14ac:dyDescent="0.25">
      <c r="A209" s="54"/>
      <c r="B209" s="56"/>
      <c r="C209" s="54"/>
      <c r="D209" s="56"/>
      <c r="E209" s="55"/>
      <c r="F209" s="56"/>
      <c r="G209" s="56"/>
      <c r="H209" s="56"/>
      <c r="I209" s="57"/>
      <c r="J209" s="57"/>
      <c r="K209" s="57"/>
    </row>
    <row r="210" spans="1:11" x14ac:dyDescent="0.25">
      <c r="A210" s="54"/>
      <c r="B210" s="56"/>
      <c r="C210" s="54"/>
      <c r="D210" s="56"/>
      <c r="E210" s="55"/>
      <c r="F210" s="56"/>
      <c r="G210" s="56"/>
      <c r="H210" s="56"/>
      <c r="I210" s="57"/>
      <c r="J210" s="57"/>
      <c r="K210" s="57"/>
    </row>
    <row r="211" spans="1:11" x14ac:dyDescent="0.25">
      <c r="A211" s="54"/>
      <c r="B211" s="56"/>
      <c r="C211" s="54"/>
      <c r="D211" s="56"/>
      <c r="E211" s="55"/>
      <c r="F211" s="56"/>
      <c r="G211" s="56"/>
      <c r="H211" s="56"/>
      <c r="I211" s="57"/>
      <c r="J211" s="57"/>
      <c r="K211" s="57"/>
    </row>
    <row r="212" spans="1:11" x14ac:dyDescent="0.25">
      <c r="A212" s="54"/>
      <c r="B212" s="56"/>
      <c r="C212" s="54"/>
      <c r="D212" s="56"/>
      <c r="E212" s="55"/>
      <c r="F212" s="56"/>
      <c r="G212" s="56"/>
      <c r="H212" s="56"/>
      <c r="I212" s="57"/>
      <c r="J212" s="57"/>
      <c r="K212" s="57"/>
    </row>
    <row r="213" spans="1:11" x14ac:dyDescent="0.25">
      <c r="A213" s="54"/>
      <c r="B213" s="56"/>
      <c r="C213" s="54"/>
      <c r="D213" s="56"/>
      <c r="E213" s="55"/>
      <c r="F213" s="56"/>
      <c r="G213" s="56"/>
      <c r="H213" s="56"/>
      <c r="I213" s="57"/>
      <c r="J213" s="57"/>
      <c r="K213" s="57"/>
    </row>
    <row r="214" spans="1:11" x14ac:dyDescent="0.25">
      <c r="A214" s="54"/>
      <c r="B214" s="56"/>
      <c r="C214" s="54"/>
      <c r="D214" s="56"/>
      <c r="E214" s="55"/>
      <c r="F214" s="56"/>
      <c r="G214" s="56"/>
      <c r="H214" s="56"/>
      <c r="I214" s="57"/>
      <c r="J214" s="57"/>
      <c r="K214" s="57"/>
    </row>
    <row r="215" spans="1:11" x14ac:dyDescent="0.25">
      <c r="A215" s="54"/>
      <c r="B215" s="56"/>
      <c r="C215" s="54"/>
      <c r="D215" s="56"/>
      <c r="E215" s="55"/>
      <c r="F215" s="56"/>
      <c r="G215" s="56"/>
      <c r="H215" s="56"/>
      <c r="I215" s="57"/>
      <c r="J215" s="57"/>
      <c r="K215" s="57"/>
    </row>
    <row r="216" spans="1:11" x14ac:dyDescent="0.25">
      <c r="A216" s="54"/>
      <c r="B216" s="56"/>
      <c r="C216" s="54"/>
      <c r="D216" s="56"/>
      <c r="E216" s="55"/>
      <c r="F216" s="56"/>
      <c r="G216" s="56"/>
      <c r="H216" s="56"/>
      <c r="I216" s="57"/>
      <c r="J216" s="57"/>
      <c r="K216" s="57"/>
    </row>
    <row r="217" spans="1:11" x14ac:dyDescent="0.25">
      <c r="A217" s="54"/>
      <c r="B217" s="56"/>
      <c r="C217" s="54"/>
      <c r="D217" s="56"/>
      <c r="E217" s="55"/>
      <c r="F217" s="56"/>
      <c r="G217" s="56"/>
      <c r="H217" s="56"/>
      <c r="I217" s="57"/>
      <c r="J217" s="57"/>
      <c r="K217" s="57"/>
    </row>
    <row r="218" spans="1:11" x14ac:dyDescent="0.25">
      <c r="A218" s="54"/>
      <c r="B218" s="56"/>
      <c r="C218" s="54"/>
      <c r="D218" s="56"/>
      <c r="E218" s="55"/>
      <c r="F218" s="56"/>
      <c r="G218" s="56"/>
      <c r="H218" s="56"/>
      <c r="I218" s="57"/>
      <c r="J218" s="57"/>
      <c r="K218" s="57"/>
    </row>
    <row r="219" spans="1:11" x14ac:dyDescent="0.25">
      <c r="A219" s="54"/>
      <c r="B219" s="56"/>
      <c r="C219" s="54"/>
      <c r="D219" s="56"/>
      <c r="E219" s="55"/>
      <c r="F219" s="56"/>
      <c r="G219" s="56"/>
      <c r="H219" s="56"/>
      <c r="I219" s="57"/>
      <c r="J219" s="57"/>
      <c r="K219" s="57"/>
    </row>
    <row r="220" spans="1:11" x14ac:dyDescent="0.25">
      <c r="A220" s="54"/>
      <c r="B220" s="56"/>
      <c r="C220" s="54"/>
      <c r="D220" s="56"/>
      <c r="E220" s="55"/>
      <c r="F220" s="56"/>
      <c r="G220" s="56"/>
      <c r="H220" s="56"/>
      <c r="I220" s="57"/>
      <c r="J220" s="57"/>
      <c r="K220" s="57"/>
    </row>
    <row r="221" spans="1:11" x14ac:dyDescent="0.25">
      <c r="A221" s="54"/>
      <c r="B221" s="56"/>
      <c r="C221" s="54"/>
      <c r="D221" s="56"/>
      <c r="E221" s="55"/>
      <c r="F221" s="56"/>
      <c r="G221" s="56"/>
      <c r="H221" s="56"/>
      <c r="I221" s="57"/>
      <c r="J221" s="57"/>
      <c r="K221" s="57"/>
    </row>
    <row r="222" spans="1:11" x14ac:dyDescent="0.25">
      <c r="A222" s="54"/>
      <c r="B222" s="56"/>
      <c r="C222" s="54"/>
      <c r="D222" s="56"/>
      <c r="E222" s="55"/>
      <c r="F222" s="56"/>
      <c r="G222" s="56"/>
      <c r="H222" s="56"/>
      <c r="I222" s="57"/>
      <c r="J222" s="57"/>
      <c r="K222" s="57"/>
    </row>
    <row r="223" spans="1:11" x14ac:dyDescent="0.25">
      <c r="A223" s="54"/>
      <c r="B223" s="56"/>
      <c r="C223" s="54"/>
      <c r="D223" s="56"/>
      <c r="E223" s="55"/>
      <c r="F223" s="56"/>
      <c r="G223" s="56"/>
      <c r="H223" s="56"/>
      <c r="I223" s="57"/>
      <c r="J223" s="57"/>
      <c r="K223" s="57"/>
    </row>
    <row r="224" spans="1:11" x14ac:dyDescent="0.25">
      <c r="A224" s="54"/>
      <c r="B224" s="56"/>
      <c r="C224" s="54"/>
      <c r="D224" s="56"/>
      <c r="E224" s="55"/>
      <c r="F224" s="56"/>
      <c r="G224" s="56"/>
      <c r="H224" s="56"/>
      <c r="I224" s="57"/>
      <c r="J224" s="57"/>
      <c r="K224" s="57"/>
    </row>
    <row r="225" spans="1:11" x14ac:dyDescent="0.25">
      <c r="A225" s="54"/>
      <c r="B225" s="56"/>
      <c r="C225" s="54"/>
      <c r="D225" s="56"/>
      <c r="E225" s="55"/>
      <c r="F225" s="56"/>
      <c r="G225" s="56"/>
      <c r="H225" s="56"/>
      <c r="I225" s="57"/>
      <c r="J225" s="57"/>
      <c r="K225" s="57"/>
    </row>
    <row r="226" spans="1:11" x14ac:dyDescent="0.25">
      <c r="A226" s="54"/>
      <c r="B226" s="56"/>
      <c r="C226" s="54"/>
      <c r="D226" s="56"/>
      <c r="E226" s="55"/>
      <c r="F226" s="56"/>
      <c r="G226" s="56"/>
      <c r="H226" s="56"/>
      <c r="I226" s="57"/>
      <c r="J226" s="57"/>
      <c r="K226" s="57"/>
    </row>
    <row r="227" spans="1:11" x14ac:dyDescent="0.25">
      <c r="A227" s="54"/>
      <c r="B227" s="56"/>
      <c r="C227" s="54"/>
      <c r="D227" s="56"/>
      <c r="E227" s="55"/>
      <c r="F227" s="56"/>
      <c r="G227" s="56"/>
      <c r="H227" s="56"/>
      <c r="I227" s="57"/>
      <c r="J227" s="57"/>
      <c r="K227" s="57"/>
    </row>
    <row r="228" spans="1:11" x14ac:dyDescent="0.25">
      <c r="A228" s="54"/>
      <c r="B228" s="56"/>
      <c r="C228" s="54"/>
      <c r="D228" s="56"/>
      <c r="E228" s="55"/>
      <c r="F228" s="56"/>
      <c r="G228" s="56"/>
      <c r="H228" s="56"/>
      <c r="I228" s="57"/>
      <c r="J228" s="57"/>
      <c r="K228" s="57"/>
    </row>
    <row r="229" spans="1:11" x14ac:dyDescent="0.25">
      <c r="A229" s="54"/>
      <c r="B229" s="56"/>
      <c r="C229" s="54"/>
      <c r="D229" s="56"/>
      <c r="E229" s="55"/>
      <c r="F229" s="56"/>
      <c r="G229" s="56"/>
      <c r="H229" s="56"/>
      <c r="I229" s="57"/>
      <c r="J229" s="57"/>
      <c r="K229" s="57"/>
    </row>
    <row r="230" spans="1:11" x14ac:dyDescent="0.25">
      <c r="A230" s="54"/>
      <c r="B230" s="56"/>
      <c r="C230" s="54"/>
      <c r="D230" s="56"/>
      <c r="E230" s="55"/>
      <c r="F230" s="56"/>
      <c r="G230" s="56"/>
      <c r="H230" s="56"/>
      <c r="I230" s="57"/>
      <c r="J230" s="57"/>
      <c r="K230" s="57"/>
    </row>
    <row r="231" spans="1:11" x14ac:dyDescent="0.25">
      <c r="A231" s="54"/>
      <c r="B231" s="56"/>
      <c r="C231" s="54"/>
      <c r="D231" s="56"/>
      <c r="E231" s="55"/>
      <c r="F231" s="56"/>
      <c r="G231" s="56"/>
      <c r="H231" s="56"/>
      <c r="I231" s="57"/>
      <c r="J231" s="57"/>
      <c r="K231" s="57"/>
    </row>
    <row r="232" spans="1:11" x14ac:dyDescent="0.25">
      <c r="A232" s="54"/>
      <c r="B232" s="56"/>
      <c r="C232" s="54"/>
      <c r="D232" s="56"/>
      <c r="E232" s="55"/>
      <c r="F232" s="56"/>
      <c r="G232" s="56"/>
      <c r="H232" s="56"/>
      <c r="I232" s="57"/>
      <c r="J232" s="57"/>
      <c r="K232" s="57"/>
    </row>
    <row r="233" spans="1:11" x14ac:dyDescent="0.25">
      <c r="A233" s="54"/>
      <c r="B233" s="56"/>
      <c r="C233" s="54"/>
      <c r="D233" s="56"/>
      <c r="E233" s="55"/>
      <c r="F233" s="56"/>
      <c r="G233" s="56"/>
      <c r="H233" s="56"/>
      <c r="I233" s="57"/>
      <c r="J233" s="57"/>
      <c r="K233" s="57"/>
    </row>
    <row r="234" spans="1:11" x14ac:dyDescent="0.25">
      <c r="A234" s="54"/>
      <c r="B234" s="56"/>
      <c r="C234" s="54"/>
      <c r="D234" s="56"/>
      <c r="E234" s="55"/>
      <c r="F234" s="56"/>
      <c r="G234" s="56"/>
      <c r="H234" s="56"/>
      <c r="I234" s="57"/>
      <c r="J234" s="57"/>
      <c r="K234" s="57"/>
    </row>
    <row r="235" spans="1:11" x14ac:dyDescent="0.25">
      <c r="A235" s="54"/>
      <c r="B235" s="56"/>
      <c r="C235" s="54"/>
      <c r="D235" s="56"/>
      <c r="E235" s="55"/>
      <c r="F235" s="56"/>
      <c r="G235" s="56"/>
      <c r="H235" s="56"/>
      <c r="I235" s="57"/>
      <c r="J235" s="57"/>
      <c r="K235" s="57"/>
    </row>
    <row r="236" spans="1:11" x14ac:dyDescent="0.25">
      <c r="A236" s="54"/>
      <c r="B236" s="56"/>
      <c r="C236" s="54"/>
      <c r="D236" s="56"/>
      <c r="E236" s="55"/>
      <c r="F236" s="56"/>
      <c r="G236" s="56"/>
      <c r="H236" s="56"/>
      <c r="I236" s="57"/>
      <c r="J236" s="57"/>
      <c r="K236" s="57"/>
    </row>
    <row r="237" spans="1:11" x14ac:dyDescent="0.25">
      <c r="A237" s="54"/>
      <c r="B237" s="56"/>
      <c r="C237" s="54"/>
      <c r="D237" s="56"/>
      <c r="E237" s="55"/>
      <c r="F237" s="56"/>
      <c r="G237" s="56"/>
      <c r="H237" s="56"/>
      <c r="I237" s="57"/>
      <c r="J237" s="57"/>
      <c r="K237" s="57"/>
    </row>
    <row r="238" spans="1:11" x14ac:dyDescent="0.25">
      <c r="A238" s="54"/>
      <c r="B238" s="56"/>
      <c r="C238" s="54"/>
      <c r="D238" s="56"/>
      <c r="E238" s="55"/>
      <c r="F238" s="56"/>
      <c r="G238" s="56"/>
      <c r="H238" s="56"/>
      <c r="I238" s="57"/>
      <c r="J238" s="57"/>
      <c r="K238" s="57"/>
    </row>
    <row r="239" spans="1:11" x14ac:dyDescent="0.25">
      <c r="A239" s="54"/>
      <c r="B239" s="56"/>
      <c r="C239" s="54"/>
      <c r="D239" s="56"/>
      <c r="E239" s="55"/>
      <c r="F239" s="56"/>
      <c r="G239" s="56"/>
      <c r="H239" s="56"/>
      <c r="I239" s="57"/>
      <c r="J239" s="57"/>
      <c r="K239" s="57"/>
    </row>
    <row r="240" spans="1:11" x14ac:dyDescent="0.25">
      <c r="A240" s="54"/>
      <c r="B240" s="56"/>
      <c r="C240" s="54"/>
      <c r="D240" s="56"/>
      <c r="E240" s="55"/>
      <c r="F240" s="56"/>
      <c r="G240" s="56"/>
      <c r="H240" s="56"/>
      <c r="I240" s="57"/>
      <c r="J240" s="57"/>
      <c r="K240" s="57"/>
    </row>
    <row r="241" spans="1:11" x14ac:dyDescent="0.25">
      <c r="A241" s="54"/>
      <c r="B241" s="56"/>
      <c r="C241" s="54"/>
      <c r="D241" s="56"/>
      <c r="E241" s="55"/>
      <c r="F241" s="56"/>
      <c r="G241" s="56"/>
      <c r="H241" s="56"/>
      <c r="I241" s="57"/>
      <c r="J241" s="57"/>
      <c r="K241" s="57"/>
    </row>
    <row r="242" spans="1:11" x14ac:dyDescent="0.25">
      <c r="A242" s="54"/>
      <c r="B242" s="56"/>
      <c r="C242" s="54"/>
      <c r="D242" s="56"/>
      <c r="E242" s="55"/>
      <c r="F242" s="56"/>
      <c r="G242" s="56"/>
      <c r="H242" s="56"/>
      <c r="I242" s="57"/>
      <c r="J242" s="57"/>
      <c r="K242" s="57"/>
    </row>
    <row r="243" spans="1:11" x14ac:dyDescent="0.25">
      <c r="A243" s="54"/>
      <c r="B243" s="56"/>
      <c r="C243" s="54"/>
      <c r="D243" s="56"/>
      <c r="E243" s="55"/>
      <c r="F243" s="56"/>
      <c r="G243" s="56"/>
      <c r="H243" s="56"/>
      <c r="I243" s="57"/>
      <c r="J243" s="57"/>
      <c r="K243" s="57"/>
    </row>
    <row r="244" spans="1:11" x14ac:dyDescent="0.25">
      <c r="A244" s="54"/>
      <c r="B244" s="56"/>
      <c r="C244" s="54"/>
      <c r="D244" s="56"/>
      <c r="E244" s="55"/>
      <c r="F244" s="56"/>
      <c r="G244" s="56"/>
      <c r="H244" s="56"/>
      <c r="I244" s="57"/>
      <c r="J244" s="57"/>
      <c r="K244" s="57"/>
    </row>
    <row r="245" spans="1:11" x14ac:dyDescent="0.25">
      <c r="A245" s="54"/>
      <c r="B245" s="56"/>
      <c r="C245" s="54"/>
      <c r="D245" s="56"/>
      <c r="E245" s="55"/>
      <c r="F245" s="56"/>
      <c r="G245" s="56"/>
      <c r="H245" s="56"/>
      <c r="I245" s="57"/>
      <c r="J245" s="57"/>
      <c r="K245" s="57"/>
    </row>
    <row r="246" spans="1:11" x14ac:dyDescent="0.25">
      <c r="A246" s="54"/>
      <c r="B246" s="56"/>
      <c r="C246" s="54"/>
      <c r="D246" s="56"/>
      <c r="E246" s="55"/>
      <c r="F246" s="56"/>
      <c r="G246" s="56"/>
      <c r="H246" s="56"/>
      <c r="I246" s="57"/>
      <c r="J246" s="57"/>
      <c r="K246" s="57"/>
    </row>
    <row r="247" spans="1:11" x14ac:dyDescent="0.25">
      <c r="A247" s="54"/>
      <c r="B247" s="56"/>
      <c r="C247" s="54"/>
      <c r="D247" s="56"/>
      <c r="E247" s="55"/>
      <c r="F247" s="56"/>
      <c r="G247" s="56"/>
      <c r="H247" s="56"/>
      <c r="I247" s="57"/>
      <c r="J247" s="57"/>
      <c r="K247" s="57"/>
    </row>
    <row r="248" spans="1:11" x14ac:dyDescent="0.25">
      <c r="A248" s="54"/>
      <c r="B248" s="56"/>
      <c r="C248" s="54"/>
      <c r="D248" s="56"/>
      <c r="E248" s="55"/>
      <c r="F248" s="56"/>
      <c r="G248" s="56"/>
      <c r="H248" s="56"/>
      <c r="I248" s="57"/>
      <c r="J248" s="57"/>
      <c r="K248" s="57"/>
    </row>
    <row r="249" spans="1:11" x14ac:dyDescent="0.25">
      <c r="A249" s="54"/>
      <c r="B249" s="56"/>
      <c r="C249" s="54"/>
      <c r="D249" s="56"/>
      <c r="E249" s="55"/>
      <c r="F249" s="56"/>
      <c r="G249" s="56"/>
      <c r="H249" s="56"/>
      <c r="I249" s="57"/>
      <c r="J249" s="57"/>
      <c r="K249" s="57"/>
    </row>
    <row r="250" spans="1:11" x14ac:dyDescent="0.25">
      <c r="A250" s="54"/>
      <c r="B250" s="56"/>
      <c r="C250" s="54"/>
      <c r="D250" s="56"/>
      <c r="E250" s="55"/>
      <c r="F250" s="56"/>
      <c r="G250" s="56"/>
      <c r="H250" s="56"/>
      <c r="I250" s="57"/>
      <c r="J250" s="57"/>
      <c r="K250" s="57"/>
    </row>
    <row r="251" spans="1:11" x14ac:dyDescent="0.25">
      <c r="A251" s="54"/>
      <c r="B251" s="56"/>
      <c r="C251" s="54"/>
      <c r="D251" s="56"/>
      <c r="E251" s="55"/>
      <c r="F251" s="56"/>
      <c r="G251" s="56"/>
      <c r="H251" s="56"/>
      <c r="I251" s="57"/>
      <c r="J251" s="57"/>
      <c r="K251" s="57"/>
    </row>
    <row r="252" spans="1:11" x14ac:dyDescent="0.25">
      <c r="A252" s="54"/>
      <c r="B252" s="56"/>
      <c r="C252" s="54"/>
      <c r="D252" s="56"/>
      <c r="E252" s="55"/>
      <c r="F252" s="56"/>
      <c r="G252" s="56"/>
      <c r="H252" s="56"/>
      <c r="I252" s="57"/>
      <c r="J252" s="57"/>
      <c r="K252" s="57"/>
    </row>
    <row r="253" spans="1:11" x14ac:dyDescent="0.25">
      <c r="A253" s="54"/>
      <c r="B253" s="56"/>
      <c r="C253" s="54"/>
      <c r="D253" s="56"/>
      <c r="E253" s="55"/>
      <c r="F253" s="56"/>
      <c r="G253" s="56"/>
      <c r="H253" s="56"/>
      <c r="I253" s="57"/>
      <c r="J253" s="57"/>
      <c r="K253" s="57"/>
    </row>
    <row r="254" spans="1:11" x14ac:dyDescent="0.25">
      <c r="A254" s="54"/>
      <c r="B254" s="56"/>
      <c r="C254" s="54"/>
      <c r="D254" s="56"/>
      <c r="E254" s="55"/>
      <c r="F254" s="56"/>
      <c r="G254" s="56"/>
      <c r="H254" s="56"/>
      <c r="I254" s="57"/>
      <c r="J254" s="57"/>
      <c r="K254" s="57"/>
    </row>
    <row r="255" spans="1:11" x14ac:dyDescent="0.25">
      <c r="A255" s="54"/>
      <c r="B255" s="56"/>
      <c r="C255" s="54"/>
      <c r="D255" s="56"/>
      <c r="E255" s="55"/>
      <c r="F255" s="56"/>
      <c r="G255" s="56"/>
      <c r="H255" s="56"/>
      <c r="I255" s="57"/>
      <c r="J255" s="57"/>
      <c r="K255" s="57"/>
    </row>
    <row r="256" spans="1:11" x14ac:dyDescent="0.25">
      <c r="A256" s="54"/>
      <c r="B256" s="56"/>
      <c r="C256" s="54"/>
      <c r="D256" s="56"/>
      <c r="E256" s="55"/>
      <c r="F256" s="56"/>
      <c r="G256" s="56"/>
      <c r="H256" s="56"/>
      <c r="I256" s="57"/>
      <c r="J256" s="57"/>
      <c r="K256" s="57"/>
    </row>
    <row r="257" spans="1:11" x14ac:dyDescent="0.25">
      <c r="A257" s="54"/>
      <c r="B257" s="56"/>
      <c r="C257" s="54"/>
      <c r="D257" s="56"/>
      <c r="E257" s="55"/>
      <c r="F257" s="56"/>
      <c r="G257" s="56"/>
      <c r="H257" s="56"/>
      <c r="I257" s="57"/>
      <c r="J257" s="57"/>
      <c r="K257" s="57"/>
    </row>
    <row r="258" spans="1:11" x14ac:dyDescent="0.25">
      <c r="A258" s="54"/>
      <c r="B258" s="56"/>
      <c r="C258" s="54"/>
      <c r="D258" s="56"/>
      <c r="E258" s="55"/>
      <c r="F258" s="56"/>
      <c r="G258" s="56"/>
      <c r="H258" s="56"/>
      <c r="I258" s="57"/>
      <c r="J258" s="57"/>
      <c r="K258" s="57"/>
    </row>
    <row r="259" spans="1:11" x14ac:dyDescent="0.25">
      <c r="A259" s="54"/>
      <c r="B259" s="56"/>
      <c r="C259" s="54"/>
      <c r="D259" s="56"/>
      <c r="E259" s="55"/>
      <c r="F259" s="56"/>
      <c r="G259" s="56"/>
      <c r="H259" s="56"/>
      <c r="I259" s="57"/>
      <c r="J259" s="57"/>
      <c r="K259" s="57"/>
    </row>
    <row r="260" spans="1:11" x14ac:dyDescent="0.25">
      <c r="A260" s="54"/>
      <c r="B260" s="56"/>
      <c r="C260" s="54"/>
      <c r="D260" s="56"/>
      <c r="E260" s="55"/>
      <c r="F260" s="56"/>
      <c r="G260" s="56"/>
      <c r="H260" s="56"/>
      <c r="I260" s="57"/>
      <c r="J260" s="57"/>
      <c r="K260" s="57"/>
    </row>
    <row r="261" spans="1:11" x14ac:dyDescent="0.25">
      <c r="A261" s="54"/>
      <c r="B261" s="56"/>
      <c r="C261" s="54"/>
      <c r="D261" s="56"/>
      <c r="E261" s="55"/>
      <c r="F261" s="56"/>
      <c r="G261" s="56"/>
      <c r="H261" s="56"/>
      <c r="I261" s="57"/>
      <c r="J261" s="57"/>
      <c r="K261" s="57"/>
    </row>
    <row r="262" spans="1:11" x14ac:dyDescent="0.25">
      <c r="A262" s="54"/>
      <c r="B262" s="56"/>
      <c r="C262" s="54"/>
      <c r="D262" s="56"/>
      <c r="E262" s="55"/>
      <c r="F262" s="56"/>
      <c r="G262" s="56"/>
      <c r="H262" s="56"/>
      <c r="I262" s="57"/>
      <c r="J262" s="57"/>
      <c r="K262" s="57"/>
    </row>
    <row r="263" spans="1:11" x14ac:dyDescent="0.25">
      <c r="A263" s="54"/>
      <c r="B263" s="56"/>
      <c r="C263" s="54"/>
      <c r="D263" s="56"/>
      <c r="E263" s="55"/>
      <c r="F263" s="56"/>
      <c r="G263" s="56"/>
      <c r="H263" s="56"/>
      <c r="I263" s="57"/>
      <c r="J263" s="57"/>
      <c r="K263" s="57"/>
    </row>
    <row r="264" spans="1:11" x14ac:dyDescent="0.25">
      <c r="A264" s="54"/>
      <c r="B264" s="56"/>
      <c r="C264" s="54"/>
      <c r="D264" s="56"/>
      <c r="E264" s="55"/>
      <c r="F264" s="56"/>
      <c r="G264" s="56"/>
      <c r="H264" s="56"/>
      <c r="I264" s="57"/>
      <c r="J264" s="57"/>
      <c r="K264" s="57"/>
    </row>
    <row r="265" spans="1:11" x14ac:dyDescent="0.25">
      <c r="A265" s="54"/>
      <c r="B265" s="56"/>
      <c r="C265" s="54"/>
      <c r="D265" s="56"/>
      <c r="E265" s="55"/>
      <c r="F265" s="56"/>
      <c r="G265" s="56"/>
      <c r="H265" s="56"/>
      <c r="I265" s="57"/>
      <c r="J265" s="57"/>
      <c r="K265" s="57"/>
    </row>
    <row r="266" spans="1:11" x14ac:dyDescent="0.25">
      <c r="A266" s="54"/>
      <c r="B266" s="56"/>
      <c r="C266" s="54"/>
      <c r="D266" s="56"/>
      <c r="E266" s="55"/>
      <c r="F266" s="56"/>
      <c r="G266" s="56"/>
      <c r="H266" s="56"/>
      <c r="I266" s="57"/>
      <c r="J266" s="57"/>
      <c r="K266" s="57"/>
    </row>
    <row r="267" spans="1:11" x14ac:dyDescent="0.25">
      <c r="A267" s="54"/>
      <c r="B267" s="56"/>
      <c r="C267" s="54"/>
      <c r="D267" s="56"/>
      <c r="E267" s="55"/>
      <c r="F267" s="56"/>
      <c r="G267" s="56"/>
      <c r="H267" s="56"/>
      <c r="I267" s="57"/>
      <c r="J267" s="57"/>
      <c r="K267" s="57"/>
    </row>
  </sheetData>
  <mergeCells count="15">
    <mergeCell ref="Q4:R4"/>
    <mergeCell ref="S4:T4"/>
    <mergeCell ref="U4:U5"/>
    <mergeCell ref="A1:K1"/>
    <mergeCell ref="A5:C6"/>
    <mergeCell ref="D5:E6"/>
    <mergeCell ref="F5:H5"/>
    <mergeCell ref="I5:I6"/>
    <mergeCell ref="J5:J6"/>
    <mergeCell ref="K5:K6"/>
    <mergeCell ref="L3:N3"/>
    <mergeCell ref="L4:L5"/>
    <mergeCell ref="M4:M5"/>
    <mergeCell ref="N4:N5"/>
    <mergeCell ref="P4:P5"/>
  </mergeCells>
  <conditionalFormatting sqref="U9:U76">
    <cfRule type="dataBar" priority="1">
      <dataBar>
        <cfvo type="percent" val="0"/>
        <cfvo type="percent" val="100"/>
        <color rgb="FF00B050"/>
      </dataBar>
      <extLst>
        <ext xmlns:x14="http://schemas.microsoft.com/office/spreadsheetml/2009/9/main" uri="{B025F937-C7B1-47D3-B67F-A62EFF666E3E}">
          <x14:id>{2BD87982-7A20-4497-BF04-B23945DED947}</x14:id>
        </ext>
      </extLst>
    </cfRule>
  </conditionalFormatting>
  <printOptions horizontalCentered="1"/>
  <pageMargins left="0.7" right="0.7" top="0.65441176470588203" bottom="0.66352941176470592" header="0.3" footer="0.3"/>
  <pageSetup paperSize="9" scale="72" fitToHeight="0" orientation="portrait" r:id="rId1"/>
  <headerFooter>
    <oddHeader>&amp;L&amp;"FreesiaUPC,Regular"&amp;14TP-PM-DSN-006
7-MAY-2026&amp;C&amp;"FreesiaUPC,Regular"&amp;14Drawing List&amp;R&amp;"FreesiaUPC,Regular"&amp;14R01
&amp;P of &amp;N</oddHeader>
    <oddFooter>&amp;C&amp;"FreesiaUPC,Regular"&amp;14&amp;K01+005Hard copies of this document are for REFERENCE ONLY and should not be considered the latest revision beyond the date of printing.</oddFooter>
  </headerFooter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BD87982-7A20-4497-BF04-B23945DED947}">
            <x14:dataBar minLength="0" maxLength="100">
              <x14:cfvo type="percent">
                <xm:f>0</xm:f>
              </x14:cfvo>
              <x14:cfvo type="percent">
                <xm:f>100</xm:f>
              </x14:cfvo>
              <x14:negativeFillColor rgb="FF00B050"/>
              <x14:axisColor theme="0"/>
            </x14:dataBar>
          </x14:cfRule>
          <xm:sqref>U9:U76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FF3DB0-EEB4-4935-BB84-B4C1024B7224}">
  <sheetPr>
    <tabColor rgb="FF92D050"/>
  </sheetPr>
  <dimension ref="A1:U268"/>
  <sheetViews>
    <sheetView zoomScaleNormal="100" workbookViewId="0">
      <selection activeCell="E12" sqref="E12"/>
    </sheetView>
  </sheetViews>
  <sheetFormatPr defaultColWidth="9.140625" defaultRowHeight="15" outlineLevelRow="1" outlineLevelCol="1" x14ac:dyDescent="0.25"/>
  <cols>
    <col min="1" max="1" width="22" style="58" customWidth="1"/>
    <col min="2" max="2" width="2.42578125" style="60" customWidth="1"/>
    <col min="3" max="3" width="5.5703125" style="58" customWidth="1"/>
    <col min="4" max="4" width="2.42578125" style="60" customWidth="1"/>
    <col min="5" max="5" width="65.42578125" style="59" customWidth="1"/>
    <col min="6" max="8" width="4.5703125" style="60" customWidth="1" outlineLevel="1"/>
    <col min="9" max="10" width="9.140625" style="61" customWidth="1"/>
    <col min="11" max="11" width="20.42578125" style="61" customWidth="1"/>
    <col min="12" max="12" width="9.140625" style="52" customWidth="1" outlineLevel="1"/>
    <col min="13" max="14" width="11.5703125" style="52" customWidth="1" outlineLevel="1"/>
    <col min="15" max="15" width="9.42578125" style="257" customWidth="1"/>
    <col min="16" max="16" width="9.5703125" style="257" customWidth="1"/>
    <col min="17" max="20" width="8.5703125" style="257" customWidth="1"/>
    <col min="21" max="21" width="9.42578125" style="258" customWidth="1"/>
    <col min="22" max="16384" width="9.140625" style="53"/>
  </cols>
  <sheetData>
    <row r="1" spans="1:21" s="48" customFormat="1" ht="45" customHeight="1" x14ac:dyDescent="0.25">
      <c r="A1" s="365" t="str">
        <f>'Cover(2)'!A1</f>
        <v>PROJECT NAME
LOCATION, PROVINCE, THAILAND</v>
      </c>
      <c r="B1" s="366"/>
      <c r="C1" s="366"/>
      <c r="D1" s="366"/>
      <c r="E1" s="366"/>
      <c r="F1" s="366"/>
      <c r="G1" s="366"/>
      <c r="H1" s="366"/>
      <c r="I1" s="366"/>
      <c r="J1" s="366"/>
      <c r="K1" s="367"/>
      <c r="L1" s="47"/>
      <c r="M1" s="47"/>
      <c r="N1" s="47"/>
      <c r="O1" s="223"/>
      <c r="P1" s="223"/>
      <c r="Q1" s="223"/>
      <c r="R1" s="223"/>
      <c r="S1" s="223"/>
      <c r="T1" s="223"/>
      <c r="U1" s="224"/>
    </row>
    <row r="2" spans="1:21" s="48" customFormat="1" ht="15" customHeight="1" x14ac:dyDescent="0.25">
      <c r="A2" s="133"/>
      <c r="B2" s="122"/>
      <c r="C2" s="133"/>
      <c r="D2" s="133"/>
      <c r="E2" s="133"/>
      <c r="F2" s="133"/>
      <c r="G2" s="133"/>
      <c r="H2" s="133"/>
      <c r="I2" s="133"/>
      <c r="J2" s="133"/>
      <c r="K2" s="122"/>
      <c r="L2" s="49"/>
      <c r="M2" s="49"/>
      <c r="N2" s="225"/>
      <c r="O2" s="226"/>
      <c r="P2" s="227"/>
      <c r="Q2" s="227"/>
      <c r="R2" s="227"/>
      <c r="S2" s="227"/>
      <c r="T2" s="227"/>
      <c r="U2" s="227"/>
    </row>
    <row r="3" spans="1:21" s="48" customFormat="1" ht="18" customHeight="1" thickBot="1" x14ac:dyDescent="0.3">
      <c r="A3" s="132" t="str" cm="1">
        <f t="array" aca="1" ref="A3" ca="1">MID(CELL("filename", A1), FIND("]", CELL("filename", A1)) + 1, LEN(CELL("filename", A1)))</f>
        <v>2. ARCHITECTURAL</v>
      </c>
      <c r="B3" s="186"/>
      <c r="C3" s="132"/>
      <c r="D3" s="35"/>
      <c r="E3" s="35"/>
      <c r="F3" s="35"/>
      <c r="G3" s="35"/>
      <c r="H3" s="35"/>
      <c r="I3" s="36"/>
      <c r="J3" s="36"/>
      <c r="K3" s="123"/>
      <c r="L3" s="379" t="s">
        <v>48</v>
      </c>
      <c r="M3" s="379"/>
      <c r="N3" s="380"/>
      <c r="O3" s="228"/>
      <c r="P3" s="228"/>
      <c r="Q3" s="228"/>
      <c r="R3" s="228"/>
      <c r="S3" s="228"/>
      <c r="T3" s="228"/>
      <c r="U3" s="229"/>
    </row>
    <row r="4" spans="1:21" s="48" customFormat="1" ht="18" customHeight="1" x14ac:dyDescent="0.25">
      <c r="A4" s="33"/>
      <c r="B4" s="34" t="s">
        <v>8</v>
      </c>
      <c r="C4" s="33"/>
      <c r="D4" s="34"/>
      <c r="E4" s="35"/>
      <c r="F4" s="34"/>
      <c r="G4" s="34"/>
      <c r="H4" s="34"/>
      <c r="I4" s="36"/>
      <c r="J4" s="36"/>
      <c r="K4" s="36"/>
      <c r="L4" s="381" t="s">
        <v>49</v>
      </c>
      <c r="M4" s="381" t="s">
        <v>50</v>
      </c>
      <c r="N4" s="381" t="s">
        <v>51</v>
      </c>
      <c r="O4" s="230"/>
      <c r="P4" s="382" t="s">
        <v>52</v>
      </c>
      <c r="Q4" s="362" t="s">
        <v>53</v>
      </c>
      <c r="R4" s="362"/>
      <c r="S4" s="362" t="s">
        <v>54</v>
      </c>
      <c r="T4" s="362"/>
      <c r="U4" s="363" t="s">
        <v>55</v>
      </c>
    </row>
    <row r="5" spans="1:21" s="48" customFormat="1" ht="18" customHeight="1" thickBot="1" x14ac:dyDescent="0.3">
      <c r="A5" s="368" t="s">
        <v>56</v>
      </c>
      <c r="B5" s="369"/>
      <c r="C5" s="370"/>
      <c r="D5" s="374" t="s">
        <v>57</v>
      </c>
      <c r="E5" s="374"/>
      <c r="F5" s="375" t="s">
        <v>58</v>
      </c>
      <c r="G5" s="376"/>
      <c r="H5" s="377"/>
      <c r="I5" s="374" t="s">
        <v>59</v>
      </c>
      <c r="J5" s="374" t="s">
        <v>60</v>
      </c>
      <c r="K5" s="374" t="s">
        <v>15</v>
      </c>
      <c r="L5" s="381"/>
      <c r="M5" s="381"/>
      <c r="N5" s="381"/>
      <c r="O5" s="230"/>
      <c r="P5" s="383"/>
      <c r="Q5" s="265" t="s">
        <v>61</v>
      </c>
      <c r="R5" s="265" t="s">
        <v>62</v>
      </c>
      <c r="S5" s="265" t="s">
        <v>61</v>
      </c>
      <c r="T5" s="265" t="s">
        <v>62</v>
      </c>
      <c r="U5" s="364"/>
    </row>
    <row r="6" spans="1:21" s="48" customFormat="1" ht="28.5" customHeight="1" x14ac:dyDescent="0.2">
      <c r="A6" s="371"/>
      <c r="B6" s="372"/>
      <c r="C6" s="373"/>
      <c r="D6" s="374"/>
      <c r="E6" s="374"/>
      <c r="F6" s="201" t="s">
        <v>63</v>
      </c>
      <c r="G6" s="201" t="s">
        <v>63</v>
      </c>
      <c r="H6" s="201" t="s">
        <v>63</v>
      </c>
      <c r="I6" s="374"/>
      <c r="J6" s="374"/>
      <c r="K6" s="374"/>
      <c r="L6" s="231"/>
      <c r="M6" s="232"/>
      <c r="N6" s="233"/>
      <c r="O6" s="234"/>
      <c r="P6" s="262"/>
      <c r="Q6" s="235"/>
      <c r="R6" s="235"/>
      <c r="S6" s="235"/>
      <c r="T6" s="235"/>
      <c r="U6" s="236"/>
    </row>
    <row r="7" spans="1:21" s="48" customFormat="1" ht="15" customHeight="1" x14ac:dyDescent="0.2">
      <c r="A7" s="32" t="str">
        <f>'1. CIVIL'!A7</f>
        <v>General Drawing</v>
      </c>
      <c r="B7" s="187"/>
      <c r="C7" s="32"/>
      <c r="D7" s="11"/>
      <c r="E7" s="11"/>
      <c r="F7" s="11"/>
      <c r="G7" s="11"/>
      <c r="H7" s="11"/>
      <c r="I7" s="11"/>
      <c r="J7" s="11"/>
      <c r="K7" s="11"/>
      <c r="L7" s="237"/>
      <c r="M7" s="238"/>
      <c r="N7" s="239"/>
      <c r="O7" s="234"/>
      <c r="P7" s="262"/>
      <c r="Q7" s="235"/>
      <c r="R7" s="235"/>
      <c r="S7" s="235"/>
      <c r="T7" s="235"/>
      <c r="U7" s="236"/>
    </row>
    <row r="8" spans="1:21" s="48" customFormat="1" ht="15" customHeight="1" x14ac:dyDescent="0.2">
      <c r="A8" s="37"/>
      <c r="B8" s="188"/>
      <c r="C8" s="37"/>
      <c r="D8" s="38"/>
      <c r="E8" s="41"/>
      <c r="F8" s="38"/>
      <c r="G8" s="38"/>
      <c r="H8" s="38"/>
      <c r="I8" s="38"/>
      <c r="J8" s="40"/>
      <c r="K8" s="40"/>
      <c r="L8" s="240"/>
      <c r="M8" s="241"/>
      <c r="N8" s="242"/>
      <c r="O8" s="234"/>
      <c r="P8" s="262"/>
      <c r="Q8" s="235"/>
      <c r="R8" s="235"/>
      <c r="S8" s="235"/>
      <c r="T8" s="235"/>
      <c r="U8" s="236"/>
    </row>
    <row r="9" spans="1:21" s="48" customFormat="1" ht="15" customHeight="1" outlineLevel="1" x14ac:dyDescent="0.25">
      <c r="A9" s="43" t="s">
        <v>65</v>
      </c>
      <c r="B9" s="38" t="s">
        <v>66</v>
      </c>
      <c r="C9" s="41" t="s">
        <v>67</v>
      </c>
      <c r="D9" s="38"/>
      <c r="E9" s="41" t="s">
        <v>68</v>
      </c>
      <c r="F9" s="38" t="s">
        <v>69</v>
      </c>
      <c r="G9" s="38"/>
      <c r="H9" s="38"/>
      <c r="I9" s="38"/>
      <c r="J9" s="40"/>
      <c r="K9" s="189"/>
      <c r="L9" s="240" t="s">
        <v>70</v>
      </c>
      <c r="M9" s="241" t="s">
        <v>70</v>
      </c>
      <c r="N9" s="242" t="s">
        <v>71</v>
      </c>
      <c r="O9" s="234"/>
      <c r="P9" s="306">
        <v>1</v>
      </c>
      <c r="Q9" s="307">
        <v>0.8</v>
      </c>
      <c r="R9" s="307">
        <v>0.8</v>
      </c>
      <c r="S9" s="307">
        <v>1</v>
      </c>
      <c r="T9" s="307">
        <v>0.95</v>
      </c>
      <c r="U9" s="266">
        <f>MAX(R9,T9)</f>
        <v>0.95</v>
      </c>
    </row>
    <row r="10" spans="1:21" s="48" customFormat="1" ht="15" customHeight="1" outlineLevel="1" x14ac:dyDescent="0.25">
      <c r="A10" s="43" t="s">
        <v>72</v>
      </c>
      <c r="B10" s="40" t="s">
        <v>66</v>
      </c>
      <c r="C10" s="41" t="s">
        <v>67</v>
      </c>
      <c r="D10" s="38"/>
      <c r="E10" s="41" t="s">
        <v>68</v>
      </c>
      <c r="F10" s="38" t="s">
        <v>69</v>
      </c>
      <c r="G10" s="38"/>
      <c r="H10" s="38"/>
      <c r="I10" s="38"/>
      <c r="J10" s="40"/>
      <c r="K10" s="189"/>
      <c r="L10" s="240" t="s">
        <v>70</v>
      </c>
      <c r="M10" s="241" t="s">
        <v>70</v>
      </c>
      <c r="N10" s="242" t="s">
        <v>71</v>
      </c>
      <c r="O10" s="234"/>
      <c r="P10" s="306">
        <v>1.5</v>
      </c>
      <c r="Q10" s="307">
        <v>0.6</v>
      </c>
      <c r="R10" s="307">
        <v>0.6</v>
      </c>
      <c r="S10" s="307">
        <v>1</v>
      </c>
      <c r="T10" s="307">
        <v>0.9</v>
      </c>
      <c r="U10" s="266">
        <f t="shared" ref="U10:U73" si="0">MAX(R10,T10)</f>
        <v>0.9</v>
      </c>
    </row>
    <row r="11" spans="1:21" s="48" customFormat="1" ht="15" customHeight="1" outlineLevel="1" x14ac:dyDescent="0.25">
      <c r="A11" s="43" t="s">
        <v>73</v>
      </c>
      <c r="B11" s="40" t="s">
        <v>66</v>
      </c>
      <c r="C11" s="41" t="s">
        <v>67</v>
      </c>
      <c r="D11" s="38"/>
      <c r="E11" s="41" t="s">
        <v>74</v>
      </c>
      <c r="F11" s="38" t="s">
        <v>69</v>
      </c>
      <c r="G11" s="38"/>
      <c r="H11" s="38"/>
      <c r="I11" s="38"/>
      <c r="J11" s="40"/>
      <c r="K11" s="189"/>
      <c r="L11" s="240" t="s">
        <v>70</v>
      </c>
      <c r="M11" s="241" t="s">
        <v>70</v>
      </c>
      <c r="N11" s="242" t="s">
        <v>71</v>
      </c>
      <c r="O11" s="234"/>
      <c r="P11" s="306">
        <v>1.5</v>
      </c>
      <c r="Q11" s="307">
        <v>0.6</v>
      </c>
      <c r="R11" s="307">
        <v>0.6</v>
      </c>
      <c r="S11" s="307">
        <v>1</v>
      </c>
      <c r="T11" s="307">
        <v>0.9</v>
      </c>
      <c r="U11" s="266">
        <f t="shared" si="0"/>
        <v>0.9</v>
      </c>
    </row>
    <row r="12" spans="1:21" s="48" customFormat="1" ht="15" customHeight="1" outlineLevel="1" x14ac:dyDescent="0.2">
      <c r="A12" s="43" t="s">
        <v>75</v>
      </c>
      <c r="B12" s="38" t="s">
        <v>66</v>
      </c>
      <c r="C12" s="41" t="s">
        <v>67</v>
      </c>
      <c r="D12" s="38"/>
      <c r="E12" s="41" t="s">
        <v>76</v>
      </c>
      <c r="F12" s="38" t="s">
        <v>69</v>
      </c>
      <c r="G12" s="38"/>
      <c r="H12" s="38"/>
      <c r="I12" s="38"/>
      <c r="J12" s="40"/>
      <c r="K12" s="189"/>
      <c r="L12" s="243" t="s">
        <v>70</v>
      </c>
      <c r="M12" s="241" t="s">
        <v>70</v>
      </c>
      <c r="N12" s="242" t="s">
        <v>71</v>
      </c>
      <c r="O12" s="234"/>
      <c r="P12" s="306">
        <v>1.5</v>
      </c>
      <c r="Q12" s="307">
        <v>0.6</v>
      </c>
      <c r="R12" s="307">
        <v>0.2</v>
      </c>
      <c r="S12" s="307">
        <v>1</v>
      </c>
      <c r="T12" s="307">
        <v>0.9</v>
      </c>
      <c r="U12" s="266">
        <f t="shared" si="0"/>
        <v>0.9</v>
      </c>
    </row>
    <row r="13" spans="1:21" s="48" customFormat="1" ht="15" customHeight="1" outlineLevel="1" x14ac:dyDescent="0.2">
      <c r="A13" s="43"/>
      <c r="B13" s="38"/>
      <c r="C13" s="41"/>
      <c r="D13" s="38"/>
      <c r="E13" s="161"/>
      <c r="F13" s="38"/>
      <c r="G13" s="38"/>
      <c r="H13" s="38"/>
      <c r="I13" s="38"/>
      <c r="J13" s="40"/>
      <c r="K13" s="189"/>
      <c r="L13" s="244"/>
      <c r="M13" s="245"/>
      <c r="N13" s="246"/>
      <c r="O13" s="234"/>
      <c r="P13" s="306"/>
      <c r="Q13" s="307"/>
      <c r="R13" s="307"/>
      <c r="S13" s="307"/>
      <c r="T13" s="307"/>
      <c r="U13" s="266"/>
    </row>
    <row r="14" spans="1:21" s="48" customFormat="1" ht="15" customHeight="1" outlineLevel="1" x14ac:dyDescent="0.25">
      <c r="A14" s="43"/>
      <c r="B14" s="38"/>
      <c r="C14" s="41"/>
      <c r="D14" s="38"/>
      <c r="E14" s="37"/>
      <c r="F14" s="38"/>
      <c r="G14" s="38"/>
      <c r="H14" s="38"/>
      <c r="I14" s="38"/>
      <c r="J14" s="40"/>
      <c r="K14" s="189"/>
      <c r="L14" s="244"/>
      <c r="M14" s="245"/>
      <c r="N14" s="247"/>
      <c r="O14" s="234"/>
      <c r="P14" s="306"/>
      <c r="Q14" s="307"/>
      <c r="R14" s="307"/>
      <c r="S14" s="307"/>
      <c r="T14" s="307"/>
      <c r="U14" s="266"/>
    </row>
    <row r="15" spans="1:21" s="48" customFormat="1" ht="15" customHeight="1" outlineLevel="1" x14ac:dyDescent="0.25">
      <c r="A15" s="43" t="s">
        <v>77</v>
      </c>
      <c r="B15" s="38" t="s">
        <v>66</v>
      </c>
      <c r="C15" s="185" t="s">
        <v>67</v>
      </c>
      <c r="D15" s="38"/>
      <c r="E15" s="41" t="s">
        <v>78</v>
      </c>
      <c r="F15" s="38"/>
      <c r="G15" s="38"/>
      <c r="H15" s="38"/>
      <c r="I15" s="38"/>
      <c r="J15" s="40"/>
      <c r="K15" s="40"/>
      <c r="L15" s="240" t="s">
        <v>70</v>
      </c>
      <c r="M15" s="248" t="s">
        <v>79</v>
      </c>
      <c r="N15" s="242" t="s">
        <v>71</v>
      </c>
      <c r="O15" s="234"/>
      <c r="P15" s="306">
        <v>2.5</v>
      </c>
      <c r="Q15" s="307">
        <v>0.8</v>
      </c>
      <c r="R15" s="307">
        <v>0.6</v>
      </c>
      <c r="S15" s="307">
        <v>1</v>
      </c>
      <c r="T15" s="307">
        <v>0.9</v>
      </c>
      <c r="U15" s="266">
        <f t="shared" si="0"/>
        <v>0.9</v>
      </c>
    </row>
    <row r="16" spans="1:21" s="48" customFormat="1" ht="15" customHeight="1" outlineLevel="1" x14ac:dyDescent="0.25">
      <c r="A16" s="43" t="s">
        <v>80</v>
      </c>
      <c r="B16" s="38" t="s">
        <v>66</v>
      </c>
      <c r="C16" s="185" t="s">
        <v>67</v>
      </c>
      <c r="D16" s="38"/>
      <c r="E16" s="41" t="s">
        <v>81</v>
      </c>
      <c r="F16" s="38" t="s">
        <v>69</v>
      </c>
      <c r="G16" s="38"/>
      <c r="H16" s="38"/>
      <c r="I16" s="38"/>
      <c r="J16" s="40"/>
      <c r="K16" s="40"/>
      <c r="L16" s="240" t="s">
        <v>70</v>
      </c>
      <c r="M16" s="248" t="s">
        <v>79</v>
      </c>
      <c r="N16" s="242" t="s">
        <v>71</v>
      </c>
      <c r="O16" s="234"/>
      <c r="P16" s="306">
        <v>2.5</v>
      </c>
      <c r="Q16" s="307">
        <v>0.8</v>
      </c>
      <c r="R16" s="307">
        <v>0.7</v>
      </c>
      <c r="S16" s="307">
        <v>1</v>
      </c>
      <c r="T16" s="307">
        <v>0.9</v>
      </c>
      <c r="U16" s="266">
        <f t="shared" si="0"/>
        <v>0.9</v>
      </c>
    </row>
    <row r="17" spans="1:21" s="48" customFormat="1" ht="15" customHeight="1" outlineLevel="1" x14ac:dyDescent="0.25">
      <c r="A17" s="43" t="s">
        <v>82</v>
      </c>
      <c r="B17" s="38" t="s">
        <v>66</v>
      </c>
      <c r="C17" s="185" t="s">
        <v>67</v>
      </c>
      <c r="D17" s="38"/>
      <c r="E17" s="161" t="s">
        <v>83</v>
      </c>
      <c r="F17" s="38" t="s">
        <v>69</v>
      </c>
      <c r="G17" s="38"/>
      <c r="H17" s="38"/>
      <c r="I17" s="38"/>
      <c r="J17" s="40"/>
      <c r="K17" s="40"/>
      <c r="L17" s="240" t="s">
        <v>70</v>
      </c>
      <c r="M17" s="248" t="s">
        <v>79</v>
      </c>
      <c r="N17" s="242" t="s">
        <v>71</v>
      </c>
      <c r="O17" s="234"/>
      <c r="P17" s="306">
        <v>2.5</v>
      </c>
      <c r="Q17" s="307">
        <v>0.8</v>
      </c>
      <c r="R17" s="307">
        <v>0.7</v>
      </c>
      <c r="S17" s="307">
        <v>1</v>
      </c>
      <c r="T17" s="307">
        <v>0.8</v>
      </c>
      <c r="U17" s="266">
        <f t="shared" si="0"/>
        <v>0.8</v>
      </c>
    </row>
    <row r="18" spans="1:21" s="48" customFormat="1" ht="15" customHeight="1" outlineLevel="1" x14ac:dyDescent="0.25">
      <c r="A18" s="43" t="s">
        <v>84</v>
      </c>
      <c r="B18" s="38" t="s">
        <v>66</v>
      </c>
      <c r="C18" s="185" t="s">
        <v>67</v>
      </c>
      <c r="D18" s="38"/>
      <c r="E18" s="161" t="e">
        <f>"BLDG. 642 &amp; 190 &amp; 651 - "&amp;MID(#REF!,FIND(" ",#REF!,22)+1,100)</f>
        <v>#REF!</v>
      </c>
      <c r="F18" s="38" t="s">
        <v>69</v>
      </c>
      <c r="G18" s="38"/>
      <c r="H18" s="38"/>
      <c r="I18" s="38"/>
      <c r="J18" s="40"/>
      <c r="K18" s="40"/>
      <c r="L18" s="244"/>
      <c r="M18" s="245"/>
      <c r="N18" s="249"/>
      <c r="O18" s="234"/>
      <c r="P18" s="306"/>
      <c r="Q18" s="307"/>
      <c r="R18" s="307"/>
      <c r="S18" s="307"/>
      <c r="T18" s="307"/>
      <c r="U18" s="266"/>
    </row>
    <row r="19" spans="1:21" s="48" customFormat="1" ht="15" customHeight="1" outlineLevel="1" x14ac:dyDescent="0.25">
      <c r="A19" s="43" t="s">
        <v>85</v>
      </c>
      <c r="B19" s="38" t="s">
        <v>66</v>
      </c>
      <c r="C19" s="185" t="s">
        <v>67</v>
      </c>
      <c r="D19" s="38"/>
      <c r="E19" s="161" t="e">
        <f>"BLDG. 642 &amp; 190 &amp; 651 - "&amp;MID(#REF!,FIND(" ",#REF!,22)+1,100)</f>
        <v>#REF!</v>
      </c>
      <c r="F19" s="38" t="s">
        <v>69</v>
      </c>
      <c r="G19" s="38"/>
      <c r="H19" s="38"/>
      <c r="I19" s="38"/>
      <c r="J19" s="40"/>
      <c r="K19" s="40"/>
      <c r="L19" s="244"/>
      <c r="M19" s="245"/>
      <c r="N19" s="249"/>
      <c r="O19" s="234"/>
      <c r="P19" s="306"/>
      <c r="Q19" s="307"/>
      <c r="R19" s="307"/>
      <c r="S19" s="307"/>
      <c r="T19" s="307"/>
      <c r="U19" s="266"/>
    </row>
    <row r="20" spans="1:21" s="48" customFormat="1" ht="15" customHeight="1" outlineLevel="1" x14ac:dyDescent="0.25">
      <c r="A20" s="43" t="s">
        <v>86</v>
      </c>
      <c r="B20" s="38" t="s">
        <v>66</v>
      </c>
      <c r="C20" s="185" t="s">
        <v>67</v>
      </c>
      <c r="D20" s="38"/>
      <c r="E20" s="161" t="e">
        <f>"BLDG. 642 &amp; 190 &amp; 651 - "&amp;MID(#REF!,FIND(" ",#REF!,22)+1,100)</f>
        <v>#REF!</v>
      </c>
      <c r="F20" s="38" t="s">
        <v>69</v>
      </c>
      <c r="G20" s="38"/>
      <c r="H20" s="38"/>
      <c r="I20" s="38"/>
      <c r="J20" s="40"/>
      <c r="K20" s="40"/>
      <c r="L20" s="240" t="s">
        <v>70</v>
      </c>
      <c r="M20" s="248" t="s">
        <v>79</v>
      </c>
      <c r="N20" s="242" t="s">
        <v>71</v>
      </c>
      <c r="O20" s="234"/>
      <c r="P20" s="306">
        <v>2.5</v>
      </c>
      <c r="Q20" s="307">
        <v>0.6</v>
      </c>
      <c r="R20" s="307">
        <v>0.6</v>
      </c>
      <c r="S20" s="307">
        <v>1</v>
      </c>
      <c r="T20" s="307">
        <v>0.9</v>
      </c>
      <c r="U20" s="266">
        <f t="shared" si="0"/>
        <v>0.9</v>
      </c>
    </row>
    <row r="21" spans="1:21" s="48" customFormat="1" ht="15" customHeight="1" outlineLevel="1" x14ac:dyDescent="0.25">
      <c r="A21" s="43" t="s">
        <v>87</v>
      </c>
      <c r="B21" s="38" t="s">
        <v>66</v>
      </c>
      <c r="C21" s="185" t="s">
        <v>67</v>
      </c>
      <c r="D21" s="38"/>
      <c r="E21" s="161" t="s">
        <v>88</v>
      </c>
      <c r="F21" s="38" t="s">
        <v>69</v>
      </c>
      <c r="G21" s="38"/>
      <c r="H21" s="38"/>
      <c r="I21" s="38"/>
      <c r="J21" s="40"/>
      <c r="K21" s="40"/>
      <c r="L21" s="240" t="s">
        <v>70</v>
      </c>
      <c r="M21" s="248" t="s">
        <v>79</v>
      </c>
      <c r="N21" s="242" t="s">
        <v>71</v>
      </c>
      <c r="O21" s="234"/>
      <c r="P21" s="306">
        <v>2.5</v>
      </c>
      <c r="Q21" s="307">
        <v>0.3</v>
      </c>
      <c r="R21" s="307">
        <v>0.6</v>
      </c>
      <c r="S21" s="307">
        <v>1</v>
      </c>
      <c r="T21" s="307">
        <v>0.9</v>
      </c>
      <c r="U21" s="266">
        <f t="shared" si="0"/>
        <v>0.9</v>
      </c>
    </row>
    <row r="22" spans="1:21" s="48" customFormat="1" ht="15" customHeight="1" outlineLevel="1" x14ac:dyDescent="0.25">
      <c r="A22" s="43"/>
      <c r="B22" s="38"/>
      <c r="C22" s="185"/>
      <c r="D22" s="38"/>
      <c r="E22" s="161"/>
      <c r="F22" s="38"/>
      <c r="G22" s="38"/>
      <c r="H22" s="38"/>
      <c r="I22" s="38"/>
      <c r="J22" s="40"/>
      <c r="K22" s="40"/>
      <c r="L22" s="240" t="s">
        <v>70</v>
      </c>
      <c r="M22" s="248" t="s">
        <v>79</v>
      </c>
      <c r="N22" s="242" t="s">
        <v>71</v>
      </c>
      <c r="O22" s="234"/>
      <c r="P22" s="306">
        <v>2.5</v>
      </c>
      <c r="Q22" s="307">
        <v>0.3</v>
      </c>
      <c r="R22" s="307">
        <v>0.1</v>
      </c>
      <c r="S22" s="307">
        <v>1</v>
      </c>
      <c r="T22" s="307">
        <v>0.7</v>
      </c>
      <c r="U22" s="266">
        <f t="shared" si="0"/>
        <v>0.7</v>
      </c>
    </row>
    <row r="23" spans="1:21" s="48" customFormat="1" ht="15" customHeight="1" outlineLevel="1" x14ac:dyDescent="0.25">
      <c r="A23" s="41"/>
      <c r="B23" s="38"/>
      <c r="C23" s="41"/>
      <c r="D23" s="38"/>
      <c r="E23" s="37"/>
      <c r="F23" s="38"/>
      <c r="G23" s="38"/>
      <c r="H23" s="38"/>
      <c r="I23" s="38"/>
      <c r="J23" s="40"/>
      <c r="K23" s="40"/>
      <c r="L23" s="244"/>
      <c r="M23" s="245"/>
      <c r="N23" s="249"/>
      <c r="O23" s="234"/>
      <c r="P23" s="306"/>
      <c r="Q23" s="307"/>
      <c r="R23" s="307"/>
      <c r="S23" s="307"/>
      <c r="T23" s="307"/>
      <c r="U23" s="266"/>
    </row>
    <row r="24" spans="1:21" s="48" customFormat="1" ht="15" customHeight="1" outlineLevel="1" x14ac:dyDescent="0.2">
      <c r="A24" s="43" t="s">
        <v>89</v>
      </c>
      <c r="B24" s="38" t="s">
        <v>66</v>
      </c>
      <c r="C24" s="185" t="s">
        <v>67</v>
      </c>
      <c r="D24" s="38"/>
      <c r="E24" s="42" t="s">
        <v>90</v>
      </c>
      <c r="F24" s="38" t="s">
        <v>69</v>
      </c>
      <c r="G24" s="38"/>
      <c r="H24" s="38"/>
      <c r="I24" s="38"/>
      <c r="J24" s="40"/>
      <c r="K24" s="40"/>
      <c r="L24" s="244"/>
      <c r="M24" s="245"/>
      <c r="N24" s="249"/>
      <c r="O24" s="234"/>
      <c r="P24" s="306"/>
      <c r="Q24" s="307"/>
      <c r="R24" s="307"/>
      <c r="S24" s="307"/>
      <c r="T24" s="307"/>
      <c r="U24" s="266"/>
    </row>
    <row r="25" spans="1:21" s="48" customFormat="1" ht="15" customHeight="1" outlineLevel="1" x14ac:dyDescent="0.2">
      <c r="A25" s="43" t="s">
        <v>91</v>
      </c>
      <c r="B25" s="38" t="s">
        <v>66</v>
      </c>
      <c r="C25" s="185" t="s">
        <v>67</v>
      </c>
      <c r="D25" s="38"/>
      <c r="E25" s="42" t="s">
        <v>92</v>
      </c>
      <c r="F25" s="38" t="s">
        <v>69</v>
      </c>
      <c r="G25" s="38"/>
      <c r="H25" s="38"/>
      <c r="I25" s="38"/>
      <c r="J25" s="40"/>
      <c r="K25" s="40"/>
      <c r="L25" s="240" t="s">
        <v>70</v>
      </c>
      <c r="M25" s="241" t="s">
        <v>79</v>
      </c>
      <c r="N25" s="242" t="s">
        <v>71</v>
      </c>
      <c r="O25" s="234"/>
      <c r="P25" s="306">
        <v>1.5</v>
      </c>
      <c r="Q25" s="307">
        <v>0.6</v>
      </c>
      <c r="R25" s="307">
        <v>0.6</v>
      </c>
      <c r="S25" s="307">
        <v>1</v>
      </c>
      <c r="T25" s="307">
        <v>0.9</v>
      </c>
      <c r="U25" s="266">
        <f t="shared" si="0"/>
        <v>0.9</v>
      </c>
    </row>
    <row r="26" spans="1:21" s="48" customFormat="1" ht="15" customHeight="1" outlineLevel="1" x14ac:dyDescent="0.2">
      <c r="A26" s="43" t="s">
        <v>93</v>
      </c>
      <c r="B26" s="38" t="s">
        <v>66</v>
      </c>
      <c r="C26" s="185" t="s">
        <v>67</v>
      </c>
      <c r="D26" s="38"/>
      <c r="E26" s="42" t="s">
        <v>94</v>
      </c>
      <c r="F26" s="38" t="s">
        <v>69</v>
      </c>
      <c r="G26" s="38"/>
      <c r="H26" s="38"/>
      <c r="I26" s="38"/>
      <c r="J26" s="40"/>
      <c r="K26" s="40"/>
      <c r="L26" s="240" t="s">
        <v>70</v>
      </c>
      <c r="M26" s="241" t="s">
        <v>79</v>
      </c>
      <c r="N26" s="242" t="s">
        <v>71</v>
      </c>
      <c r="O26" s="234"/>
      <c r="P26" s="306">
        <v>0.5</v>
      </c>
      <c r="Q26" s="307">
        <v>0</v>
      </c>
      <c r="R26" s="307">
        <v>0</v>
      </c>
      <c r="S26" s="307">
        <v>1</v>
      </c>
      <c r="T26" s="307">
        <v>0.3</v>
      </c>
      <c r="U26" s="266">
        <f t="shared" si="0"/>
        <v>0.3</v>
      </c>
    </row>
    <row r="27" spans="1:21" s="48" customFormat="1" ht="15" customHeight="1" outlineLevel="1" x14ac:dyDescent="0.2">
      <c r="A27" s="43" t="s">
        <v>95</v>
      </c>
      <c r="B27" s="38" t="s">
        <v>66</v>
      </c>
      <c r="C27" s="185" t="s">
        <v>67</v>
      </c>
      <c r="D27" s="38"/>
      <c r="E27" s="42" t="s">
        <v>96</v>
      </c>
      <c r="F27" s="38" t="s">
        <v>69</v>
      </c>
      <c r="G27" s="38"/>
      <c r="H27" s="38"/>
      <c r="I27" s="38"/>
      <c r="J27" s="40"/>
      <c r="K27" s="40"/>
      <c r="L27" s="240" t="s">
        <v>70</v>
      </c>
      <c r="M27" s="241" t="s">
        <v>79</v>
      </c>
      <c r="N27" s="242" t="s">
        <v>71</v>
      </c>
      <c r="O27" s="234"/>
      <c r="P27" s="306">
        <v>0.5</v>
      </c>
      <c r="Q27" s="307">
        <v>0</v>
      </c>
      <c r="R27" s="307">
        <v>0</v>
      </c>
      <c r="S27" s="307">
        <v>1</v>
      </c>
      <c r="T27" s="307">
        <v>0.3</v>
      </c>
      <c r="U27" s="266">
        <f t="shared" si="0"/>
        <v>0.3</v>
      </c>
    </row>
    <row r="28" spans="1:21" s="48" customFormat="1" ht="15" customHeight="1" outlineLevel="1" x14ac:dyDescent="0.2">
      <c r="A28" s="43" t="s">
        <v>95</v>
      </c>
      <c r="B28" s="38" t="s">
        <v>66</v>
      </c>
      <c r="C28" s="185" t="s">
        <v>67</v>
      </c>
      <c r="D28" s="38"/>
      <c r="E28" s="42" t="s">
        <v>97</v>
      </c>
      <c r="F28" s="38" t="s">
        <v>69</v>
      </c>
      <c r="G28" s="38"/>
      <c r="H28" s="38"/>
      <c r="I28" s="38"/>
      <c r="J28" s="40"/>
      <c r="K28" s="40"/>
      <c r="L28" s="240" t="s">
        <v>70</v>
      </c>
      <c r="M28" s="241" t="s">
        <v>79</v>
      </c>
      <c r="N28" s="242" t="s">
        <v>71</v>
      </c>
      <c r="O28" s="234"/>
      <c r="P28" s="306">
        <v>0.5</v>
      </c>
      <c r="Q28" s="307">
        <v>0</v>
      </c>
      <c r="R28" s="307">
        <v>0</v>
      </c>
      <c r="S28" s="307">
        <v>1</v>
      </c>
      <c r="T28" s="307">
        <v>0.3</v>
      </c>
      <c r="U28" s="266">
        <f t="shared" si="0"/>
        <v>0.3</v>
      </c>
    </row>
    <row r="29" spans="1:21" s="48" customFormat="1" ht="15" customHeight="1" outlineLevel="1" x14ac:dyDescent="0.2">
      <c r="A29" s="43"/>
      <c r="B29" s="38"/>
      <c r="C29" s="185"/>
      <c r="D29" s="38"/>
      <c r="E29" s="42"/>
      <c r="F29" s="38"/>
      <c r="G29" s="38"/>
      <c r="H29" s="38"/>
      <c r="I29" s="38"/>
      <c r="J29" s="40"/>
      <c r="K29" s="37"/>
      <c r="L29" s="240" t="s">
        <v>70</v>
      </c>
      <c r="M29" s="245" t="s">
        <v>98</v>
      </c>
      <c r="N29" s="242" t="s">
        <v>99</v>
      </c>
      <c r="O29" s="234"/>
      <c r="P29" s="306">
        <v>1.5</v>
      </c>
      <c r="Q29" s="307">
        <v>0.3</v>
      </c>
      <c r="R29" s="307">
        <v>0.7</v>
      </c>
      <c r="S29" s="307">
        <v>1</v>
      </c>
      <c r="T29" s="307">
        <v>0.8</v>
      </c>
      <c r="U29" s="266">
        <f t="shared" si="0"/>
        <v>0.8</v>
      </c>
    </row>
    <row r="30" spans="1:21" s="48" customFormat="1" ht="15" customHeight="1" outlineLevel="1" x14ac:dyDescent="0.2">
      <c r="A30" s="43"/>
      <c r="B30" s="38"/>
      <c r="C30" s="185"/>
      <c r="D30" s="38"/>
      <c r="E30" s="42"/>
      <c r="F30" s="38"/>
      <c r="G30" s="38"/>
      <c r="H30" s="38"/>
      <c r="I30" s="38"/>
      <c r="J30" s="40"/>
      <c r="K30" s="40"/>
      <c r="L30" s="240" t="s">
        <v>70</v>
      </c>
      <c r="M30" s="245" t="s">
        <v>98</v>
      </c>
      <c r="N30" s="242" t="s">
        <v>99</v>
      </c>
      <c r="O30" s="234"/>
      <c r="P30" s="306">
        <v>1</v>
      </c>
      <c r="Q30" s="307">
        <v>0.3</v>
      </c>
      <c r="R30" s="307">
        <v>0.3</v>
      </c>
      <c r="S30" s="307">
        <v>1</v>
      </c>
      <c r="T30" s="307">
        <v>0.8</v>
      </c>
      <c r="U30" s="266">
        <f t="shared" si="0"/>
        <v>0.8</v>
      </c>
    </row>
    <row r="31" spans="1:21" s="48" customFormat="1" ht="15" customHeight="1" thickBot="1" x14ac:dyDescent="0.25">
      <c r="A31" s="41"/>
      <c r="B31" s="38"/>
      <c r="C31" s="41"/>
      <c r="D31" s="38"/>
      <c r="E31" s="43" t="str">
        <f>"SUB-TOTAL "&amp;UPPER(A7)&amp;" DRAWINGS"</f>
        <v>SUB-TOTAL GENERAL DRAWING DRAWINGS</v>
      </c>
      <c r="F31" s="38"/>
      <c r="G31" s="38"/>
      <c r="H31" s="38"/>
      <c r="I31" s="115">
        <f>COUNTA(F9:F28)</f>
        <v>15</v>
      </c>
      <c r="J31" s="36"/>
      <c r="K31" s="36"/>
      <c r="L31" s="240" t="s">
        <v>70</v>
      </c>
      <c r="M31" s="245" t="s">
        <v>98</v>
      </c>
      <c r="N31" s="250" t="s">
        <v>99</v>
      </c>
      <c r="O31" s="234"/>
      <c r="P31" s="306">
        <v>1</v>
      </c>
      <c r="Q31" s="307">
        <v>0</v>
      </c>
      <c r="R31" s="307">
        <v>0</v>
      </c>
      <c r="S31" s="307">
        <v>1</v>
      </c>
      <c r="T31" s="307">
        <v>0.8</v>
      </c>
      <c r="U31" s="266">
        <f t="shared" si="0"/>
        <v>0.8</v>
      </c>
    </row>
    <row r="32" spans="1:21" s="48" customFormat="1" ht="15" customHeight="1" thickTop="1" x14ac:dyDescent="0.2">
      <c r="A32" s="41"/>
      <c r="B32" s="38"/>
      <c r="C32" s="41"/>
      <c r="D32" s="38"/>
      <c r="E32" s="43"/>
      <c r="F32" s="38"/>
      <c r="G32" s="38"/>
      <c r="H32" s="38"/>
      <c r="I32" s="38"/>
      <c r="J32" s="36"/>
      <c r="K32" s="36"/>
      <c r="L32" s="240" t="s">
        <v>70</v>
      </c>
      <c r="M32" s="245" t="s">
        <v>98</v>
      </c>
      <c r="N32" s="250" t="s">
        <v>99</v>
      </c>
      <c r="O32" s="234"/>
      <c r="P32" s="306">
        <v>1</v>
      </c>
      <c r="Q32" s="307">
        <v>0</v>
      </c>
      <c r="R32" s="307">
        <v>0</v>
      </c>
      <c r="S32" s="307">
        <v>1</v>
      </c>
      <c r="T32" s="307">
        <v>0.5</v>
      </c>
      <c r="U32" s="266">
        <f t="shared" si="0"/>
        <v>0.5</v>
      </c>
    </row>
    <row r="33" spans="1:21" s="48" customFormat="1" ht="15" customHeight="1" x14ac:dyDescent="0.25">
      <c r="A33" s="32" t="str">
        <f>'1. CIVIL'!A33</f>
        <v>Building Name or Area Name 1</v>
      </c>
      <c r="B33" s="187"/>
      <c r="C33" s="32"/>
      <c r="D33" s="11"/>
      <c r="E33" s="11"/>
      <c r="F33" s="11"/>
      <c r="G33" s="11"/>
      <c r="H33" s="11"/>
      <c r="I33" s="11"/>
      <c r="J33" s="11"/>
      <c r="K33" s="11"/>
      <c r="L33" s="240" t="s">
        <v>70</v>
      </c>
      <c r="M33" s="241" t="s">
        <v>70</v>
      </c>
      <c r="N33" s="242" t="s">
        <v>71</v>
      </c>
      <c r="O33" s="234"/>
      <c r="P33" s="306">
        <v>1</v>
      </c>
      <c r="Q33" s="307">
        <v>0</v>
      </c>
      <c r="R33" s="307">
        <v>0.4</v>
      </c>
      <c r="S33" s="307">
        <v>1</v>
      </c>
      <c r="T33" s="307">
        <v>0.5</v>
      </c>
      <c r="U33" s="266">
        <f t="shared" si="0"/>
        <v>0.5</v>
      </c>
    </row>
    <row r="34" spans="1:21" s="48" customFormat="1" ht="15" customHeight="1" x14ac:dyDescent="0.2">
      <c r="A34" s="37"/>
      <c r="B34" s="188"/>
      <c r="C34" s="37"/>
      <c r="D34" s="38"/>
      <c r="E34" s="41"/>
      <c r="F34" s="38"/>
      <c r="G34" s="38"/>
      <c r="H34" s="38"/>
      <c r="I34" s="38"/>
      <c r="J34" s="40"/>
      <c r="K34" s="40"/>
      <c r="L34" s="240"/>
      <c r="M34" s="241"/>
      <c r="N34" s="251"/>
      <c r="O34" s="234"/>
      <c r="P34" s="306"/>
      <c r="Q34" s="307"/>
      <c r="R34" s="307"/>
      <c r="S34" s="307"/>
      <c r="T34" s="307"/>
      <c r="U34" s="266"/>
    </row>
    <row r="35" spans="1:21" s="48" customFormat="1" ht="15" customHeight="1" outlineLevel="1" x14ac:dyDescent="0.2">
      <c r="A35" s="43" t="s">
        <v>101</v>
      </c>
      <c r="B35" s="38" t="s">
        <v>66</v>
      </c>
      <c r="C35" s="185" t="s">
        <v>67</v>
      </c>
      <c r="D35" s="38"/>
      <c r="E35" s="161" t="s">
        <v>102</v>
      </c>
      <c r="F35" s="38" t="s">
        <v>69</v>
      </c>
      <c r="G35" s="37"/>
      <c r="H35" s="37"/>
      <c r="I35" s="37"/>
      <c r="J35" s="37"/>
      <c r="K35" s="37"/>
      <c r="L35" s="244"/>
      <c r="M35" s="245"/>
      <c r="N35" s="246"/>
      <c r="O35" s="234"/>
      <c r="P35" s="306"/>
      <c r="Q35" s="307"/>
      <c r="R35" s="307"/>
      <c r="S35" s="307"/>
      <c r="T35" s="307"/>
      <c r="U35" s="266"/>
    </row>
    <row r="36" spans="1:21" s="48" customFormat="1" ht="15" customHeight="1" outlineLevel="1" x14ac:dyDescent="0.25">
      <c r="A36" s="43" t="s">
        <v>103</v>
      </c>
      <c r="B36" s="38" t="s">
        <v>66</v>
      </c>
      <c r="C36" s="185" t="s">
        <v>67</v>
      </c>
      <c r="D36" s="38"/>
      <c r="E36" s="161" t="s">
        <v>104</v>
      </c>
      <c r="F36" s="38" t="s">
        <v>69</v>
      </c>
      <c r="G36" s="37"/>
      <c r="H36" s="37"/>
      <c r="I36" s="37"/>
      <c r="J36" s="37"/>
      <c r="K36" s="37"/>
      <c r="L36" s="240" t="s">
        <v>70</v>
      </c>
      <c r="M36" s="248" t="s">
        <v>79</v>
      </c>
      <c r="N36" s="242" t="s">
        <v>71</v>
      </c>
      <c r="O36" s="234"/>
      <c r="P36" s="306">
        <v>1</v>
      </c>
      <c r="Q36" s="307">
        <v>0.6</v>
      </c>
      <c r="R36" s="307">
        <v>0.6</v>
      </c>
      <c r="S36" s="307">
        <v>1</v>
      </c>
      <c r="T36" s="307">
        <v>0.9</v>
      </c>
      <c r="U36" s="266">
        <f t="shared" si="0"/>
        <v>0.9</v>
      </c>
    </row>
    <row r="37" spans="1:21" s="48" customFormat="1" ht="15" customHeight="1" outlineLevel="1" x14ac:dyDescent="0.25">
      <c r="A37" s="43" t="s">
        <v>105</v>
      </c>
      <c r="B37" s="38" t="s">
        <v>66</v>
      </c>
      <c r="C37" s="185" t="s">
        <v>67</v>
      </c>
      <c r="D37" s="38"/>
      <c r="E37" s="161" t="s">
        <v>106</v>
      </c>
      <c r="F37" s="38" t="s">
        <v>69</v>
      </c>
      <c r="G37" s="38"/>
      <c r="H37" s="38"/>
      <c r="I37" s="38"/>
      <c r="J37" s="40"/>
      <c r="K37" s="40"/>
      <c r="L37" s="240" t="s">
        <v>70</v>
      </c>
      <c r="M37" s="248" t="s">
        <v>79</v>
      </c>
      <c r="N37" s="242" t="s">
        <v>71</v>
      </c>
      <c r="O37" s="234"/>
      <c r="P37" s="306">
        <v>1.5</v>
      </c>
      <c r="Q37" s="307">
        <v>0.6</v>
      </c>
      <c r="R37" s="307">
        <v>0.6</v>
      </c>
      <c r="S37" s="307">
        <v>1</v>
      </c>
      <c r="T37" s="307">
        <v>0.8</v>
      </c>
      <c r="U37" s="266">
        <f t="shared" si="0"/>
        <v>0.8</v>
      </c>
    </row>
    <row r="38" spans="1:21" s="48" customFormat="1" ht="15" customHeight="1" outlineLevel="1" x14ac:dyDescent="0.2">
      <c r="A38" s="43" t="s">
        <v>107</v>
      </c>
      <c r="B38" s="38" t="s">
        <v>66</v>
      </c>
      <c r="C38" s="185" t="s">
        <v>67</v>
      </c>
      <c r="D38" s="38"/>
      <c r="E38" s="161" t="s">
        <v>108</v>
      </c>
      <c r="F38" s="38" t="s">
        <v>69</v>
      </c>
      <c r="G38" s="38"/>
      <c r="H38" s="38"/>
      <c r="I38" s="38"/>
      <c r="J38" s="40"/>
      <c r="K38" s="40"/>
      <c r="L38" s="244"/>
      <c r="M38" s="245"/>
      <c r="N38" s="246"/>
      <c r="O38" s="234"/>
      <c r="P38" s="306"/>
      <c r="Q38" s="307"/>
      <c r="R38" s="307"/>
      <c r="S38" s="307"/>
      <c r="T38" s="307"/>
      <c r="U38" s="266"/>
    </row>
    <row r="39" spans="1:21" s="48" customFormat="1" ht="15" customHeight="1" outlineLevel="1" x14ac:dyDescent="0.2">
      <c r="A39" s="43" t="s">
        <v>109</v>
      </c>
      <c r="B39" s="38" t="s">
        <v>66</v>
      </c>
      <c r="C39" s="185" t="s">
        <v>67</v>
      </c>
      <c r="D39" s="38"/>
      <c r="E39" s="161" t="s">
        <v>110</v>
      </c>
      <c r="F39" s="38" t="s">
        <v>69</v>
      </c>
      <c r="G39" s="38"/>
      <c r="H39" s="38"/>
      <c r="I39" s="38"/>
      <c r="J39" s="40"/>
      <c r="K39" s="40"/>
      <c r="L39" s="244"/>
      <c r="M39" s="245"/>
      <c r="N39" s="246"/>
      <c r="O39" s="234"/>
      <c r="P39" s="306"/>
      <c r="Q39" s="307"/>
      <c r="R39" s="307"/>
      <c r="S39" s="307"/>
      <c r="T39" s="307"/>
      <c r="U39" s="266"/>
    </row>
    <row r="40" spans="1:21" s="48" customFormat="1" ht="15" customHeight="1" outlineLevel="1" x14ac:dyDescent="0.25">
      <c r="A40" s="43" t="s">
        <v>111</v>
      </c>
      <c r="B40" s="38" t="s">
        <v>66</v>
      </c>
      <c r="C40" s="185" t="s">
        <v>67</v>
      </c>
      <c r="D40" s="38"/>
      <c r="E40" s="161" t="s">
        <v>112</v>
      </c>
      <c r="F40" s="38" t="s">
        <v>69</v>
      </c>
      <c r="G40" s="38"/>
      <c r="H40" s="38"/>
      <c r="I40" s="38"/>
      <c r="J40" s="40"/>
      <c r="K40" s="40"/>
      <c r="L40" s="240" t="s">
        <v>70</v>
      </c>
      <c r="M40" s="248" t="s">
        <v>79</v>
      </c>
      <c r="N40" s="242" t="s">
        <v>71</v>
      </c>
      <c r="O40" s="234"/>
      <c r="P40" s="306">
        <v>1</v>
      </c>
      <c r="Q40" s="307">
        <v>0.6</v>
      </c>
      <c r="R40" s="307">
        <v>0.4</v>
      </c>
      <c r="S40" s="307">
        <v>1</v>
      </c>
      <c r="T40" s="307">
        <v>0.5</v>
      </c>
      <c r="U40" s="266">
        <f t="shared" si="0"/>
        <v>0.5</v>
      </c>
    </row>
    <row r="41" spans="1:21" s="48" customFormat="1" ht="15" customHeight="1" outlineLevel="1" x14ac:dyDescent="0.25">
      <c r="A41" s="43" t="s">
        <v>113</v>
      </c>
      <c r="B41" s="38" t="s">
        <v>66</v>
      </c>
      <c r="C41" s="185" t="s">
        <v>67</v>
      </c>
      <c r="D41" s="38"/>
      <c r="E41" s="161" t="s">
        <v>114</v>
      </c>
      <c r="F41" s="38" t="s">
        <v>69</v>
      </c>
      <c r="G41" s="38"/>
      <c r="H41" s="38"/>
      <c r="I41" s="38"/>
      <c r="J41" s="40"/>
      <c r="K41" s="40"/>
      <c r="L41" s="240" t="s">
        <v>70</v>
      </c>
      <c r="M41" s="248" t="s">
        <v>79</v>
      </c>
      <c r="N41" s="242" t="s">
        <v>71</v>
      </c>
      <c r="O41" s="234"/>
      <c r="P41" s="306">
        <v>1.5</v>
      </c>
      <c r="Q41" s="307">
        <v>0.6</v>
      </c>
      <c r="R41" s="307">
        <v>0</v>
      </c>
      <c r="S41" s="307">
        <v>1</v>
      </c>
      <c r="T41" s="307">
        <v>0.9</v>
      </c>
      <c r="U41" s="266">
        <f t="shared" si="0"/>
        <v>0.9</v>
      </c>
    </row>
    <row r="42" spans="1:21" s="48" customFormat="1" ht="15" customHeight="1" outlineLevel="1" x14ac:dyDescent="0.2">
      <c r="A42" s="43" t="s">
        <v>115</v>
      </c>
      <c r="B42" s="38" t="s">
        <v>66</v>
      </c>
      <c r="C42" s="185" t="s">
        <v>67</v>
      </c>
      <c r="D42" s="38"/>
      <c r="E42" s="42" t="s">
        <v>116</v>
      </c>
      <c r="F42" s="38" t="s">
        <v>69</v>
      </c>
      <c r="G42" s="38"/>
      <c r="H42" s="38"/>
      <c r="I42" s="38"/>
      <c r="J42" s="40"/>
      <c r="K42" s="40"/>
      <c r="L42" s="240" t="s">
        <v>70</v>
      </c>
      <c r="M42" s="248" t="s">
        <v>79</v>
      </c>
      <c r="N42" s="242" t="s">
        <v>71</v>
      </c>
      <c r="O42" s="234"/>
      <c r="P42" s="306">
        <v>1</v>
      </c>
      <c r="Q42" s="307">
        <v>0</v>
      </c>
      <c r="R42" s="307">
        <v>0</v>
      </c>
      <c r="S42" s="307">
        <v>1</v>
      </c>
      <c r="T42" s="307">
        <v>0.3</v>
      </c>
      <c r="U42" s="266">
        <f t="shared" si="0"/>
        <v>0.3</v>
      </c>
    </row>
    <row r="43" spans="1:21" s="48" customFormat="1" ht="15" customHeight="1" outlineLevel="1" x14ac:dyDescent="0.2">
      <c r="A43" s="43" t="s">
        <v>117</v>
      </c>
      <c r="B43" s="38" t="s">
        <v>66</v>
      </c>
      <c r="C43" s="185" t="s">
        <v>67</v>
      </c>
      <c r="D43" s="38"/>
      <c r="E43" s="42" t="s">
        <v>118</v>
      </c>
      <c r="F43" s="38" t="s">
        <v>69</v>
      </c>
      <c r="G43" s="38"/>
      <c r="H43" s="38"/>
      <c r="I43" s="38"/>
      <c r="J43" s="40"/>
      <c r="K43" s="40"/>
      <c r="L43" s="244"/>
      <c r="M43" s="245"/>
      <c r="N43" s="246"/>
      <c r="O43" s="234"/>
      <c r="P43" s="306"/>
      <c r="Q43" s="307"/>
      <c r="R43" s="307"/>
      <c r="S43" s="307"/>
      <c r="T43" s="307"/>
      <c r="U43" s="266"/>
    </row>
    <row r="44" spans="1:21" s="48" customFormat="1" ht="15" customHeight="1" outlineLevel="1" x14ac:dyDescent="0.2">
      <c r="A44" s="43" t="s">
        <v>119</v>
      </c>
      <c r="B44" s="38" t="s">
        <v>66</v>
      </c>
      <c r="C44" s="185" t="s">
        <v>67</v>
      </c>
      <c r="D44" s="38"/>
      <c r="E44" s="42" t="s">
        <v>120</v>
      </c>
      <c r="F44" s="38" t="s">
        <v>69</v>
      </c>
      <c r="G44" s="38"/>
      <c r="H44" s="38"/>
      <c r="I44" s="38"/>
      <c r="J44" s="40"/>
      <c r="K44" s="40"/>
      <c r="L44" s="244"/>
      <c r="M44" s="245"/>
      <c r="N44" s="246"/>
      <c r="O44" s="234"/>
      <c r="P44" s="306"/>
      <c r="Q44" s="307"/>
      <c r="R44" s="307"/>
      <c r="S44" s="307"/>
      <c r="T44" s="307"/>
      <c r="U44" s="266"/>
    </row>
    <row r="45" spans="1:21" s="48" customFormat="1" ht="15" customHeight="1" outlineLevel="1" x14ac:dyDescent="0.2">
      <c r="A45" s="43" t="s">
        <v>121</v>
      </c>
      <c r="B45" s="38" t="s">
        <v>66</v>
      </c>
      <c r="C45" s="185" t="s">
        <v>67</v>
      </c>
      <c r="D45" s="38"/>
      <c r="E45" s="42" t="s">
        <v>122</v>
      </c>
      <c r="F45" s="38" t="s">
        <v>69</v>
      </c>
      <c r="G45" s="38"/>
      <c r="H45" s="38"/>
      <c r="I45" s="38"/>
      <c r="J45" s="40"/>
      <c r="K45" s="40"/>
      <c r="L45" s="240" t="s">
        <v>70</v>
      </c>
      <c r="M45" s="241" t="s">
        <v>70</v>
      </c>
      <c r="N45" s="252" t="s">
        <v>71</v>
      </c>
      <c r="O45" s="234"/>
      <c r="P45" s="306">
        <v>1</v>
      </c>
      <c r="Q45" s="307">
        <v>0.6</v>
      </c>
      <c r="R45" s="307">
        <v>0.6</v>
      </c>
      <c r="S45" s="307">
        <v>1</v>
      </c>
      <c r="T45" s="307">
        <v>0.95</v>
      </c>
      <c r="U45" s="266">
        <f t="shared" si="0"/>
        <v>0.95</v>
      </c>
    </row>
    <row r="46" spans="1:21" s="48" customFormat="1" ht="15" customHeight="1" outlineLevel="1" x14ac:dyDescent="0.2">
      <c r="A46" s="43" t="s">
        <v>123</v>
      </c>
      <c r="B46" s="38" t="s">
        <v>66</v>
      </c>
      <c r="C46" s="185" t="s">
        <v>67</v>
      </c>
      <c r="D46" s="38"/>
      <c r="E46" s="42" t="s">
        <v>124</v>
      </c>
      <c r="F46" s="38" t="s">
        <v>69</v>
      </c>
      <c r="G46" s="38"/>
      <c r="H46" s="38"/>
      <c r="I46" s="38"/>
      <c r="J46" s="40"/>
      <c r="K46" s="40"/>
      <c r="L46" s="240" t="s">
        <v>70</v>
      </c>
      <c r="M46" s="241" t="s">
        <v>70</v>
      </c>
      <c r="N46" s="252" t="s">
        <v>71</v>
      </c>
      <c r="O46" s="234"/>
      <c r="P46" s="306">
        <v>1</v>
      </c>
      <c r="Q46" s="307">
        <v>0.6</v>
      </c>
      <c r="R46" s="307">
        <v>0.6</v>
      </c>
      <c r="S46" s="307">
        <v>1</v>
      </c>
      <c r="T46" s="307">
        <v>0.95</v>
      </c>
      <c r="U46" s="266">
        <f t="shared" si="0"/>
        <v>0.95</v>
      </c>
    </row>
    <row r="47" spans="1:21" s="48" customFormat="1" ht="15" customHeight="1" outlineLevel="1" x14ac:dyDescent="0.2">
      <c r="A47" s="43"/>
      <c r="B47" s="38"/>
      <c r="C47" s="185"/>
      <c r="D47" s="38"/>
      <c r="E47" s="42"/>
      <c r="F47" s="38"/>
      <c r="G47" s="38"/>
      <c r="H47" s="38"/>
      <c r="I47" s="38"/>
      <c r="J47" s="40"/>
      <c r="K47" s="40"/>
      <c r="L47" s="240" t="s">
        <v>70</v>
      </c>
      <c r="M47" s="241" t="s">
        <v>70</v>
      </c>
      <c r="N47" s="252" t="s">
        <v>71</v>
      </c>
      <c r="O47" s="234"/>
      <c r="P47" s="306">
        <v>1</v>
      </c>
      <c r="Q47" s="307">
        <v>0.3</v>
      </c>
      <c r="R47" s="307">
        <v>0.3</v>
      </c>
      <c r="S47" s="307">
        <v>1</v>
      </c>
      <c r="T47" s="307">
        <v>0.95</v>
      </c>
      <c r="U47" s="266">
        <f t="shared" si="0"/>
        <v>0.95</v>
      </c>
    </row>
    <row r="48" spans="1:21" s="48" customFormat="1" ht="15" customHeight="1" outlineLevel="1" x14ac:dyDescent="0.2">
      <c r="A48" s="43" t="s">
        <v>125</v>
      </c>
      <c r="B48" s="38" t="s">
        <v>66</v>
      </c>
      <c r="C48" s="185" t="s">
        <v>67</v>
      </c>
      <c r="D48" s="38"/>
      <c r="E48" s="42" t="s">
        <v>126</v>
      </c>
      <c r="F48" s="38" t="s">
        <v>69</v>
      </c>
      <c r="G48" s="38"/>
      <c r="H48" s="38"/>
      <c r="I48" s="38"/>
      <c r="J48" s="40"/>
      <c r="K48" s="40"/>
      <c r="L48" s="244"/>
      <c r="M48" s="245"/>
      <c r="N48" s="253"/>
      <c r="O48" s="234"/>
      <c r="P48" s="306"/>
      <c r="Q48" s="307"/>
      <c r="R48" s="307"/>
      <c r="S48" s="307"/>
      <c r="T48" s="307"/>
      <c r="U48" s="266"/>
    </row>
    <row r="49" spans="1:21" s="48" customFormat="1" ht="15" customHeight="1" outlineLevel="1" x14ac:dyDescent="0.2">
      <c r="A49" s="43" t="s">
        <v>127</v>
      </c>
      <c r="B49" s="38" t="s">
        <v>66</v>
      </c>
      <c r="C49" s="185" t="s">
        <v>67</v>
      </c>
      <c r="D49" s="38"/>
      <c r="E49" s="42" t="s">
        <v>128</v>
      </c>
      <c r="F49" s="38" t="s">
        <v>69</v>
      </c>
      <c r="G49" s="38"/>
      <c r="H49" s="38"/>
      <c r="I49" s="38"/>
      <c r="J49" s="40"/>
      <c r="K49" s="40"/>
      <c r="L49" s="244"/>
      <c r="M49" s="245"/>
      <c r="N49" s="253"/>
      <c r="O49" s="234"/>
      <c r="P49" s="306"/>
      <c r="Q49" s="307"/>
      <c r="R49" s="307"/>
      <c r="S49" s="307"/>
      <c r="T49" s="307"/>
      <c r="U49" s="266"/>
    </row>
    <row r="50" spans="1:21" s="48" customFormat="1" ht="15" customHeight="1" outlineLevel="1" x14ac:dyDescent="0.2">
      <c r="A50" s="43" t="s">
        <v>129</v>
      </c>
      <c r="B50" s="38" t="s">
        <v>66</v>
      </c>
      <c r="C50" s="185" t="s">
        <v>67</v>
      </c>
      <c r="D50" s="38"/>
      <c r="E50" s="42" t="s">
        <v>130</v>
      </c>
      <c r="F50" s="38" t="s">
        <v>69</v>
      </c>
      <c r="G50" s="38"/>
      <c r="H50" s="38"/>
      <c r="I50" s="38"/>
      <c r="J50" s="40"/>
      <c r="K50" s="40"/>
      <c r="L50" s="240" t="s">
        <v>70</v>
      </c>
      <c r="M50" s="241" t="s">
        <v>70</v>
      </c>
      <c r="N50" s="252" t="s">
        <v>71</v>
      </c>
      <c r="O50" s="234"/>
      <c r="P50" s="306">
        <v>1</v>
      </c>
      <c r="Q50" s="307">
        <v>0.6</v>
      </c>
      <c r="R50" s="307">
        <v>0.6</v>
      </c>
      <c r="S50" s="307">
        <v>1</v>
      </c>
      <c r="T50" s="307">
        <v>0.95</v>
      </c>
      <c r="U50" s="266">
        <f t="shared" si="0"/>
        <v>0.95</v>
      </c>
    </row>
    <row r="51" spans="1:21" s="48" customFormat="1" ht="15" customHeight="1" outlineLevel="1" x14ac:dyDescent="0.2">
      <c r="A51" s="43" t="s">
        <v>131</v>
      </c>
      <c r="B51" s="38" t="s">
        <v>66</v>
      </c>
      <c r="C51" s="185" t="s">
        <v>67</v>
      </c>
      <c r="D51" s="38"/>
      <c r="E51" s="42" t="s">
        <v>132</v>
      </c>
      <c r="F51" s="38" t="s">
        <v>69</v>
      </c>
      <c r="G51" s="38"/>
      <c r="H51" s="38"/>
      <c r="I51" s="38"/>
      <c r="J51" s="40"/>
      <c r="K51" s="40"/>
      <c r="L51" s="240" t="s">
        <v>70</v>
      </c>
      <c r="M51" s="241" t="s">
        <v>70</v>
      </c>
      <c r="N51" s="252" t="s">
        <v>71</v>
      </c>
      <c r="O51" s="234"/>
      <c r="P51" s="306">
        <v>1</v>
      </c>
      <c r="Q51" s="307">
        <v>0.3</v>
      </c>
      <c r="R51" s="307">
        <v>0.6</v>
      </c>
      <c r="S51" s="307">
        <v>1</v>
      </c>
      <c r="T51" s="307">
        <v>0.95</v>
      </c>
      <c r="U51" s="266">
        <f t="shared" si="0"/>
        <v>0.95</v>
      </c>
    </row>
    <row r="52" spans="1:21" s="48" customFormat="1" ht="15" customHeight="1" outlineLevel="1" x14ac:dyDescent="0.2">
      <c r="A52" s="43" t="s">
        <v>133</v>
      </c>
      <c r="B52" s="38" t="s">
        <v>66</v>
      </c>
      <c r="C52" s="185" t="s">
        <v>67</v>
      </c>
      <c r="D52" s="38"/>
      <c r="E52" s="42" t="s">
        <v>134</v>
      </c>
      <c r="F52" s="38" t="s">
        <v>69</v>
      </c>
      <c r="G52" s="38"/>
      <c r="H52" s="38"/>
      <c r="I52" s="38"/>
      <c r="J52" s="40"/>
      <c r="K52" s="40"/>
      <c r="L52" s="244"/>
      <c r="M52" s="245"/>
      <c r="N52" s="253"/>
      <c r="O52" s="234"/>
      <c r="P52" s="306"/>
      <c r="Q52" s="307"/>
      <c r="R52" s="307"/>
      <c r="S52" s="307"/>
      <c r="T52" s="307"/>
      <c r="U52" s="266"/>
    </row>
    <row r="53" spans="1:21" s="48" customFormat="1" ht="15" customHeight="1" outlineLevel="1" x14ac:dyDescent="0.2">
      <c r="A53" s="43" t="s">
        <v>135</v>
      </c>
      <c r="B53" s="38" t="s">
        <v>66</v>
      </c>
      <c r="C53" s="185" t="s">
        <v>67</v>
      </c>
      <c r="D53" s="38"/>
      <c r="E53" s="42" t="s">
        <v>136</v>
      </c>
      <c r="F53" s="38" t="s">
        <v>69</v>
      </c>
      <c r="G53" s="38"/>
      <c r="H53" s="38"/>
      <c r="I53" s="38"/>
      <c r="J53" s="40"/>
      <c r="K53" s="40"/>
      <c r="L53" s="254"/>
      <c r="M53" s="255"/>
      <c r="N53" s="253"/>
      <c r="O53" s="234"/>
      <c r="P53" s="306"/>
      <c r="Q53" s="307"/>
      <c r="R53" s="307"/>
      <c r="S53" s="307"/>
      <c r="T53" s="307"/>
      <c r="U53" s="266"/>
    </row>
    <row r="54" spans="1:21" s="48" customFormat="1" ht="15" customHeight="1" outlineLevel="1" x14ac:dyDescent="0.2">
      <c r="A54" s="43" t="s">
        <v>137</v>
      </c>
      <c r="B54" s="38" t="s">
        <v>66</v>
      </c>
      <c r="C54" s="185" t="s">
        <v>67</v>
      </c>
      <c r="D54" s="38"/>
      <c r="E54" s="42" t="s">
        <v>138</v>
      </c>
      <c r="F54" s="38" t="s">
        <v>69</v>
      </c>
      <c r="G54" s="38"/>
      <c r="H54" s="38"/>
      <c r="I54" s="38"/>
      <c r="J54" s="40"/>
      <c r="K54" s="40"/>
      <c r="L54" s="240" t="s">
        <v>70</v>
      </c>
      <c r="M54" s="241" t="s">
        <v>70</v>
      </c>
      <c r="N54" s="252" t="s">
        <v>71</v>
      </c>
      <c r="O54" s="234"/>
      <c r="P54" s="306">
        <v>1</v>
      </c>
      <c r="Q54" s="307">
        <v>0.3</v>
      </c>
      <c r="R54" s="307">
        <v>0</v>
      </c>
      <c r="S54" s="307">
        <v>1</v>
      </c>
      <c r="T54" s="307">
        <v>0.3</v>
      </c>
      <c r="U54" s="266">
        <f t="shared" si="0"/>
        <v>0.3</v>
      </c>
    </row>
    <row r="55" spans="1:21" s="48" customFormat="1" ht="15" customHeight="1" outlineLevel="1" x14ac:dyDescent="0.2">
      <c r="A55" s="43" t="s">
        <v>139</v>
      </c>
      <c r="B55" s="38" t="s">
        <v>66</v>
      </c>
      <c r="C55" s="185" t="s">
        <v>67</v>
      </c>
      <c r="D55" s="38"/>
      <c r="E55" s="42" t="s">
        <v>140</v>
      </c>
      <c r="F55" s="38" t="s">
        <v>69</v>
      </c>
      <c r="G55" s="38"/>
      <c r="H55" s="38"/>
      <c r="I55" s="38"/>
      <c r="J55" s="40"/>
      <c r="K55" s="40"/>
      <c r="L55" s="240" t="s">
        <v>70</v>
      </c>
      <c r="M55" s="241" t="s">
        <v>70</v>
      </c>
      <c r="N55" s="252" t="s">
        <v>71</v>
      </c>
      <c r="O55" s="234"/>
      <c r="P55" s="306">
        <v>1</v>
      </c>
      <c r="Q55" s="307">
        <v>0.6</v>
      </c>
      <c r="R55" s="307">
        <v>0.6</v>
      </c>
      <c r="S55" s="307">
        <v>1</v>
      </c>
      <c r="T55" s="307">
        <v>0.95</v>
      </c>
      <c r="U55" s="266">
        <f t="shared" si="0"/>
        <v>0.95</v>
      </c>
    </row>
    <row r="56" spans="1:21" s="48" customFormat="1" ht="15" customHeight="1" outlineLevel="1" x14ac:dyDescent="0.2">
      <c r="A56" s="43" t="s">
        <v>141</v>
      </c>
      <c r="B56" s="38" t="s">
        <v>66</v>
      </c>
      <c r="C56" s="185" t="s">
        <v>67</v>
      </c>
      <c r="D56" s="38"/>
      <c r="E56" s="42" t="s">
        <v>142</v>
      </c>
      <c r="F56" s="38" t="s">
        <v>69</v>
      </c>
      <c r="G56" s="38"/>
      <c r="H56" s="38"/>
      <c r="I56" s="38"/>
      <c r="J56" s="40"/>
      <c r="K56" s="40"/>
      <c r="L56" s="240" t="s">
        <v>70</v>
      </c>
      <c r="M56" s="241" t="s">
        <v>70</v>
      </c>
      <c r="N56" s="252" t="s">
        <v>71</v>
      </c>
      <c r="O56" s="234"/>
      <c r="P56" s="306">
        <v>1</v>
      </c>
      <c r="Q56" s="307">
        <v>0.6</v>
      </c>
      <c r="R56" s="307">
        <v>0.6</v>
      </c>
      <c r="S56" s="307">
        <v>1</v>
      </c>
      <c r="T56" s="307">
        <v>0.95</v>
      </c>
      <c r="U56" s="266">
        <f t="shared" si="0"/>
        <v>0.95</v>
      </c>
    </row>
    <row r="57" spans="1:21" s="48" customFormat="1" ht="15" customHeight="1" outlineLevel="1" x14ac:dyDescent="0.2">
      <c r="A57" s="43"/>
      <c r="B57" s="38"/>
      <c r="C57" s="185"/>
      <c r="D57" s="38"/>
      <c r="E57" s="37"/>
      <c r="F57" s="38"/>
      <c r="G57" s="38"/>
      <c r="H57" s="38"/>
      <c r="I57" s="38"/>
      <c r="J57" s="40"/>
      <c r="K57" s="40"/>
      <c r="L57" s="240" t="s">
        <v>70</v>
      </c>
      <c r="M57" s="241" t="s">
        <v>70</v>
      </c>
      <c r="N57" s="252" t="s">
        <v>71</v>
      </c>
      <c r="O57" s="234"/>
      <c r="P57" s="306">
        <v>1</v>
      </c>
      <c r="Q57" s="307">
        <v>0.6</v>
      </c>
      <c r="R57" s="307">
        <v>0.6</v>
      </c>
      <c r="S57" s="307">
        <v>1</v>
      </c>
      <c r="T57" s="307">
        <v>0.6</v>
      </c>
      <c r="U57" s="266">
        <f t="shared" si="0"/>
        <v>0.6</v>
      </c>
    </row>
    <row r="58" spans="1:21" s="48" customFormat="1" ht="15" customHeight="1" outlineLevel="1" x14ac:dyDescent="0.2">
      <c r="A58" s="43"/>
      <c r="B58" s="38"/>
      <c r="C58" s="185"/>
      <c r="D58" s="38"/>
      <c r="E58" s="37"/>
      <c r="F58" s="38"/>
      <c r="G58" s="38"/>
      <c r="H58" s="38"/>
      <c r="I58" s="38"/>
      <c r="J58" s="40"/>
      <c r="K58" s="40"/>
      <c r="L58" s="240" t="s">
        <v>70</v>
      </c>
      <c r="M58" s="241" t="s">
        <v>70</v>
      </c>
      <c r="N58" s="252" t="s">
        <v>71</v>
      </c>
      <c r="O58" s="234"/>
      <c r="P58" s="306">
        <v>1</v>
      </c>
      <c r="Q58" s="307">
        <v>0.6</v>
      </c>
      <c r="R58" s="307">
        <v>0.6</v>
      </c>
      <c r="S58" s="307">
        <v>1</v>
      </c>
      <c r="T58" s="307">
        <v>0.3</v>
      </c>
      <c r="U58" s="266">
        <f t="shared" si="0"/>
        <v>0.6</v>
      </c>
    </row>
    <row r="59" spans="1:21" s="48" customFormat="1" ht="15" customHeight="1" thickBot="1" x14ac:dyDescent="0.25">
      <c r="A59" s="41"/>
      <c r="B59" s="38"/>
      <c r="C59" s="41"/>
      <c r="D59" s="38"/>
      <c r="E59" s="43" t="str">
        <f>"SUB-TOTAL "&amp;UPPER(A33)&amp;" DRAWINGS"</f>
        <v>SUB-TOTAL BUILDING NAME OR AREA NAME 1 DRAWINGS</v>
      </c>
      <c r="F59" s="38"/>
      <c r="G59" s="38"/>
      <c r="H59" s="38"/>
      <c r="I59" s="115">
        <f>COUNTA(F35:F56)</f>
        <v>21</v>
      </c>
      <c r="J59" s="36"/>
      <c r="K59" s="36"/>
      <c r="L59" s="240" t="s">
        <v>70</v>
      </c>
      <c r="M59" s="241" t="s">
        <v>70</v>
      </c>
      <c r="N59" s="252" t="s">
        <v>71</v>
      </c>
      <c r="O59" s="234"/>
      <c r="P59" s="306">
        <v>2</v>
      </c>
      <c r="Q59" s="307">
        <v>0.6</v>
      </c>
      <c r="R59" s="307">
        <v>0.6</v>
      </c>
      <c r="S59" s="307">
        <v>1</v>
      </c>
      <c r="T59" s="307">
        <v>0.3</v>
      </c>
      <c r="U59" s="266">
        <f t="shared" si="0"/>
        <v>0.6</v>
      </c>
    </row>
    <row r="60" spans="1:21" s="62" customFormat="1" ht="15" customHeight="1" thickTop="1" x14ac:dyDescent="0.2">
      <c r="A60" s="33"/>
      <c r="B60" s="34"/>
      <c r="C60" s="33"/>
      <c r="D60" s="36"/>
      <c r="E60" s="63"/>
      <c r="F60" s="36"/>
      <c r="G60" s="36"/>
      <c r="H60" s="36"/>
      <c r="I60" s="36"/>
      <c r="J60" s="36"/>
      <c r="K60" s="36"/>
      <c r="L60" s="240" t="s">
        <v>70</v>
      </c>
      <c r="M60" s="241" t="s">
        <v>70</v>
      </c>
      <c r="N60" s="252" t="s">
        <v>71</v>
      </c>
      <c r="O60" s="256"/>
      <c r="P60" s="306">
        <v>3</v>
      </c>
      <c r="Q60" s="307">
        <v>0.6</v>
      </c>
      <c r="R60" s="307">
        <v>0.6</v>
      </c>
      <c r="S60" s="307">
        <v>1</v>
      </c>
      <c r="T60" s="307">
        <v>0.3</v>
      </c>
      <c r="U60" s="266">
        <f t="shared" si="0"/>
        <v>0.6</v>
      </c>
    </row>
    <row r="61" spans="1:21" s="48" customFormat="1" ht="15" customHeight="1" x14ac:dyDescent="0.25">
      <c r="A61" s="32" t="str">
        <f>'1. CIVIL'!A61</f>
        <v>Building Name or Area Name 2</v>
      </c>
      <c r="B61" s="187"/>
      <c r="C61" s="32"/>
      <c r="D61" s="11"/>
      <c r="E61" s="11"/>
      <c r="F61" s="11"/>
      <c r="G61" s="11"/>
      <c r="H61" s="11"/>
      <c r="I61" s="11"/>
      <c r="J61" s="11"/>
      <c r="K61" s="11"/>
      <c r="L61" s="240" t="s">
        <v>70</v>
      </c>
      <c r="M61" s="241" t="s">
        <v>70</v>
      </c>
      <c r="N61" s="252" t="s">
        <v>71</v>
      </c>
      <c r="O61" s="257"/>
      <c r="P61" s="306">
        <v>4</v>
      </c>
      <c r="Q61" s="307">
        <v>0.6</v>
      </c>
      <c r="R61" s="307">
        <v>0.6</v>
      </c>
      <c r="S61" s="307">
        <v>1</v>
      </c>
      <c r="T61" s="307">
        <v>0.3</v>
      </c>
      <c r="U61" s="266">
        <f t="shared" si="0"/>
        <v>0.6</v>
      </c>
    </row>
    <row r="62" spans="1:21" s="48" customFormat="1" ht="15" customHeight="1" x14ac:dyDescent="0.25">
      <c r="A62" s="37"/>
      <c r="B62" s="188"/>
      <c r="C62" s="37"/>
      <c r="D62" s="38"/>
      <c r="E62" s="39"/>
      <c r="F62" s="38"/>
      <c r="G62" s="38"/>
      <c r="H62" s="38"/>
      <c r="I62" s="38"/>
      <c r="J62" s="40"/>
      <c r="K62" s="40"/>
      <c r="L62" s="240" t="s">
        <v>70</v>
      </c>
      <c r="M62" s="241" t="s">
        <v>70</v>
      </c>
      <c r="N62" s="252" t="s">
        <v>71</v>
      </c>
      <c r="O62" s="257"/>
      <c r="P62" s="306">
        <v>5</v>
      </c>
      <c r="Q62" s="307">
        <v>0.6</v>
      </c>
      <c r="R62" s="307">
        <v>0.6</v>
      </c>
      <c r="S62" s="307">
        <v>1</v>
      </c>
      <c r="T62" s="307">
        <v>0.3</v>
      </c>
      <c r="U62" s="266">
        <f t="shared" si="0"/>
        <v>0.6</v>
      </c>
    </row>
    <row r="63" spans="1:21" s="48" customFormat="1" ht="15" customHeight="1" outlineLevel="1" x14ac:dyDescent="0.25">
      <c r="A63" s="43" t="s">
        <v>144</v>
      </c>
      <c r="B63" s="38" t="s">
        <v>66</v>
      </c>
      <c r="C63" s="185" t="s">
        <v>67</v>
      </c>
      <c r="D63" s="38"/>
      <c r="E63" s="161" t="s">
        <v>145</v>
      </c>
      <c r="F63" s="38" t="s">
        <v>69</v>
      </c>
      <c r="G63" s="38"/>
      <c r="H63" s="38"/>
      <c r="I63" s="38"/>
      <c r="J63" s="40"/>
      <c r="K63" s="40"/>
      <c r="L63" s="240" t="s">
        <v>70</v>
      </c>
      <c r="M63" s="241" t="s">
        <v>70</v>
      </c>
      <c r="N63" s="252" t="s">
        <v>71</v>
      </c>
      <c r="O63" s="257"/>
      <c r="P63" s="306">
        <v>6</v>
      </c>
      <c r="Q63" s="307">
        <v>0.6</v>
      </c>
      <c r="R63" s="307">
        <v>0.6</v>
      </c>
      <c r="S63" s="307">
        <v>1</v>
      </c>
      <c r="T63" s="307">
        <v>0.3</v>
      </c>
      <c r="U63" s="266">
        <f t="shared" si="0"/>
        <v>0.6</v>
      </c>
    </row>
    <row r="64" spans="1:21" s="48" customFormat="1" ht="15" customHeight="1" outlineLevel="1" x14ac:dyDescent="0.25">
      <c r="A64" s="43"/>
      <c r="B64" s="38"/>
      <c r="C64" s="185"/>
      <c r="D64" s="38"/>
      <c r="E64" s="42"/>
      <c r="F64" s="38"/>
      <c r="G64" s="38"/>
      <c r="H64" s="38"/>
      <c r="I64" s="38"/>
      <c r="J64" s="40"/>
      <c r="K64" s="40"/>
      <c r="L64" s="240" t="s">
        <v>70</v>
      </c>
      <c r="M64" s="241" t="s">
        <v>70</v>
      </c>
      <c r="N64" s="252" t="s">
        <v>71</v>
      </c>
      <c r="O64" s="257"/>
      <c r="P64" s="306">
        <v>7</v>
      </c>
      <c r="Q64" s="307">
        <v>0.6</v>
      </c>
      <c r="R64" s="307">
        <v>0.6</v>
      </c>
      <c r="S64" s="307">
        <v>1</v>
      </c>
      <c r="T64" s="307">
        <v>0.3</v>
      </c>
      <c r="U64" s="266">
        <f t="shared" si="0"/>
        <v>0.6</v>
      </c>
    </row>
    <row r="65" spans="1:21" s="48" customFormat="1" ht="15" customHeight="1" outlineLevel="1" x14ac:dyDescent="0.25">
      <c r="A65" s="43"/>
      <c r="B65" s="38"/>
      <c r="C65" s="185"/>
      <c r="D65" s="38"/>
      <c r="E65" s="42"/>
      <c r="F65" s="38"/>
      <c r="G65" s="38"/>
      <c r="H65" s="38"/>
      <c r="I65" s="38"/>
      <c r="J65" s="40"/>
      <c r="K65" s="40"/>
      <c r="L65" s="240" t="s">
        <v>70</v>
      </c>
      <c r="M65" s="241" t="s">
        <v>70</v>
      </c>
      <c r="N65" s="252" t="s">
        <v>71</v>
      </c>
      <c r="O65" s="257"/>
      <c r="P65" s="306">
        <v>8</v>
      </c>
      <c r="Q65" s="307">
        <v>0.6</v>
      </c>
      <c r="R65" s="307">
        <v>0.6</v>
      </c>
      <c r="S65" s="307">
        <v>1</v>
      </c>
      <c r="T65" s="307">
        <v>0.3</v>
      </c>
      <c r="U65" s="266">
        <f t="shared" si="0"/>
        <v>0.6</v>
      </c>
    </row>
    <row r="66" spans="1:21" s="48" customFormat="1" ht="15" customHeight="1" thickBot="1" x14ac:dyDescent="0.3">
      <c r="A66" s="41"/>
      <c r="B66" s="38"/>
      <c r="C66" s="41"/>
      <c r="D66" s="38"/>
      <c r="E66" s="43" t="str">
        <f>"SUB-TOTAL "&amp;UPPER(A61)&amp;" DRAWINGS"</f>
        <v>SUB-TOTAL BUILDING NAME OR AREA NAME 2 DRAWINGS</v>
      </c>
      <c r="F66" s="38"/>
      <c r="G66" s="38"/>
      <c r="H66" s="38"/>
      <c r="I66" s="115">
        <f>COUNTA(F62:F65)</f>
        <v>1</v>
      </c>
      <c r="J66" s="36"/>
      <c r="K66" s="36"/>
      <c r="L66" s="240" t="s">
        <v>70</v>
      </c>
      <c r="M66" s="241" t="s">
        <v>70</v>
      </c>
      <c r="N66" s="252" t="s">
        <v>71</v>
      </c>
      <c r="O66" s="257"/>
      <c r="P66" s="306">
        <v>9</v>
      </c>
      <c r="Q66" s="307">
        <v>0.6</v>
      </c>
      <c r="R66" s="307">
        <v>0.6</v>
      </c>
      <c r="S66" s="307">
        <v>1</v>
      </c>
      <c r="T66" s="307">
        <v>0.3</v>
      </c>
      <c r="U66" s="266">
        <f t="shared" si="0"/>
        <v>0.6</v>
      </c>
    </row>
    <row r="67" spans="1:21" s="48" customFormat="1" ht="15" customHeight="1" thickTop="1" x14ac:dyDescent="0.25">
      <c r="A67" s="32" t="str">
        <f>'1. CIVIL'!A67</f>
        <v>Building Name or Area Name 3</v>
      </c>
      <c r="B67" s="187"/>
      <c r="C67" s="32"/>
      <c r="D67" s="11"/>
      <c r="E67" s="11"/>
      <c r="F67" s="11"/>
      <c r="G67" s="11"/>
      <c r="H67" s="11"/>
      <c r="I67" s="11"/>
      <c r="J67" s="11"/>
      <c r="K67" s="11"/>
      <c r="L67" s="240" t="s">
        <v>70</v>
      </c>
      <c r="M67" s="241" t="s">
        <v>70</v>
      </c>
      <c r="N67" s="252" t="s">
        <v>71</v>
      </c>
      <c r="O67" s="257"/>
      <c r="P67" s="306">
        <v>10</v>
      </c>
      <c r="Q67" s="307">
        <v>0.6</v>
      </c>
      <c r="R67" s="307">
        <v>0.6</v>
      </c>
      <c r="S67" s="307">
        <v>1</v>
      </c>
      <c r="T67" s="307">
        <v>0.3</v>
      </c>
      <c r="U67" s="266">
        <f t="shared" si="0"/>
        <v>0.6</v>
      </c>
    </row>
    <row r="68" spans="1:21" s="48" customFormat="1" ht="15" customHeight="1" x14ac:dyDescent="0.25">
      <c r="A68" s="37"/>
      <c r="B68" s="188"/>
      <c r="C68" s="37"/>
      <c r="D68" s="38"/>
      <c r="E68" s="39"/>
      <c r="F68" s="38"/>
      <c r="G68" s="38"/>
      <c r="H68" s="38"/>
      <c r="I68" s="38"/>
      <c r="J68" s="40"/>
      <c r="K68" s="40"/>
      <c r="L68" s="240" t="s">
        <v>70</v>
      </c>
      <c r="M68" s="241" t="s">
        <v>70</v>
      </c>
      <c r="N68" s="252" t="s">
        <v>71</v>
      </c>
      <c r="O68" s="257"/>
      <c r="P68" s="306">
        <v>11</v>
      </c>
      <c r="Q68" s="307">
        <v>0.6</v>
      </c>
      <c r="R68" s="307">
        <v>0.6</v>
      </c>
      <c r="S68" s="307">
        <v>1</v>
      </c>
      <c r="T68" s="307">
        <v>0.3</v>
      </c>
      <c r="U68" s="266">
        <f t="shared" si="0"/>
        <v>0.6</v>
      </c>
    </row>
    <row r="69" spans="1:21" s="48" customFormat="1" ht="15" customHeight="1" outlineLevel="1" x14ac:dyDescent="0.25">
      <c r="A69" s="43" t="s">
        <v>144</v>
      </c>
      <c r="B69" s="38" t="s">
        <v>66</v>
      </c>
      <c r="C69" s="185" t="s">
        <v>67</v>
      </c>
      <c r="D69" s="38"/>
      <c r="E69" s="161" t="s">
        <v>147</v>
      </c>
      <c r="F69" s="38" t="s">
        <v>69</v>
      </c>
      <c r="G69" s="38"/>
      <c r="H69" s="38"/>
      <c r="I69" s="38"/>
      <c r="J69" s="40"/>
      <c r="K69" s="40"/>
      <c r="L69" s="240" t="s">
        <v>70</v>
      </c>
      <c r="M69" s="241" t="s">
        <v>70</v>
      </c>
      <c r="N69" s="252" t="s">
        <v>71</v>
      </c>
      <c r="O69" s="257"/>
      <c r="P69" s="306">
        <v>12</v>
      </c>
      <c r="Q69" s="307">
        <v>0.6</v>
      </c>
      <c r="R69" s="307">
        <v>0.6</v>
      </c>
      <c r="S69" s="307">
        <v>1</v>
      </c>
      <c r="T69" s="307">
        <v>0.3</v>
      </c>
      <c r="U69" s="266">
        <f t="shared" si="0"/>
        <v>0.6</v>
      </c>
    </row>
    <row r="70" spans="1:21" s="48" customFormat="1" ht="15" customHeight="1" outlineLevel="1" x14ac:dyDescent="0.25">
      <c r="A70" s="43" t="s">
        <v>148</v>
      </c>
      <c r="B70" s="38" t="s">
        <v>66</v>
      </c>
      <c r="C70" s="185" t="s">
        <v>67</v>
      </c>
      <c r="D70" s="38"/>
      <c r="E70" s="42" t="s">
        <v>116</v>
      </c>
      <c r="F70" s="38" t="s">
        <v>69</v>
      </c>
      <c r="G70" s="38"/>
      <c r="H70" s="38"/>
      <c r="I70" s="38"/>
      <c r="J70" s="40"/>
      <c r="K70" s="40"/>
      <c r="L70" s="240" t="s">
        <v>70</v>
      </c>
      <c r="M70" s="241" t="s">
        <v>70</v>
      </c>
      <c r="N70" s="252" t="s">
        <v>71</v>
      </c>
      <c r="O70" s="257"/>
      <c r="P70" s="306">
        <v>13</v>
      </c>
      <c r="Q70" s="307">
        <v>0.6</v>
      </c>
      <c r="R70" s="307">
        <v>0.6</v>
      </c>
      <c r="S70" s="307">
        <v>1</v>
      </c>
      <c r="T70" s="307">
        <v>0.3</v>
      </c>
      <c r="U70" s="266">
        <f t="shared" si="0"/>
        <v>0.6</v>
      </c>
    </row>
    <row r="71" spans="1:21" s="48" customFormat="1" ht="15" customHeight="1" outlineLevel="1" x14ac:dyDescent="0.25">
      <c r="A71" s="43" t="s">
        <v>149</v>
      </c>
      <c r="B71" s="38" t="s">
        <v>66</v>
      </c>
      <c r="C71" s="185" t="s">
        <v>67</v>
      </c>
      <c r="D71" s="38"/>
      <c r="E71" s="42" t="s">
        <v>122</v>
      </c>
      <c r="F71" s="38" t="s">
        <v>69</v>
      </c>
      <c r="G71" s="38"/>
      <c r="H71" s="38"/>
      <c r="I71" s="38"/>
      <c r="J71" s="40"/>
      <c r="K71" s="40"/>
      <c r="L71" s="240" t="s">
        <v>70</v>
      </c>
      <c r="M71" s="241" t="s">
        <v>70</v>
      </c>
      <c r="N71" s="252" t="s">
        <v>71</v>
      </c>
      <c r="O71" s="257"/>
      <c r="P71" s="306">
        <v>14</v>
      </c>
      <c r="Q71" s="307">
        <v>0.6</v>
      </c>
      <c r="R71" s="307">
        <v>0.6</v>
      </c>
      <c r="S71" s="307">
        <v>1</v>
      </c>
      <c r="T71" s="307">
        <v>0.3</v>
      </c>
      <c r="U71" s="266">
        <f t="shared" si="0"/>
        <v>0.6</v>
      </c>
    </row>
    <row r="72" spans="1:21" s="48" customFormat="1" ht="15" customHeight="1" outlineLevel="1" x14ac:dyDescent="0.25">
      <c r="A72" s="43"/>
      <c r="B72" s="38"/>
      <c r="C72" s="185"/>
      <c r="D72" s="38"/>
      <c r="E72" s="42"/>
      <c r="F72" s="38"/>
      <c r="G72" s="38"/>
      <c r="H72" s="38"/>
      <c r="I72" s="38"/>
      <c r="J72" s="40"/>
      <c r="K72" s="40"/>
      <c r="L72" s="240" t="s">
        <v>70</v>
      </c>
      <c r="M72" s="241" t="s">
        <v>70</v>
      </c>
      <c r="N72" s="252" t="s">
        <v>71</v>
      </c>
      <c r="O72" s="257"/>
      <c r="P72" s="306">
        <v>15</v>
      </c>
      <c r="Q72" s="307">
        <v>0.6</v>
      </c>
      <c r="R72" s="307">
        <v>0.6</v>
      </c>
      <c r="S72" s="307">
        <v>1</v>
      </c>
      <c r="T72" s="307">
        <v>0.3</v>
      </c>
      <c r="U72" s="266">
        <f t="shared" si="0"/>
        <v>0.6</v>
      </c>
    </row>
    <row r="73" spans="1:21" s="48" customFormat="1" ht="15" customHeight="1" outlineLevel="1" x14ac:dyDescent="0.25">
      <c r="A73" s="43" t="s">
        <v>150</v>
      </c>
      <c r="B73" s="38" t="s">
        <v>66</v>
      </c>
      <c r="C73" s="185" t="s">
        <v>67</v>
      </c>
      <c r="D73" s="38"/>
      <c r="E73" s="42" t="s">
        <v>151</v>
      </c>
      <c r="F73" s="38" t="s">
        <v>69</v>
      </c>
      <c r="G73" s="38"/>
      <c r="H73" s="38"/>
      <c r="I73" s="38"/>
      <c r="J73" s="40"/>
      <c r="K73" s="40"/>
      <c r="L73" s="240" t="s">
        <v>70</v>
      </c>
      <c r="M73" s="241" t="s">
        <v>70</v>
      </c>
      <c r="N73" s="252" t="s">
        <v>71</v>
      </c>
      <c r="O73" s="257"/>
      <c r="P73" s="306">
        <v>16</v>
      </c>
      <c r="Q73" s="307">
        <v>0.6</v>
      </c>
      <c r="R73" s="307">
        <v>0.6</v>
      </c>
      <c r="S73" s="307">
        <v>1</v>
      </c>
      <c r="T73" s="307">
        <v>0.3</v>
      </c>
      <c r="U73" s="266">
        <f t="shared" si="0"/>
        <v>0.6</v>
      </c>
    </row>
    <row r="74" spans="1:21" s="48" customFormat="1" ht="15" customHeight="1" outlineLevel="1" x14ac:dyDescent="0.25">
      <c r="A74" s="43" t="s">
        <v>152</v>
      </c>
      <c r="B74" s="38" t="s">
        <v>66</v>
      </c>
      <c r="C74" s="185" t="s">
        <v>67</v>
      </c>
      <c r="D74" s="38"/>
      <c r="E74" s="42" t="s">
        <v>153</v>
      </c>
      <c r="F74" s="38" t="s">
        <v>69</v>
      </c>
      <c r="G74" s="38"/>
      <c r="H74" s="38"/>
      <c r="I74" s="38"/>
      <c r="J74" s="40"/>
      <c r="K74" s="40"/>
      <c r="L74" s="240" t="s">
        <v>70</v>
      </c>
      <c r="M74" s="241" t="s">
        <v>70</v>
      </c>
      <c r="N74" s="252" t="s">
        <v>71</v>
      </c>
      <c r="O74" s="257"/>
      <c r="P74" s="306">
        <v>17</v>
      </c>
      <c r="Q74" s="307">
        <v>0.6</v>
      </c>
      <c r="R74" s="307">
        <v>0.6</v>
      </c>
      <c r="S74" s="307">
        <v>1</v>
      </c>
      <c r="T74" s="307">
        <v>0.3</v>
      </c>
      <c r="U74" s="266">
        <f t="shared" ref="U74:U76" si="1">MAX(R74,T74)</f>
        <v>0.6</v>
      </c>
    </row>
    <row r="75" spans="1:21" s="48" customFormat="1" ht="15" customHeight="1" outlineLevel="1" x14ac:dyDescent="0.25">
      <c r="A75" s="43" t="s">
        <v>154</v>
      </c>
      <c r="B75" s="38" t="s">
        <v>66</v>
      </c>
      <c r="C75" s="185" t="s">
        <v>67</v>
      </c>
      <c r="D75" s="38"/>
      <c r="E75" s="42" t="s">
        <v>138</v>
      </c>
      <c r="F75" s="38" t="s">
        <v>69</v>
      </c>
      <c r="G75" s="38"/>
      <c r="H75" s="38"/>
      <c r="I75" s="38"/>
      <c r="J75" s="40"/>
      <c r="K75" s="40"/>
      <c r="L75" s="240" t="s">
        <v>70</v>
      </c>
      <c r="M75" s="241" t="s">
        <v>70</v>
      </c>
      <c r="N75" s="252" t="s">
        <v>71</v>
      </c>
      <c r="O75" s="257"/>
      <c r="P75" s="306">
        <v>18</v>
      </c>
      <c r="Q75" s="307">
        <v>0.6</v>
      </c>
      <c r="R75" s="307">
        <v>0.6</v>
      </c>
      <c r="S75" s="307">
        <v>1</v>
      </c>
      <c r="T75" s="307">
        <v>0.3</v>
      </c>
      <c r="U75" s="266">
        <f t="shared" si="1"/>
        <v>0.6</v>
      </c>
    </row>
    <row r="76" spans="1:21" s="48" customFormat="1" ht="15" customHeight="1" outlineLevel="1" x14ac:dyDescent="0.25">
      <c r="A76" s="43" t="s">
        <v>155</v>
      </c>
      <c r="B76" s="38" t="s">
        <v>66</v>
      </c>
      <c r="C76" s="185" t="s">
        <v>67</v>
      </c>
      <c r="D76" s="38"/>
      <c r="E76" s="42" t="s">
        <v>140</v>
      </c>
      <c r="F76" s="38" t="s">
        <v>69</v>
      </c>
      <c r="G76" s="38"/>
      <c r="H76" s="38"/>
      <c r="I76" s="38"/>
      <c r="J76" s="40"/>
      <c r="K76" s="40"/>
      <c r="L76" s="240" t="s">
        <v>70</v>
      </c>
      <c r="M76" s="241" t="s">
        <v>70</v>
      </c>
      <c r="N76" s="268" t="s">
        <v>71</v>
      </c>
      <c r="O76" s="257"/>
      <c r="P76" s="306">
        <v>19</v>
      </c>
      <c r="Q76" s="307">
        <v>0.6</v>
      </c>
      <c r="R76" s="307">
        <v>0.6</v>
      </c>
      <c r="S76" s="307">
        <v>1</v>
      </c>
      <c r="T76" s="307">
        <v>0.3</v>
      </c>
      <c r="U76" s="266">
        <f t="shared" si="1"/>
        <v>0.6</v>
      </c>
    </row>
    <row r="77" spans="1:21" s="48" customFormat="1" ht="15" customHeight="1" outlineLevel="1" thickBot="1" x14ac:dyDescent="0.3">
      <c r="A77" s="43" t="s">
        <v>156</v>
      </c>
      <c r="B77" s="38" t="s">
        <v>66</v>
      </c>
      <c r="C77" s="185" t="s">
        <v>67</v>
      </c>
      <c r="D77" s="38"/>
      <c r="E77" s="42" t="s">
        <v>142</v>
      </c>
      <c r="F77" s="38" t="s">
        <v>69</v>
      </c>
      <c r="G77" s="38"/>
      <c r="H77" s="38"/>
      <c r="I77" s="38"/>
      <c r="J77" s="40"/>
      <c r="K77" s="40"/>
      <c r="L77" s="260" t="s">
        <v>70</v>
      </c>
      <c r="M77" s="260" t="s">
        <v>70</v>
      </c>
      <c r="N77" s="261" t="s">
        <v>71</v>
      </c>
      <c r="O77" s="257"/>
      <c r="P77" s="306">
        <v>20</v>
      </c>
      <c r="Q77" s="307">
        <v>0.6</v>
      </c>
      <c r="R77" s="307">
        <v>0.6</v>
      </c>
      <c r="S77" s="307">
        <v>1</v>
      </c>
      <c r="T77" s="307">
        <v>0.3</v>
      </c>
      <c r="U77" s="266">
        <f t="shared" ref="U77" si="2">MAX(R77,T77)</f>
        <v>0.6</v>
      </c>
    </row>
    <row r="78" spans="1:21" s="48" customFormat="1" ht="15" customHeight="1" outlineLevel="1" thickBot="1" x14ac:dyDescent="0.3">
      <c r="A78" s="43"/>
      <c r="B78" s="38"/>
      <c r="C78" s="43"/>
      <c r="D78" s="38"/>
      <c r="E78" s="42"/>
      <c r="F78" s="38"/>
      <c r="G78" s="38"/>
      <c r="H78" s="38"/>
      <c r="I78" s="38"/>
      <c r="J78" s="40"/>
      <c r="K78" s="40"/>
      <c r="L78" s="52"/>
      <c r="M78" s="52"/>
      <c r="N78" s="52"/>
      <c r="O78" s="257"/>
      <c r="P78" s="263">
        <f>SUM(P7:P77)</f>
        <v>254</v>
      </c>
      <c r="Q78" s="264">
        <f>SUMPRODUCT($P7:$P77,Q7:Q77)/$P78</f>
        <v>0.58129921259842521</v>
      </c>
      <c r="R78" s="264">
        <f>SUMPRODUCT($P7:$P77,R7:R77)/$P78</f>
        <v>0.57559055118110247</v>
      </c>
      <c r="S78" s="264">
        <f>SUMPRODUCT($P7:$P77,S7:S77)/$P78</f>
        <v>1</v>
      </c>
      <c r="T78" s="264">
        <f>SUMPRODUCT($P7:$P77,T7:T77)/$P78</f>
        <v>0.38641732283464564</v>
      </c>
      <c r="U78" s="267">
        <f>SUMPRODUCT($P7:$P77,U7:U77)/$P78</f>
        <v>0.63444881889763782</v>
      </c>
    </row>
    <row r="79" spans="1:21" s="48" customFormat="1" ht="15" customHeight="1" thickBot="1" x14ac:dyDescent="0.3">
      <c r="A79" s="41"/>
      <c r="B79" s="38"/>
      <c r="C79" s="41"/>
      <c r="D79" s="38"/>
      <c r="E79" s="43" t="str">
        <f>"SUB-TOTAL "&amp;UPPER(A67)&amp;" DRAWINGS"</f>
        <v>SUB-TOTAL BUILDING NAME OR AREA NAME 3 DRAWINGS</v>
      </c>
      <c r="F79" s="38"/>
      <c r="G79" s="38"/>
      <c r="H79" s="38"/>
      <c r="I79" s="115">
        <f>COUNTA(F69:F77)</f>
        <v>8</v>
      </c>
      <c r="J79" s="36"/>
      <c r="K79" s="36"/>
      <c r="L79" s="52"/>
      <c r="M79" s="52"/>
      <c r="N79" s="52"/>
      <c r="O79" s="257"/>
      <c r="P79" s="257"/>
      <c r="Q79" s="257"/>
      <c r="R79" s="257"/>
      <c r="S79" s="257"/>
      <c r="T79" s="257"/>
      <c r="U79" s="258"/>
    </row>
    <row r="80" spans="1:21" s="48" customFormat="1" ht="15" customHeight="1" thickTop="1" x14ac:dyDescent="0.25">
      <c r="A80" s="41"/>
      <c r="B80" s="38"/>
      <c r="C80" s="41"/>
      <c r="D80" s="38"/>
      <c r="E80" s="43"/>
      <c r="F80" s="38"/>
      <c r="G80" s="38"/>
      <c r="H80" s="38"/>
      <c r="I80" s="38"/>
      <c r="J80" s="36"/>
      <c r="K80" s="36"/>
      <c r="L80" s="52"/>
      <c r="M80" s="52"/>
      <c r="N80" s="52"/>
      <c r="O80" s="257"/>
      <c r="P80" s="257"/>
      <c r="Q80" s="257"/>
      <c r="R80" s="257"/>
      <c r="S80" s="257"/>
      <c r="T80" s="257"/>
      <c r="U80" s="258"/>
    </row>
    <row r="81" spans="1:21" s="51" customFormat="1" ht="15" customHeight="1" thickBot="1" x14ac:dyDescent="0.3">
      <c r="A81" s="41"/>
      <c r="B81" s="38"/>
      <c r="C81" s="41"/>
      <c r="D81" s="38"/>
      <c r="E81" s="43" t="s">
        <v>157</v>
      </c>
      <c r="F81" s="38"/>
      <c r="G81" s="38"/>
      <c r="H81" s="38"/>
      <c r="I81" s="115">
        <f>SUMIF(E7:E80,"*SUB-TOTAL*",I7:I80)</f>
        <v>45</v>
      </c>
      <c r="J81" s="36"/>
      <c r="K81" s="36"/>
      <c r="L81" s="52"/>
      <c r="M81" s="52"/>
      <c r="N81" s="52"/>
      <c r="O81" s="257"/>
      <c r="P81" s="257"/>
      <c r="Q81" s="257"/>
      <c r="R81" s="257"/>
      <c r="S81" s="257"/>
      <c r="T81" s="257"/>
      <c r="U81" s="258"/>
    </row>
    <row r="82" spans="1:21" s="51" customFormat="1" ht="15.75" thickTop="1" x14ac:dyDescent="0.25">
      <c r="A82" s="45"/>
      <c r="B82" s="44"/>
      <c r="C82" s="45"/>
      <c r="D82" s="44"/>
      <c r="E82" s="42"/>
      <c r="F82" s="44"/>
      <c r="G82" s="44"/>
      <c r="H82" s="44"/>
      <c r="I82" s="46"/>
      <c r="J82" s="46"/>
      <c r="K82" s="46"/>
      <c r="L82" s="52"/>
      <c r="M82" s="52"/>
      <c r="N82" s="52"/>
      <c r="O82" s="257"/>
      <c r="P82" s="257"/>
      <c r="Q82" s="257"/>
      <c r="R82" s="257"/>
      <c r="S82" s="257"/>
      <c r="T82" s="257"/>
      <c r="U82" s="258"/>
    </row>
    <row r="83" spans="1:21" x14ac:dyDescent="0.25">
      <c r="A83" s="45"/>
      <c r="B83" s="44"/>
      <c r="C83" s="45"/>
      <c r="D83" s="44"/>
      <c r="E83" s="42"/>
      <c r="F83" s="44"/>
      <c r="G83" s="44"/>
      <c r="H83" s="44"/>
      <c r="I83" s="46"/>
      <c r="J83" s="46"/>
      <c r="K83" s="46"/>
    </row>
    <row r="84" spans="1:21" x14ac:dyDescent="0.25">
      <c r="A84" s="45"/>
      <c r="B84" s="44"/>
      <c r="C84" s="45"/>
      <c r="D84" s="44"/>
      <c r="E84" s="42"/>
      <c r="F84" s="44"/>
      <c r="G84" s="44"/>
      <c r="H84" s="44"/>
      <c r="I84" s="46"/>
      <c r="J84" s="46"/>
      <c r="K84" s="46"/>
    </row>
    <row r="85" spans="1:21" x14ac:dyDescent="0.25">
      <c r="A85" s="45"/>
      <c r="B85" s="44"/>
      <c r="C85" s="45"/>
      <c r="D85" s="44"/>
      <c r="E85" s="42"/>
      <c r="F85" s="44"/>
      <c r="G85" s="44"/>
      <c r="H85" s="44"/>
      <c r="I85" s="46"/>
      <c r="J85" s="46"/>
      <c r="K85" s="46"/>
    </row>
    <row r="86" spans="1:21" x14ac:dyDescent="0.25">
      <c r="A86" s="45"/>
      <c r="B86" s="44"/>
      <c r="C86" s="45"/>
      <c r="D86" s="44"/>
      <c r="E86" s="42"/>
      <c r="F86" s="44"/>
      <c r="G86" s="44"/>
      <c r="H86" s="44"/>
      <c r="I86" s="46"/>
      <c r="J86" s="46"/>
      <c r="K86" s="46"/>
    </row>
    <row r="87" spans="1:21" x14ac:dyDescent="0.25">
      <c r="A87" s="45"/>
      <c r="B87" s="44"/>
      <c r="C87" s="45"/>
      <c r="D87" s="44"/>
      <c r="E87" s="42"/>
      <c r="F87" s="44"/>
      <c r="G87" s="44"/>
      <c r="H87" s="44"/>
      <c r="I87" s="46"/>
      <c r="J87" s="46"/>
      <c r="K87" s="46"/>
    </row>
    <row r="88" spans="1:21" x14ac:dyDescent="0.25">
      <c r="A88" s="45"/>
      <c r="B88" s="44"/>
      <c r="C88" s="45"/>
      <c r="D88" s="44"/>
      <c r="E88" s="42"/>
      <c r="F88" s="44"/>
      <c r="G88" s="44"/>
      <c r="H88" s="44"/>
      <c r="I88" s="46"/>
      <c r="J88" s="46"/>
      <c r="K88" s="46"/>
    </row>
    <row r="89" spans="1:21" x14ac:dyDescent="0.25">
      <c r="A89" s="45"/>
      <c r="B89" s="44"/>
      <c r="C89" s="45"/>
      <c r="D89" s="44"/>
      <c r="E89" s="42"/>
      <c r="F89" s="44"/>
      <c r="G89" s="44"/>
      <c r="H89" s="44"/>
      <c r="I89" s="46"/>
      <c r="J89" s="46"/>
      <c r="K89" s="46"/>
    </row>
    <row r="90" spans="1:21" x14ac:dyDescent="0.25">
      <c r="A90" s="45"/>
      <c r="B90" s="44"/>
      <c r="C90" s="45"/>
      <c r="D90" s="44"/>
      <c r="E90" s="42"/>
      <c r="F90" s="44"/>
      <c r="G90" s="44"/>
      <c r="H90" s="44"/>
      <c r="I90" s="46"/>
      <c r="J90" s="46"/>
      <c r="K90" s="46"/>
    </row>
    <row r="91" spans="1:21" x14ac:dyDescent="0.25">
      <c r="A91" s="45"/>
      <c r="B91" s="44"/>
      <c r="C91" s="45"/>
      <c r="D91" s="44"/>
      <c r="E91" s="42"/>
      <c r="F91" s="44"/>
      <c r="G91" s="44"/>
      <c r="H91" s="44"/>
      <c r="I91" s="46"/>
      <c r="J91" s="46"/>
      <c r="K91" s="46"/>
    </row>
    <row r="92" spans="1:21" x14ac:dyDescent="0.25">
      <c r="A92" s="45"/>
      <c r="B92" s="44"/>
      <c r="C92" s="45"/>
      <c r="D92" s="44"/>
      <c r="E92" s="42"/>
      <c r="F92" s="44"/>
      <c r="G92" s="44"/>
      <c r="H92" s="44"/>
      <c r="I92" s="46"/>
      <c r="J92" s="46"/>
      <c r="K92" s="46"/>
    </row>
    <row r="93" spans="1:21" x14ac:dyDescent="0.25">
      <c r="A93" s="45"/>
      <c r="B93" s="44"/>
      <c r="C93" s="45"/>
      <c r="D93" s="44"/>
      <c r="E93" s="42"/>
      <c r="F93" s="44"/>
      <c r="G93" s="44"/>
      <c r="H93" s="44"/>
      <c r="I93" s="46"/>
      <c r="J93" s="46"/>
      <c r="K93" s="46"/>
    </row>
    <row r="94" spans="1:21" x14ac:dyDescent="0.25">
      <c r="A94" s="45"/>
      <c r="B94" s="44"/>
      <c r="C94" s="45"/>
      <c r="D94" s="44"/>
      <c r="E94" s="42"/>
      <c r="F94" s="44"/>
      <c r="G94" s="44"/>
      <c r="H94" s="44"/>
      <c r="I94" s="46"/>
      <c r="J94" s="46"/>
      <c r="K94" s="46"/>
    </row>
    <row r="95" spans="1:21" x14ac:dyDescent="0.25">
      <c r="A95" s="45"/>
      <c r="B95" s="44"/>
      <c r="C95" s="45"/>
      <c r="D95" s="44"/>
      <c r="E95" s="42"/>
      <c r="F95" s="44"/>
      <c r="G95" s="44"/>
      <c r="H95" s="44"/>
      <c r="I95" s="46"/>
      <c r="J95" s="46"/>
      <c r="K95" s="46"/>
    </row>
    <row r="96" spans="1:21" x14ac:dyDescent="0.25">
      <c r="A96" s="45"/>
      <c r="B96" s="44"/>
      <c r="C96" s="45"/>
      <c r="D96" s="44"/>
      <c r="E96" s="42"/>
      <c r="F96" s="44"/>
      <c r="G96" s="44"/>
      <c r="H96" s="44"/>
      <c r="I96" s="46"/>
      <c r="J96" s="46"/>
      <c r="K96" s="46"/>
    </row>
    <row r="97" spans="1:11" x14ac:dyDescent="0.25">
      <c r="A97" s="45"/>
      <c r="B97" s="44"/>
      <c r="C97" s="45"/>
      <c r="D97" s="44"/>
      <c r="E97" s="42"/>
      <c r="F97" s="44"/>
      <c r="G97" s="44"/>
      <c r="H97" s="44"/>
      <c r="I97" s="46"/>
      <c r="J97" s="46"/>
      <c r="K97" s="46"/>
    </row>
    <row r="98" spans="1:11" x14ac:dyDescent="0.25">
      <c r="A98" s="45"/>
      <c r="B98" s="44"/>
      <c r="C98" s="45"/>
      <c r="D98" s="44"/>
      <c r="E98" s="42"/>
      <c r="F98" s="44"/>
      <c r="G98" s="44"/>
      <c r="H98" s="44"/>
      <c r="I98" s="46"/>
      <c r="J98" s="46"/>
      <c r="K98" s="46"/>
    </row>
    <row r="99" spans="1:11" x14ac:dyDescent="0.25">
      <c r="A99" s="45"/>
      <c r="B99" s="44"/>
      <c r="C99" s="45"/>
      <c r="D99" s="44"/>
      <c r="E99" s="42"/>
      <c r="F99" s="44"/>
      <c r="G99" s="44"/>
      <c r="H99" s="44"/>
      <c r="I99" s="46"/>
      <c r="J99" s="46"/>
      <c r="K99" s="46"/>
    </row>
    <row r="100" spans="1:11" x14ac:dyDescent="0.25">
      <c r="A100" s="45"/>
      <c r="B100" s="44"/>
      <c r="C100" s="45"/>
      <c r="D100" s="44"/>
      <c r="E100" s="42"/>
      <c r="F100" s="44"/>
      <c r="G100" s="44"/>
      <c r="H100" s="44"/>
      <c r="I100" s="46"/>
      <c r="J100" s="46"/>
      <c r="K100" s="46"/>
    </row>
    <row r="101" spans="1:11" x14ac:dyDescent="0.25">
      <c r="A101" s="45"/>
      <c r="B101" s="44"/>
      <c r="C101" s="45"/>
      <c r="D101" s="44"/>
      <c r="E101" s="42"/>
      <c r="F101" s="44"/>
      <c r="G101" s="44"/>
      <c r="H101" s="44"/>
      <c r="I101" s="46"/>
      <c r="J101" s="46"/>
      <c r="K101" s="46"/>
    </row>
    <row r="102" spans="1:11" x14ac:dyDescent="0.25">
      <c r="A102" s="45"/>
      <c r="B102" s="44"/>
      <c r="C102" s="45"/>
      <c r="D102" s="44"/>
      <c r="E102" s="42"/>
      <c r="F102" s="44"/>
      <c r="G102" s="44"/>
      <c r="H102" s="44"/>
      <c r="I102" s="46"/>
      <c r="J102" s="46"/>
      <c r="K102" s="46"/>
    </row>
    <row r="103" spans="1:11" x14ac:dyDescent="0.25">
      <c r="A103" s="45"/>
      <c r="B103" s="44"/>
      <c r="C103" s="45"/>
      <c r="D103" s="44"/>
      <c r="E103" s="42"/>
      <c r="F103" s="44"/>
      <c r="G103" s="44"/>
      <c r="H103" s="44"/>
      <c r="I103" s="46"/>
      <c r="J103" s="46"/>
      <c r="K103" s="46"/>
    </row>
    <row r="104" spans="1:11" x14ac:dyDescent="0.25">
      <c r="A104" s="45"/>
      <c r="B104" s="44"/>
      <c r="C104" s="45"/>
      <c r="D104" s="44"/>
      <c r="E104" s="42"/>
      <c r="F104" s="44"/>
      <c r="G104" s="44"/>
      <c r="H104" s="44"/>
      <c r="I104" s="46"/>
      <c r="J104" s="46"/>
      <c r="K104" s="46"/>
    </row>
    <row r="105" spans="1:11" x14ac:dyDescent="0.25">
      <c r="A105" s="45"/>
      <c r="B105" s="44"/>
      <c r="C105" s="45"/>
      <c r="D105" s="44"/>
      <c r="E105" s="42"/>
      <c r="F105" s="44"/>
      <c r="G105" s="44"/>
      <c r="H105" s="44"/>
      <c r="I105" s="46"/>
      <c r="J105" s="46"/>
      <c r="K105" s="46"/>
    </row>
    <row r="106" spans="1:11" x14ac:dyDescent="0.25">
      <c r="A106" s="45"/>
      <c r="B106" s="44"/>
      <c r="C106" s="45"/>
      <c r="D106" s="44"/>
      <c r="E106" s="42"/>
      <c r="F106" s="44"/>
      <c r="G106" s="44"/>
      <c r="H106" s="44"/>
      <c r="I106" s="46"/>
      <c r="J106" s="46"/>
      <c r="K106" s="46"/>
    </row>
    <row r="107" spans="1:11" x14ac:dyDescent="0.25">
      <c r="A107" s="45"/>
      <c r="B107" s="44"/>
      <c r="C107" s="45"/>
      <c r="D107" s="44"/>
      <c r="E107" s="42"/>
      <c r="F107" s="44"/>
      <c r="G107" s="44"/>
      <c r="H107" s="44"/>
      <c r="I107" s="46"/>
      <c r="J107" s="46"/>
      <c r="K107" s="46"/>
    </row>
    <row r="108" spans="1:11" x14ac:dyDescent="0.25">
      <c r="A108" s="45"/>
      <c r="B108" s="44"/>
      <c r="C108" s="45"/>
      <c r="D108" s="44"/>
      <c r="E108" s="42"/>
      <c r="F108" s="44"/>
      <c r="G108" s="44"/>
      <c r="H108" s="44"/>
      <c r="I108" s="46"/>
      <c r="J108" s="46"/>
      <c r="K108" s="46"/>
    </row>
    <row r="109" spans="1:11" x14ac:dyDescent="0.25">
      <c r="A109" s="45"/>
      <c r="B109" s="44"/>
      <c r="C109" s="45"/>
      <c r="D109" s="44"/>
      <c r="E109" s="42"/>
      <c r="F109" s="44"/>
      <c r="G109" s="44"/>
      <c r="H109" s="44"/>
      <c r="I109" s="46"/>
      <c r="J109" s="46"/>
      <c r="K109" s="46"/>
    </row>
    <row r="110" spans="1:11" x14ac:dyDescent="0.25">
      <c r="A110" s="54"/>
      <c r="B110" s="56"/>
      <c r="C110" s="54"/>
      <c r="D110" s="56"/>
      <c r="E110" s="55"/>
      <c r="F110" s="56"/>
      <c r="G110" s="56"/>
      <c r="H110" s="56"/>
      <c r="I110" s="57"/>
      <c r="J110" s="57"/>
      <c r="K110" s="57"/>
    </row>
    <row r="111" spans="1:11" x14ac:dyDescent="0.25">
      <c r="A111" s="54"/>
      <c r="B111" s="56"/>
      <c r="C111" s="54"/>
      <c r="D111" s="56"/>
      <c r="E111" s="55"/>
      <c r="F111" s="56"/>
      <c r="G111" s="56"/>
      <c r="H111" s="56"/>
      <c r="I111" s="57"/>
      <c r="J111" s="57"/>
      <c r="K111" s="57"/>
    </row>
    <row r="112" spans="1:11" x14ac:dyDescent="0.25">
      <c r="A112" s="54"/>
      <c r="B112" s="56"/>
      <c r="C112" s="54"/>
      <c r="D112" s="56"/>
      <c r="E112" s="55"/>
      <c r="F112" s="56"/>
      <c r="G112" s="56"/>
      <c r="H112" s="56"/>
      <c r="I112" s="57"/>
      <c r="J112" s="57"/>
      <c r="K112" s="57"/>
    </row>
    <row r="113" spans="1:11" x14ac:dyDescent="0.25">
      <c r="A113" s="54"/>
      <c r="B113" s="56"/>
      <c r="C113" s="54"/>
      <c r="D113" s="56"/>
      <c r="E113" s="55"/>
      <c r="F113" s="56"/>
      <c r="G113" s="56"/>
      <c r="H113" s="56"/>
      <c r="I113" s="57"/>
      <c r="J113" s="57"/>
      <c r="K113" s="57"/>
    </row>
    <row r="114" spans="1:11" x14ac:dyDescent="0.25">
      <c r="A114" s="54"/>
      <c r="B114" s="56"/>
      <c r="C114" s="54"/>
      <c r="D114" s="56"/>
      <c r="E114" s="55"/>
      <c r="F114" s="56"/>
      <c r="G114" s="56"/>
      <c r="H114" s="56"/>
      <c r="I114" s="57"/>
      <c r="J114" s="57"/>
      <c r="K114" s="57"/>
    </row>
    <row r="115" spans="1:11" x14ac:dyDescent="0.25">
      <c r="A115" s="54"/>
      <c r="B115" s="56"/>
      <c r="C115" s="54"/>
      <c r="D115" s="56"/>
      <c r="E115" s="55"/>
      <c r="F115" s="56"/>
      <c r="G115" s="56"/>
      <c r="H115" s="56"/>
      <c r="I115" s="57"/>
      <c r="J115" s="57"/>
      <c r="K115" s="57"/>
    </row>
    <row r="116" spans="1:11" x14ac:dyDescent="0.25">
      <c r="A116" s="54"/>
      <c r="B116" s="56"/>
      <c r="C116" s="54"/>
      <c r="D116" s="56"/>
      <c r="E116" s="55"/>
      <c r="F116" s="56"/>
      <c r="G116" s="56"/>
      <c r="H116" s="56"/>
      <c r="I116" s="57"/>
      <c r="J116" s="57"/>
      <c r="K116" s="57"/>
    </row>
    <row r="117" spans="1:11" x14ac:dyDescent="0.25">
      <c r="A117" s="54"/>
      <c r="B117" s="56"/>
      <c r="C117" s="54"/>
      <c r="D117" s="56"/>
      <c r="E117" s="55"/>
      <c r="F117" s="56"/>
      <c r="G117" s="56"/>
      <c r="H117" s="56"/>
      <c r="I117" s="57"/>
      <c r="J117" s="57"/>
      <c r="K117" s="57"/>
    </row>
    <row r="118" spans="1:11" x14ac:dyDescent="0.25">
      <c r="A118" s="54"/>
      <c r="B118" s="56"/>
      <c r="C118" s="54"/>
      <c r="D118" s="56"/>
      <c r="E118" s="55"/>
      <c r="F118" s="56"/>
      <c r="G118" s="56"/>
      <c r="H118" s="56"/>
      <c r="I118" s="57"/>
      <c r="J118" s="57"/>
      <c r="K118" s="57"/>
    </row>
    <row r="119" spans="1:11" x14ac:dyDescent="0.25">
      <c r="A119" s="54"/>
      <c r="B119" s="56"/>
      <c r="C119" s="54"/>
      <c r="D119" s="56"/>
      <c r="E119" s="55"/>
      <c r="F119" s="56"/>
      <c r="G119" s="56"/>
      <c r="H119" s="56"/>
      <c r="I119" s="57"/>
      <c r="J119" s="57"/>
      <c r="K119" s="57"/>
    </row>
    <row r="120" spans="1:11" x14ac:dyDescent="0.25">
      <c r="A120" s="54"/>
      <c r="B120" s="56"/>
      <c r="C120" s="54"/>
      <c r="D120" s="56"/>
      <c r="E120" s="55"/>
      <c r="F120" s="56"/>
      <c r="G120" s="56"/>
      <c r="H120" s="56"/>
      <c r="I120" s="57"/>
      <c r="J120" s="57"/>
      <c r="K120" s="57"/>
    </row>
    <row r="121" spans="1:11" x14ac:dyDescent="0.25">
      <c r="A121" s="54"/>
      <c r="B121" s="56"/>
      <c r="C121" s="54"/>
      <c r="D121" s="56"/>
      <c r="E121" s="55"/>
      <c r="F121" s="56"/>
      <c r="G121" s="56"/>
      <c r="H121" s="56"/>
      <c r="I121" s="57"/>
      <c r="J121" s="57"/>
      <c r="K121" s="57"/>
    </row>
    <row r="122" spans="1:11" x14ac:dyDescent="0.25">
      <c r="A122" s="54"/>
      <c r="B122" s="56"/>
      <c r="C122" s="54"/>
      <c r="D122" s="56"/>
      <c r="E122" s="55"/>
      <c r="F122" s="56"/>
      <c r="G122" s="56"/>
      <c r="H122" s="56"/>
      <c r="I122" s="57"/>
      <c r="J122" s="57"/>
      <c r="K122" s="57"/>
    </row>
    <row r="123" spans="1:11" x14ac:dyDescent="0.25">
      <c r="A123" s="54"/>
      <c r="B123" s="56"/>
      <c r="C123" s="54"/>
      <c r="D123" s="56"/>
      <c r="E123" s="55"/>
      <c r="F123" s="56"/>
      <c r="G123" s="56"/>
      <c r="H123" s="56"/>
      <c r="I123" s="57"/>
      <c r="J123" s="57"/>
      <c r="K123" s="57"/>
    </row>
    <row r="124" spans="1:11" x14ac:dyDescent="0.25">
      <c r="A124" s="54"/>
      <c r="B124" s="56"/>
      <c r="C124" s="54"/>
      <c r="D124" s="56"/>
      <c r="E124" s="55"/>
      <c r="F124" s="56"/>
      <c r="G124" s="56"/>
      <c r="H124" s="56"/>
      <c r="I124" s="57"/>
      <c r="J124" s="57"/>
      <c r="K124" s="57"/>
    </row>
    <row r="125" spans="1:11" x14ac:dyDescent="0.25">
      <c r="A125" s="54"/>
      <c r="B125" s="56"/>
      <c r="C125" s="54"/>
      <c r="D125" s="56"/>
      <c r="E125" s="55"/>
      <c r="F125" s="56"/>
      <c r="G125" s="56"/>
      <c r="H125" s="56"/>
      <c r="I125" s="57"/>
      <c r="J125" s="57"/>
      <c r="K125" s="57"/>
    </row>
    <row r="126" spans="1:11" x14ac:dyDescent="0.25">
      <c r="A126" s="54"/>
      <c r="B126" s="56"/>
      <c r="C126" s="54"/>
      <c r="D126" s="56"/>
      <c r="E126" s="55"/>
      <c r="F126" s="56"/>
      <c r="G126" s="56"/>
      <c r="H126" s="56"/>
      <c r="I126" s="57"/>
      <c r="J126" s="57"/>
      <c r="K126" s="57"/>
    </row>
    <row r="127" spans="1:11" x14ac:dyDescent="0.25">
      <c r="A127" s="54"/>
      <c r="B127" s="56"/>
      <c r="C127" s="54"/>
      <c r="D127" s="56"/>
      <c r="E127" s="55"/>
      <c r="F127" s="56"/>
      <c r="G127" s="56"/>
      <c r="H127" s="56"/>
      <c r="I127" s="57"/>
      <c r="J127" s="57"/>
      <c r="K127" s="57"/>
    </row>
    <row r="128" spans="1:11" x14ac:dyDescent="0.25">
      <c r="A128" s="54"/>
      <c r="B128" s="56"/>
      <c r="C128" s="54"/>
      <c r="D128" s="56"/>
      <c r="E128" s="55"/>
      <c r="F128" s="56"/>
      <c r="G128" s="56"/>
      <c r="H128" s="56"/>
      <c r="I128" s="57"/>
      <c r="J128" s="57"/>
      <c r="K128" s="57"/>
    </row>
    <row r="129" spans="1:11" x14ac:dyDescent="0.25">
      <c r="A129" s="54"/>
      <c r="B129" s="56"/>
      <c r="C129" s="54"/>
      <c r="D129" s="56"/>
      <c r="E129" s="55"/>
      <c r="F129" s="56"/>
      <c r="G129" s="56"/>
      <c r="H129" s="56"/>
      <c r="I129" s="57"/>
      <c r="J129" s="57"/>
      <c r="K129" s="57"/>
    </row>
    <row r="130" spans="1:11" x14ac:dyDescent="0.25">
      <c r="A130" s="54"/>
      <c r="B130" s="56"/>
      <c r="C130" s="54"/>
      <c r="D130" s="56"/>
      <c r="E130" s="55"/>
      <c r="F130" s="56"/>
      <c r="G130" s="56"/>
      <c r="H130" s="56"/>
      <c r="I130" s="57"/>
      <c r="J130" s="57"/>
      <c r="K130" s="57"/>
    </row>
    <row r="131" spans="1:11" x14ac:dyDescent="0.25">
      <c r="A131" s="54"/>
      <c r="B131" s="56"/>
      <c r="C131" s="54"/>
      <c r="D131" s="56"/>
      <c r="E131" s="55"/>
      <c r="F131" s="56"/>
      <c r="G131" s="56"/>
      <c r="H131" s="56"/>
      <c r="I131" s="57"/>
      <c r="J131" s="57"/>
      <c r="K131" s="57"/>
    </row>
    <row r="132" spans="1:11" x14ac:dyDescent="0.25">
      <c r="A132" s="54"/>
      <c r="B132" s="56"/>
      <c r="C132" s="54"/>
      <c r="D132" s="56"/>
      <c r="E132" s="55"/>
      <c r="F132" s="56"/>
      <c r="G132" s="56"/>
      <c r="H132" s="56"/>
      <c r="I132" s="57"/>
      <c r="J132" s="57"/>
      <c r="K132" s="57"/>
    </row>
    <row r="133" spans="1:11" x14ac:dyDescent="0.25">
      <c r="A133" s="54"/>
      <c r="B133" s="56"/>
      <c r="C133" s="54"/>
      <c r="D133" s="56"/>
      <c r="E133" s="55"/>
      <c r="F133" s="56"/>
      <c r="G133" s="56"/>
      <c r="H133" s="56"/>
      <c r="I133" s="57"/>
      <c r="J133" s="57"/>
      <c r="K133" s="57"/>
    </row>
    <row r="134" spans="1:11" x14ac:dyDescent="0.25">
      <c r="A134" s="54"/>
      <c r="B134" s="56"/>
      <c r="C134" s="54"/>
      <c r="D134" s="56"/>
      <c r="E134" s="55"/>
      <c r="F134" s="56"/>
      <c r="G134" s="56"/>
      <c r="H134" s="56"/>
      <c r="I134" s="57"/>
      <c r="J134" s="57"/>
      <c r="K134" s="57"/>
    </row>
    <row r="135" spans="1:11" x14ac:dyDescent="0.25">
      <c r="A135" s="54"/>
      <c r="B135" s="56"/>
      <c r="C135" s="54"/>
      <c r="D135" s="56"/>
      <c r="E135" s="55"/>
      <c r="F135" s="56"/>
      <c r="G135" s="56"/>
      <c r="H135" s="56"/>
      <c r="I135" s="57"/>
      <c r="J135" s="57"/>
      <c r="K135" s="57"/>
    </row>
    <row r="136" spans="1:11" x14ac:dyDescent="0.25">
      <c r="A136" s="54"/>
      <c r="B136" s="56"/>
      <c r="C136" s="54"/>
      <c r="D136" s="56"/>
      <c r="E136" s="55"/>
      <c r="F136" s="56"/>
      <c r="G136" s="56"/>
      <c r="H136" s="56"/>
      <c r="I136" s="57"/>
      <c r="J136" s="57"/>
      <c r="K136" s="57"/>
    </row>
    <row r="137" spans="1:11" x14ac:dyDescent="0.25">
      <c r="A137" s="54"/>
      <c r="B137" s="56"/>
      <c r="C137" s="54"/>
      <c r="D137" s="56"/>
      <c r="E137" s="55"/>
      <c r="F137" s="56"/>
      <c r="G137" s="56"/>
      <c r="H137" s="56"/>
      <c r="I137" s="57"/>
      <c r="J137" s="57"/>
      <c r="K137" s="57"/>
    </row>
    <row r="138" spans="1:11" x14ac:dyDescent="0.25">
      <c r="A138" s="54"/>
      <c r="B138" s="56"/>
      <c r="C138" s="54"/>
      <c r="D138" s="56"/>
      <c r="E138" s="55"/>
      <c r="F138" s="56"/>
      <c r="G138" s="56"/>
      <c r="H138" s="56"/>
      <c r="I138" s="57"/>
      <c r="J138" s="57"/>
      <c r="K138" s="57"/>
    </row>
    <row r="139" spans="1:11" x14ac:dyDescent="0.25">
      <c r="A139" s="54"/>
      <c r="B139" s="56"/>
      <c r="C139" s="54"/>
      <c r="D139" s="56"/>
      <c r="E139" s="55"/>
      <c r="F139" s="56"/>
      <c r="G139" s="56"/>
      <c r="H139" s="56"/>
      <c r="I139" s="57"/>
      <c r="J139" s="57"/>
      <c r="K139" s="57"/>
    </row>
    <row r="140" spans="1:11" x14ac:dyDescent="0.25">
      <c r="A140" s="54"/>
      <c r="B140" s="56"/>
      <c r="C140" s="54"/>
      <c r="D140" s="56"/>
      <c r="E140" s="55"/>
      <c r="F140" s="56"/>
      <c r="G140" s="56"/>
      <c r="H140" s="56"/>
      <c r="I140" s="57"/>
      <c r="J140" s="57"/>
      <c r="K140" s="57"/>
    </row>
    <row r="141" spans="1:11" x14ac:dyDescent="0.25">
      <c r="A141" s="54"/>
      <c r="B141" s="56"/>
      <c r="C141" s="54"/>
      <c r="D141" s="56"/>
      <c r="E141" s="55"/>
      <c r="F141" s="56"/>
      <c r="G141" s="56"/>
      <c r="H141" s="56"/>
      <c r="I141" s="57"/>
      <c r="J141" s="57"/>
      <c r="K141" s="57"/>
    </row>
    <row r="142" spans="1:11" x14ac:dyDescent="0.25">
      <c r="A142" s="54"/>
      <c r="B142" s="56"/>
      <c r="C142" s="54"/>
      <c r="D142" s="56"/>
      <c r="E142" s="55"/>
      <c r="F142" s="56"/>
      <c r="G142" s="56"/>
      <c r="H142" s="56"/>
      <c r="I142" s="57"/>
      <c r="J142" s="57"/>
      <c r="K142" s="57"/>
    </row>
    <row r="143" spans="1:11" x14ac:dyDescent="0.25">
      <c r="A143" s="54"/>
      <c r="B143" s="56"/>
      <c r="C143" s="54"/>
      <c r="D143" s="56"/>
      <c r="E143" s="55"/>
      <c r="F143" s="56"/>
      <c r="G143" s="56"/>
      <c r="H143" s="56"/>
      <c r="I143" s="57"/>
      <c r="J143" s="57"/>
      <c r="K143" s="57"/>
    </row>
    <row r="144" spans="1:11" x14ac:dyDescent="0.25">
      <c r="A144" s="54"/>
      <c r="B144" s="56"/>
      <c r="C144" s="54"/>
      <c r="D144" s="56"/>
      <c r="E144" s="55"/>
      <c r="F144" s="56"/>
      <c r="G144" s="56"/>
      <c r="H144" s="56"/>
      <c r="I144" s="57"/>
      <c r="J144" s="57"/>
      <c r="K144" s="57"/>
    </row>
    <row r="145" spans="1:11" x14ac:dyDescent="0.25">
      <c r="A145" s="54"/>
      <c r="B145" s="56"/>
      <c r="C145" s="54"/>
      <c r="D145" s="56"/>
      <c r="E145" s="55"/>
      <c r="F145" s="56"/>
      <c r="G145" s="56"/>
      <c r="H145" s="56"/>
      <c r="I145" s="57"/>
      <c r="J145" s="57"/>
      <c r="K145" s="57"/>
    </row>
    <row r="146" spans="1:11" x14ac:dyDescent="0.25">
      <c r="A146" s="54"/>
      <c r="B146" s="56"/>
      <c r="C146" s="54"/>
      <c r="D146" s="56"/>
      <c r="E146" s="55"/>
      <c r="F146" s="56"/>
      <c r="G146" s="56"/>
      <c r="H146" s="56"/>
      <c r="I146" s="57"/>
      <c r="J146" s="57"/>
      <c r="K146" s="57"/>
    </row>
    <row r="147" spans="1:11" x14ac:dyDescent="0.25">
      <c r="A147" s="54"/>
      <c r="B147" s="56"/>
      <c r="C147" s="54"/>
      <c r="D147" s="56"/>
      <c r="E147" s="55"/>
      <c r="F147" s="56"/>
      <c r="G147" s="56"/>
      <c r="H147" s="56"/>
      <c r="I147" s="57"/>
      <c r="J147" s="57"/>
      <c r="K147" s="57"/>
    </row>
    <row r="148" spans="1:11" x14ac:dyDescent="0.25">
      <c r="A148" s="54"/>
      <c r="B148" s="56"/>
      <c r="C148" s="54"/>
      <c r="D148" s="56"/>
      <c r="E148" s="55"/>
      <c r="F148" s="56"/>
      <c r="G148" s="56"/>
      <c r="H148" s="56"/>
      <c r="I148" s="57"/>
      <c r="J148" s="57"/>
      <c r="K148" s="57"/>
    </row>
    <row r="149" spans="1:11" x14ac:dyDescent="0.25">
      <c r="A149" s="54"/>
      <c r="B149" s="56"/>
      <c r="C149" s="54"/>
      <c r="D149" s="56"/>
      <c r="E149" s="55"/>
      <c r="F149" s="56"/>
      <c r="G149" s="56"/>
      <c r="H149" s="56"/>
      <c r="I149" s="57"/>
      <c r="J149" s="57"/>
      <c r="K149" s="57"/>
    </row>
    <row r="150" spans="1:11" x14ac:dyDescent="0.25">
      <c r="A150" s="54"/>
      <c r="B150" s="56"/>
      <c r="C150" s="54"/>
      <c r="D150" s="56"/>
      <c r="E150" s="55"/>
      <c r="F150" s="56"/>
      <c r="G150" s="56"/>
      <c r="H150" s="56"/>
      <c r="I150" s="57"/>
      <c r="J150" s="57"/>
      <c r="K150" s="57"/>
    </row>
    <row r="151" spans="1:11" x14ac:dyDescent="0.25">
      <c r="A151" s="54"/>
      <c r="B151" s="56"/>
      <c r="C151" s="54"/>
      <c r="D151" s="56"/>
      <c r="E151" s="55"/>
      <c r="F151" s="56"/>
      <c r="G151" s="56"/>
      <c r="H151" s="56"/>
      <c r="I151" s="57"/>
      <c r="J151" s="57"/>
      <c r="K151" s="57"/>
    </row>
    <row r="152" spans="1:11" x14ac:dyDescent="0.25">
      <c r="A152" s="54"/>
      <c r="B152" s="56"/>
      <c r="C152" s="54"/>
      <c r="D152" s="56"/>
      <c r="E152" s="55"/>
      <c r="F152" s="56"/>
      <c r="G152" s="56"/>
      <c r="H152" s="56"/>
      <c r="I152" s="57"/>
      <c r="J152" s="57"/>
      <c r="K152" s="57"/>
    </row>
    <row r="153" spans="1:11" x14ac:dyDescent="0.25">
      <c r="A153" s="54"/>
      <c r="B153" s="56"/>
      <c r="C153" s="54"/>
      <c r="D153" s="56"/>
      <c r="E153" s="55"/>
      <c r="F153" s="56"/>
      <c r="G153" s="56"/>
      <c r="H153" s="56"/>
      <c r="I153" s="57"/>
      <c r="J153" s="57"/>
      <c r="K153" s="57"/>
    </row>
    <row r="154" spans="1:11" x14ac:dyDescent="0.25">
      <c r="A154" s="54"/>
      <c r="B154" s="56"/>
      <c r="C154" s="54"/>
      <c r="D154" s="56"/>
      <c r="E154" s="55"/>
      <c r="F154" s="56"/>
      <c r="G154" s="56"/>
      <c r="H154" s="56"/>
      <c r="I154" s="57"/>
      <c r="J154" s="57"/>
      <c r="K154" s="57"/>
    </row>
    <row r="155" spans="1:11" x14ac:dyDescent="0.25">
      <c r="A155" s="54"/>
      <c r="B155" s="56"/>
      <c r="C155" s="54"/>
      <c r="D155" s="56"/>
      <c r="E155" s="55"/>
      <c r="F155" s="56"/>
      <c r="G155" s="56"/>
      <c r="H155" s="56"/>
      <c r="I155" s="57"/>
      <c r="J155" s="57"/>
      <c r="K155" s="57"/>
    </row>
    <row r="156" spans="1:11" x14ac:dyDescent="0.25">
      <c r="A156" s="54"/>
      <c r="B156" s="56"/>
      <c r="C156" s="54"/>
      <c r="D156" s="56"/>
      <c r="E156" s="55"/>
      <c r="F156" s="56"/>
      <c r="G156" s="56"/>
      <c r="H156" s="56"/>
      <c r="I156" s="57"/>
      <c r="J156" s="57"/>
      <c r="K156" s="57"/>
    </row>
    <row r="157" spans="1:11" x14ac:dyDescent="0.25">
      <c r="A157" s="54"/>
      <c r="B157" s="56"/>
      <c r="C157" s="54"/>
      <c r="D157" s="56"/>
      <c r="E157" s="55"/>
      <c r="F157" s="56"/>
      <c r="G157" s="56"/>
      <c r="H157" s="56"/>
      <c r="I157" s="57"/>
      <c r="J157" s="57"/>
      <c r="K157" s="57"/>
    </row>
    <row r="158" spans="1:11" x14ac:dyDescent="0.25">
      <c r="A158" s="54"/>
      <c r="B158" s="56"/>
      <c r="C158" s="54"/>
      <c r="D158" s="56"/>
      <c r="E158" s="55"/>
      <c r="F158" s="56"/>
      <c r="G158" s="56"/>
      <c r="H158" s="56"/>
      <c r="I158" s="57"/>
      <c r="J158" s="57"/>
      <c r="K158" s="57"/>
    </row>
    <row r="159" spans="1:11" x14ac:dyDescent="0.25">
      <c r="A159" s="54"/>
      <c r="B159" s="56"/>
      <c r="C159" s="54"/>
      <c r="D159" s="56"/>
      <c r="E159" s="55"/>
      <c r="F159" s="56"/>
      <c r="G159" s="56"/>
      <c r="H159" s="56"/>
      <c r="I159" s="57"/>
      <c r="J159" s="57"/>
      <c r="K159" s="57"/>
    </row>
    <row r="160" spans="1:11" x14ac:dyDescent="0.25">
      <c r="A160" s="54"/>
      <c r="B160" s="56"/>
      <c r="C160" s="54"/>
      <c r="D160" s="56"/>
      <c r="E160" s="55"/>
      <c r="F160" s="56"/>
      <c r="G160" s="56"/>
      <c r="H160" s="56"/>
      <c r="I160" s="57"/>
      <c r="J160" s="57"/>
      <c r="K160" s="57"/>
    </row>
    <row r="161" spans="1:11" x14ac:dyDescent="0.25">
      <c r="A161" s="54"/>
      <c r="B161" s="56"/>
      <c r="C161" s="54"/>
      <c r="D161" s="56"/>
      <c r="E161" s="55"/>
      <c r="F161" s="56"/>
      <c r="G161" s="56"/>
      <c r="H161" s="56"/>
      <c r="I161" s="57"/>
      <c r="J161" s="57"/>
      <c r="K161" s="57"/>
    </row>
    <row r="162" spans="1:11" x14ac:dyDescent="0.25">
      <c r="A162" s="54"/>
      <c r="B162" s="56"/>
      <c r="C162" s="54"/>
      <c r="D162" s="56"/>
      <c r="E162" s="55"/>
      <c r="F162" s="56"/>
      <c r="G162" s="56"/>
      <c r="H162" s="56"/>
      <c r="I162" s="57"/>
      <c r="J162" s="57"/>
      <c r="K162" s="57"/>
    </row>
    <row r="163" spans="1:11" x14ac:dyDescent="0.25">
      <c r="A163" s="54"/>
      <c r="B163" s="56"/>
      <c r="C163" s="54"/>
      <c r="D163" s="56"/>
      <c r="E163" s="55"/>
      <c r="F163" s="56"/>
      <c r="G163" s="56"/>
      <c r="H163" s="56"/>
      <c r="I163" s="57"/>
      <c r="J163" s="57"/>
      <c r="K163" s="57"/>
    </row>
    <row r="164" spans="1:11" x14ac:dyDescent="0.25">
      <c r="A164" s="54"/>
      <c r="B164" s="56"/>
      <c r="C164" s="54"/>
      <c r="D164" s="56"/>
      <c r="E164" s="55"/>
      <c r="F164" s="56"/>
      <c r="G164" s="56"/>
      <c r="H164" s="56"/>
      <c r="I164" s="57"/>
      <c r="J164" s="57"/>
      <c r="K164" s="57"/>
    </row>
    <row r="165" spans="1:11" x14ac:dyDescent="0.25">
      <c r="A165" s="54"/>
      <c r="B165" s="56"/>
      <c r="C165" s="54"/>
      <c r="D165" s="56"/>
      <c r="E165" s="55"/>
      <c r="F165" s="56"/>
      <c r="G165" s="56"/>
      <c r="H165" s="56"/>
      <c r="I165" s="57"/>
      <c r="J165" s="57"/>
      <c r="K165" s="57"/>
    </row>
    <row r="166" spans="1:11" x14ac:dyDescent="0.25">
      <c r="A166" s="54"/>
      <c r="B166" s="56"/>
      <c r="C166" s="54"/>
      <c r="D166" s="56"/>
      <c r="E166" s="55"/>
      <c r="F166" s="56"/>
      <c r="G166" s="56"/>
      <c r="H166" s="56"/>
      <c r="I166" s="57"/>
      <c r="J166" s="57"/>
      <c r="K166" s="57"/>
    </row>
    <row r="167" spans="1:11" x14ac:dyDescent="0.25">
      <c r="A167" s="54"/>
      <c r="B167" s="56"/>
      <c r="C167" s="54"/>
      <c r="D167" s="56"/>
      <c r="E167" s="55"/>
      <c r="F167" s="56"/>
      <c r="G167" s="56"/>
      <c r="H167" s="56"/>
      <c r="I167" s="57"/>
      <c r="J167" s="57"/>
      <c r="K167" s="57"/>
    </row>
    <row r="168" spans="1:11" x14ac:dyDescent="0.25">
      <c r="A168" s="54"/>
      <c r="B168" s="56"/>
      <c r="C168" s="54"/>
      <c r="D168" s="56"/>
      <c r="E168" s="55"/>
      <c r="F168" s="56"/>
      <c r="G168" s="56"/>
      <c r="H168" s="56"/>
      <c r="I168" s="57"/>
      <c r="J168" s="57"/>
      <c r="K168" s="57"/>
    </row>
    <row r="169" spans="1:11" x14ac:dyDescent="0.25">
      <c r="A169" s="54"/>
      <c r="B169" s="56"/>
      <c r="C169" s="54"/>
      <c r="D169" s="56"/>
      <c r="E169" s="55"/>
      <c r="F169" s="56"/>
      <c r="G169" s="56"/>
      <c r="H169" s="56"/>
      <c r="I169" s="57"/>
      <c r="J169" s="57"/>
      <c r="K169" s="57"/>
    </row>
    <row r="170" spans="1:11" x14ac:dyDescent="0.25">
      <c r="A170" s="54"/>
      <c r="B170" s="56"/>
      <c r="C170" s="54"/>
      <c r="D170" s="56"/>
      <c r="E170" s="55"/>
      <c r="F170" s="56"/>
      <c r="G170" s="56"/>
      <c r="H170" s="56"/>
      <c r="I170" s="57"/>
      <c r="J170" s="57"/>
      <c r="K170" s="57"/>
    </row>
    <row r="171" spans="1:11" x14ac:dyDescent="0.25">
      <c r="A171" s="54"/>
      <c r="B171" s="56"/>
      <c r="C171" s="54"/>
      <c r="D171" s="56"/>
      <c r="E171" s="55"/>
      <c r="F171" s="56"/>
      <c r="G171" s="56"/>
      <c r="H171" s="56"/>
      <c r="I171" s="57"/>
      <c r="J171" s="57"/>
      <c r="K171" s="57"/>
    </row>
    <row r="172" spans="1:11" x14ac:dyDescent="0.25">
      <c r="A172" s="54"/>
      <c r="B172" s="56"/>
      <c r="C172" s="54"/>
      <c r="D172" s="56"/>
      <c r="E172" s="55"/>
      <c r="F172" s="56"/>
      <c r="G172" s="56"/>
      <c r="H172" s="56"/>
      <c r="I172" s="57"/>
      <c r="J172" s="57"/>
      <c r="K172" s="57"/>
    </row>
    <row r="173" spans="1:11" x14ac:dyDescent="0.25">
      <c r="A173" s="54"/>
      <c r="B173" s="56"/>
      <c r="C173" s="54"/>
      <c r="D173" s="56"/>
      <c r="E173" s="55"/>
      <c r="F173" s="56"/>
      <c r="G173" s="56"/>
      <c r="H173" s="56"/>
      <c r="I173" s="57"/>
      <c r="J173" s="57"/>
      <c r="K173" s="57"/>
    </row>
    <row r="174" spans="1:11" x14ac:dyDescent="0.25">
      <c r="A174" s="54"/>
      <c r="B174" s="56"/>
      <c r="C174" s="54"/>
      <c r="D174" s="56"/>
      <c r="E174" s="55"/>
      <c r="F174" s="56"/>
      <c r="G174" s="56"/>
      <c r="H174" s="56"/>
      <c r="I174" s="57"/>
      <c r="J174" s="57"/>
      <c r="K174" s="57"/>
    </row>
    <row r="175" spans="1:11" x14ac:dyDescent="0.25">
      <c r="A175" s="54"/>
      <c r="B175" s="56"/>
      <c r="C175" s="54"/>
      <c r="D175" s="56"/>
      <c r="E175" s="55"/>
      <c r="F175" s="56"/>
      <c r="G175" s="56"/>
      <c r="H175" s="56"/>
      <c r="I175" s="57"/>
      <c r="J175" s="57"/>
      <c r="K175" s="57"/>
    </row>
    <row r="176" spans="1:11" x14ac:dyDescent="0.25">
      <c r="A176" s="54"/>
      <c r="B176" s="56"/>
      <c r="C176" s="54"/>
      <c r="D176" s="56"/>
      <c r="E176" s="55"/>
      <c r="F176" s="56"/>
      <c r="G176" s="56"/>
      <c r="H176" s="56"/>
      <c r="I176" s="57"/>
      <c r="J176" s="57"/>
      <c r="K176" s="57"/>
    </row>
    <row r="177" spans="1:11" x14ac:dyDescent="0.25">
      <c r="A177" s="54"/>
      <c r="B177" s="56"/>
      <c r="C177" s="54"/>
      <c r="D177" s="56"/>
      <c r="E177" s="55"/>
      <c r="F177" s="56"/>
      <c r="G177" s="56"/>
      <c r="H177" s="56"/>
      <c r="I177" s="57"/>
      <c r="J177" s="57"/>
      <c r="K177" s="57"/>
    </row>
    <row r="178" spans="1:11" x14ac:dyDescent="0.25">
      <c r="A178" s="54"/>
      <c r="B178" s="56"/>
      <c r="C178" s="54"/>
      <c r="D178" s="56"/>
      <c r="E178" s="55"/>
      <c r="F178" s="56"/>
      <c r="G178" s="56"/>
      <c r="H178" s="56"/>
      <c r="I178" s="57"/>
      <c r="J178" s="57"/>
      <c r="K178" s="57"/>
    </row>
    <row r="179" spans="1:11" x14ac:dyDescent="0.25">
      <c r="A179" s="54"/>
      <c r="B179" s="56"/>
      <c r="C179" s="54"/>
      <c r="D179" s="56"/>
      <c r="E179" s="55"/>
      <c r="F179" s="56"/>
      <c r="G179" s="56"/>
      <c r="H179" s="56"/>
      <c r="I179" s="57"/>
      <c r="J179" s="57"/>
      <c r="K179" s="57"/>
    </row>
    <row r="180" spans="1:11" x14ac:dyDescent="0.25">
      <c r="A180" s="54"/>
      <c r="B180" s="56"/>
      <c r="C180" s="54"/>
      <c r="D180" s="56"/>
      <c r="E180" s="55"/>
      <c r="F180" s="56"/>
      <c r="G180" s="56"/>
      <c r="H180" s="56"/>
      <c r="I180" s="57"/>
      <c r="J180" s="57"/>
      <c r="K180" s="57"/>
    </row>
    <row r="181" spans="1:11" x14ac:dyDescent="0.25">
      <c r="A181" s="54"/>
      <c r="B181" s="56"/>
      <c r="C181" s="54"/>
      <c r="D181" s="56"/>
      <c r="E181" s="55"/>
      <c r="F181" s="56"/>
      <c r="G181" s="56"/>
      <c r="H181" s="56"/>
      <c r="I181" s="57"/>
      <c r="J181" s="57"/>
      <c r="K181" s="57"/>
    </row>
    <row r="182" spans="1:11" x14ac:dyDescent="0.25">
      <c r="A182" s="54"/>
      <c r="B182" s="56"/>
      <c r="C182" s="54"/>
      <c r="D182" s="56"/>
      <c r="E182" s="55"/>
      <c r="F182" s="56"/>
      <c r="G182" s="56"/>
      <c r="H182" s="56"/>
      <c r="I182" s="57"/>
      <c r="J182" s="57"/>
      <c r="K182" s="57"/>
    </row>
    <row r="183" spans="1:11" x14ac:dyDescent="0.25">
      <c r="A183" s="54"/>
      <c r="B183" s="56"/>
      <c r="C183" s="54"/>
      <c r="D183" s="56"/>
      <c r="E183" s="55"/>
      <c r="F183" s="56"/>
      <c r="G183" s="56"/>
      <c r="H183" s="56"/>
      <c r="I183" s="57"/>
      <c r="J183" s="57"/>
      <c r="K183" s="57"/>
    </row>
    <row r="184" spans="1:11" x14ac:dyDescent="0.25">
      <c r="A184" s="54"/>
      <c r="B184" s="56"/>
      <c r="C184" s="54"/>
      <c r="D184" s="56"/>
      <c r="E184" s="55"/>
      <c r="F184" s="56"/>
      <c r="G184" s="56"/>
      <c r="H184" s="56"/>
      <c r="I184" s="57"/>
      <c r="J184" s="57"/>
      <c r="K184" s="57"/>
    </row>
    <row r="185" spans="1:11" x14ac:dyDescent="0.25">
      <c r="A185" s="54"/>
      <c r="B185" s="56"/>
      <c r="C185" s="54"/>
      <c r="D185" s="56"/>
      <c r="E185" s="55"/>
      <c r="F185" s="56"/>
      <c r="G185" s="56"/>
      <c r="H185" s="56"/>
      <c r="I185" s="57"/>
      <c r="J185" s="57"/>
      <c r="K185" s="57"/>
    </row>
    <row r="186" spans="1:11" x14ac:dyDescent="0.25">
      <c r="A186" s="54"/>
      <c r="B186" s="56"/>
      <c r="C186" s="54"/>
      <c r="D186" s="56"/>
      <c r="E186" s="55"/>
      <c r="F186" s="56"/>
      <c r="G186" s="56"/>
      <c r="H186" s="56"/>
      <c r="I186" s="57"/>
      <c r="J186" s="57"/>
      <c r="K186" s="57"/>
    </row>
    <row r="187" spans="1:11" x14ac:dyDescent="0.25">
      <c r="A187" s="54"/>
      <c r="B187" s="56"/>
      <c r="C187" s="54"/>
      <c r="D187" s="56"/>
      <c r="E187" s="55"/>
      <c r="F187" s="56"/>
      <c r="G187" s="56"/>
      <c r="H187" s="56"/>
      <c r="I187" s="57"/>
      <c r="J187" s="57"/>
      <c r="K187" s="57"/>
    </row>
    <row r="188" spans="1:11" x14ac:dyDescent="0.25">
      <c r="A188" s="54"/>
      <c r="B188" s="56"/>
      <c r="C188" s="54"/>
      <c r="D188" s="56"/>
      <c r="E188" s="55"/>
      <c r="F188" s="56"/>
      <c r="G188" s="56"/>
      <c r="H188" s="56"/>
      <c r="I188" s="57"/>
      <c r="J188" s="57"/>
      <c r="K188" s="57"/>
    </row>
    <row r="189" spans="1:11" x14ac:dyDescent="0.25">
      <c r="A189" s="54"/>
      <c r="B189" s="56"/>
      <c r="C189" s="54"/>
      <c r="D189" s="56"/>
      <c r="E189" s="55"/>
      <c r="F189" s="56"/>
      <c r="G189" s="56"/>
      <c r="H189" s="56"/>
      <c r="I189" s="57"/>
      <c r="J189" s="57"/>
      <c r="K189" s="57"/>
    </row>
    <row r="190" spans="1:11" x14ac:dyDescent="0.25">
      <c r="A190" s="54"/>
      <c r="B190" s="56"/>
      <c r="C190" s="54"/>
      <c r="D190" s="56"/>
      <c r="E190" s="55"/>
      <c r="F190" s="56"/>
      <c r="G190" s="56"/>
      <c r="H190" s="56"/>
      <c r="I190" s="57"/>
      <c r="J190" s="57"/>
      <c r="K190" s="57"/>
    </row>
    <row r="191" spans="1:11" x14ac:dyDescent="0.25">
      <c r="A191" s="54"/>
      <c r="B191" s="56"/>
      <c r="C191" s="54"/>
      <c r="D191" s="56"/>
      <c r="E191" s="55"/>
      <c r="F191" s="56"/>
      <c r="G191" s="56"/>
      <c r="H191" s="56"/>
      <c r="I191" s="57"/>
      <c r="J191" s="57"/>
      <c r="K191" s="57"/>
    </row>
    <row r="192" spans="1:11" x14ac:dyDescent="0.25">
      <c r="A192" s="54"/>
      <c r="B192" s="56"/>
      <c r="C192" s="54"/>
      <c r="D192" s="56"/>
      <c r="E192" s="55"/>
      <c r="F192" s="56"/>
      <c r="G192" s="56"/>
      <c r="H192" s="56"/>
      <c r="I192" s="57"/>
      <c r="J192" s="57"/>
      <c r="K192" s="57"/>
    </row>
    <row r="193" spans="1:11" x14ac:dyDescent="0.25">
      <c r="A193" s="54"/>
      <c r="B193" s="56"/>
      <c r="C193" s="54"/>
      <c r="D193" s="56"/>
      <c r="E193" s="55"/>
      <c r="F193" s="56"/>
      <c r="G193" s="56"/>
      <c r="H193" s="56"/>
      <c r="I193" s="57"/>
      <c r="J193" s="57"/>
      <c r="K193" s="57"/>
    </row>
    <row r="194" spans="1:11" x14ac:dyDescent="0.25">
      <c r="A194" s="54"/>
      <c r="B194" s="56"/>
      <c r="C194" s="54"/>
      <c r="D194" s="56"/>
      <c r="E194" s="55"/>
      <c r="F194" s="56"/>
      <c r="G194" s="56"/>
      <c r="H194" s="56"/>
      <c r="I194" s="57"/>
      <c r="J194" s="57"/>
      <c r="K194" s="57"/>
    </row>
    <row r="195" spans="1:11" x14ac:dyDescent="0.25">
      <c r="A195" s="54"/>
      <c r="B195" s="56"/>
      <c r="C195" s="54"/>
      <c r="D195" s="56"/>
      <c r="E195" s="55"/>
      <c r="F195" s="56"/>
      <c r="G195" s="56"/>
      <c r="H195" s="56"/>
      <c r="I195" s="57"/>
      <c r="J195" s="57"/>
      <c r="K195" s="57"/>
    </row>
    <row r="196" spans="1:11" x14ac:dyDescent="0.25">
      <c r="A196" s="54"/>
      <c r="B196" s="56"/>
      <c r="C196" s="54"/>
      <c r="D196" s="56"/>
      <c r="E196" s="55"/>
      <c r="F196" s="56"/>
      <c r="G196" s="56"/>
      <c r="H196" s="56"/>
      <c r="I196" s="57"/>
      <c r="J196" s="57"/>
      <c r="K196" s="57"/>
    </row>
    <row r="197" spans="1:11" x14ac:dyDescent="0.25">
      <c r="A197" s="54"/>
      <c r="B197" s="56"/>
      <c r="C197" s="54"/>
      <c r="D197" s="56"/>
      <c r="E197" s="55"/>
      <c r="F197" s="56"/>
      <c r="G197" s="56"/>
      <c r="H197" s="56"/>
      <c r="I197" s="57"/>
      <c r="J197" s="57"/>
      <c r="K197" s="57"/>
    </row>
    <row r="198" spans="1:11" x14ac:dyDescent="0.25">
      <c r="A198" s="54"/>
      <c r="B198" s="56"/>
      <c r="C198" s="54"/>
      <c r="D198" s="56"/>
      <c r="E198" s="55"/>
      <c r="F198" s="56"/>
      <c r="G198" s="56"/>
      <c r="H198" s="56"/>
      <c r="I198" s="57"/>
      <c r="J198" s="57"/>
      <c r="K198" s="57"/>
    </row>
    <row r="199" spans="1:11" x14ac:dyDescent="0.25">
      <c r="A199" s="54"/>
      <c r="B199" s="56"/>
      <c r="C199" s="54"/>
      <c r="D199" s="56"/>
      <c r="E199" s="55"/>
      <c r="F199" s="56"/>
      <c r="G199" s="56"/>
      <c r="H199" s="56"/>
      <c r="I199" s="57"/>
      <c r="J199" s="57"/>
      <c r="K199" s="57"/>
    </row>
    <row r="200" spans="1:11" x14ac:dyDescent="0.25">
      <c r="A200" s="54"/>
      <c r="B200" s="56"/>
      <c r="C200" s="54"/>
      <c r="D200" s="56"/>
      <c r="E200" s="55"/>
      <c r="F200" s="56"/>
      <c r="G200" s="56"/>
      <c r="H200" s="56"/>
      <c r="I200" s="57"/>
      <c r="J200" s="57"/>
      <c r="K200" s="57"/>
    </row>
    <row r="201" spans="1:11" x14ac:dyDescent="0.25">
      <c r="A201" s="54"/>
      <c r="B201" s="56"/>
      <c r="C201" s="54"/>
      <c r="D201" s="56"/>
      <c r="E201" s="55"/>
      <c r="F201" s="56"/>
      <c r="G201" s="56"/>
      <c r="H201" s="56"/>
      <c r="I201" s="57"/>
      <c r="J201" s="57"/>
      <c r="K201" s="57"/>
    </row>
    <row r="202" spans="1:11" x14ac:dyDescent="0.25">
      <c r="A202" s="54"/>
      <c r="B202" s="56"/>
      <c r="C202" s="54"/>
      <c r="D202" s="56"/>
      <c r="E202" s="55"/>
      <c r="F202" s="56"/>
      <c r="G202" s="56"/>
      <c r="H202" s="56"/>
      <c r="I202" s="57"/>
      <c r="J202" s="57"/>
      <c r="K202" s="57"/>
    </row>
    <row r="203" spans="1:11" x14ac:dyDescent="0.25">
      <c r="A203" s="54"/>
      <c r="B203" s="56"/>
      <c r="C203" s="54"/>
      <c r="D203" s="56"/>
      <c r="E203" s="55"/>
      <c r="F203" s="56"/>
      <c r="G203" s="56"/>
      <c r="H203" s="56"/>
      <c r="I203" s="57"/>
      <c r="J203" s="57"/>
      <c r="K203" s="57"/>
    </row>
    <row r="204" spans="1:11" x14ac:dyDescent="0.25">
      <c r="A204" s="54"/>
      <c r="B204" s="56"/>
      <c r="C204" s="54"/>
      <c r="D204" s="56"/>
      <c r="E204" s="55"/>
      <c r="F204" s="56"/>
      <c r="G204" s="56"/>
      <c r="H204" s="56"/>
      <c r="I204" s="57"/>
      <c r="J204" s="57"/>
      <c r="K204" s="57"/>
    </row>
    <row r="205" spans="1:11" x14ac:dyDescent="0.25">
      <c r="A205" s="54"/>
      <c r="B205" s="56"/>
      <c r="C205" s="54"/>
      <c r="D205" s="56"/>
      <c r="E205" s="55"/>
      <c r="F205" s="56"/>
      <c r="G205" s="56"/>
      <c r="H205" s="56"/>
      <c r="I205" s="57"/>
      <c r="J205" s="57"/>
      <c r="K205" s="57"/>
    </row>
    <row r="206" spans="1:11" x14ac:dyDescent="0.25">
      <c r="A206" s="54"/>
      <c r="B206" s="56"/>
      <c r="C206" s="54"/>
      <c r="D206" s="56"/>
      <c r="E206" s="55"/>
      <c r="F206" s="56"/>
      <c r="G206" s="56"/>
      <c r="H206" s="56"/>
      <c r="I206" s="57"/>
      <c r="J206" s="57"/>
      <c r="K206" s="57"/>
    </row>
    <row r="207" spans="1:11" x14ac:dyDescent="0.25">
      <c r="A207" s="54"/>
      <c r="B207" s="56"/>
      <c r="C207" s="54"/>
      <c r="D207" s="56"/>
      <c r="E207" s="55"/>
      <c r="F207" s="56"/>
      <c r="G207" s="56"/>
      <c r="H207" s="56"/>
      <c r="I207" s="57"/>
      <c r="J207" s="57"/>
      <c r="K207" s="57"/>
    </row>
    <row r="208" spans="1:11" x14ac:dyDescent="0.25">
      <c r="A208" s="54"/>
      <c r="B208" s="56"/>
      <c r="C208" s="54"/>
      <c r="D208" s="56"/>
      <c r="E208" s="55"/>
      <c r="F208" s="56"/>
      <c r="G208" s="56"/>
      <c r="H208" s="56"/>
      <c r="I208" s="57"/>
      <c r="J208" s="57"/>
      <c r="K208" s="57"/>
    </row>
    <row r="209" spans="1:11" x14ac:dyDescent="0.25">
      <c r="A209" s="54"/>
      <c r="B209" s="56"/>
      <c r="C209" s="54"/>
      <c r="D209" s="56"/>
      <c r="E209" s="55"/>
      <c r="F209" s="56"/>
      <c r="G209" s="56"/>
      <c r="H209" s="56"/>
      <c r="I209" s="57"/>
      <c r="J209" s="57"/>
      <c r="K209" s="57"/>
    </row>
    <row r="210" spans="1:11" x14ac:dyDescent="0.25">
      <c r="A210" s="54"/>
      <c r="B210" s="56"/>
      <c r="C210" s="54"/>
      <c r="D210" s="56"/>
      <c r="E210" s="55"/>
      <c r="F210" s="56"/>
      <c r="G210" s="56"/>
      <c r="H210" s="56"/>
      <c r="I210" s="57"/>
      <c r="J210" s="57"/>
      <c r="K210" s="57"/>
    </row>
    <row r="211" spans="1:11" x14ac:dyDescent="0.25">
      <c r="A211" s="54"/>
      <c r="B211" s="56"/>
      <c r="C211" s="54"/>
      <c r="D211" s="56"/>
      <c r="E211" s="55"/>
      <c r="F211" s="56"/>
      <c r="G211" s="56"/>
      <c r="H211" s="56"/>
      <c r="I211" s="57"/>
      <c r="J211" s="57"/>
      <c r="K211" s="57"/>
    </row>
    <row r="212" spans="1:11" x14ac:dyDescent="0.25">
      <c r="A212" s="54"/>
      <c r="B212" s="56"/>
      <c r="C212" s="54"/>
      <c r="D212" s="56"/>
      <c r="E212" s="55"/>
      <c r="F212" s="56"/>
      <c r="G212" s="56"/>
      <c r="H212" s="56"/>
      <c r="I212" s="57"/>
      <c r="J212" s="57"/>
      <c r="K212" s="57"/>
    </row>
    <row r="213" spans="1:11" x14ac:dyDescent="0.25">
      <c r="A213" s="54"/>
      <c r="B213" s="56"/>
      <c r="C213" s="54"/>
      <c r="D213" s="56"/>
      <c r="E213" s="55"/>
      <c r="F213" s="56"/>
      <c r="G213" s="56"/>
      <c r="H213" s="56"/>
      <c r="I213" s="57"/>
      <c r="J213" s="57"/>
      <c r="K213" s="57"/>
    </row>
    <row r="214" spans="1:11" x14ac:dyDescent="0.25">
      <c r="A214" s="54"/>
      <c r="B214" s="56"/>
      <c r="C214" s="54"/>
      <c r="D214" s="56"/>
      <c r="E214" s="55"/>
      <c r="F214" s="56"/>
      <c r="G214" s="56"/>
      <c r="H214" s="56"/>
      <c r="I214" s="57"/>
      <c r="J214" s="57"/>
      <c r="K214" s="57"/>
    </row>
    <row r="215" spans="1:11" x14ac:dyDescent="0.25">
      <c r="A215" s="54"/>
      <c r="B215" s="56"/>
      <c r="C215" s="54"/>
      <c r="D215" s="56"/>
      <c r="E215" s="55"/>
      <c r="F215" s="56"/>
      <c r="G215" s="56"/>
      <c r="H215" s="56"/>
      <c r="I215" s="57"/>
      <c r="J215" s="57"/>
      <c r="K215" s="57"/>
    </row>
    <row r="216" spans="1:11" x14ac:dyDescent="0.25">
      <c r="A216" s="54"/>
      <c r="B216" s="56"/>
      <c r="C216" s="54"/>
      <c r="D216" s="56"/>
      <c r="E216" s="55"/>
      <c r="F216" s="56"/>
      <c r="G216" s="56"/>
      <c r="H216" s="56"/>
      <c r="I216" s="57"/>
      <c r="J216" s="57"/>
      <c r="K216" s="57"/>
    </row>
    <row r="217" spans="1:11" x14ac:dyDescent="0.25">
      <c r="A217" s="54"/>
      <c r="B217" s="56"/>
      <c r="C217" s="54"/>
      <c r="D217" s="56"/>
      <c r="E217" s="55"/>
      <c r="F217" s="56"/>
      <c r="G217" s="56"/>
      <c r="H217" s="56"/>
      <c r="I217" s="57"/>
      <c r="J217" s="57"/>
      <c r="K217" s="57"/>
    </row>
    <row r="218" spans="1:11" x14ac:dyDescent="0.25">
      <c r="A218" s="54"/>
      <c r="B218" s="56"/>
      <c r="C218" s="54"/>
      <c r="D218" s="56"/>
      <c r="E218" s="55"/>
      <c r="F218" s="56"/>
      <c r="G218" s="56"/>
      <c r="H218" s="56"/>
      <c r="I218" s="57"/>
      <c r="J218" s="57"/>
      <c r="K218" s="57"/>
    </row>
    <row r="219" spans="1:11" x14ac:dyDescent="0.25">
      <c r="A219" s="54"/>
      <c r="B219" s="56"/>
      <c r="C219" s="54"/>
      <c r="D219" s="56"/>
      <c r="E219" s="55"/>
      <c r="F219" s="56"/>
      <c r="G219" s="56"/>
      <c r="H219" s="56"/>
      <c r="I219" s="57"/>
      <c r="J219" s="57"/>
      <c r="K219" s="57"/>
    </row>
    <row r="220" spans="1:11" x14ac:dyDescent="0.25">
      <c r="A220" s="54"/>
      <c r="B220" s="56"/>
      <c r="C220" s="54"/>
      <c r="D220" s="56"/>
      <c r="E220" s="55"/>
      <c r="F220" s="56"/>
      <c r="G220" s="56"/>
      <c r="H220" s="56"/>
      <c r="I220" s="57"/>
      <c r="J220" s="57"/>
      <c r="K220" s="57"/>
    </row>
    <row r="221" spans="1:11" x14ac:dyDescent="0.25">
      <c r="A221" s="54"/>
      <c r="B221" s="56"/>
      <c r="C221" s="54"/>
      <c r="D221" s="56"/>
      <c r="E221" s="55"/>
      <c r="F221" s="56"/>
      <c r="G221" s="56"/>
      <c r="H221" s="56"/>
      <c r="I221" s="57"/>
      <c r="J221" s="57"/>
      <c r="K221" s="57"/>
    </row>
    <row r="222" spans="1:11" x14ac:dyDescent="0.25">
      <c r="A222" s="54"/>
      <c r="B222" s="56"/>
      <c r="C222" s="54"/>
      <c r="D222" s="56"/>
      <c r="E222" s="55"/>
      <c r="F222" s="56"/>
      <c r="G222" s="56"/>
      <c r="H222" s="56"/>
      <c r="I222" s="57"/>
      <c r="J222" s="57"/>
      <c r="K222" s="57"/>
    </row>
    <row r="223" spans="1:11" x14ac:dyDescent="0.25">
      <c r="A223" s="54"/>
      <c r="B223" s="56"/>
      <c r="C223" s="54"/>
      <c r="D223" s="56"/>
      <c r="E223" s="55"/>
      <c r="F223" s="56"/>
      <c r="G223" s="56"/>
      <c r="H223" s="56"/>
      <c r="I223" s="57"/>
      <c r="J223" s="57"/>
      <c r="K223" s="57"/>
    </row>
    <row r="224" spans="1:11" x14ac:dyDescent="0.25">
      <c r="A224" s="54"/>
      <c r="B224" s="56"/>
      <c r="C224" s="54"/>
      <c r="D224" s="56"/>
      <c r="E224" s="55"/>
      <c r="F224" s="56"/>
      <c r="G224" s="56"/>
      <c r="H224" s="56"/>
      <c r="I224" s="57"/>
      <c r="J224" s="57"/>
      <c r="K224" s="57"/>
    </row>
    <row r="225" spans="1:11" x14ac:dyDescent="0.25">
      <c r="A225" s="54"/>
      <c r="B225" s="56"/>
      <c r="C225" s="54"/>
      <c r="D225" s="56"/>
      <c r="E225" s="55"/>
      <c r="F225" s="56"/>
      <c r="G225" s="56"/>
      <c r="H225" s="56"/>
      <c r="I225" s="57"/>
      <c r="J225" s="57"/>
      <c r="K225" s="57"/>
    </row>
    <row r="226" spans="1:11" x14ac:dyDescent="0.25">
      <c r="A226" s="54"/>
      <c r="B226" s="56"/>
      <c r="C226" s="54"/>
      <c r="D226" s="56"/>
      <c r="E226" s="55"/>
      <c r="F226" s="56"/>
      <c r="G226" s="56"/>
      <c r="H226" s="56"/>
      <c r="I226" s="57"/>
      <c r="J226" s="57"/>
      <c r="K226" s="57"/>
    </row>
    <row r="227" spans="1:11" x14ac:dyDescent="0.25">
      <c r="A227" s="54"/>
      <c r="B227" s="56"/>
      <c r="C227" s="54"/>
      <c r="D227" s="56"/>
      <c r="E227" s="55"/>
      <c r="F227" s="56"/>
      <c r="G227" s="56"/>
      <c r="H227" s="56"/>
      <c r="I227" s="57"/>
      <c r="J227" s="57"/>
      <c r="K227" s="57"/>
    </row>
    <row r="228" spans="1:11" x14ac:dyDescent="0.25">
      <c r="A228" s="54"/>
      <c r="B228" s="56"/>
      <c r="C228" s="54"/>
      <c r="D228" s="56"/>
      <c r="E228" s="55"/>
      <c r="F228" s="56"/>
      <c r="G228" s="56"/>
      <c r="H228" s="56"/>
      <c r="I228" s="57"/>
      <c r="J228" s="57"/>
      <c r="K228" s="57"/>
    </row>
    <row r="229" spans="1:11" x14ac:dyDescent="0.25">
      <c r="A229" s="54"/>
      <c r="B229" s="56"/>
      <c r="C229" s="54"/>
      <c r="D229" s="56"/>
      <c r="E229" s="55"/>
      <c r="F229" s="56"/>
      <c r="G229" s="56"/>
      <c r="H229" s="56"/>
      <c r="I229" s="57"/>
      <c r="J229" s="57"/>
      <c r="K229" s="57"/>
    </row>
    <row r="230" spans="1:11" x14ac:dyDescent="0.25">
      <c r="A230" s="54"/>
      <c r="B230" s="56"/>
      <c r="C230" s="54"/>
      <c r="D230" s="56"/>
      <c r="E230" s="55"/>
      <c r="F230" s="56"/>
      <c r="G230" s="56"/>
      <c r="H230" s="56"/>
      <c r="I230" s="57"/>
      <c r="J230" s="57"/>
      <c r="K230" s="57"/>
    </row>
    <row r="231" spans="1:11" x14ac:dyDescent="0.25">
      <c r="A231" s="54"/>
      <c r="B231" s="56"/>
      <c r="C231" s="54"/>
      <c r="D231" s="56"/>
      <c r="E231" s="55"/>
      <c r="F231" s="56"/>
      <c r="G231" s="56"/>
      <c r="H231" s="56"/>
      <c r="I231" s="57"/>
      <c r="J231" s="57"/>
      <c r="K231" s="57"/>
    </row>
    <row r="232" spans="1:11" x14ac:dyDescent="0.25">
      <c r="A232" s="54"/>
      <c r="B232" s="56"/>
      <c r="C232" s="54"/>
      <c r="D232" s="56"/>
      <c r="E232" s="55"/>
      <c r="F232" s="56"/>
      <c r="G232" s="56"/>
      <c r="H232" s="56"/>
      <c r="I232" s="57"/>
      <c r="J232" s="57"/>
      <c r="K232" s="57"/>
    </row>
    <row r="233" spans="1:11" x14ac:dyDescent="0.25">
      <c r="A233" s="54"/>
      <c r="B233" s="56"/>
      <c r="C233" s="54"/>
      <c r="D233" s="56"/>
      <c r="E233" s="55"/>
      <c r="F233" s="56"/>
      <c r="G233" s="56"/>
      <c r="H233" s="56"/>
      <c r="I233" s="57"/>
      <c r="J233" s="57"/>
      <c r="K233" s="57"/>
    </row>
    <row r="234" spans="1:11" x14ac:dyDescent="0.25">
      <c r="A234" s="54"/>
      <c r="B234" s="56"/>
      <c r="C234" s="54"/>
      <c r="D234" s="56"/>
      <c r="E234" s="55"/>
      <c r="F234" s="56"/>
      <c r="G234" s="56"/>
      <c r="H234" s="56"/>
      <c r="I234" s="57"/>
      <c r="J234" s="57"/>
      <c r="K234" s="57"/>
    </row>
    <row r="235" spans="1:11" x14ac:dyDescent="0.25">
      <c r="A235" s="54"/>
      <c r="B235" s="56"/>
      <c r="C235" s="54"/>
      <c r="D235" s="56"/>
      <c r="E235" s="55"/>
      <c r="F235" s="56"/>
      <c r="G235" s="56"/>
      <c r="H235" s="56"/>
      <c r="I235" s="57"/>
      <c r="J235" s="57"/>
      <c r="K235" s="57"/>
    </row>
    <row r="236" spans="1:11" x14ac:dyDescent="0.25">
      <c r="A236" s="54"/>
      <c r="B236" s="56"/>
      <c r="C236" s="54"/>
      <c r="D236" s="56"/>
      <c r="E236" s="55"/>
      <c r="F236" s="56"/>
      <c r="G236" s="56"/>
      <c r="H236" s="56"/>
      <c r="I236" s="57"/>
      <c r="J236" s="57"/>
      <c r="K236" s="57"/>
    </row>
    <row r="237" spans="1:11" x14ac:dyDescent="0.25">
      <c r="A237" s="54"/>
      <c r="B237" s="56"/>
      <c r="C237" s="54"/>
      <c r="D237" s="56"/>
      <c r="E237" s="55"/>
      <c r="F237" s="56"/>
      <c r="G237" s="56"/>
      <c r="H237" s="56"/>
      <c r="I237" s="57"/>
      <c r="J237" s="57"/>
      <c r="K237" s="57"/>
    </row>
    <row r="238" spans="1:11" x14ac:dyDescent="0.25">
      <c r="A238" s="54"/>
      <c r="B238" s="56"/>
      <c r="C238" s="54"/>
      <c r="D238" s="56"/>
      <c r="E238" s="55"/>
      <c r="F238" s="56"/>
      <c r="G238" s="56"/>
      <c r="H238" s="56"/>
      <c r="I238" s="57"/>
      <c r="J238" s="57"/>
      <c r="K238" s="57"/>
    </row>
    <row r="239" spans="1:11" x14ac:dyDescent="0.25">
      <c r="A239" s="54"/>
      <c r="B239" s="56"/>
      <c r="C239" s="54"/>
      <c r="D239" s="56"/>
      <c r="E239" s="55"/>
      <c r="F239" s="56"/>
      <c r="G239" s="56"/>
      <c r="H239" s="56"/>
      <c r="I239" s="57"/>
      <c r="J239" s="57"/>
      <c r="K239" s="57"/>
    </row>
    <row r="240" spans="1:11" x14ac:dyDescent="0.25">
      <c r="A240" s="54"/>
      <c r="B240" s="56"/>
      <c r="C240" s="54"/>
      <c r="D240" s="56"/>
      <c r="E240" s="55"/>
      <c r="F240" s="56"/>
      <c r="G240" s="56"/>
      <c r="H240" s="56"/>
      <c r="I240" s="57"/>
      <c r="J240" s="57"/>
      <c r="K240" s="57"/>
    </row>
    <row r="241" spans="1:11" x14ac:dyDescent="0.25">
      <c r="A241" s="54"/>
      <c r="B241" s="56"/>
      <c r="C241" s="54"/>
      <c r="D241" s="56"/>
      <c r="E241" s="55"/>
      <c r="F241" s="56"/>
      <c r="G241" s="56"/>
      <c r="H241" s="56"/>
      <c r="I241" s="57"/>
      <c r="J241" s="57"/>
      <c r="K241" s="57"/>
    </row>
    <row r="242" spans="1:11" x14ac:dyDescent="0.25">
      <c r="A242" s="54"/>
      <c r="B242" s="56"/>
      <c r="C242" s="54"/>
      <c r="D242" s="56"/>
      <c r="E242" s="55"/>
      <c r="F242" s="56"/>
      <c r="G242" s="56"/>
      <c r="H242" s="56"/>
      <c r="I242" s="57"/>
      <c r="J242" s="57"/>
      <c r="K242" s="57"/>
    </row>
    <row r="243" spans="1:11" x14ac:dyDescent="0.25">
      <c r="A243" s="54"/>
      <c r="B243" s="56"/>
      <c r="C243" s="54"/>
      <c r="D243" s="56"/>
      <c r="E243" s="55"/>
      <c r="F243" s="56"/>
      <c r="G243" s="56"/>
      <c r="H243" s="56"/>
      <c r="I243" s="57"/>
      <c r="J243" s="57"/>
      <c r="K243" s="57"/>
    </row>
    <row r="244" spans="1:11" x14ac:dyDescent="0.25">
      <c r="A244" s="54"/>
      <c r="B244" s="56"/>
      <c r="C244" s="54"/>
      <c r="D244" s="56"/>
      <c r="E244" s="55"/>
      <c r="F244" s="56"/>
      <c r="G244" s="56"/>
      <c r="H244" s="56"/>
      <c r="I244" s="57"/>
      <c r="J244" s="57"/>
      <c r="K244" s="57"/>
    </row>
    <row r="245" spans="1:11" x14ac:dyDescent="0.25">
      <c r="A245" s="54"/>
      <c r="B245" s="56"/>
      <c r="C245" s="54"/>
      <c r="D245" s="56"/>
      <c r="E245" s="55"/>
      <c r="F245" s="56"/>
      <c r="G245" s="56"/>
      <c r="H245" s="56"/>
      <c r="I245" s="57"/>
      <c r="J245" s="57"/>
      <c r="K245" s="57"/>
    </row>
    <row r="246" spans="1:11" x14ac:dyDescent="0.25">
      <c r="A246" s="54"/>
      <c r="B246" s="56"/>
      <c r="C246" s="54"/>
      <c r="D246" s="56"/>
      <c r="E246" s="55"/>
      <c r="F246" s="56"/>
      <c r="G246" s="56"/>
      <c r="H246" s="56"/>
      <c r="I246" s="57"/>
      <c r="J246" s="57"/>
      <c r="K246" s="57"/>
    </row>
    <row r="247" spans="1:11" x14ac:dyDescent="0.25">
      <c r="A247" s="54"/>
      <c r="B247" s="56"/>
      <c r="C247" s="54"/>
      <c r="D247" s="56"/>
      <c r="E247" s="55"/>
      <c r="F247" s="56"/>
      <c r="G247" s="56"/>
      <c r="H247" s="56"/>
      <c r="I247" s="57"/>
      <c r="J247" s="57"/>
      <c r="K247" s="57"/>
    </row>
    <row r="248" spans="1:11" x14ac:dyDescent="0.25">
      <c r="A248" s="54"/>
      <c r="B248" s="56"/>
      <c r="C248" s="54"/>
      <c r="D248" s="56"/>
      <c r="E248" s="55"/>
      <c r="F248" s="56"/>
      <c r="G248" s="56"/>
      <c r="H248" s="56"/>
      <c r="I248" s="57"/>
      <c r="J248" s="57"/>
      <c r="K248" s="57"/>
    </row>
    <row r="249" spans="1:11" x14ac:dyDescent="0.25">
      <c r="A249" s="54"/>
      <c r="B249" s="56"/>
      <c r="C249" s="54"/>
      <c r="D249" s="56"/>
      <c r="E249" s="55"/>
      <c r="F249" s="56"/>
      <c r="G249" s="56"/>
      <c r="H249" s="56"/>
      <c r="I249" s="57"/>
      <c r="J249" s="57"/>
      <c r="K249" s="57"/>
    </row>
    <row r="250" spans="1:11" x14ac:dyDescent="0.25">
      <c r="A250" s="54"/>
      <c r="B250" s="56"/>
      <c r="C250" s="54"/>
      <c r="D250" s="56"/>
      <c r="E250" s="55"/>
      <c r="F250" s="56"/>
      <c r="G250" s="56"/>
      <c r="H250" s="56"/>
      <c r="I250" s="57"/>
      <c r="J250" s="57"/>
      <c r="K250" s="57"/>
    </row>
    <row r="251" spans="1:11" x14ac:dyDescent="0.25">
      <c r="A251" s="54"/>
      <c r="B251" s="56"/>
      <c r="C251" s="54"/>
      <c r="D251" s="56"/>
      <c r="E251" s="55"/>
      <c r="F251" s="56"/>
      <c r="G251" s="56"/>
      <c r="H251" s="56"/>
      <c r="I251" s="57"/>
      <c r="J251" s="57"/>
      <c r="K251" s="57"/>
    </row>
    <row r="252" spans="1:11" x14ac:dyDescent="0.25">
      <c r="A252" s="54"/>
      <c r="B252" s="56"/>
      <c r="C252" s="54"/>
      <c r="D252" s="56"/>
      <c r="E252" s="55"/>
      <c r="F252" s="56"/>
      <c r="G252" s="56"/>
      <c r="H252" s="56"/>
      <c r="I252" s="57"/>
      <c r="J252" s="57"/>
      <c r="K252" s="57"/>
    </row>
    <row r="253" spans="1:11" x14ac:dyDescent="0.25">
      <c r="A253" s="54"/>
      <c r="B253" s="56"/>
      <c r="C253" s="54"/>
      <c r="D253" s="56"/>
      <c r="E253" s="55"/>
      <c r="F253" s="56"/>
      <c r="G253" s="56"/>
      <c r="H253" s="56"/>
      <c r="I253" s="57"/>
      <c r="J253" s="57"/>
      <c r="K253" s="57"/>
    </row>
    <row r="254" spans="1:11" x14ac:dyDescent="0.25">
      <c r="A254" s="54"/>
      <c r="B254" s="56"/>
      <c r="C254" s="54"/>
      <c r="D254" s="56"/>
      <c r="E254" s="55"/>
      <c r="F254" s="56"/>
      <c r="G254" s="56"/>
      <c r="H254" s="56"/>
      <c r="I254" s="57"/>
      <c r="J254" s="57"/>
      <c r="K254" s="57"/>
    </row>
    <row r="255" spans="1:11" x14ac:dyDescent="0.25">
      <c r="A255" s="54"/>
      <c r="B255" s="56"/>
      <c r="C255" s="54"/>
      <c r="D255" s="56"/>
      <c r="E255" s="55"/>
      <c r="F255" s="56"/>
      <c r="G255" s="56"/>
      <c r="H255" s="56"/>
      <c r="I255" s="57"/>
      <c r="J255" s="57"/>
      <c r="K255" s="57"/>
    </row>
    <row r="256" spans="1:11" x14ac:dyDescent="0.25">
      <c r="A256" s="54"/>
      <c r="B256" s="56"/>
      <c r="C256" s="54"/>
      <c r="D256" s="56"/>
      <c r="E256" s="55"/>
      <c r="F256" s="56"/>
      <c r="G256" s="56"/>
      <c r="H256" s="56"/>
      <c r="I256" s="57"/>
      <c r="J256" s="57"/>
      <c r="K256" s="57"/>
    </row>
    <row r="257" spans="1:11" x14ac:dyDescent="0.25">
      <c r="A257" s="54"/>
      <c r="B257" s="56"/>
      <c r="C257" s="54"/>
      <c r="D257" s="56"/>
      <c r="E257" s="55"/>
      <c r="F257" s="56"/>
      <c r="G257" s="56"/>
      <c r="H257" s="56"/>
      <c r="I257" s="57"/>
      <c r="J257" s="57"/>
      <c r="K257" s="57"/>
    </row>
    <row r="258" spans="1:11" x14ac:dyDescent="0.25">
      <c r="A258" s="54"/>
      <c r="B258" s="56"/>
      <c r="C258" s="54"/>
      <c r="D258" s="56"/>
      <c r="E258" s="55"/>
      <c r="F258" s="56"/>
      <c r="G258" s="56"/>
      <c r="H258" s="56"/>
      <c r="I258" s="57"/>
      <c r="J258" s="57"/>
      <c r="K258" s="57"/>
    </row>
    <row r="259" spans="1:11" x14ac:dyDescent="0.25">
      <c r="A259" s="54"/>
      <c r="B259" s="56"/>
      <c r="C259" s="54"/>
      <c r="D259" s="56"/>
      <c r="E259" s="55"/>
      <c r="F259" s="56"/>
      <c r="G259" s="56"/>
      <c r="H259" s="56"/>
      <c r="I259" s="57"/>
      <c r="J259" s="57"/>
      <c r="K259" s="57"/>
    </row>
    <row r="260" spans="1:11" x14ac:dyDescent="0.25">
      <c r="A260" s="54"/>
      <c r="B260" s="56"/>
      <c r="C260" s="54"/>
      <c r="D260" s="56"/>
      <c r="E260" s="55"/>
      <c r="F260" s="56"/>
      <c r="G260" s="56"/>
      <c r="H260" s="56"/>
      <c r="I260" s="57"/>
      <c r="J260" s="57"/>
      <c r="K260" s="57"/>
    </row>
    <row r="261" spans="1:11" x14ac:dyDescent="0.25">
      <c r="A261" s="54"/>
      <c r="B261" s="56"/>
      <c r="C261" s="54"/>
      <c r="D261" s="56"/>
      <c r="E261" s="55"/>
      <c r="F261" s="56"/>
      <c r="G261" s="56"/>
      <c r="H261" s="56"/>
      <c r="I261" s="57"/>
      <c r="J261" s="57"/>
      <c r="K261" s="57"/>
    </row>
    <row r="262" spans="1:11" x14ac:dyDescent="0.25">
      <c r="A262" s="54"/>
      <c r="B262" s="56"/>
      <c r="C262" s="54"/>
      <c r="D262" s="56"/>
      <c r="E262" s="55"/>
      <c r="F262" s="56"/>
      <c r="G262" s="56"/>
      <c r="H262" s="56"/>
      <c r="I262" s="57"/>
      <c r="J262" s="57"/>
      <c r="K262" s="57"/>
    </row>
    <row r="263" spans="1:11" x14ac:dyDescent="0.25">
      <c r="A263" s="54"/>
      <c r="B263" s="56"/>
      <c r="C263" s="54"/>
      <c r="D263" s="56"/>
      <c r="E263" s="55"/>
      <c r="F263" s="56"/>
      <c r="G263" s="56"/>
      <c r="H263" s="56"/>
      <c r="I263" s="57"/>
      <c r="J263" s="57"/>
      <c r="K263" s="57"/>
    </row>
    <row r="264" spans="1:11" x14ac:dyDescent="0.25">
      <c r="A264" s="54"/>
      <c r="B264" s="56"/>
      <c r="C264" s="54"/>
      <c r="D264" s="56"/>
      <c r="E264" s="55"/>
      <c r="F264" s="56"/>
      <c r="G264" s="56"/>
      <c r="H264" s="56"/>
      <c r="I264" s="57"/>
      <c r="J264" s="57"/>
      <c r="K264" s="57"/>
    </row>
    <row r="265" spans="1:11" x14ac:dyDescent="0.25">
      <c r="A265" s="54"/>
      <c r="B265" s="56"/>
      <c r="C265" s="54"/>
      <c r="D265" s="56"/>
      <c r="E265" s="55"/>
      <c r="F265" s="56"/>
      <c r="G265" s="56"/>
      <c r="H265" s="56"/>
      <c r="I265" s="57"/>
      <c r="J265" s="57"/>
      <c r="K265" s="57"/>
    </row>
    <row r="266" spans="1:11" x14ac:dyDescent="0.25">
      <c r="A266" s="54"/>
      <c r="B266" s="56"/>
      <c r="C266" s="54"/>
      <c r="D266" s="56"/>
      <c r="E266" s="55"/>
      <c r="F266" s="56"/>
      <c r="G266" s="56"/>
      <c r="H266" s="56"/>
      <c r="I266" s="57"/>
      <c r="J266" s="57"/>
      <c r="K266" s="57"/>
    </row>
    <row r="267" spans="1:11" x14ac:dyDescent="0.25">
      <c r="A267" s="54"/>
      <c r="B267" s="56"/>
      <c r="C267" s="54"/>
      <c r="D267" s="56"/>
      <c r="E267" s="55"/>
      <c r="F267" s="56"/>
      <c r="G267" s="56"/>
      <c r="H267" s="56"/>
      <c r="I267" s="57"/>
      <c r="J267" s="57"/>
      <c r="K267" s="57"/>
    </row>
    <row r="268" spans="1:11" x14ac:dyDescent="0.25">
      <c r="A268" s="54"/>
      <c r="B268" s="56"/>
      <c r="C268" s="54"/>
      <c r="D268" s="56"/>
      <c r="E268" s="55"/>
      <c r="F268" s="56"/>
      <c r="G268" s="56"/>
      <c r="H268" s="56"/>
      <c r="I268" s="57"/>
      <c r="J268" s="57"/>
      <c r="K268" s="57"/>
    </row>
  </sheetData>
  <mergeCells count="15">
    <mergeCell ref="A1:K1"/>
    <mergeCell ref="F5:H5"/>
    <mergeCell ref="D5:E6"/>
    <mergeCell ref="I5:I6"/>
    <mergeCell ref="J5:J6"/>
    <mergeCell ref="K5:K6"/>
    <mergeCell ref="A5:C6"/>
    <mergeCell ref="Q4:R4"/>
    <mergeCell ref="S4:T4"/>
    <mergeCell ref="U4:U5"/>
    <mergeCell ref="L3:N3"/>
    <mergeCell ref="L4:L5"/>
    <mergeCell ref="M4:M5"/>
    <mergeCell ref="N4:N5"/>
    <mergeCell ref="P4:P5"/>
  </mergeCells>
  <phoneticPr fontId="76" type="noConversion"/>
  <conditionalFormatting sqref="U9:U77">
    <cfRule type="dataBar" priority="1">
      <dataBar>
        <cfvo type="percent" val="0"/>
        <cfvo type="percent" val="100"/>
        <color rgb="FF00B050"/>
      </dataBar>
      <extLst>
        <ext xmlns:x14="http://schemas.microsoft.com/office/spreadsheetml/2009/9/main" uri="{B025F937-C7B1-47D3-B67F-A62EFF666E3E}">
          <x14:id>{CA5BD1DC-2BF5-46F8-B33B-CD4F214ECAAB}</x14:id>
        </ext>
      </extLst>
    </cfRule>
  </conditionalFormatting>
  <printOptions horizontalCentered="1"/>
  <pageMargins left="0.7" right="0.7" top="0.65441176470588203" bottom="0.66352941176470592" header="0.3" footer="0.3"/>
  <pageSetup paperSize="9" scale="72" fitToHeight="0" orientation="portrait" r:id="rId1"/>
  <headerFooter>
    <oddHeader>&amp;L&amp;"FreesiaUPC,Regular"&amp;14TP-PM-DSN-006
7-MAY-2026&amp;C&amp;"FreesiaUPC,Regular"&amp;14Drawing List&amp;R&amp;"FreesiaUPC,Regular"&amp;14R01
&amp;P of &amp;N</oddHeader>
    <oddFooter>&amp;C&amp;"FreesiaUPC,Regular"&amp;14&amp;K01+005Hard copies of this document are for REFERENCE ONLY and should not be considered the latest revision beyond the date of printing.</oddFooter>
  </headerFooter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A5BD1DC-2BF5-46F8-B33B-CD4F214ECAAB}">
            <x14:dataBar minLength="0" maxLength="100">
              <x14:cfvo type="percent">
                <xm:f>0</xm:f>
              </x14:cfvo>
              <x14:cfvo type="percent">
                <xm:f>100</xm:f>
              </x14:cfvo>
              <x14:negativeFillColor rgb="FF00B050"/>
              <x14:axisColor theme="0"/>
            </x14:dataBar>
          </x14:cfRule>
          <xm:sqref>U9:U77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1CA3CE-3027-4492-A701-CA9EDECCF0AF}">
  <sheetPr>
    <tabColor rgb="FF92D050"/>
  </sheetPr>
  <dimension ref="A1:U356"/>
  <sheetViews>
    <sheetView zoomScale="80" zoomScaleNormal="80" workbookViewId="0">
      <selection activeCell="G14" sqref="G14"/>
    </sheetView>
  </sheetViews>
  <sheetFormatPr defaultColWidth="9.140625" defaultRowHeight="15" outlineLevelRow="1" outlineLevelCol="1" x14ac:dyDescent="0.25"/>
  <cols>
    <col min="1" max="1" width="21.5703125" style="58" customWidth="1"/>
    <col min="2" max="2" width="5.140625" style="58" customWidth="1"/>
    <col min="3" max="3" width="9.5703125" style="58" customWidth="1"/>
    <col min="4" max="4" width="2.42578125" style="60" customWidth="1"/>
    <col min="5" max="5" width="65.42578125" style="59" customWidth="1"/>
    <col min="6" max="8" width="4.5703125" style="60" customWidth="1" outlineLevel="1"/>
    <col min="9" max="10" width="9.140625" style="61" customWidth="1"/>
    <col min="11" max="11" width="20.42578125" style="61" customWidth="1"/>
    <col min="12" max="12" width="9.140625" style="52" customWidth="1" outlineLevel="1"/>
    <col min="13" max="14" width="11.5703125" style="52" customWidth="1" outlineLevel="1"/>
    <col min="15" max="15" width="9.42578125" style="257" customWidth="1"/>
    <col min="16" max="16" width="9.5703125" style="257" customWidth="1"/>
    <col min="17" max="20" width="8.5703125" style="257" customWidth="1"/>
    <col min="21" max="21" width="9.42578125" style="258" customWidth="1"/>
    <col min="22" max="16384" width="9.140625" style="53"/>
  </cols>
  <sheetData>
    <row r="1" spans="1:21" s="48" customFormat="1" ht="45" customHeight="1" x14ac:dyDescent="0.25">
      <c r="A1" s="365" t="str">
        <f>'Cover(2)'!A1</f>
        <v>PROJECT NAME
LOCATION, PROVINCE, THAILAND</v>
      </c>
      <c r="B1" s="366"/>
      <c r="C1" s="366"/>
      <c r="D1" s="366"/>
      <c r="E1" s="366"/>
      <c r="F1" s="366"/>
      <c r="G1" s="366"/>
      <c r="H1" s="366"/>
      <c r="I1" s="366"/>
      <c r="J1" s="366"/>
      <c r="K1" s="367"/>
      <c r="L1" s="47"/>
      <c r="M1" s="47"/>
      <c r="N1" s="47"/>
      <c r="O1" s="223"/>
      <c r="P1" s="223"/>
      <c r="Q1" s="223"/>
      <c r="R1" s="223"/>
      <c r="S1" s="223"/>
      <c r="T1" s="223"/>
      <c r="U1" s="224"/>
    </row>
    <row r="2" spans="1:21" s="48" customFormat="1" ht="15" customHeight="1" x14ac:dyDescent="0.25">
      <c r="A2" s="133"/>
      <c r="B2" s="133"/>
      <c r="C2" s="133"/>
      <c r="D2" s="133"/>
      <c r="E2" s="133"/>
      <c r="F2" s="133"/>
      <c r="G2" s="133"/>
      <c r="H2" s="133"/>
      <c r="I2" s="133"/>
      <c r="J2" s="133"/>
      <c r="K2" s="122"/>
      <c r="L2" s="49"/>
      <c r="M2" s="49"/>
      <c r="N2" s="225"/>
      <c r="O2" s="226"/>
      <c r="P2" s="227"/>
      <c r="Q2" s="227"/>
      <c r="R2" s="227"/>
      <c r="S2" s="227"/>
      <c r="T2" s="227"/>
      <c r="U2" s="227"/>
    </row>
    <row r="3" spans="1:21" s="48" customFormat="1" ht="18" customHeight="1" thickBot="1" x14ac:dyDescent="0.3">
      <c r="A3" s="132" t="str" cm="1">
        <f t="array" aca="1" ref="A3" ca="1">MID(CELL("filename", A1), FIND("]", CELL("filename", A1)) + 1, LEN(CELL("filename", A1)))</f>
        <v>3. STRUCTURAL</v>
      </c>
      <c r="B3" s="132"/>
      <c r="C3" s="132"/>
      <c r="D3" s="35"/>
      <c r="E3" s="35"/>
      <c r="F3" s="35"/>
      <c r="G3" s="35"/>
      <c r="H3" s="35"/>
      <c r="I3" s="36"/>
      <c r="J3" s="36"/>
      <c r="K3" s="123"/>
      <c r="L3" s="379" t="s">
        <v>48</v>
      </c>
      <c r="M3" s="379"/>
      <c r="N3" s="380"/>
      <c r="O3" s="228"/>
      <c r="P3" s="228"/>
      <c r="Q3" s="228"/>
      <c r="R3" s="228"/>
      <c r="S3" s="228"/>
      <c r="T3" s="228"/>
      <c r="U3" s="229"/>
    </row>
    <row r="4" spans="1:21" s="48" customFormat="1" ht="18" customHeight="1" x14ac:dyDescent="0.25">
      <c r="A4" s="33"/>
      <c r="B4" s="33" t="s">
        <v>8</v>
      </c>
      <c r="C4" s="33"/>
      <c r="D4" s="34"/>
      <c r="E4" s="35"/>
      <c r="F4" s="34"/>
      <c r="G4" s="34"/>
      <c r="H4" s="34"/>
      <c r="I4" s="36"/>
      <c r="J4" s="36"/>
      <c r="K4" s="36"/>
      <c r="L4" s="381" t="s">
        <v>49</v>
      </c>
      <c r="M4" s="381" t="s">
        <v>50</v>
      </c>
      <c r="N4" s="381" t="s">
        <v>51</v>
      </c>
      <c r="O4" s="230"/>
      <c r="P4" s="382" t="s">
        <v>52</v>
      </c>
      <c r="Q4" s="362" t="s">
        <v>53</v>
      </c>
      <c r="R4" s="362"/>
      <c r="S4" s="362" t="s">
        <v>54</v>
      </c>
      <c r="T4" s="362"/>
      <c r="U4" s="363" t="s">
        <v>55</v>
      </c>
    </row>
    <row r="5" spans="1:21" s="48" customFormat="1" ht="18" customHeight="1" thickBot="1" x14ac:dyDescent="0.3">
      <c r="A5" s="368" t="s">
        <v>56</v>
      </c>
      <c r="B5" s="369"/>
      <c r="C5" s="370"/>
      <c r="D5" s="374" t="s">
        <v>57</v>
      </c>
      <c r="E5" s="374"/>
      <c r="F5" s="375" t="s">
        <v>58</v>
      </c>
      <c r="G5" s="376"/>
      <c r="H5" s="377"/>
      <c r="I5" s="374" t="s">
        <v>59</v>
      </c>
      <c r="J5" s="374" t="s">
        <v>60</v>
      </c>
      <c r="K5" s="374" t="s">
        <v>15</v>
      </c>
      <c r="L5" s="381"/>
      <c r="M5" s="381"/>
      <c r="N5" s="381"/>
      <c r="O5" s="230"/>
      <c r="P5" s="383"/>
      <c r="Q5" s="265" t="s">
        <v>61</v>
      </c>
      <c r="R5" s="265" t="s">
        <v>62</v>
      </c>
      <c r="S5" s="265" t="s">
        <v>61</v>
      </c>
      <c r="T5" s="265" t="s">
        <v>62</v>
      </c>
      <c r="U5" s="364"/>
    </row>
    <row r="6" spans="1:21" s="48" customFormat="1" ht="28.5" customHeight="1" x14ac:dyDescent="0.2">
      <c r="A6" s="371"/>
      <c r="B6" s="372"/>
      <c r="C6" s="373"/>
      <c r="D6" s="374"/>
      <c r="E6" s="374"/>
      <c r="F6" s="201" t="s">
        <v>63</v>
      </c>
      <c r="G6" s="201" t="s">
        <v>63</v>
      </c>
      <c r="H6" s="201" t="s">
        <v>63</v>
      </c>
      <c r="I6" s="374"/>
      <c r="J6" s="374"/>
      <c r="K6" s="374"/>
      <c r="L6" s="231"/>
      <c r="M6" s="232"/>
      <c r="N6" s="233"/>
      <c r="O6" s="234"/>
      <c r="P6" s="262"/>
      <c r="Q6" s="235"/>
      <c r="R6" s="235"/>
      <c r="S6" s="235"/>
      <c r="T6" s="235"/>
      <c r="U6" s="236"/>
    </row>
    <row r="7" spans="1:21" s="48" customFormat="1" ht="18" customHeight="1" x14ac:dyDescent="0.2">
      <c r="A7" s="32" t="str">
        <f>'1. CIVIL'!A7</f>
        <v>General Drawing</v>
      </c>
      <c r="B7" s="32"/>
      <c r="C7" s="32"/>
      <c r="D7" s="11"/>
      <c r="E7" s="11"/>
      <c r="F7" s="11"/>
      <c r="G7" s="11"/>
      <c r="H7" s="11"/>
      <c r="I7" s="11"/>
      <c r="J7" s="11"/>
      <c r="K7" s="11"/>
      <c r="L7" s="237"/>
      <c r="M7" s="238"/>
      <c r="N7" s="239"/>
      <c r="O7" s="234"/>
      <c r="P7" s="262"/>
      <c r="Q7" s="235"/>
      <c r="R7" s="235"/>
      <c r="S7" s="235"/>
      <c r="T7" s="235"/>
      <c r="U7" s="236"/>
    </row>
    <row r="8" spans="1:21" s="48" customFormat="1" ht="15" customHeight="1" x14ac:dyDescent="0.2">
      <c r="A8" s="42" t="s">
        <v>158</v>
      </c>
      <c r="B8" s="192" t="s">
        <v>66</v>
      </c>
      <c r="C8" s="42" t="s">
        <v>67</v>
      </c>
      <c r="D8" s="42"/>
      <c r="E8" s="50" t="s">
        <v>159</v>
      </c>
      <c r="F8" s="38" t="s">
        <v>69</v>
      </c>
      <c r="G8" s="38"/>
      <c r="H8" s="38"/>
      <c r="I8" s="38"/>
      <c r="J8" s="40"/>
      <c r="K8" s="40"/>
      <c r="L8" s="240" t="s">
        <v>70</v>
      </c>
      <c r="M8" s="241" t="s">
        <v>70</v>
      </c>
      <c r="N8" s="242" t="s">
        <v>71</v>
      </c>
      <c r="O8" s="234"/>
      <c r="P8" s="306">
        <v>0</v>
      </c>
      <c r="Q8" s="307">
        <v>0.8</v>
      </c>
      <c r="R8" s="307">
        <v>0.8</v>
      </c>
      <c r="S8" s="307">
        <v>1</v>
      </c>
      <c r="T8" s="307">
        <v>0.95</v>
      </c>
      <c r="U8" s="266">
        <f>MAX(R8,T8)</f>
        <v>0.95</v>
      </c>
    </row>
    <row r="9" spans="1:21" s="48" customFormat="1" ht="15" customHeight="1" x14ac:dyDescent="0.2">
      <c r="A9" s="42" t="s">
        <v>160</v>
      </c>
      <c r="B9" s="192" t="s">
        <v>66</v>
      </c>
      <c r="C9" s="42" t="s">
        <v>67</v>
      </c>
      <c r="D9" s="42"/>
      <c r="E9" s="50" t="s">
        <v>161</v>
      </c>
      <c r="F9" s="38" t="s">
        <v>69</v>
      </c>
      <c r="G9" s="38"/>
      <c r="H9" s="38"/>
      <c r="I9" s="38"/>
      <c r="J9" s="40"/>
      <c r="K9" s="40"/>
      <c r="L9" s="240" t="s">
        <v>70</v>
      </c>
      <c r="M9" s="241" t="s">
        <v>70</v>
      </c>
      <c r="N9" s="242" t="s">
        <v>71</v>
      </c>
      <c r="O9" s="234"/>
      <c r="P9" s="306">
        <v>1</v>
      </c>
      <c r="Q9" s="307">
        <v>0.8</v>
      </c>
      <c r="R9" s="307">
        <v>0.8</v>
      </c>
      <c r="S9" s="307">
        <v>1</v>
      </c>
      <c r="T9" s="307">
        <v>0.95</v>
      </c>
      <c r="U9" s="266">
        <f>MAX(R9,T9)</f>
        <v>0.95</v>
      </c>
    </row>
    <row r="10" spans="1:21" s="48" customFormat="1" ht="15" customHeight="1" x14ac:dyDescent="0.2">
      <c r="A10" s="42" t="s">
        <v>162</v>
      </c>
      <c r="B10" s="192" t="s">
        <v>66</v>
      </c>
      <c r="C10" s="42" t="s">
        <v>67</v>
      </c>
      <c r="D10" s="42"/>
      <c r="E10" s="50" t="s">
        <v>163</v>
      </c>
      <c r="F10" s="38" t="s">
        <v>69</v>
      </c>
      <c r="G10" s="38"/>
      <c r="H10" s="38"/>
      <c r="I10" s="38"/>
      <c r="J10" s="40"/>
      <c r="K10" s="40"/>
      <c r="L10" s="240" t="s">
        <v>70</v>
      </c>
      <c r="M10" s="241" t="s">
        <v>70</v>
      </c>
      <c r="N10" s="242" t="s">
        <v>71</v>
      </c>
      <c r="O10" s="234"/>
      <c r="P10" s="306">
        <v>1.5</v>
      </c>
      <c r="Q10" s="307">
        <v>0.6</v>
      </c>
      <c r="R10" s="307">
        <v>0.6</v>
      </c>
      <c r="S10" s="307">
        <v>1</v>
      </c>
      <c r="T10" s="307">
        <v>0.9</v>
      </c>
      <c r="U10" s="266">
        <f t="shared" ref="U10:U73" si="0">MAX(R10,T10)</f>
        <v>0.9</v>
      </c>
    </row>
    <row r="11" spans="1:21" s="48" customFormat="1" ht="15" customHeight="1" x14ac:dyDescent="0.2">
      <c r="A11" s="42" t="s">
        <v>164</v>
      </c>
      <c r="B11" s="192" t="s">
        <v>66</v>
      </c>
      <c r="C11" s="42" t="s">
        <v>67</v>
      </c>
      <c r="D11" s="42"/>
      <c r="E11" s="50" t="s">
        <v>165</v>
      </c>
      <c r="F11" s="38" t="s">
        <v>69</v>
      </c>
      <c r="G11" s="38"/>
      <c r="H11" s="38"/>
      <c r="I11" s="38"/>
      <c r="J11" s="40"/>
      <c r="K11" s="40"/>
      <c r="L11" s="240" t="s">
        <v>70</v>
      </c>
      <c r="M11" s="241" t="s">
        <v>70</v>
      </c>
      <c r="N11" s="242" t="s">
        <v>71</v>
      </c>
      <c r="O11" s="234"/>
      <c r="P11" s="306">
        <v>1.5</v>
      </c>
      <c r="Q11" s="307">
        <v>0.6</v>
      </c>
      <c r="R11" s="307">
        <v>0.6</v>
      </c>
      <c r="S11" s="307">
        <v>1</v>
      </c>
      <c r="T11" s="307">
        <v>0.9</v>
      </c>
      <c r="U11" s="266">
        <f t="shared" si="0"/>
        <v>0.9</v>
      </c>
    </row>
    <row r="12" spans="1:21" s="48" customFormat="1" ht="15" customHeight="1" x14ac:dyDescent="0.2">
      <c r="A12" s="42" t="s">
        <v>166</v>
      </c>
      <c r="B12" s="192" t="s">
        <v>66</v>
      </c>
      <c r="C12" s="42" t="s">
        <v>67</v>
      </c>
      <c r="D12" s="42"/>
      <c r="E12" s="50" t="s">
        <v>167</v>
      </c>
      <c r="F12" s="38" t="s">
        <v>69</v>
      </c>
      <c r="G12" s="38"/>
      <c r="H12" s="38"/>
      <c r="I12" s="38"/>
      <c r="J12" s="40"/>
      <c r="K12" s="40"/>
      <c r="L12" s="243" t="s">
        <v>70</v>
      </c>
      <c r="M12" s="241" t="s">
        <v>70</v>
      </c>
      <c r="N12" s="242" t="s">
        <v>71</v>
      </c>
      <c r="O12" s="234"/>
      <c r="P12" s="306">
        <v>1.5</v>
      </c>
      <c r="Q12" s="307">
        <v>0.6</v>
      </c>
      <c r="R12" s="307">
        <v>0.2</v>
      </c>
      <c r="S12" s="307">
        <v>1</v>
      </c>
      <c r="T12" s="307">
        <v>0.9</v>
      </c>
      <c r="U12" s="266">
        <f t="shared" si="0"/>
        <v>0.9</v>
      </c>
    </row>
    <row r="13" spans="1:21" s="48" customFormat="1" ht="15" customHeight="1" outlineLevel="1" x14ac:dyDescent="0.2">
      <c r="A13" s="42" t="s">
        <v>168</v>
      </c>
      <c r="B13" s="192" t="s">
        <v>66</v>
      </c>
      <c r="C13" s="42" t="s">
        <v>67</v>
      </c>
      <c r="D13" s="42"/>
      <c r="E13" s="50" t="s">
        <v>169</v>
      </c>
      <c r="F13" s="38" t="s">
        <v>69</v>
      </c>
      <c r="G13" s="38"/>
      <c r="H13" s="38"/>
      <c r="I13" s="38"/>
      <c r="J13" s="40"/>
      <c r="K13" s="40"/>
      <c r="L13" s="243" t="s">
        <v>70</v>
      </c>
      <c r="M13" s="241" t="s">
        <v>70</v>
      </c>
      <c r="N13" s="242" t="s">
        <v>71</v>
      </c>
      <c r="O13" s="234"/>
      <c r="P13" s="306">
        <v>2.5</v>
      </c>
      <c r="Q13" s="307">
        <v>0.6</v>
      </c>
      <c r="R13" s="307">
        <v>0.2</v>
      </c>
      <c r="S13" s="307">
        <v>1</v>
      </c>
      <c r="T13" s="307">
        <v>0.9</v>
      </c>
      <c r="U13" s="266">
        <f t="shared" ref="U13" si="1">MAX(R13,T13)</f>
        <v>0.9</v>
      </c>
    </row>
    <row r="14" spans="1:21" s="48" customFormat="1" ht="15" customHeight="1" outlineLevel="1" x14ac:dyDescent="0.2">
      <c r="A14" s="42"/>
      <c r="B14" s="192"/>
      <c r="C14" s="42"/>
      <c r="D14" s="42"/>
      <c r="E14" s="50"/>
      <c r="F14" s="38"/>
      <c r="G14" s="38"/>
      <c r="H14" s="38"/>
      <c r="I14" s="38"/>
      <c r="J14" s="40"/>
      <c r="K14" s="40"/>
      <c r="L14" s="244"/>
      <c r="M14" s="245"/>
      <c r="N14" s="247"/>
      <c r="O14" s="234"/>
      <c r="P14" s="306"/>
      <c r="Q14" s="307"/>
      <c r="R14" s="307"/>
      <c r="S14" s="307"/>
      <c r="T14" s="307"/>
      <c r="U14" s="266"/>
    </row>
    <row r="15" spans="1:21" s="48" customFormat="1" ht="15" customHeight="1" outlineLevel="1" x14ac:dyDescent="0.2">
      <c r="A15" s="42" t="s">
        <v>170</v>
      </c>
      <c r="B15" s="192" t="s">
        <v>66</v>
      </c>
      <c r="C15" s="42" t="s">
        <v>67</v>
      </c>
      <c r="D15" s="42"/>
      <c r="E15" s="50" t="s">
        <v>171</v>
      </c>
      <c r="F15" s="38" t="s">
        <v>69</v>
      </c>
      <c r="G15" s="38"/>
      <c r="H15" s="38"/>
      <c r="I15" s="38"/>
      <c r="J15" s="40"/>
      <c r="K15" s="40"/>
      <c r="L15" s="240" t="s">
        <v>70</v>
      </c>
      <c r="M15" s="248" t="s">
        <v>79</v>
      </c>
      <c r="N15" s="242" t="s">
        <v>71</v>
      </c>
      <c r="O15" s="234"/>
      <c r="P15" s="306">
        <v>2.5</v>
      </c>
      <c r="Q15" s="307">
        <v>0.8</v>
      </c>
      <c r="R15" s="307">
        <v>0.6</v>
      </c>
      <c r="S15" s="307">
        <v>1</v>
      </c>
      <c r="T15" s="307">
        <v>0.9</v>
      </c>
      <c r="U15" s="266">
        <f t="shared" si="0"/>
        <v>0.9</v>
      </c>
    </row>
    <row r="16" spans="1:21" s="48" customFormat="1" ht="15" customHeight="1" outlineLevel="1" x14ac:dyDescent="0.2">
      <c r="A16" s="42" t="s">
        <v>172</v>
      </c>
      <c r="B16" s="192" t="s">
        <v>66</v>
      </c>
      <c r="C16" s="42" t="s">
        <v>67</v>
      </c>
      <c r="D16" s="42"/>
      <c r="E16" s="50" t="s">
        <v>173</v>
      </c>
      <c r="F16" s="38" t="s">
        <v>69</v>
      </c>
      <c r="G16" s="38"/>
      <c r="H16" s="38"/>
      <c r="I16" s="38"/>
      <c r="J16" s="40"/>
      <c r="K16" s="40"/>
      <c r="L16" s="240" t="s">
        <v>70</v>
      </c>
      <c r="M16" s="248" t="s">
        <v>79</v>
      </c>
      <c r="N16" s="242" t="s">
        <v>71</v>
      </c>
      <c r="O16" s="234"/>
      <c r="P16" s="306">
        <v>2.5</v>
      </c>
      <c r="Q16" s="307">
        <v>0.8</v>
      </c>
      <c r="R16" s="307">
        <v>0.7</v>
      </c>
      <c r="S16" s="307">
        <v>1</v>
      </c>
      <c r="T16" s="307">
        <v>0.9</v>
      </c>
      <c r="U16" s="266">
        <f t="shared" si="0"/>
        <v>0.9</v>
      </c>
    </row>
    <row r="17" spans="1:21" s="48" customFormat="1" ht="15" customHeight="1" outlineLevel="1" x14ac:dyDescent="0.2">
      <c r="A17" s="42" t="s">
        <v>174</v>
      </c>
      <c r="B17" s="192" t="s">
        <v>66</v>
      </c>
      <c r="C17" s="42" t="s">
        <v>67</v>
      </c>
      <c r="D17" s="42"/>
      <c r="E17" s="50" t="s">
        <v>175</v>
      </c>
      <c r="F17" s="38" t="s">
        <v>69</v>
      </c>
      <c r="G17" s="38"/>
      <c r="H17" s="38"/>
      <c r="I17" s="38"/>
      <c r="J17" s="40"/>
      <c r="K17" s="40"/>
      <c r="L17" s="240" t="s">
        <v>70</v>
      </c>
      <c r="M17" s="248" t="s">
        <v>79</v>
      </c>
      <c r="N17" s="242" t="s">
        <v>71</v>
      </c>
      <c r="O17" s="234"/>
      <c r="P17" s="306">
        <v>2.5</v>
      </c>
      <c r="Q17" s="307">
        <v>0.8</v>
      </c>
      <c r="R17" s="307">
        <v>0.7</v>
      </c>
      <c r="S17" s="307">
        <v>1</v>
      </c>
      <c r="T17" s="307">
        <v>0.8</v>
      </c>
      <c r="U17" s="266">
        <f t="shared" si="0"/>
        <v>0.8</v>
      </c>
    </row>
    <row r="18" spans="1:21" s="48" customFormat="1" ht="15" customHeight="1" outlineLevel="1" x14ac:dyDescent="0.2">
      <c r="A18" s="42"/>
      <c r="B18" s="192"/>
      <c r="C18" s="42"/>
      <c r="D18" s="42"/>
      <c r="E18" s="50"/>
      <c r="F18" s="38"/>
      <c r="G18" s="38"/>
      <c r="H18" s="38"/>
      <c r="I18" s="38"/>
      <c r="J18" s="40"/>
      <c r="K18" s="40"/>
      <c r="L18" s="244"/>
      <c r="M18" s="245"/>
      <c r="N18" s="249"/>
      <c r="O18" s="234"/>
      <c r="P18" s="306"/>
      <c r="Q18" s="307"/>
      <c r="R18" s="307"/>
      <c r="S18" s="307"/>
      <c r="T18" s="307"/>
      <c r="U18" s="266"/>
    </row>
    <row r="19" spans="1:21" s="48" customFormat="1" ht="15" customHeight="1" thickBot="1" x14ac:dyDescent="0.3">
      <c r="A19" s="41"/>
      <c r="B19" s="38"/>
      <c r="C19" s="185"/>
      <c r="D19" s="38"/>
      <c r="E19" s="43" t="str">
        <f>"SUB-TOTAL "&amp;UPPER(A7)&amp;" DRAWINGS"</f>
        <v>SUB-TOTAL GENERAL DRAWING DRAWINGS</v>
      </c>
      <c r="F19" s="38"/>
      <c r="G19" s="38"/>
      <c r="H19" s="38"/>
      <c r="I19" s="115">
        <f>COUNTA(F8:F17)</f>
        <v>9</v>
      </c>
      <c r="J19" s="36"/>
      <c r="K19" s="36"/>
      <c r="L19" s="244"/>
      <c r="M19" s="245"/>
      <c r="N19" s="249"/>
      <c r="O19" s="234"/>
      <c r="P19" s="306"/>
      <c r="Q19" s="307"/>
      <c r="R19" s="307"/>
      <c r="S19" s="307"/>
      <c r="T19" s="307"/>
      <c r="U19" s="266"/>
    </row>
    <row r="20" spans="1:21" s="48" customFormat="1" ht="15" customHeight="1" outlineLevel="1" thickTop="1" x14ac:dyDescent="0.25">
      <c r="A20" s="41"/>
      <c r="B20" s="41"/>
      <c r="C20" s="41"/>
      <c r="D20" s="38"/>
      <c r="E20" s="37"/>
      <c r="F20" s="38"/>
      <c r="G20" s="38"/>
      <c r="H20" s="38"/>
      <c r="I20" s="38"/>
      <c r="J20" s="40"/>
      <c r="K20" s="40"/>
      <c r="L20" s="240"/>
      <c r="M20" s="248"/>
      <c r="N20" s="242"/>
      <c r="O20" s="234"/>
      <c r="P20" s="306"/>
      <c r="Q20" s="307"/>
      <c r="R20" s="307"/>
      <c r="S20" s="307"/>
      <c r="T20" s="307"/>
      <c r="U20" s="266"/>
    </row>
    <row r="21" spans="1:21" s="48" customFormat="1" ht="18" customHeight="1" x14ac:dyDescent="0.25">
      <c r="A21" s="32" t="str">
        <f>'1. CIVIL'!A33</f>
        <v>Building Name or Area Name 1</v>
      </c>
      <c r="B21" s="32"/>
      <c r="C21" s="32"/>
      <c r="D21" s="11"/>
      <c r="E21" s="11"/>
      <c r="F21" s="11"/>
      <c r="G21" s="11"/>
      <c r="H21" s="11"/>
      <c r="I21" s="11"/>
      <c r="J21" s="11"/>
      <c r="K21" s="11"/>
      <c r="L21" s="240"/>
      <c r="M21" s="248"/>
      <c r="N21" s="242"/>
      <c r="O21" s="234"/>
      <c r="P21" s="306"/>
      <c r="Q21" s="307"/>
      <c r="R21" s="307"/>
      <c r="S21" s="307"/>
      <c r="T21" s="307"/>
      <c r="U21" s="266"/>
    </row>
    <row r="22" spans="1:21" s="48" customFormat="1" ht="15" customHeight="1" x14ac:dyDescent="0.2">
      <c r="A22" s="42" t="s">
        <v>176</v>
      </c>
      <c r="B22" s="192" t="s">
        <v>66</v>
      </c>
      <c r="C22" s="42" t="s">
        <v>67</v>
      </c>
      <c r="D22" s="42"/>
      <c r="E22" s="50" t="s">
        <v>177</v>
      </c>
      <c r="F22" s="38" t="s">
        <v>69</v>
      </c>
      <c r="G22" s="38"/>
      <c r="H22" s="38"/>
      <c r="I22" s="38"/>
      <c r="J22" s="40"/>
      <c r="K22" s="40"/>
      <c r="L22" s="240" t="s">
        <v>70</v>
      </c>
      <c r="M22" s="241" t="s">
        <v>79</v>
      </c>
      <c r="N22" s="242" t="s">
        <v>71</v>
      </c>
      <c r="O22" s="234"/>
      <c r="P22" s="306">
        <v>-1.5</v>
      </c>
      <c r="Q22" s="307">
        <v>0.6</v>
      </c>
      <c r="R22" s="307">
        <v>0.6</v>
      </c>
      <c r="S22" s="307">
        <v>1</v>
      </c>
      <c r="T22" s="307">
        <v>0.9</v>
      </c>
      <c r="U22" s="266">
        <f t="shared" ref="U22:U24" si="2">MAX(R22,T22)</f>
        <v>0.9</v>
      </c>
    </row>
    <row r="23" spans="1:21" s="48" customFormat="1" ht="15" customHeight="1" x14ac:dyDescent="0.2">
      <c r="A23" s="42" t="s">
        <v>178</v>
      </c>
      <c r="B23" s="192" t="s">
        <v>66</v>
      </c>
      <c r="C23" s="42" t="s">
        <v>67</v>
      </c>
      <c r="D23" s="42"/>
      <c r="E23" s="50" t="s">
        <v>179</v>
      </c>
      <c r="F23" s="38" t="s">
        <v>69</v>
      </c>
      <c r="G23" s="38"/>
      <c r="H23" s="38"/>
      <c r="I23" s="38"/>
      <c r="J23" s="40"/>
      <c r="K23" s="40"/>
      <c r="L23" s="240" t="s">
        <v>70</v>
      </c>
      <c r="M23" s="241" t="s">
        <v>79</v>
      </c>
      <c r="N23" s="242" t="s">
        <v>71</v>
      </c>
      <c r="O23" s="234"/>
      <c r="P23" s="306">
        <v>-0.5</v>
      </c>
      <c r="Q23" s="307">
        <v>0.6</v>
      </c>
      <c r="R23" s="307">
        <v>0.6</v>
      </c>
      <c r="S23" s="307">
        <v>1</v>
      </c>
      <c r="T23" s="307">
        <v>0.9</v>
      </c>
      <c r="U23" s="266">
        <f t="shared" si="2"/>
        <v>0.9</v>
      </c>
    </row>
    <row r="24" spans="1:21" s="48" customFormat="1" ht="15" customHeight="1" x14ac:dyDescent="0.2">
      <c r="A24" s="42" t="s">
        <v>180</v>
      </c>
      <c r="B24" s="192" t="s">
        <v>66</v>
      </c>
      <c r="C24" s="42" t="s">
        <v>67</v>
      </c>
      <c r="D24" s="42"/>
      <c r="E24" s="50" t="s">
        <v>181</v>
      </c>
      <c r="F24" s="38" t="s">
        <v>69</v>
      </c>
      <c r="G24" s="38"/>
      <c r="H24" s="38"/>
      <c r="I24" s="38"/>
      <c r="J24" s="40"/>
      <c r="K24" s="40"/>
      <c r="L24" s="240" t="s">
        <v>70</v>
      </c>
      <c r="M24" s="241" t="s">
        <v>79</v>
      </c>
      <c r="N24" s="242" t="s">
        <v>71</v>
      </c>
      <c r="O24" s="234"/>
      <c r="P24" s="306">
        <v>0.5</v>
      </c>
      <c r="Q24" s="307">
        <v>0.6</v>
      </c>
      <c r="R24" s="307">
        <v>0.6</v>
      </c>
      <c r="S24" s="307">
        <v>1</v>
      </c>
      <c r="T24" s="307">
        <v>0.9</v>
      </c>
      <c r="U24" s="266">
        <f t="shared" si="2"/>
        <v>0.9</v>
      </c>
    </row>
    <row r="25" spans="1:21" s="48" customFormat="1" ht="15" customHeight="1" x14ac:dyDescent="0.2">
      <c r="A25" s="42" t="s">
        <v>182</v>
      </c>
      <c r="B25" s="192" t="s">
        <v>66</v>
      </c>
      <c r="C25" s="42" t="s">
        <v>67</v>
      </c>
      <c r="D25" s="42"/>
      <c r="E25" s="50" t="s">
        <v>183</v>
      </c>
      <c r="F25" s="38" t="s">
        <v>69</v>
      </c>
      <c r="G25" s="38"/>
      <c r="H25" s="38"/>
      <c r="I25" s="38"/>
      <c r="J25" s="40"/>
      <c r="K25" s="40"/>
      <c r="L25" s="240" t="s">
        <v>70</v>
      </c>
      <c r="M25" s="241" t="s">
        <v>79</v>
      </c>
      <c r="N25" s="242" t="s">
        <v>71</v>
      </c>
      <c r="O25" s="234"/>
      <c r="P25" s="306">
        <v>1.5</v>
      </c>
      <c r="Q25" s="307">
        <v>0.6</v>
      </c>
      <c r="R25" s="307">
        <v>0.6</v>
      </c>
      <c r="S25" s="307">
        <v>1</v>
      </c>
      <c r="T25" s="307">
        <v>0.9</v>
      </c>
      <c r="U25" s="266">
        <f t="shared" si="0"/>
        <v>0.9</v>
      </c>
    </row>
    <row r="26" spans="1:21" s="48" customFormat="1" ht="15" customHeight="1" x14ac:dyDescent="0.2">
      <c r="A26" s="42" t="s">
        <v>184</v>
      </c>
      <c r="B26" s="192" t="s">
        <v>66</v>
      </c>
      <c r="C26" s="42" t="s">
        <v>67</v>
      </c>
      <c r="D26" s="42"/>
      <c r="E26" s="50" t="s">
        <v>185</v>
      </c>
      <c r="F26" s="38" t="s">
        <v>69</v>
      </c>
      <c r="G26" s="38"/>
      <c r="H26" s="38"/>
      <c r="I26" s="38"/>
      <c r="J26" s="40"/>
      <c r="K26" s="40"/>
      <c r="L26" s="240" t="s">
        <v>70</v>
      </c>
      <c r="M26" s="241" t="s">
        <v>79</v>
      </c>
      <c r="N26" s="242" t="s">
        <v>71</v>
      </c>
      <c r="O26" s="234"/>
      <c r="P26" s="306">
        <v>0.5</v>
      </c>
      <c r="Q26" s="307">
        <v>0</v>
      </c>
      <c r="R26" s="307">
        <v>0</v>
      </c>
      <c r="S26" s="307">
        <v>1</v>
      </c>
      <c r="T26" s="307">
        <v>0.3</v>
      </c>
      <c r="U26" s="266">
        <f t="shared" si="0"/>
        <v>0.3</v>
      </c>
    </row>
    <row r="27" spans="1:21" s="48" customFormat="1" ht="15" customHeight="1" x14ac:dyDescent="0.2">
      <c r="A27" s="42" t="s">
        <v>186</v>
      </c>
      <c r="B27" s="192" t="s">
        <v>66</v>
      </c>
      <c r="C27" s="42" t="s">
        <v>67</v>
      </c>
      <c r="D27" s="42"/>
      <c r="E27" s="50" t="s">
        <v>187</v>
      </c>
      <c r="F27" s="38" t="s">
        <v>69</v>
      </c>
      <c r="G27" s="38"/>
      <c r="H27" s="38"/>
      <c r="I27" s="38"/>
      <c r="J27" s="40"/>
      <c r="K27" s="40"/>
      <c r="L27" s="240" t="s">
        <v>70</v>
      </c>
      <c r="M27" s="241" t="s">
        <v>79</v>
      </c>
      <c r="N27" s="242" t="s">
        <v>71</v>
      </c>
      <c r="O27" s="234"/>
      <c r="P27" s="306">
        <v>0.5</v>
      </c>
      <c r="Q27" s="307">
        <v>0</v>
      </c>
      <c r="R27" s="307">
        <v>0</v>
      </c>
      <c r="S27" s="307">
        <v>1</v>
      </c>
      <c r="T27" s="307">
        <v>0.3</v>
      </c>
      <c r="U27" s="266">
        <f t="shared" si="0"/>
        <v>0.3</v>
      </c>
    </row>
    <row r="28" spans="1:21" s="48" customFormat="1" ht="15" customHeight="1" x14ac:dyDescent="0.2">
      <c r="A28" s="42" t="s">
        <v>188</v>
      </c>
      <c r="B28" s="192" t="s">
        <v>66</v>
      </c>
      <c r="C28" s="42" t="s">
        <v>67</v>
      </c>
      <c r="D28" s="42"/>
      <c r="E28" s="50" t="s">
        <v>189</v>
      </c>
      <c r="F28" s="38" t="s">
        <v>69</v>
      </c>
      <c r="G28" s="38"/>
      <c r="H28" s="38"/>
      <c r="I28" s="38"/>
      <c r="J28" s="40"/>
      <c r="K28" s="40"/>
      <c r="L28" s="240" t="s">
        <v>70</v>
      </c>
      <c r="M28" s="241" t="s">
        <v>79</v>
      </c>
      <c r="N28" s="242" t="s">
        <v>71</v>
      </c>
      <c r="O28" s="234"/>
      <c r="P28" s="306">
        <v>0.5</v>
      </c>
      <c r="Q28" s="307">
        <v>0</v>
      </c>
      <c r="R28" s="307">
        <v>0</v>
      </c>
      <c r="S28" s="307">
        <v>1</v>
      </c>
      <c r="T28" s="307">
        <v>0.3</v>
      </c>
      <c r="U28" s="266">
        <f t="shared" si="0"/>
        <v>0.3</v>
      </c>
    </row>
    <row r="29" spans="1:21" s="48" customFormat="1" ht="15" customHeight="1" x14ac:dyDescent="0.2">
      <c r="A29" s="42" t="s">
        <v>190</v>
      </c>
      <c r="B29" s="192" t="s">
        <v>66</v>
      </c>
      <c r="C29" s="42" t="s">
        <v>67</v>
      </c>
      <c r="D29" s="42"/>
      <c r="E29" s="50" t="s">
        <v>191</v>
      </c>
      <c r="F29" s="38" t="s">
        <v>69</v>
      </c>
      <c r="G29" s="38"/>
      <c r="H29" s="38"/>
      <c r="I29" s="38"/>
      <c r="J29" s="40"/>
      <c r="K29" s="40"/>
      <c r="L29" s="240" t="s">
        <v>70</v>
      </c>
      <c r="M29" s="245" t="s">
        <v>98</v>
      </c>
      <c r="N29" s="242" t="s">
        <v>99</v>
      </c>
      <c r="O29" s="234"/>
      <c r="P29" s="306">
        <v>1.5</v>
      </c>
      <c r="Q29" s="307">
        <v>0.3</v>
      </c>
      <c r="R29" s="307">
        <v>0.7</v>
      </c>
      <c r="S29" s="307">
        <v>1</v>
      </c>
      <c r="T29" s="307">
        <v>0.8</v>
      </c>
      <c r="U29" s="266">
        <f t="shared" si="0"/>
        <v>0.8</v>
      </c>
    </row>
    <row r="30" spans="1:21" s="48" customFormat="1" ht="15" customHeight="1" x14ac:dyDescent="0.2">
      <c r="A30" s="42" t="s">
        <v>192</v>
      </c>
      <c r="B30" s="192" t="s">
        <v>66</v>
      </c>
      <c r="C30" s="42" t="s">
        <v>67</v>
      </c>
      <c r="D30" s="42"/>
      <c r="E30" s="50" t="s">
        <v>193</v>
      </c>
      <c r="F30" s="38" t="s">
        <v>69</v>
      </c>
      <c r="G30" s="38"/>
      <c r="H30" s="38"/>
      <c r="I30" s="38"/>
      <c r="J30" s="40"/>
      <c r="K30" s="40"/>
      <c r="L30" s="240" t="s">
        <v>70</v>
      </c>
      <c r="M30" s="245" t="s">
        <v>98</v>
      </c>
      <c r="N30" s="242" t="s">
        <v>99</v>
      </c>
      <c r="O30" s="234"/>
      <c r="P30" s="306">
        <v>1</v>
      </c>
      <c r="Q30" s="307">
        <v>0.3</v>
      </c>
      <c r="R30" s="307">
        <v>0.3</v>
      </c>
      <c r="S30" s="307">
        <v>1</v>
      </c>
      <c r="T30" s="307">
        <v>0.8</v>
      </c>
      <c r="U30" s="266">
        <f t="shared" si="0"/>
        <v>0.8</v>
      </c>
    </row>
    <row r="31" spans="1:21" s="48" customFormat="1" ht="15" customHeight="1" x14ac:dyDescent="0.2">
      <c r="A31" s="42" t="s">
        <v>194</v>
      </c>
      <c r="B31" s="192" t="s">
        <v>66</v>
      </c>
      <c r="C31" s="42" t="s">
        <v>67</v>
      </c>
      <c r="D31" s="42"/>
      <c r="E31" s="50" t="s">
        <v>195</v>
      </c>
      <c r="F31" s="38" t="s">
        <v>69</v>
      </c>
      <c r="G31" s="38"/>
      <c r="H31" s="38"/>
      <c r="I31" s="38"/>
      <c r="J31" s="40"/>
      <c r="K31" s="40"/>
      <c r="L31" s="240" t="s">
        <v>70</v>
      </c>
      <c r="M31" s="245" t="s">
        <v>98</v>
      </c>
      <c r="N31" s="250" t="s">
        <v>99</v>
      </c>
      <c r="O31" s="234"/>
      <c r="P31" s="306">
        <v>1</v>
      </c>
      <c r="Q31" s="307">
        <v>0</v>
      </c>
      <c r="R31" s="307">
        <v>0</v>
      </c>
      <c r="S31" s="307">
        <v>1</v>
      </c>
      <c r="T31" s="307">
        <v>0.8</v>
      </c>
      <c r="U31" s="266">
        <f t="shared" si="0"/>
        <v>0.8</v>
      </c>
    </row>
    <row r="32" spans="1:21" s="48" customFormat="1" ht="15" customHeight="1" x14ac:dyDescent="0.2">
      <c r="A32" s="42" t="s">
        <v>196</v>
      </c>
      <c r="B32" s="192" t="s">
        <v>66</v>
      </c>
      <c r="C32" s="42" t="s">
        <v>67</v>
      </c>
      <c r="D32" s="42"/>
      <c r="E32" s="50" t="s">
        <v>197</v>
      </c>
      <c r="F32" s="38" t="s">
        <v>69</v>
      </c>
      <c r="G32" s="38"/>
      <c r="H32" s="38"/>
      <c r="I32" s="38"/>
      <c r="J32" s="40"/>
      <c r="K32" s="40"/>
      <c r="L32" s="240" t="s">
        <v>70</v>
      </c>
      <c r="M32" s="245" t="s">
        <v>98</v>
      </c>
      <c r="N32" s="250" t="s">
        <v>99</v>
      </c>
      <c r="O32" s="234"/>
      <c r="P32" s="306">
        <v>1</v>
      </c>
      <c r="Q32" s="307">
        <v>0</v>
      </c>
      <c r="R32" s="307">
        <v>0</v>
      </c>
      <c r="S32" s="307">
        <v>1</v>
      </c>
      <c r="T32" s="307">
        <v>0.5</v>
      </c>
      <c r="U32" s="266">
        <f t="shared" si="0"/>
        <v>0.5</v>
      </c>
    </row>
    <row r="33" spans="1:21" s="48" customFormat="1" ht="15" customHeight="1" x14ac:dyDescent="0.2">
      <c r="A33" s="42" t="s">
        <v>198</v>
      </c>
      <c r="B33" s="192" t="s">
        <v>66</v>
      </c>
      <c r="C33" s="42" t="s">
        <v>67</v>
      </c>
      <c r="D33" s="42"/>
      <c r="E33" s="50" t="s">
        <v>199</v>
      </c>
      <c r="F33" s="38" t="s">
        <v>69</v>
      </c>
      <c r="G33" s="38"/>
      <c r="H33" s="38"/>
      <c r="I33" s="38"/>
      <c r="J33" s="40"/>
      <c r="K33" s="40"/>
      <c r="L33" s="240" t="s">
        <v>70</v>
      </c>
      <c r="M33" s="241" t="s">
        <v>70</v>
      </c>
      <c r="N33" s="242" t="s">
        <v>71</v>
      </c>
      <c r="O33" s="234"/>
      <c r="P33" s="306">
        <v>1</v>
      </c>
      <c r="Q33" s="307">
        <v>0</v>
      </c>
      <c r="R33" s="307">
        <v>0.4</v>
      </c>
      <c r="S33" s="307">
        <v>1</v>
      </c>
      <c r="T33" s="307">
        <v>0.5</v>
      </c>
      <c r="U33" s="266">
        <f t="shared" si="0"/>
        <v>0.5</v>
      </c>
    </row>
    <row r="34" spans="1:21" s="48" customFormat="1" ht="15" customHeight="1" x14ac:dyDescent="0.2">
      <c r="A34" s="42" t="s">
        <v>200</v>
      </c>
      <c r="B34" s="192" t="s">
        <v>66</v>
      </c>
      <c r="C34" s="42" t="s">
        <v>67</v>
      </c>
      <c r="D34" s="42"/>
      <c r="E34" s="50" t="s">
        <v>201</v>
      </c>
      <c r="F34" s="38" t="s">
        <v>69</v>
      </c>
      <c r="G34" s="38"/>
      <c r="H34" s="38"/>
      <c r="I34" s="38"/>
      <c r="J34" s="40"/>
      <c r="K34" s="40"/>
      <c r="L34" s="240" t="s">
        <v>70</v>
      </c>
      <c r="M34" s="241" t="s">
        <v>70</v>
      </c>
      <c r="N34" s="242" t="s">
        <v>71</v>
      </c>
      <c r="O34" s="234"/>
      <c r="P34" s="306">
        <v>2</v>
      </c>
      <c r="Q34" s="307">
        <v>0</v>
      </c>
      <c r="R34" s="307">
        <v>0.4</v>
      </c>
      <c r="S34" s="307">
        <v>1</v>
      </c>
      <c r="T34" s="307">
        <v>0.5</v>
      </c>
      <c r="U34" s="266">
        <f t="shared" ref="U34:U35" si="3">MAX(R34,T34)</f>
        <v>0.5</v>
      </c>
    </row>
    <row r="35" spans="1:21" s="48" customFormat="1" ht="15" customHeight="1" x14ac:dyDescent="0.2">
      <c r="A35" s="42" t="s">
        <v>202</v>
      </c>
      <c r="B35" s="192" t="s">
        <v>66</v>
      </c>
      <c r="C35" s="42" t="s">
        <v>67</v>
      </c>
      <c r="D35" s="42"/>
      <c r="E35" s="50" t="s">
        <v>203</v>
      </c>
      <c r="F35" s="38" t="s">
        <v>69</v>
      </c>
      <c r="G35" s="38"/>
      <c r="H35" s="38"/>
      <c r="I35" s="38"/>
      <c r="J35" s="40"/>
      <c r="K35" s="40"/>
      <c r="L35" s="240" t="s">
        <v>70</v>
      </c>
      <c r="M35" s="241" t="s">
        <v>70</v>
      </c>
      <c r="N35" s="242" t="s">
        <v>71</v>
      </c>
      <c r="O35" s="234"/>
      <c r="P35" s="306">
        <v>3</v>
      </c>
      <c r="Q35" s="307">
        <v>0</v>
      </c>
      <c r="R35" s="307">
        <v>0.4</v>
      </c>
      <c r="S35" s="307">
        <v>1</v>
      </c>
      <c r="T35" s="307">
        <v>0.5</v>
      </c>
      <c r="U35" s="266">
        <f t="shared" si="3"/>
        <v>0.5</v>
      </c>
    </row>
    <row r="36" spans="1:21" s="48" customFormat="1" ht="15" customHeight="1" x14ac:dyDescent="0.2">
      <c r="A36" s="42" t="s">
        <v>204</v>
      </c>
      <c r="B36" s="192" t="s">
        <v>66</v>
      </c>
      <c r="C36" s="42" t="s">
        <v>67</v>
      </c>
      <c r="D36" s="42"/>
      <c r="E36" s="50" t="s">
        <v>205</v>
      </c>
      <c r="F36" s="38" t="s">
        <v>69</v>
      </c>
      <c r="G36" s="38"/>
      <c r="H36" s="38"/>
      <c r="I36" s="38"/>
      <c r="J36" s="40"/>
      <c r="K36" s="40"/>
      <c r="L36" s="240" t="s">
        <v>70</v>
      </c>
      <c r="M36" s="248" t="s">
        <v>79</v>
      </c>
      <c r="N36" s="242" t="s">
        <v>71</v>
      </c>
      <c r="O36" s="234"/>
      <c r="P36" s="306">
        <v>1</v>
      </c>
      <c r="Q36" s="307">
        <v>0.6</v>
      </c>
      <c r="R36" s="307">
        <v>0.6</v>
      </c>
      <c r="S36" s="307">
        <v>1</v>
      </c>
      <c r="T36" s="307">
        <v>0.9</v>
      </c>
      <c r="U36" s="266">
        <f t="shared" si="0"/>
        <v>0.9</v>
      </c>
    </row>
    <row r="37" spans="1:21" s="48" customFormat="1" ht="15" customHeight="1" x14ac:dyDescent="0.2">
      <c r="A37" s="42" t="s">
        <v>206</v>
      </c>
      <c r="B37" s="192" t="s">
        <v>66</v>
      </c>
      <c r="C37" s="42" t="s">
        <v>67</v>
      </c>
      <c r="D37" s="42"/>
      <c r="E37" s="50" t="s">
        <v>207</v>
      </c>
      <c r="F37" s="38" t="s">
        <v>69</v>
      </c>
      <c r="G37" s="38"/>
      <c r="H37" s="38"/>
      <c r="I37" s="38"/>
      <c r="J37" s="40"/>
      <c r="K37" s="40"/>
      <c r="L37" s="240" t="s">
        <v>70</v>
      </c>
      <c r="M37" s="248" t="s">
        <v>79</v>
      </c>
      <c r="N37" s="242" t="s">
        <v>71</v>
      </c>
      <c r="O37" s="234"/>
      <c r="P37" s="306">
        <v>1.5</v>
      </c>
      <c r="Q37" s="307">
        <v>0.6</v>
      </c>
      <c r="R37" s="307">
        <v>0.6</v>
      </c>
      <c r="S37" s="307">
        <v>1</v>
      </c>
      <c r="T37" s="307">
        <v>0.8</v>
      </c>
      <c r="U37" s="266">
        <f t="shared" si="0"/>
        <v>0.8</v>
      </c>
    </row>
    <row r="38" spans="1:21" s="48" customFormat="1" ht="15" customHeight="1" x14ac:dyDescent="0.2">
      <c r="A38" s="42" t="s">
        <v>208</v>
      </c>
      <c r="B38" s="192" t="s">
        <v>66</v>
      </c>
      <c r="C38" s="42" t="s">
        <v>67</v>
      </c>
      <c r="D38" s="42"/>
      <c r="E38" s="50" t="s">
        <v>209</v>
      </c>
      <c r="F38" s="38" t="s">
        <v>69</v>
      </c>
      <c r="G38" s="38"/>
      <c r="H38" s="38"/>
      <c r="I38" s="38"/>
      <c r="J38" s="40"/>
      <c r="K38" s="40"/>
      <c r="L38" s="240" t="s">
        <v>70</v>
      </c>
      <c r="M38" s="248" t="s">
        <v>79</v>
      </c>
      <c r="N38" s="242" t="s">
        <v>71</v>
      </c>
      <c r="O38" s="234"/>
      <c r="P38" s="306">
        <v>2.5</v>
      </c>
      <c r="Q38" s="307">
        <v>0.6</v>
      </c>
      <c r="R38" s="307">
        <v>0.6</v>
      </c>
      <c r="S38" s="307">
        <v>1</v>
      </c>
      <c r="T38" s="307">
        <v>0.8</v>
      </c>
      <c r="U38" s="266">
        <f t="shared" ref="U38:U39" si="4">MAX(R38,T38)</f>
        <v>0.8</v>
      </c>
    </row>
    <row r="39" spans="1:21" s="48" customFormat="1" ht="15" customHeight="1" x14ac:dyDescent="0.2">
      <c r="A39" s="42" t="s">
        <v>210</v>
      </c>
      <c r="B39" s="192" t="s">
        <v>66</v>
      </c>
      <c r="C39" s="42" t="s">
        <v>67</v>
      </c>
      <c r="D39" s="42"/>
      <c r="E39" s="50" t="s">
        <v>211</v>
      </c>
      <c r="F39" s="38" t="s">
        <v>69</v>
      </c>
      <c r="G39" s="38"/>
      <c r="H39" s="38"/>
      <c r="I39" s="38"/>
      <c r="J39" s="40"/>
      <c r="K39" s="40"/>
      <c r="L39" s="240" t="s">
        <v>70</v>
      </c>
      <c r="M39" s="248" t="s">
        <v>79</v>
      </c>
      <c r="N39" s="242" t="s">
        <v>71</v>
      </c>
      <c r="O39" s="234"/>
      <c r="P39" s="306">
        <v>3.5</v>
      </c>
      <c r="Q39" s="307">
        <v>0.6</v>
      </c>
      <c r="R39" s="307">
        <v>0.6</v>
      </c>
      <c r="S39" s="307">
        <v>1</v>
      </c>
      <c r="T39" s="307">
        <v>0.8</v>
      </c>
      <c r="U39" s="266">
        <f t="shared" si="4"/>
        <v>0.8</v>
      </c>
    </row>
    <row r="40" spans="1:21" s="48" customFormat="1" ht="15" customHeight="1" x14ac:dyDescent="0.2">
      <c r="A40" s="42" t="s">
        <v>212</v>
      </c>
      <c r="B40" s="192" t="s">
        <v>66</v>
      </c>
      <c r="C40" s="42" t="s">
        <v>67</v>
      </c>
      <c r="D40" s="42"/>
      <c r="E40" s="50" t="s">
        <v>213</v>
      </c>
      <c r="F40" s="38" t="s">
        <v>69</v>
      </c>
      <c r="G40" s="38"/>
      <c r="H40" s="38"/>
      <c r="I40" s="38"/>
      <c r="J40" s="40"/>
      <c r="K40" s="40"/>
      <c r="L40" s="240" t="s">
        <v>70</v>
      </c>
      <c r="M40" s="248" t="s">
        <v>79</v>
      </c>
      <c r="N40" s="242" t="s">
        <v>71</v>
      </c>
      <c r="O40" s="234"/>
      <c r="P40" s="306">
        <v>1</v>
      </c>
      <c r="Q40" s="307">
        <v>0.6</v>
      </c>
      <c r="R40" s="307">
        <v>0.4</v>
      </c>
      <c r="S40" s="307">
        <v>1</v>
      </c>
      <c r="T40" s="307">
        <v>0.5</v>
      </c>
      <c r="U40" s="266">
        <f t="shared" si="0"/>
        <v>0.5</v>
      </c>
    </row>
    <row r="41" spans="1:21" s="48" customFormat="1" ht="15" customHeight="1" x14ac:dyDescent="0.2">
      <c r="A41" s="42" t="s">
        <v>214</v>
      </c>
      <c r="B41" s="192" t="s">
        <v>66</v>
      </c>
      <c r="C41" s="42" t="s">
        <v>67</v>
      </c>
      <c r="D41" s="42"/>
      <c r="E41" s="50" t="s">
        <v>215</v>
      </c>
      <c r="F41" s="38" t="s">
        <v>69</v>
      </c>
      <c r="G41" s="38"/>
      <c r="H41" s="38"/>
      <c r="I41" s="38"/>
      <c r="J41" s="40"/>
      <c r="K41" s="40"/>
      <c r="L41" s="240" t="s">
        <v>70</v>
      </c>
      <c r="M41" s="248" t="s">
        <v>79</v>
      </c>
      <c r="N41" s="242" t="s">
        <v>71</v>
      </c>
      <c r="O41" s="234"/>
      <c r="P41" s="306">
        <v>1.5</v>
      </c>
      <c r="Q41" s="307">
        <v>0.6</v>
      </c>
      <c r="R41" s="307">
        <v>0</v>
      </c>
      <c r="S41" s="307">
        <v>1</v>
      </c>
      <c r="T41" s="307">
        <v>0.9</v>
      </c>
      <c r="U41" s="266">
        <f t="shared" si="0"/>
        <v>0.9</v>
      </c>
    </row>
    <row r="42" spans="1:21" s="48" customFormat="1" ht="15" customHeight="1" x14ac:dyDescent="0.2">
      <c r="A42" s="42" t="s">
        <v>216</v>
      </c>
      <c r="B42" s="192" t="s">
        <v>66</v>
      </c>
      <c r="C42" s="42" t="s">
        <v>67</v>
      </c>
      <c r="D42" s="42"/>
      <c r="E42" s="50" t="s">
        <v>217</v>
      </c>
      <c r="F42" s="38" t="s">
        <v>69</v>
      </c>
      <c r="G42" s="38"/>
      <c r="H42" s="38"/>
      <c r="I42" s="38"/>
      <c r="J42" s="40"/>
      <c r="K42" s="40"/>
      <c r="L42" s="240" t="s">
        <v>70</v>
      </c>
      <c r="M42" s="248" t="s">
        <v>79</v>
      </c>
      <c r="N42" s="242" t="s">
        <v>71</v>
      </c>
      <c r="O42" s="234"/>
      <c r="P42" s="306">
        <v>1</v>
      </c>
      <c r="Q42" s="307">
        <v>0</v>
      </c>
      <c r="R42" s="307">
        <v>0</v>
      </c>
      <c r="S42" s="307">
        <v>1</v>
      </c>
      <c r="T42" s="307">
        <v>0.3</v>
      </c>
      <c r="U42" s="266">
        <f t="shared" si="0"/>
        <v>0.3</v>
      </c>
    </row>
    <row r="43" spans="1:21" s="48" customFormat="1" ht="15" customHeight="1" x14ac:dyDescent="0.2">
      <c r="A43" s="42" t="s">
        <v>218</v>
      </c>
      <c r="B43" s="192" t="s">
        <v>66</v>
      </c>
      <c r="C43" s="42" t="s">
        <v>67</v>
      </c>
      <c r="D43" s="42"/>
      <c r="E43" s="50" t="s">
        <v>219</v>
      </c>
      <c r="F43" s="38" t="s">
        <v>69</v>
      </c>
      <c r="G43" s="38"/>
      <c r="H43" s="38"/>
      <c r="I43" s="38"/>
      <c r="J43" s="40"/>
      <c r="K43" s="40"/>
      <c r="L43" s="240" t="s">
        <v>70</v>
      </c>
      <c r="M43" s="248" t="s">
        <v>79</v>
      </c>
      <c r="N43" s="242" t="s">
        <v>71</v>
      </c>
      <c r="O43" s="234"/>
      <c r="P43" s="306">
        <v>2</v>
      </c>
      <c r="Q43" s="307">
        <v>0</v>
      </c>
      <c r="R43" s="307">
        <v>0</v>
      </c>
      <c r="S43" s="307">
        <v>1</v>
      </c>
      <c r="T43" s="307">
        <v>0.3</v>
      </c>
      <c r="U43" s="266">
        <f t="shared" ref="U43" si="5">MAX(R43,T43)</f>
        <v>0.3</v>
      </c>
    </row>
    <row r="44" spans="1:21" s="48" customFormat="1" ht="15" customHeight="1" x14ac:dyDescent="0.2">
      <c r="A44" s="42"/>
      <c r="B44" s="192"/>
      <c r="C44" s="42"/>
      <c r="D44" s="42"/>
      <c r="E44" s="50"/>
      <c r="F44" s="38"/>
      <c r="G44" s="38"/>
      <c r="H44" s="38"/>
      <c r="I44" s="38"/>
      <c r="J44" s="40"/>
      <c r="K44" s="40"/>
      <c r="L44" s="244"/>
      <c r="M44" s="245"/>
      <c r="N44" s="246"/>
      <c r="O44" s="234"/>
      <c r="P44" s="306"/>
      <c r="Q44" s="307"/>
      <c r="R44" s="307"/>
      <c r="S44" s="307"/>
      <c r="T44" s="307"/>
      <c r="U44" s="266"/>
    </row>
    <row r="45" spans="1:21" s="48" customFormat="1" ht="15" customHeight="1" x14ac:dyDescent="0.2">
      <c r="A45" s="42" t="s">
        <v>220</v>
      </c>
      <c r="B45" s="192" t="s">
        <v>66</v>
      </c>
      <c r="C45" s="42" t="s">
        <v>67</v>
      </c>
      <c r="D45" s="42"/>
      <c r="E45" s="50" t="s">
        <v>221</v>
      </c>
      <c r="F45" s="38" t="s">
        <v>69</v>
      </c>
      <c r="G45" s="38"/>
      <c r="H45" s="38"/>
      <c r="I45" s="38"/>
      <c r="J45" s="40"/>
      <c r="K45" s="40"/>
      <c r="L45" s="240" t="s">
        <v>70</v>
      </c>
      <c r="M45" s="241" t="s">
        <v>70</v>
      </c>
      <c r="N45" s="252" t="s">
        <v>71</v>
      </c>
      <c r="O45" s="234"/>
      <c r="P45" s="306">
        <v>1</v>
      </c>
      <c r="Q45" s="307">
        <v>0.6</v>
      </c>
      <c r="R45" s="307">
        <v>0.6</v>
      </c>
      <c r="S45" s="307">
        <v>1</v>
      </c>
      <c r="T45" s="307">
        <v>0.95</v>
      </c>
      <c r="U45" s="266">
        <f t="shared" si="0"/>
        <v>0.95</v>
      </c>
    </row>
    <row r="46" spans="1:21" s="48" customFormat="1" ht="15" customHeight="1" x14ac:dyDescent="0.2">
      <c r="A46" s="42" t="s">
        <v>222</v>
      </c>
      <c r="B46" s="192" t="s">
        <v>66</v>
      </c>
      <c r="C46" s="42" t="s">
        <v>67</v>
      </c>
      <c r="D46" s="42"/>
      <c r="E46" s="50" t="s">
        <v>223</v>
      </c>
      <c r="F46" s="38" t="s">
        <v>69</v>
      </c>
      <c r="G46" s="38"/>
      <c r="H46" s="38"/>
      <c r="I46" s="38"/>
      <c r="J46" s="40"/>
      <c r="K46" s="40"/>
      <c r="L46" s="240" t="s">
        <v>70</v>
      </c>
      <c r="M46" s="241" t="s">
        <v>70</v>
      </c>
      <c r="N46" s="252" t="s">
        <v>71</v>
      </c>
      <c r="O46" s="234"/>
      <c r="P46" s="306">
        <v>1</v>
      </c>
      <c r="Q46" s="307">
        <v>0.6</v>
      </c>
      <c r="R46" s="307">
        <v>0.6</v>
      </c>
      <c r="S46" s="307">
        <v>1</v>
      </c>
      <c r="T46" s="307">
        <v>0.95</v>
      </c>
      <c r="U46" s="266">
        <f t="shared" si="0"/>
        <v>0.95</v>
      </c>
    </row>
    <row r="47" spans="1:21" s="48" customFormat="1" ht="15" customHeight="1" x14ac:dyDescent="0.2">
      <c r="A47" s="42" t="s">
        <v>224</v>
      </c>
      <c r="B47" s="192" t="s">
        <v>66</v>
      </c>
      <c r="C47" s="42" t="s">
        <v>67</v>
      </c>
      <c r="D47" s="42"/>
      <c r="E47" s="50" t="s">
        <v>225</v>
      </c>
      <c r="F47" s="38" t="s">
        <v>69</v>
      </c>
      <c r="G47" s="38"/>
      <c r="H47" s="38"/>
      <c r="I47" s="38"/>
      <c r="J47" s="40"/>
      <c r="K47" s="40"/>
      <c r="L47" s="240" t="s">
        <v>70</v>
      </c>
      <c r="M47" s="241" t="s">
        <v>70</v>
      </c>
      <c r="N47" s="252" t="s">
        <v>71</v>
      </c>
      <c r="O47" s="234"/>
      <c r="P47" s="306">
        <v>1</v>
      </c>
      <c r="Q47" s="307">
        <v>0.3</v>
      </c>
      <c r="R47" s="307">
        <v>0.3</v>
      </c>
      <c r="S47" s="307">
        <v>1</v>
      </c>
      <c r="T47" s="307">
        <v>0.95</v>
      </c>
      <c r="U47" s="266">
        <f t="shared" si="0"/>
        <v>0.95</v>
      </c>
    </row>
    <row r="48" spans="1:21" s="48" customFormat="1" ht="15" customHeight="1" x14ac:dyDescent="0.2">
      <c r="A48" s="42" t="s">
        <v>226</v>
      </c>
      <c r="B48" s="192" t="s">
        <v>66</v>
      </c>
      <c r="C48" s="42" t="s">
        <v>67</v>
      </c>
      <c r="D48" s="42"/>
      <c r="E48" s="50" t="s">
        <v>227</v>
      </c>
      <c r="F48" s="38" t="s">
        <v>69</v>
      </c>
      <c r="G48" s="38"/>
      <c r="H48" s="38"/>
      <c r="I48" s="38"/>
      <c r="J48" s="40"/>
      <c r="K48" s="40"/>
      <c r="L48" s="240" t="s">
        <v>70</v>
      </c>
      <c r="M48" s="241" t="s">
        <v>70</v>
      </c>
      <c r="N48" s="252" t="s">
        <v>71</v>
      </c>
      <c r="O48" s="234"/>
      <c r="P48" s="306">
        <v>2</v>
      </c>
      <c r="Q48" s="307">
        <v>0.3</v>
      </c>
      <c r="R48" s="307">
        <v>0.3</v>
      </c>
      <c r="S48" s="307">
        <v>1</v>
      </c>
      <c r="T48" s="307">
        <v>0.95</v>
      </c>
      <c r="U48" s="266">
        <f t="shared" ref="U48" si="6">MAX(R48,T48)</f>
        <v>0.95</v>
      </c>
    </row>
    <row r="49" spans="1:21" s="48" customFormat="1" ht="15" customHeight="1" x14ac:dyDescent="0.2">
      <c r="A49" s="42"/>
      <c r="B49" s="192"/>
      <c r="C49" s="42"/>
      <c r="D49" s="42"/>
      <c r="E49" s="50"/>
      <c r="F49" s="38"/>
      <c r="G49" s="38"/>
      <c r="H49" s="38"/>
      <c r="I49" s="38"/>
      <c r="J49" s="40"/>
      <c r="K49" s="40"/>
      <c r="L49" s="244"/>
      <c r="M49" s="245"/>
      <c r="N49" s="253"/>
      <c r="O49" s="234"/>
      <c r="P49" s="306"/>
      <c r="Q49" s="307"/>
      <c r="R49" s="307"/>
      <c r="S49" s="307"/>
      <c r="T49" s="307"/>
      <c r="U49" s="266"/>
    </row>
    <row r="50" spans="1:21" s="48" customFormat="1" ht="15" customHeight="1" x14ac:dyDescent="0.2">
      <c r="A50" s="42" t="s">
        <v>228</v>
      </c>
      <c r="B50" s="192" t="s">
        <v>66</v>
      </c>
      <c r="C50" s="42" t="s">
        <v>67</v>
      </c>
      <c r="D50" s="42"/>
      <c r="E50" s="50" t="s">
        <v>229</v>
      </c>
      <c r="F50" s="38" t="s">
        <v>69</v>
      </c>
      <c r="G50" s="38"/>
      <c r="H50" s="38"/>
      <c r="I50" s="38"/>
      <c r="J50" s="40"/>
      <c r="K50" s="40"/>
      <c r="L50" s="240" t="s">
        <v>70</v>
      </c>
      <c r="M50" s="241" t="s">
        <v>70</v>
      </c>
      <c r="N50" s="252" t="s">
        <v>71</v>
      </c>
      <c r="O50" s="234"/>
      <c r="P50" s="306">
        <v>1</v>
      </c>
      <c r="Q50" s="307">
        <v>0.6</v>
      </c>
      <c r="R50" s="307">
        <v>0.6</v>
      </c>
      <c r="S50" s="307">
        <v>1</v>
      </c>
      <c r="T50" s="307">
        <v>0.95</v>
      </c>
      <c r="U50" s="266">
        <f t="shared" si="0"/>
        <v>0.95</v>
      </c>
    </row>
    <row r="51" spans="1:21" s="48" customFormat="1" ht="15" customHeight="1" x14ac:dyDescent="0.2">
      <c r="A51" s="42" t="s">
        <v>230</v>
      </c>
      <c r="B51" s="192" t="s">
        <v>66</v>
      </c>
      <c r="C51" s="42" t="s">
        <v>67</v>
      </c>
      <c r="D51" s="42"/>
      <c r="E51" s="50" t="s">
        <v>231</v>
      </c>
      <c r="F51" s="38" t="s">
        <v>69</v>
      </c>
      <c r="G51" s="38"/>
      <c r="H51" s="38"/>
      <c r="I51" s="38"/>
      <c r="J51" s="40"/>
      <c r="K51" s="40"/>
      <c r="L51" s="240" t="s">
        <v>70</v>
      </c>
      <c r="M51" s="241" t="s">
        <v>70</v>
      </c>
      <c r="N51" s="252" t="s">
        <v>71</v>
      </c>
      <c r="O51" s="234"/>
      <c r="P51" s="306">
        <v>1</v>
      </c>
      <c r="Q51" s="307">
        <v>0.3</v>
      </c>
      <c r="R51" s="307">
        <v>0.6</v>
      </c>
      <c r="S51" s="307">
        <v>1</v>
      </c>
      <c r="T51" s="307">
        <v>0.95</v>
      </c>
      <c r="U51" s="266">
        <f t="shared" si="0"/>
        <v>0.95</v>
      </c>
    </row>
    <row r="52" spans="1:21" s="48" customFormat="1" ht="15" customHeight="1" x14ac:dyDescent="0.2">
      <c r="A52" s="42" t="s">
        <v>232</v>
      </c>
      <c r="B52" s="192" t="s">
        <v>66</v>
      </c>
      <c r="C52" s="42" t="s">
        <v>67</v>
      </c>
      <c r="D52" s="42"/>
      <c r="E52" s="50" t="s">
        <v>233</v>
      </c>
      <c r="F52" s="38" t="s">
        <v>69</v>
      </c>
      <c r="G52" s="38"/>
      <c r="H52" s="38"/>
      <c r="I52" s="38"/>
      <c r="J52" s="40"/>
      <c r="K52" s="40"/>
      <c r="L52" s="240" t="s">
        <v>70</v>
      </c>
      <c r="M52" s="241" t="s">
        <v>70</v>
      </c>
      <c r="N52" s="252" t="s">
        <v>71</v>
      </c>
      <c r="O52" s="234"/>
      <c r="P52" s="306">
        <v>2</v>
      </c>
      <c r="Q52" s="307">
        <v>0.3</v>
      </c>
      <c r="R52" s="307">
        <v>0.6</v>
      </c>
      <c r="S52" s="307">
        <v>1</v>
      </c>
      <c r="T52" s="307">
        <v>0.95</v>
      </c>
      <c r="U52" s="266">
        <f t="shared" ref="U52:U53" si="7">MAX(R52,T52)</f>
        <v>0.95</v>
      </c>
    </row>
    <row r="53" spans="1:21" s="48" customFormat="1" ht="15" customHeight="1" x14ac:dyDescent="0.2">
      <c r="A53" s="42" t="s">
        <v>234</v>
      </c>
      <c r="B53" s="192" t="s">
        <v>66</v>
      </c>
      <c r="C53" s="42" t="s">
        <v>67</v>
      </c>
      <c r="D53" s="42"/>
      <c r="E53" s="50" t="s">
        <v>235</v>
      </c>
      <c r="F53" s="38" t="s">
        <v>69</v>
      </c>
      <c r="G53" s="38"/>
      <c r="H53" s="38"/>
      <c r="I53" s="38"/>
      <c r="J53" s="40"/>
      <c r="K53" s="40"/>
      <c r="L53" s="240" t="s">
        <v>70</v>
      </c>
      <c r="M53" s="241" t="s">
        <v>70</v>
      </c>
      <c r="N53" s="252" t="s">
        <v>71</v>
      </c>
      <c r="O53" s="234"/>
      <c r="P53" s="306">
        <v>3</v>
      </c>
      <c r="Q53" s="307">
        <v>0.3</v>
      </c>
      <c r="R53" s="307">
        <v>0.6</v>
      </c>
      <c r="S53" s="307">
        <v>1</v>
      </c>
      <c r="T53" s="307">
        <v>0.95</v>
      </c>
      <c r="U53" s="266">
        <f t="shared" si="7"/>
        <v>0.95</v>
      </c>
    </row>
    <row r="54" spans="1:21" s="48" customFormat="1" ht="15" customHeight="1" x14ac:dyDescent="0.2">
      <c r="A54" s="42" t="s">
        <v>236</v>
      </c>
      <c r="B54" s="192" t="s">
        <v>66</v>
      </c>
      <c r="C54" s="42" t="s">
        <v>67</v>
      </c>
      <c r="D54" s="42"/>
      <c r="E54" s="50" t="s">
        <v>237</v>
      </c>
      <c r="F54" s="38" t="s">
        <v>69</v>
      </c>
      <c r="G54" s="38"/>
      <c r="H54" s="38"/>
      <c r="I54" s="38"/>
      <c r="J54" s="40"/>
      <c r="K54" s="40"/>
      <c r="L54" s="240" t="s">
        <v>70</v>
      </c>
      <c r="M54" s="241" t="s">
        <v>70</v>
      </c>
      <c r="N54" s="252" t="s">
        <v>71</v>
      </c>
      <c r="O54" s="234"/>
      <c r="P54" s="306">
        <v>1</v>
      </c>
      <c r="Q54" s="307">
        <v>0.3</v>
      </c>
      <c r="R54" s="307">
        <v>0</v>
      </c>
      <c r="S54" s="307">
        <v>1</v>
      </c>
      <c r="T54" s="307">
        <v>0.3</v>
      </c>
      <c r="U54" s="266">
        <f t="shared" si="0"/>
        <v>0.3</v>
      </c>
    </row>
    <row r="55" spans="1:21" s="48" customFormat="1" ht="15" customHeight="1" x14ac:dyDescent="0.2">
      <c r="A55" s="42" t="s">
        <v>238</v>
      </c>
      <c r="B55" s="192" t="s">
        <v>66</v>
      </c>
      <c r="C55" s="42" t="s">
        <v>67</v>
      </c>
      <c r="D55" s="42"/>
      <c r="E55" s="50" t="s">
        <v>239</v>
      </c>
      <c r="F55" s="38" t="s">
        <v>69</v>
      </c>
      <c r="G55" s="38"/>
      <c r="H55" s="38"/>
      <c r="I55" s="38"/>
      <c r="J55" s="40"/>
      <c r="K55" s="40"/>
      <c r="L55" s="240" t="s">
        <v>70</v>
      </c>
      <c r="M55" s="241" t="s">
        <v>70</v>
      </c>
      <c r="N55" s="252" t="s">
        <v>71</v>
      </c>
      <c r="O55" s="234"/>
      <c r="P55" s="306">
        <v>1</v>
      </c>
      <c r="Q55" s="307">
        <v>0.6</v>
      </c>
      <c r="R55" s="307">
        <v>0.6</v>
      </c>
      <c r="S55" s="307">
        <v>1</v>
      </c>
      <c r="T55" s="307">
        <v>0.95</v>
      </c>
      <c r="U55" s="266">
        <f t="shared" si="0"/>
        <v>0.95</v>
      </c>
    </row>
    <row r="56" spans="1:21" s="48" customFormat="1" ht="15" customHeight="1" x14ac:dyDescent="0.2">
      <c r="A56" s="42" t="s">
        <v>240</v>
      </c>
      <c r="B56" s="192" t="s">
        <v>66</v>
      </c>
      <c r="C56" s="42" t="s">
        <v>67</v>
      </c>
      <c r="D56" s="42"/>
      <c r="E56" s="50" t="s">
        <v>241</v>
      </c>
      <c r="F56" s="38" t="s">
        <v>69</v>
      </c>
      <c r="G56" s="38"/>
      <c r="H56" s="38"/>
      <c r="I56" s="38"/>
      <c r="J56" s="40"/>
      <c r="K56" s="40"/>
      <c r="L56" s="240" t="s">
        <v>70</v>
      </c>
      <c r="M56" s="241" t="s">
        <v>70</v>
      </c>
      <c r="N56" s="252" t="s">
        <v>71</v>
      </c>
      <c r="O56" s="234"/>
      <c r="P56" s="306">
        <v>1</v>
      </c>
      <c r="Q56" s="307">
        <v>0.6</v>
      </c>
      <c r="R56" s="307">
        <v>0.6</v>
      </c>
      <c r="S56" s="307">
        <v>1</v>
      </c>
      <c r="T56" s="307">
        <v>0.95</v>
      </c>
      <c r="U56" s="266">
        <f t="shared" si="0"/>
        <v>0.95</v>
      </c>
    </row>
    <row r="57" spans="1:21" s="48" customFormat="1" ht="15" customHeight="1" x14ac:dyDescent="0.2">
      <c r="A57" s="42"/>
      <c r="B57" s="192"/>
      <c r="C57" s="42"/>
      <c r="D57" s="42"/>
      <c r="E57" s="50"/>
      <c r="F57" s="38"/>
      <c r="G57" s="38"/>
      <c r="H57" s="38"/>
      <c r="I57" s="38"/>
      <c r="J57" s="40"/>
      <c r="K57" s="40"/>
      <c r="L57" s="240"/>
      <c r="M57" s="241"/>
      <c r="N57" s="252"/>
      <c r="O57" s="234"/>
      <c r="P57" s="306"/>
      <c r="Q57" s="307"/>
      <c r="R57" s="307"/>
      <c r="S57" s="307"/>
      <c r="T57" s="307"/>
      <c r="U57" s="266"/>
    </row>
    <row r="58" spans="1:21" s="48" customFormat="1" ht="15" customHeight="1" x14ac:dyDescent="0.2">
      <c r="A58" s="42" t="s">
        <v>242</v>
      </c>
      <c r="B58" s="192" t="s">
        <v>66</v>
      </c>
      <c r="C58" s="42" t="s">
        <v>67</v>
      </c>
      <c r="D58" s="42"/>
      <c r="E58" s="50" t="s">
        <v>243</v>
      </c>
      <c r="F58" s="38" t="s">
        <v>69</v>
      </c>
      <c r="G58" s="38"/>
      <c r="H58" s="38"/>
      <c r="I58" s="38"/>
      <c r="J58" s="40"/>
      <c r="K58" s="40"/>
      <c r="L58" s="240" t="s">
        <v>70</v>
      </c>
      <c r="M58" s="241" t="s">
        <v>70</v>
      </c>
      <c r="N58" s="252" t="s">
        <v>71</v>
      </c>
      <c r="O58" s="234"/>
      <c r="P58" s="306">
        <v>1</v>
      </c>
      <c r="Q58" s="307">
        <v>0.6</v>
      </c>
      <c r="R58" s="307">
        <v>0.6</v>
      </c>
      <c r="S58" s="307">
        <v>1</v>
      </c>
      <c r="T58" s="307">
        <v>0.3</v>
      </c>
      <c r="U58" s="266">
        <f t="shared" si="0"/>
        <v>0.6</v>
      </c>
    </row>
    <row r="59" spans="1:21" s="48" customFormat="1" ht="15" customHeight="1" x14ac:dyDescent="0.2">
      <c r="A59" s="42" t="s">
        <v>244</v>
      </c>
      <c r="B59" s="192" t="s">
        <v>66</v>
      </c>
      <c r="C59" s="42" t="s">
        <v>67</v>
      </c>
      <c r="D59" s="42"/>
      <c r="E59" s="50" t="s">
        <v>245</v>
      </c>
      <c r="F59" s="38" t="s">
        <v>69</v>
      </c>
      <c r="G59" s="38"/>
      <c r="H59" s="38"/>
      <c r="I59" s="38"/>
      <c r="J59" s="40"/>
      <c r="K59" s="40"/>
      <c r="L59" s="240" t="s">
        <v>70</v>
      </c>
      <c r="M59" s="241" t="s">
        <v>70</v>
      </c>
      <c r="N59" s="252" t="s">
        <v>71</v>
      </c>
      <c r="O59" s="234"/>
      <c r="P59" s="306">
        <v>2</v>
      </c>
      <c r="Q59" s="307">
        <v>0.6</v>
      </c>
      <c r="R59" s="307">
        <v>0.6</v>
      </c>
      <c r="S59" s="307">
        <v>1</v>
      </c>
      <c r="T59" s="307">
        <v>0.3</v>
      </c>
      <c r="U59" s="266">
        <f t="shared" si="0"/>
        <v>0.6</v>
      </c>
    </row>
    <row r="60" spans="1:21" s="48" customFormat="1" ht="15" customHeight="1" x14ac:dyDescent="0.2">
      <c r="A60" s="42"/>
      <c r="B60" s="192"/>
      <c r="C60" s="42"/>
      <c r="D60" s="42"/>
      <c r="E60" s="50"/>
      <c r="F60" s="38"/>
      <c r="G60" s="38"/>
      <c r="H60" s="38"/>
      <c r="I60" s="38"/>
      <c r="J60" s="40"/>
      <c r="K60" s="40"/>
      <c r="L60" s="240"/>
      <c r="M60" s="241"/>
      <c r="N60" s="252"/>
      <c r="O60" s="256"/>
      <c r="P60" s="306"/>
      <c r="Q60" s="307"/>
      <c r="R60" s="307"/>
      <c r="S60" s="307"/>
      <c r="T60" s="307"/>
      <c r="U60" s="266"/>
    </row>
    <row r="61" spans="1:21" s="48" customFormat="1" ht="15" customHeight="1" x14ac:dyDescent="0.25">
      <c r="A61" s="42" t="s">
        <v>246</v>
      </c>
      <c r="B61" s="192" t="s">
        <v>66</v>
      </c>
      <c r="C61" s="42" t="s">
        <v>67</v>
      </c>
      <c r="D61" s="42"/>
      <c r="E61" s="50" t="s">
        <v>247</v>
      </c>
      <c r="F61" s="38" t="s">
        <v>69</v>
      </c>
      <c r="G61" s="38"/>
      <c r="H61" s="38"/>
      <c r="I61" s="38"/>
      <c r="J61" s="40"/>
      <c r="K61" s="40"/>
      <c r="L61" s="240" t="s">
        <v>70</v>
      </c>
      <c r="M61" s="241" t="s">
        <v>70</v>
      </c>
      <c r="N61" s="252" t="s">
        <v>71</v>
      </c>
      <c r="O61" s="257"/>
      <c r="P61" s="306">
        <v>4</v>
      </c>
      <c r="Q61" s="307">
        <v>0.6</v>
      </c>
      <c r="R61" s="307">
        <v>0.6</v>
      </c>
      <c r="S61" s="307">
        <v>1</v>
      </c>
      <c r="T61" s="307">
        <v>0.3</v>
      </c>
      <c r="U61" s="266">
        <f t="shared" si="0"/>
        <v>0.6</v>
      </c>
    </row>
    <row r="62" spans="1:21" s="48" customFormat="1" ht="15" customHeight="1" x14ac:dyDescent="0.25">
      <c r="A62" s="42" t="s">
        <v>248</v>
      </c>
      <c r="B62" s="192" t="s">
        <v>66</v>
      </c>
      <c r="C62" s="42" t="s">
        <v>67</v>
      </c>
      <c r="D62" s="42"/>
      <c r="E62" s="50" t="s">
        <v>249</v>
      </c>
      <c r="F62" s="38" t="s">
        <v>69</v>
      </c>
      <c r="G62" s="38"/>
      <c r="H62" s="38"/>
      <c r="I62" s="38"/>
      <c r="J62" s="40"/>
      <c r="K62" s="40"/>
      <c r="L62" s="240" t="s">
        <v>70</v>
      </c>
      <c r="M62" s="241" t="s">
        <v>70</v>
      </c>
      <c r="N62" s="252" t="s">
        <v>71</v>
      </c>
      <c r="O62" s="257"/>
      <c r="P62" s="306">
        <v>5</v>
      </c>
      <c r="Q62" s="307">
        <v>0.6</v>
      </c>
      <c r="R62" s="307">
        <v>0.6</v>
      </c>
      <c r="S62" s="307">
        <v>1</v>
      </c>
      <c r="T62" s="307">
        <v>0.3</v>
      </c>
      <c r="U62" s="266">
        <f t="shared" si="0"/>
        <v>0.6</v>
      </c>
    </row>
    <row r="63" spans="1:21" s="48" customFormat="1" ht="15" customHeight="1" x14ac:dyDescent="0.25">
      <c r="A63" s="42"/>
      <c r="B63" s="192"/>
      <c r="C63" s="42"/>
      <c r="D63" s="42"/>
      <c r="E63" s="50"/>
      <c r="F63" s="38"/>
      <c r="G63" s="38"/>
      <c r="H63" s="38"/>
      <c r="I63" s="38"/>
      <c r="J63" s="40"/>
      <c r="K63" s="40"/>
      <c r="L63" s="240"/>
      <c r="M63" s="241"/>
      <c r="N63" s="252"/>
      <c r="O63" s="257"/>
      <c r="P63" s="306"/>
      <c r="Q63" s="307"/>
      <c r="R63" s="307"/>
      <c r="S63" s="307"/>
      <c r="T63" s="307"/>
      <c r="U63" s="266"/>
    </row>
    <row r="64" spans="1:21" s="48" customFormat="1" ht="15" customHeight="1" x14ac:dyDescent="0.25">
      <c r="A64" s="42" t="s">
        <v>250</v>
      </c>
      <c r="B64" s="192" t="s">
        <v>66</v>
      </c>
      <c r="C64" s="42" t="s">
        <v>67</v>
      </c>
      <c r="D64" s="42"/>
      <c r="E64" s="50" t="s">
        <v>251</v>
      </c>
      <c r="F64" s="38" t="s">
        <v>69</v>
      </c>
      <c r="G64" s="38"/>
      <c r="H64" s="38"/>
      <c r="I64" s="38"/>
      <c r="J64" s="40"/>
      <c r="K64" s="40"/>
      <c r="L64" s="240" t="s">
        <v>70</v>
      </c>
      <c r="M64" s="241" t="s">
        <v>70</v>
      </c>
      <c r="N64" s="252" t="s">
        <v>71</v>
      </c>
      <c r="O64" s="257"/>
      <c r="P64" s="306">
        <v>7</v>
      </c>
      <c r="Q64" s="307">
        <v>0.6</v>
      </c>
      <c r="R64" s="307">
        <v>0.6</v>
      </c>
      <c r="S64" s="307">
        <v>1</v>
      </c>
      <c r="T64" s="307">
        <v>0.3</v>
      </c>
      <c r="U64" s="266">
        <f t="shared" si="0"/>
        <v>0.6</v>
      </c>
    </row>
    <row r="65" spans="1:21" s="48" customFormat="1" ht="15" customHeight="1" x14ac:dyDescent="0.25">
      <c r="A65" s="42" t="s">
        <v>252</v>
      </c>
      <c r="B65" s="192" t="s">
        <v>66</v>
      </c>
      <c r="C65" s="42" t="s">
        <v>67</v>
      </c>
      <c r="D65" s="42"/>
      <c r="E65" s="50" t="s">
        <v>253</v>
      </c>
      <c r="F65" s="38" t="s">
        <v>69</v>
      </c>
      <c r="G65" s="38"/>
      <c r="H65" s="38"/>
      <c r="I65" s="38"/>
      <c r="J65" s="40"/>
      <c r="K65" s="40"/>
      <c r="L65" s="240" t="s">
        <v>70</v>
      </c>
      <c r="M65" s="241" t="s">
        <v>70</v>
      </c>
      <c r="N65" s="252" t="s">
        <v>71</v>
      </c>
      <c r="O65" s="257"/>
      <c r="P65" s="306">
        <v>8</v>
      </c>
      <c r="Q65" s="307">
        <v>0.6</v>
      </c>
      <c r="R65" s="307">
        <v>0.6</v>
      </c>
      <c r="S65" s="307">
        <v>1</v>
      </c>
      <c r="T65" s="307">
        <v>0.3</v>
      </c>
      <c r="U65" s="266">
        <f t="shared" si="0"/>
        <v>0.6</v>
      </c>
    </row>
    <row r="66" spans="1:21" s="48" customFormat="1" ht="15" customHeight="1" x14ac:dyDescent="0.25">
      <c r="A66" s="42"/>
      <c r="B66" s="192"/>
      <c r="C66" s="42"/>
      <c r="D66" s="42"/>
      <c r="E66" s="50"/>
      <c r="F66" s="38"/>
      <c r="G66" s="38"/>
      <c r="H66" s="38"/>
      <c r="I66" s="38"/>
      <c r="J66" s="40"/>
      <c r="K66" s="40"/>
      <c r="L66" s="240"/>
      <c r="M66" s="241"/>
      <c r="N66" s="252"/>
      <c r="O66" s="257"/>
      <c r="P66" s="306"/>
      <c r="Q66" s="307"/>
      <c r="R66" s="307"/>
      <c r="S66" s="307"/>
      <c r="T66" s="307"/>
      <c r="U66" s="266"/>
    </row>
    <row r="67" spans="1:21" s="48" customFormat="1" ht="15" customHeight="1" x14ac:dyDescent="0.25">
      <c r="A67" s="42" t="s">
        <v>254</v>
      </c>
      <c r="B67" s="192" t="s">
        <v>66</v>
      </c>
      <c r="C67" s="42" t="s">
        <v>67</v>
      </c>
      <c r="D67" s="42"/>
      <c r="E67" s="50" t="s">
        <v>255</v>
      </c>
      <c r="F67" s="38" t="s">
        <v>69</v>
      </c>
      <c r="G67" s="38"/>
      <c r="H67" s="38"/>
      <c r="I67" s="38"/>
      <c r="J67" s="40"/>
      <c r="K67" s="40"/>
      <c r="L67" s="240" t="s">
        <v>70</v>
      </c>
      <c r="M67" s="241" t="s">
        <v>70</v>
      </c>
      <c r="N67" s="252" t="s">
        <v>71</v>
      </c>
      <c r="O67" s="257"/>
      <c r="P67" s="306">
        <v>10</v>
      </c>
      <c r="Q67" s="307">
        <v>0.6</v>
      </c>
      <c r="R67" s="307">
        <v>0.6</v>
      </c>
      <c r="S67" s="307">
        <v>1</v>
      </c>
      <c r="T67" s="307">
        <v>0.3</v>
      </c>
      <c r="U67" s="266">
        <f t="shared" si="0"/>
        <v>0.6</v>
      </c>
    </row>
    <row r="68" spans="1:21" s="48" customFormat="1" ht="15" customHeight="1" x14ac:dyDescent="0.25">
      <c r="A68" s="37"/>
      <c r="B68" s="37"/>
      <c r="C68" s="37"/>
      <c r="D68" s="37"/>
      <c r="E68" s="37"/>
      <c r="F68" s="38"/>
      <c r="G68" s="38"/>
      <c r="H68" s="38"/>
      <c r="I68" s="38"/>
      <c r="J68" s="40"/>
      <c r="K68" s="40"/>
      <c r="L68" s="240"/>
      <c r="M68" s="241"/>
      <c r="N68" s="252"/>
      <c r="O68" s="257"/>
      <c r="P68" s="306"/>
      <c r="Q68" s="307"/>
      <c r="R68" s="307"/>
      <c r="S68" s="307"/>
      <c r="T68" s="307"/>
      <c r="U68" s="266"/>
    </row>
    <row r="69" spans="1:21" s="48" customFormat="1" ht="15" customHeight="1" x14ac:dyDescent="0.25">
      <c r="A69" s="42" t="s">
        <v>256</v>
      </c>
      <c r="B69" s="192" t="s">
        <v>66</v>
      </c>
      <c r="C69" s="42" t="s">
        <v>67</v>
      </c>
      <c r="D69" s="42"/>
      <c r="E69" s="50" t="s">
        <v>257</v>
      </c>
      <c r="F69" s="38" t="s">
        <v>69</v>
      </c>
      <c r="G69" s="38"/>
      <c r="H69" s="38"/>
      <c r="I69" s="38"/>
      <c r="J69" s="40"/>
      <c r="K69" s="40"/>
      <c r="L69" s="240" t="s">
        <v>70</v>
      </c>
      <c r="M69" s="241" t="s">
        <v>70</v>
      </c>
      <c r="N69" s="252" t="s">
        <v>71</v>
      </c>
      <c r="O69" s="257"/>
      <c r="P69" s="306">
        <v>12</v>
      </c>
      <c r="Q69" s="307">
        <v>0.6</v>
      </c>
      <c r="R69" s="307">
        <v>0.6</v>
      </c>
      <c r="S69" s="307">
        <v>1</v>
      </c>
      <c r="T69" s="307">
        <v>0.3</v>
      </c>
      <c r="U69" s="266">
        <f t="shared" si="0"/>
        <v>0.6</v>
      </c>
    </row>
    <row r="70" spans="1:21" s="48" customFormat="1" ht="15" customHeight="1" x14ac:dyDescent="0.25">
      <c r="A70" s="42" t="s">
        <v>258</v>
      </c>
      <c r="B70" s="192" t="s">
        <v>66</v>
      </c>
      <c r="C70" s="42" t="s">
        <v>67</v>
      </c>
      <c r="D70" s="42"/>
      <c r="E70" s="50" t="s">
        <v>259</v>
      </c>
      <c r="F70" s="38" t="s">
        <v>69</v>
      </c>
      <c r="G70" s="38"/>
      <c r="H70" s="38"/>
      <c r="I70" s="38"/>
      <c r="J70" s="40"/>
      <c r="K70" s="40"/>
      <c r="L70" s="240" t="s">
        <v>70</v>
      </c>
      <c r="M70" s="241" t="s">
        <v>70</v>
      </c>
      <c r="N70" s="252" t="s">
        <v>71</v>
      </c>
      <c r="O70" s="257"/>
      <c r="P70" s="306">
        <v>13</v>
      </c>
      <c r="Q70" s="307">
        <v>0.6</v>
      </c>
      <c r="R70" s="307">
        <v>0.6</v>
      </c>
      <c r="S70" s="307">
        <v>1</v>
      </c>
      <c r="T70" s="307">
        <v>0.3</v>
      </c>
      <c r="U70" s="266">
        <f t="shared" si="0"/>
        <v>0.6</v>
      </c>
    </row>
    <row r="71" spans="1:21" s="48" customFormat="1" ht="15" customHeight="1" x14ac:dyDescent="0.25">
      <c r="A71" s="42"/>
      <c r="B71" s="192"/>
      <c r="C71" s="42"/>
      <c r="D71" s="42"/>
      <c r="E71" s="50"/>
      <c r="F71" s="38"/>
      <c r="G71" s="38"/>
      <c r="H71" s="38"/>
      <c r="I71" s="38"/>
      <c r="J71" s="40"/>
      <c r="K71" s="40"/>
      <c r="L71" s="240"/>
      <c r="M71" s="241"/>
      <c r="N71" s="252"/>
      <c r="O71" s="257"/>
      <c r="P71" s="306"/>
      <c r="Q71" s="307"/>
      <c r="R71" s="307"/>
      <c r="S71" s="307"/>
      <c r="T71" s="307"/>
      <c r="U71" s="266"/>
    </row>
    <row r="72" spans="1:21" s="48" customFormat="1" ht="15" customHeight="1" x14ac:dyDescent="0.25">
      <c r="A72" s="42" t="s">
        <v>260</v>
      </c>
      <c r="B72" s="192" t="s">
        <v>66</v>
      </c>
      <c r="C72" s="42" t="s">
        <v>67</v>
      </c>
      <c r="D72" s="42"/>
      <c r="E72" s="50" t="s">
        <v>261</v>
      </c>
      <c r="F72" s="38" t="s">
        <v>69</v>
      </c>
      <c r="G72" s="38"/>
      <c r="H72" s="38"/>
      <c r="I72" s="38"/>
      <c r="J72" s="40"/>
      <c r="K72" s="40"/>
      <c r="L72" s="240" t="s">
        <v>70</v>
      </c>
      <c r="M72" s="241" t="s">
        <v>70</v>
      </c>
      <c r="N72" s="252" t="s">
        <v>71</v>
      </c>
      <c r="O72" s="257"/>
      <c r="P72" s="306">
        <v>15</v>
      </c>
      <c r="Q72" s="307">
        <v>0.6</v>
      </c>
      <c r="R72" s="307">
        <v>0.6</v>
      </c>
      <c r="S72" s="307">
        <v>1</v>
      </c>
      <c r="T72" s="307">
        <v>0.3</v>
      </c>
      <c r="U72" s="266">
        <f t="shared" si="0"/>
        <v>0.6</v>
      </c>
    </row>
    <row r="73" spans="1:21" s="48" customFormat="1" ht="15" customHeight="1" x14ac:dyDescent="0.25">
      <c r="A73" s="42" t="s">
        <v>262</v>
      </c>
      <c r="B73" s="192" t="s">
        <v>66</v>
      </c>
      <c r="C73" s="42" t="s">
        <v>67</v>
      </c>
      <c r="D73" s="42"/>
      <c r="E73" s="50" t="s">
        <v>263</v>
      </c>
      <c r="F73" s="38" t="s">
        <v>69</v>
      </c>
      <c r="G73" s="38"/>
      <c r="H73" s="38"/>
      <c r="I73" s="38"/>
      <c r="J73" s="40"/>
      <c r="K73" s="40"/>
      <c r="L73" s="240" t="s">
        <v>70</v>
      </c>
      <c r="M73" s="241" t="s">
        <v>70</v>
      </c>
      <c r="N73" s="252" t="s">
        <v>71</v>
      </c>
      <c r="O73" s="257"/>
      <c r="P73" s="306">
        <v>16</v>
      </c>
      <c r="Q73" s="307">
        <v>0.6</v>
      </c>
      <c r="R73" s="307">
        <v>0.6</v>
      </c>
      <c r="S73" s="307">
        <v>1</v>
      </c>
      <c r="T73" s="307">
        <v>0.3</v>
      </c>
      <c r="U73" s="266">
        <f t="shared" si="0"/>
        <v>0.6</v>
      </c>
    </row>
    <row r="74" spans="1:21" s="48" customFormat="1" ht="15" customHeight="1" x14ac:dyDescent="0.25">
      <c r="A74" s="42"/>
      <c r="B74" s="192"/>
      <c r="C74" s="42"/>
      <c r="D74" s="42"/>
      <c r="E74" s="50"/>
      <c r="F74" s="38"/>
      <c r="G74" s="38"/>
      <c r="H74" s="38"/>
      <c r="I74" s="38"/>
      <c r="J74" s="40"/>
      <c r="K74" s="40"/>
      <c r="L74" s="240"/>
      <c r="M74" s="241"/>
      <c r="N74" s="252"/>
      <c r="O74" s="257"/>
      <c r="P74" s="306"/>
      <c r="Q74" s="307"/>
      <c r="R74" s="307"/>
      <c r="S74" s="307"/>
      <c r="T74" s="307"/>
      <c r="U74" s="266"/>
    </row>
    <row r="75" spans="1:21" s="48" customFormat="1" ht="15" customHeight="1" x14ac:dyDescent="0.25">
      <c r="A75" s="42" t="s">
        <v>264</v>
      </c>
      <c r="B75" s="192" t="s">
        <v>66</v>
      </c>
      <c r="C75" s="42" t="s">
        <v>67</v>
      </c>
      <c r="D75" s="42"/>
      <c r="E75" s="50" t="s">
        <v>265</v>
      </c>
      <c r="F75" s="38" t="s">
        <v>69</v>
      </c>
      <c r="G75" s="38"/>
      <c r="H75" s="38"/>
      <c r="I75" s="38"/>
      <c r="J75" s="40"/>
      <c r="K75" s="40"/>
      <c r="L75" s="240" t="s">
        <v>70</v>
      </c>
      <c r="M75" s="241" t="s">
        <v>70</v>
      </c>
      <c r="N75" s="252" t="s">
        <v>71</v>
      </c>
      <c r="O75" s="257"/>
      <c r="P75" s="306">
        <v>18</v>
      </c>
      <c r="Q75" s="307">
        <v>0.6</v>
      </c>
      <c r="R75" s="307">
        <v>0.6</v>
      </c>
      <c r="S75" s="307">
        <v>1</v>
      </c>
      <c r="T75" s="307">
        <v>0.3</v>
      </c>
      <c r="U75" s="266">
        <f t="shared" ref="U75:U77" si="8">MAX(R75,T75)</f>
        <v>0.6</v>
      </c>
    </row>
    <row r="76" spans="1:21" s="48" customFormat="1" ht="15" customHeight="1" x14ac:dyDescent="0.25">
      <c r="A76" s="42" t="s">
        <v>266</v>
      </c>
      <c r="B76" s="192" t="s">
        <v>66</v>
      </c>
      <c r="C76" s="42" t="s">
        <v>67</v>
      </c>
      <c r="D76" s="42"/>
      <c r="E76" s="50" t="s">
        <v>267</v>
      </c>
      <c r="F76" s="38" t="s">
        <v>69</v>
      </c>
      <c r="G76" s="38"/>
      <c r="H76" s="38"/>
      <c r="I76" s="38"/>
      <c r="J76" s="40"/>
      <c r="K76" s="40"/>
      <c r="L76" s="240" t="s">
        <v>70</v>
      </c>
      <c r="M76" s="241" t="s">
        <v>70</v>
      </c>
      <c r="N76" s="268" t="s">
        <v>71</v>
      </c>
      <c r="O76" s="257"/>
      <c r="P76" s="306">
        <v>19</v>
      </c>
      <c r="Q76" s="307">
        <v>0.6</v>
      </c>
      <c r="R76" s="307">
        <v>0.6</v>
      </c>
      <c r="S76" s="307">
        <v>1</v>
      </c>
      <c r="T76" s="307">
        <v>0.3</v>
      </c>
      <c r="U76" s="266">
        <f t="shared" si="8"/>
        <v>0.6</v>
      </c>
    </row>
    <row r="77" spans="1:21" s="48" customFormat="1" ht="15" customHeight="1" x14ac:dyDescent="0.25">
      <c r="A77" s="42" t="s">
        <v>268</v>
      </c>
      <c r="B77" s="192" t="s">
        <v>66</v>
      </c>
      <c r="C77" s="42" t="s">
        <v>67</v>
      </c>
      <c r="D77" s="42"/>
      <c r="E77" s="50" t="s">
        <v>269</v>
      </c>
      <c r="F77" s="38" t="s">
        <v>69</v>
      </c>
      <c r="G77" s="38"/>
      <c r="H77" s="38"/>
      <c r="I77" s="38"/>
      <c r="J77" s="40"/>
      <c r="K77" s="40"/>
      <c r="L77" s="240" t="s">
        <v>70</v>
      </c>
      <c r="M77" s="240" t="s">
        <v>70</v>
      </c>
      <c r="N77" s="268" t="s">
        <v>71</v>
      </c>
      <c r="O77" s="257"/>
      <c r="P77" s="306">
        <v>20</v>
      </c>
      <c r="Q77" s="307">
        <v>0.6</v>
      </c>
      <c r="R77" s="307">
        <v>0.6</v>
      </c>
      <c r="S77" s="307">
        <v>1</v>
      </c>
      <c r="T77" s="307">
        <v>0.3</v>
      </c>
      <c r="U77" s="266">
        <f t="shared" si="8"/>
        <v>0.6</v>
      </c>
    </row>
    <row r="78" spans="1:21" s="48" customFormat="1" ht="15" customHeight="1" x14ac:dyDescent="0.25">
      <c r="A78" s="42" t="s">
        <v>270</v>
      </c>
      <c r="B78" s="192" t="s">
        <v>66</v>
      </c>
      <c r="C78" s="42" t="s">
        <v>67</v>
      </c>
      <c r="D78" s="42"/>
      <c r="E78" s="50" t="s">
        <v>271</v>
      </c>
      <c r="F78" s="38" t="s">
        <v>69</v>
      </c>
      <c r="G78" s="38"/>
      <c r="H78" s="38"/>
      <c r="I78" s="38"/>
      <c r="J78" s="40"/>
      <c r="K78" s="40"/>
      <c r="L78" s="240" t="s">
        <v>70</v>
      </c>
      <c r="M78" s="240" t="s">
        <v>70</v>
      </c>
      <c r="N78" s="268" t="s">
        <v>71</v>
      </c>
      <c r="O78" s="257"/>
      <c r="P78" s="306">
        <v>21</v>
      </c>
      <c r="Q78" s="307">
        <v>0.6</v>
      </c>
      <c r="R78" s="307">
        <v>0.6</v>
      </c>
      <c r="S78" s="307">
        <v>1</v>
      </c>
      <c r="T78" s="307">
        <v>0.3</v>
      </c>
      <c r="U78" s="266">
        <f t="shared" ref="U78:U141" si="9">MAX(R78,T78)</f>
        <v>0.6</v>
      </c>
    </row>
    <row r="79" spans="1:21" s="48" customFormat="1" ht="15" customHeight="1" x14ac:dyDescent="0.25">
      <c r="A79" s="42"/>
      <c r="B79" s="192"/>
      <c r="C79" s="42"/>
      <c r="D79" s="42"/>
      <c r="E79" s="50"/>
      <c r="F79" s="38"/>
      <c r="G79" s="38"/>
      <c r="H79" s="38"/>
      <c r="I79" s="38"/>
      <c r="J79" s="40"/>
      <c r="K79" s="40"/>
      <c r="L79" s="240"/>
      <c r="M79" s="240"/>
      <c r="N79" s="268"/>
      <c r="O79" s="257"/>
      <c r="P79" s="306"/>
      <c r="Q79" s="307"/>
      <c r="R79" s="307"/>
      <c r="S79" s="307"/>
      <c r="T79" s="307"/>
      <c r="U79" s="266"/>
    </row>
    <row r="80" spans="1:21" s="48" customFormat="1" ht="15" customHeight="1" x14ac:dyDescent="0.25">
      <c r="A80" s="42" t="s">
        <v>272</v>
      </c>
      <c r="B80" s="192" t="s">
        <v>66</v>
      </c>
      <c r="C80" s="42" t="s">
        <v>67</v>
      </c>
      <c r="D80" s="42"/>
      <c r="E80" s="50" t="s">
        <v>273</v>
      </c>
      <c r="F80" s="38" t="s">
        <v>69</v>
      </c>
      <c r="G80" s="38"/>
      <c r="H80" s="38"/>
      <c r="I80" s="38"/>
      <c r="J80" s="40"/>
      <c r="K80" s="40"/>
      <c r="L80" s="240" t="s">
        <v>70</v>
      </c>
      <c r="M80" s="240" t="s">
        <v>70</v>
      </c>
      <c r="N80" s="268" t="s">
        <v>71</v>
      </c>
      <c r="O80" s="257"/>
      <c r="P80" s="306">
        <v>23</v>
      </c>
      <c r="Q80" s="307">
        <v>0.6</v>
      </c>
      <c r="R80" s="307">
        <v>0.6</v>
      </c>
      <c r="S80" s="307">
        <v>1</v>
      </c>
      <c r="T80" s="307">
        <v>0.3</v>
      </c>
      <c r="U80" s="266">
        <f t="shared" si="9"/>
        <v>0.6</v>
      </c>
    </row>
    <row r="81" spans="1:21" s="48" customFormat="1" ht="15" customHeight="1" x14ac:dyDescent="0.25">
      <c r="A81" s="42" t="s">
        <v>274</v>
      </c>
      <c r="B81" s="192" t="s">
        <v>66</v>
      </c>
      <c r="C81" s="42" t="s">
        <v>67</v>
      </c>
      <c r="D81" s="42"/>
      <c r="E81" s="50" t="s">
        <v>275</v>
      </c>
      <c r="F81" s="38" t="s">
        <v>69</v>
      </c>
      <c r="G81" s="38"/>
      <c r="H81" s="38"/>
      <c r="I81" s="38"/>
      <c r="J81" s="40"/>
      <c r="K81" s="40"/>
      <c r="L81" s="240" t="s">
        <v>70</v>
      </c>
      <c r="M81" s="240" t="s">
        <v>70</v>
      </c>
      <c r="N81" s="268" t="s">
        <v>71</v>
      </c>
      <c r="O81" s="257"/>
      <c r="P81" s="306">
        <v>24</v>
      </c>
      <c r="Q81" s="307">
        <v>0.6</v>
      </c>
      <c r="R81" s="307">
        <v>0.6</v>
      </c>
      <c r="S81" s="307">
        <v>1</v>
      </c>
      <c r="T81" s="307">
        <v>0.3</v>
      </c>
      <c r="U81" s="266">
        <f t="shared" si="9"/>
        <v>0.6</v>
      </c>
    </row>
    <row r="82" spans="1:21" s="48" customFormat="1" ht="15" customHeight="1" x14ac:dyDescent="0.25">
      <c r="A82" s="42" t="s">
        <v>276</v>
      </c>
      <c r="B82" s="192" t="s">
        <v>66</v>
      </c>
      <c r="C82" s="42" t="s">
        <v>67</v>
      </c>
      <c r="D82" s="42"/>
      <c r="E82" s="50" t="s">
        <v>277</v>
      </c>
      <c r="F82" s="38" t="s">
        <v>69</v>
      </c>
      <c r="G82" s="38"/>
      <c r="H82" s="38"/>
      <c r="I82" s="38"/>
      <c r="J82" s="40"/>
      <c r="K82" s="40"/>
      <c r="L82" s="240" t="s">
        <v>70</v>
      </c>
      <c r="M82" s="240" t="s">
        <v>70</v>
      </c>
      <c r="N82" s="268" t="s">
        <v>71</v>
      </c>
      <c r="O82" s="257"/>
      <c r="P82" s="306">
        <v>25</v>
      </c>
      <c r="Q82" s="307">
        <v>0.6</v>
      </c>
      <c r="R82" s="307">
        <v>0.6</v>
      </c>
      <c r="S82" s="307">
        <v>1</v>
      </c>
      <c r="T82" s="307">
        <v>0.3</v>
      </c>
      <c r="U82" s="266">
        <f t="shared" si="9"/>
        <v>0.6</v>
      </c>
    </row>
    <row r="83" spans="1:21" s="48" customFormat="1" ht="15" customHeight="1" x14ac:dyDescent="0.25">
      <c r="A83" s="42" t="s">
        <v>278</v>
      </c>
      <c r="B83" s="192" t="s">
        <v>66</v>
      </c>
      <c r="C83" s="42" t="s">
        <v>67</v>
      </c>
      <c r="D83" s="42"/>
      <c r="E83" s="50" t="s">
        <v>279</v>
      </c>
      <c r="F83" s="38" t="s">
        <v>69</v>
      </c>
      <c r="G83" s="38"/>
      <c r="H83" s="38"/>
      <c r="I83" s="38"/>
      <c r="J83" s="40"/>
      <c r="K83" s="40"/>
      <c r="L83" s="240" t="s">
        <v>70</v>
      </c>
      <c r="M83" s="240" t="s">
        <v>70</v>
      </c>
      <c r="N83" s="268" t="s">
        <v>71</v>
      </c>
      <c r="O83" s="257"/>
      <c r="P83" s="306">
        <v>26</v>
      </c>
      <c r="Q83" s="307">
        <v>0.6</v>
      </c>
      <c r="R83" s="307">
        <v>0.6</v>
      </c>
      <c r="S83" s="307">
        <v>1</v>
      </c>
      <c r="T83" s="307">
        <v>0.3</v>
      </c>
      <c r="U83" s="266">
        <f t="shared" si="9"/>
        <v>0.6</v>
      </c>
    </row>
    <row r="84" spans="1:21" s="48" customFormat="1" ht="15" customHeight="1" x14ac:dyDescent="0.25">
      <c r="A84" s="42" t="s">
        <v>280</v>
      </c>
      <c r="B84" s="192" t="s">
        <v>66</v>
      </c>
      <c r="C84" s="42" t="s">
        <v>67</v>
      </c>
      <c r="D84" s="38"/>
      <c r="E84" s="50" t="s">
        <v>281</v>
      </c>
      <c r="F84" s="38" t="s">
        <v>69</v>
      </c>
      <c r="G84" s="38"/>
      <c r="H84" s="38"/>
      <c r="I84" s="38"/>
      <c r="J84" s="40"/>
      <c r="K84" s="40"/>
      <c r="L84" s="240" t="s">
        <v>70</v>
      </c>
      <c r="M84" s="240" t="s">
        <v>70</v>
      </c>
      <c r="N84" s="268" t="s">
        <v>71</v>
      </c>
      <c r="O84" s="257"/>
      <c r="P84" s="306">
        <v>27</v>
      </c>
      <c r="Q84" s="307">
        <v>0.6</v>
      </c>
      <c r="R84" s="307">
        <v>0.6</v>
      </c>
      <c r="S84" s="307">
        <v>1</v>
      </c>
      <c r="T84" s="307">
        <v>0.3</v>
      </c>
      <c r="U84" s="266">
        <f t="shared" si="9"/>
        <v>0.6</v>
      </c>
    </row>
    <row r="85" spans="1:21" s="48" customFormat="1" ht="15" customHeight="1" x14ac:dyDescent="0.25">
      <c r="A85" s="37"/>
      <c r="B85" s="37"/>
      <c r="C85" s="37"/>
      <c r="D85" s="38"/>
      <c r="E85" s="50"/>
      <c r="F85" s="38"/>
      <c r="G85" s="38"/>
      <c r="H85" s="38"/>
      <c r="I85" s="38"/>
      <c r="J85" s="40"/>
      <c r="K85" s="40"/>
      <c r="L85" s="240"/>
      <c r="M85" s="240"/>
      <c r="N85" s="268"/>
      <c r="O85" s="257"/>
      <c r="P85" s="306"/>
      <c r="Q85" s="307"/>
      <c r="R85" s="307"/>
      <c r="S85" s="307"/>
      <c r="T85" s="307"/>
      <c r="U85" s="266"/>
    </row>
    <row r="86" spans="1:21" s="48" customFormat="1" ht="15" customHeight="1" x14ac:dyDescent="0.25">
      <c r="A86" s="42" t="s">
        <v>282</v>
      </c>
      <c r="B86" s="192" t="s">
        <v>66</v>
      </c>
      <c r="C86" s="42" t="s">
        <v>67</v>
      </c>
      <c r="D86" s="38"/>
      <c r="E86" s="50" t="s">
        <v>283</v>
      </c>
      <c r="F86" s="38" t="s">
        <v>69</v>
      </c>
      <c r="G86" s="38"/>
      <c r="H86" s="38"/>
      <c r="I86" s="38"/>
      <c r="J86" s="40"/>
      <c r="K86" s="40"/>
      <c r="L86" s="240" t="s">
        <v>70</v>
      </c>
      <c r="M86" s="240" t="s">
        <v>70</v>
      </c>
      <c r="N86" s="268" t="s">
        <v>71</v>
      </c>
      <c r="O86" s="257"/>
      <c r="P86" s="306">
        <v>29</v>
      </c>
      <c r="Q86" s="307">
        <v>0.6</v>
      </c>
      <c r="R86" s="307">
        <v>0.6</v>
      </c>
      <c r="S86" s="307">
        <v>1</v>
      </c>
      <c r="T86" s="307">
        <v>0.3</v>
      </c>
      <c r="U86" s="266">
        <f t="shared" si="9"/>
        <v>0.6</v>
      </c>
    </row>
    <row r="87" spans="1:21" s="48" customFormat="1" ht="15" customHeight="1" x14ac:dyDescent="0.25">
      <c r="A87" s="42" t="s">
        <v>284</v>
      </c>
      <c r="B87" s="192" t="s">
        <v>66</v>
      </c>
      <c r="C87" s="42" t="s">
        <v>67</v>
      </c>
      <c r="D87" s="38"/>
      <c r="E87" s="50" t="s">
        <v>285</v>
      </c>
      <c r="F87" s="38" t="s">
        <v>69</v>
      </c>
      <c r="G87" s="38"/>
      <c r="H87" s="38"/>
      <c r="I87" s="38"/>
      <c r="J87" s="40"/>
      <c r="K87" s="40"/>
      <c r="L87" s="240" t="s">
        <v>70</v>
      </c>
      <c r="M87" s="240" t="s">
        <v>70</v>
      </c>
      <c r="N87" s="268" t="s">
        <v>71</v>
      </c>
      <c r="O87" s="257"/>
      <c r="P87" s="306">
        <v>30</v>
      </c>
      <c r="Q87" s="307">
        <v>0.6</v>
      </c>
      <c r="R87" s="307">
        <v>0.6</v>
      </c>
      <c r="S87" s="307">
        <v>1</v>
      </c>
      <c r="T87" s="307">
        <v>0.3</v>
      </c>
      <c r="U87" s="266">
        <f t="shared" si="9"/>
        <v>0.6</v>
      </c>
    </row>
    <row r="88" spans="1:21" s="48" customFormat="1" ht="15" customHeight="1" x14ac:dyDescent="0.25">
      <c r="A88" s="37"/>
      <c r="B88" s="37"/>
      <c r="C88" s="37"/>
      <c r="D88" s="38"/>
      <c r="E88" s="50"/>
      <c r="F88" s="38"/>
      <c r="G88" s="38"/>
      <c r="H88" s="38"/>
      <c r="I88" s="38"/>
      <c r="J88" s="40"/>
      <c r="K88" s="40"/>
      <c r="L88" s="240"/>
      <c r="M88" s="240"/>
      <c r="N88" s="268"/>
      <c r="O88" s="257"/>
      <c r="P88" s="306"/>
      <c r="Q88" s="307"/>
      <c r="R88" s="307"/>
      <c r="S88" s="307"/>
      <c r="T88" s="307"/>
      <c r="U88" s="266"/>
    </row>
    <row r="89" spans="1:21" s="48" customFormat="1" ht="15" customHeight="1" x14ac:dyDescent="0.25">
      <c r="A89" s="42" t="s">
        <v>286</v>
      </c>
      <c r="B89" s="192" t="s">
        <v>66</v>
      </c>
      <c r="C89" s="42" t="s">
        <v>67</v>
      </c>
      <c r="D89" s="38"/>
      <c r="E89" s="50" t="s">
        <v>287</v>
      </c>
      <c r="F89" s="38" t="s">
        <v>69</v>
      </c>
      <c r="G89" s="38"/>
      <c r="H89" s="38"/>
      <c r="I89" s="38"/>
      <c r="J89" s="40"/>
      <c r="K89" s="40"/>
      <c r="L89" s="240" t="s">
        <v>70</v>
      </c>
      <c r="M89" s="240" t="s">
        <v>70</v>
      </c>
      <c r="N89" s="268" t="s">
        <v>71</v>
      </c>
      <c r="O89" s="257"/>
      <c r="P89" s="306">
        <v>32</v>
      </c>
      <c r="Q89" s="307">
        <v>0.6</v>
      </c>
      <c r="R89" s="307">
        <v>0.6</v>
      </c>
      <c r="S89" s="307">
        <v>1</v>
      </c>
      <c r="T89" s="307">
        <v>0.3</v>
      </c>
      <c r="U89" s="266">
        <f t="shared" si="9"/>
        <v>0.6</v>
      </c>
    </row>
    <row r="90" spans="1:21" s="48" customFormat="1" ht="15" customHeight="1" x14ac:dyDescent="0.25">
      <c r="A90" s="42" t="s">
        <v>288</v>
      </c>
      <c r="B90" s="192" t="s">
        <v>66</v>
      </c>
      <c r="C90" s="42" t="s">
        <v>67</v>
      </c>
      <c r="D90" s="38"/>
      <c r="E90" s="50" t="s">
        <v>289</v>
      </c>
      <c r="F90" s="38" t="s">
        <v>69</v>
      </c>
      <c r="G90" s="38"/>
      <c r="H90" s="38"/>
      <c r="I90" s="38"/>
      <c r="J90" s="40"/>
      <c r="K90" s="40"/>
      <c r="L90" s="240" t="s">
        <v>70</v>
      </c>
      <c r="M90" s="240" t="s">
        <v>70</v>
      </c>
      <c r="N90" s="268" t="s">
        <v>71</v>
      </c>
      <c r="O90" s="257"/>
      <c r="P90" s="306">
        <v>33</v>
      </c>
      <c r="Q90" s="307">
        <v>0.6</v>
      </c>
      <c r="R90" s="307">
        <v>0.6</v>
      </c>
      <c r="S90" s="307">
        <v>1</v>
      </c>
      <c r="T90" s="307">
        <v>0.3</v>
      </c>
      <c r="U90" s="266">
        <f t="shared" si="9"/>
        <v>0.6</v>
      </c>
    </row>
    <row r="91" spans="1:21" s="48" customFormat="1" ht="15" customHeight="1" x14ac:dyDescent="0.25">
      <c r="A91" s="37"/>
      <c r="B91" s="37"/>
      <c r="C91" s="37"/>
      <c r="D91" s="38"/>
      <c r="E91" s="50"/>
      <c r="F91" s="38"/>
      <c r="G91" s="38"/>
      <c r="H91" s="38"/>
      <c r="I91" s="38"/>
      <c r="J91" s="40"/>
      <c r="K91" s="40"/>
      <c r="L91" s="240"/>
      <c r="M91" s="240"/>
      <c r="N91" s="268"/>
      <c r="O91" s="257"/>
      <c r="P91" s="306"/>
      <c r="Q91" s="307"/>
      <c r="R91" s="307"/>
      <c r="S91" s="307"/>
      <c r="T91" s="307"/>
      <c r="U91" s="266"/>
    </row>
    <row r="92" spans="1:21" s="48" customFormat="1" ht="15" customHeight="1" x14ac:dyDescent="0.25">
      <c r="A92" s="42" t="s">
        <v>290</v>
      </c>
      <c r="B92" s="192" t="s">
        <v>66</v>
      </c>
      <c r="C92" s="42" t="s">
        <v>67</v>
      </c>
      <c r="D92" s="38"/>
      <c r="E92" s="50" t="s">
        <v>291</v>
      </c>
      <c r="F92" s="38" t="s">
        <v>69</v>
      </c>
      <c r="G92" s="38"/>
      <c r="H92" s="38"/>
      <c r="I92" s="38"/>
      <c r="J92" s="40"/>
      <c r="K92" s="40"/>
      <c r="L92" s="240" t="s">
        <v>70</v>
      </c>
      <c r="M92" s="240" t="s">
        <v>70</v>
      </c>
      <c r="N92" s="268" t="s">
        <v>71</v>
      </c>
      <c r="O92" s="257"/>
      <c r="P92" s="306">
        <v>35</v>
      </c>
      <c r="Q92" s="307">
        <v>0.6</v>
      </c>
      <c r="R92" s="307">
        <v>0.6</v>
      </c>
      <c r="S92" s="307">
        <v>1</v>
      </c>
      <c r="T92" s="307">
        <v>0.3</v>
      </c>
      <c r="U92" s="266">
        <f t="shared" si="9"/>
        <v>0.6</v>
      </c>
    </row>
    <row r="93" spans="1:21" s="48" customFormat="1" ht="15" customHeight="1" x14ac:dyDescent="0.25">
      <c r="A93" s="42" t="s">
        <v>292</v>
      </c>
      <c r="B93" s="192" t="s">
        <v>66</v>
      </c>
      <c r="C93" s="42" t="s">
        <v>67</v>
      </c>
      <c r="D93" s="38"/>
      <c r="E93" s="50" t="s">
        <v>293</v>
      </c>
      <c r="F93" s="38" t="s">
        <v>69</v>
      </c>
      <c r="G93" s="38"/>
      <c r="H93" s="38"/>
      <c r="I93" s="38"/>
      <c r="J93" s="40"/>
      <c r="K93" s="40"/>
      <c r="L93" s="240" t="s">
        <v>70</v>
      </c>
      <c r="M93" s="240" t="s">
        <v>70</v>
      </c>
      <c r="N93" s="268" t="s">
        <v>71</v>
      </c>
      <c r="O93" s="257"/>
      <c r="P93" s="306">
        <v>36</v>
      </c>
      <c r="Q93" s="307">
        <v>0.6</v>
      </c>
      <c r="R93" s="307">
        <v>0.6</v>
      </c>
      <c r="S93" s="307">
        <v>1</v>
      </c>
      <c r="T93" s="307">
        <v>0.3</v>
      </c>
      <c r="U93" s="266">
        <f t="shared" si="9"/>
        <v>0.6</v>
      </c>
    </row>
    <row r="94" spans="1:21" s="48" customFormat="1" ht="15" customHeight="1" x14ac:dyDescent="0.25">
      <c r="A94" s="37"/>
      <c r="B94" s="37"/>
      <c r="C94" s="37"/>
      <c r="D94" s="38"/>
      <c r="E94" s="50"/>
      <c r="F94" s="38"/>
      <c r="G94" s="38"/>
      <c r="H94" s="38"/>
      <c r="I94" s="38"/>
      <c r="J94" s="40"/>
      <c r="K94" s="40"/>
      <c r="L94" s="240"/>
      <c r="M94" s="240"/>
      <c r="N94" s="268"/>
      <c r="O94" s="257"/>
      <c r="P94" s="306"/>
      <c r="Q94" s="307"/>
      <c r="R94" s="307"/>
      <c r="S94" s="307"/>
      <c r="T94" s="307"/>
      <c r="U94" s="266"/>
    </row>
    <row r="95" spans="1:21" s="48" customFormat="1" ht="15" customHeight="1" thickBot="1" x14ac:dyDescent="0.3">
      <c r="A95" s="41"/>
      <c r="B95" s="41"/>
      <c r="C95" s="41"/>
      <c r="D95" s="38"/>
      <c r="E95" s="43" t="str">
        <f>"SUB-TOTAL "&amp;UPPER(A21)&amp;" DRAWINGS"</f>
        <v>SUB-TOTAL BUILDING NAME OR AREA NAME 1 DRAWINGS</v>
      </c>
      <c r="F95" s="38"/>
      <c r="G95" s="38"/>
      <c r="H95" s="38"/>
      <c r="I95" s="115">
        <f ca="1">COUNTA(F22:I95)</f>
        <v>60</v>
      </c>
      <c r="J95" s="36"/>
      <c r="K95" s="36"/>
      <c r="L95" s="240"/>
      <c r="M95" s="240"/>
      <c r="N95" s="268"/>
      <c r="O95" s="257"/>
      <c r="P95" s="306"/>
      <c r="Q95" s="307"/>
      <c r="R95" s="307"/>
      <c r="S95" s="307"/>
      <c r="T95" s="307"/>
      <c r="U95" s="266"/>
    </row>
    <row r="96" spans="1:21" s="62" customFormat="1" ht="15.75" thickTop="1" x14ac:dyDescent="0.25">
      <c r="A96" s="33"/>
      <c r="B96" s="33"/>
      <c r="C96" s="33"/>
      <c r="D96" s="36"/>
      <c r="E96" s="63"/>
      <c r="F96" s="36"/>
      <c r="G96" s="36"/>
      <c r="H96" s="36"/>
      <c r="I96" s="36"/>
      <c r="J96" s="36"/>
      <c r="K96" s="36"/>
      <c r="L96" s="240"/>
      <c r="M96" s="240"/>
      <c r="N96" s="268"/>
      <c r="O96" s="257"/>
      <c r="P96" s="306"/>
      <c r="Q96" s="307"/>
      <c r="R96" s="307"/>
      <c r="S96" s="307"/>
      <c r="T96" s="307"/>
      <c r="U96" s="266"/>
    </row>
    <row r="97" spans="1:21" s="48" customFormat="1" ht="18" customHeight="1" x14ac:dyDescent="0.25">
      <c r="A97" s="32" t="str">
        <f>'1. CIVIL'!A61</f>
        <v>Building Name or Area Name 2</v>
      </c>
      <c r="B97" s="32"/>
      <c r="C97" s="32"/>
      <c r="D97" s="11"/>
      <c r="E97" s="11"/>
      <c r="F97" s="11"/>
      <c r="G97" s="11"/>
      <c r="H97" s="11"/>
      <c r="I97" s="11"/>
      <c r="J97" s="11"/>
      <c r="K97" s="11"/>
      <c r="L97" s="240"/>
      <c r="M97" s="240"/>
      <c r="N97" s="268"/>
      <c r="O97" s="257"/>
      <c r="P97" s="306"/>
      <c r="Q97" s="307"/>
      <c r="R97" s="307"/>
      <c r="S97" s="307"/>
      <c r="T97" s="307"/>
      <c r="U97" s="266"/>
    </row>
    <row r="98" spans="1:21" s="48" customFormat="1" ht="15" customHeight="1" x14ac:dyDescent="0.25">
      <c r="A98" s="42" t="s">
        <v>294</v>
      </c>
      <c r="B98" s="192" t="s">
        <v>66</v>
      </c>
      <c r="C98" s="42" t="s">
        <v>67</v>
      </c>
      <c r="D98" s="42"/>
      <c r="E98" s="50" t="s">
        <v>177</v>
      </c>
      <c r="F98" s="38" t="s">
        <v>69</v>
      </c>
      <c r="G98" s="38"/>
      <c r="H98" s="38"/>
      <c r="I98" s="38"/>
      <c r="J98" s="40"/>
      <c r="K98" s="40"/>
      <c r="L98" s="240" t="s">
        <v>70</v>
      </c>
      <c r="M98" s="240" t="s">
        <v>70</v>
      </c>
      <c r="N98" s="268" t="s">
        <v>71</v>
      </c>
      <c r="O98" s="257"/>
      <c r="P98" s="306">
        <v>41</v>
      </c>
      <c r="Q98" s="307">
        <v>0.6</v>
      </c>
      <c r="R98" s="307">
        <v>0.6</v>
      </c>
      <c r="S98" s="307">
        <v>1</v>
      </c>
      <c r="T98" s="307">
        <v>0.3</v>
      </c>
      <c r="U98" s="266">
        <f t="shared" si="9"/>
        <v>0.6</v>
      </c>
    </row>
    <row r="99" spans="1:21" s="48" customFormat="1" ht="15" customHeight="1" x14ac:dyDescent="0.25">
      <c r="A99" s="42" t="s">
        <v>295</v>
      </c>
      <c r="B99" s="192" t="s">
        <v>66</v>
      </c>
      <c r="C99" s="42" t="s">
        <v>67</v>
      </c>
      <c r="D99" s="42"/>
      <c r="E99" s="50" t="s">
        <v>179</v>
      </c>
      <c r="F99" s="38" t="s">
        <v>69</v>
      </c>
      <c r="G99" s="38"/>
      <c r="H99" s="38"/>
      <c r="I99" s="38"/>
      <c r="J99" s="40"/>
      <c r="K99" s="40"/>
      <c r="L99" s="240" t="s">
        <v>70</v>
      </c>
      <c r="M99" s="240" t="s">
        <v>70</v>
      </c>
      <c r="N99" s="268" t="s">
        <v>71</v>
      </c>
      <c r="O99" s="257"/>
      <c r="P99" s="306">
        <v>42</v>
      </c>
      <c r="Q99" s="307">
        <v>0.6</v>
      </c>
      <c r="R99" s="307">
        <v>0.6</v>
      </c>
      <c r="S99" s="307">
        <v>1</v>
      </c>
      <c r="T99" s="307">
        <v>0.3</v>
      </c>
      <c r="U99" s="266">
        <f t="shared" si="9"/>
        <v>0.6</v>
      </c>
    </row>
    <row r="100" spans="1:21" s="48" customFormat="1" ht="15" customHeight="1" x14ac:dyDescent="0.25">
      <c r="A100" s="42" t="s">
        <v>296</v>
      </c>
      <c r="B100" s="192" t="s">
        <v>66</v>
      </c>
      <c r="C100" s="42" t="s">
        <v>67</v>
      </c>
      <c r="D100" s="42"/>
      <c r="E100" s="50" t="s">
        <v>297</v>
      </c>
      <c r="F100" s="38" t="s">
        <v>69</v>
      </c>
      <c r="G100" s="38"/>
      <c r="H100" s="38"/>
      <c r="I100" s="38"/>
      <c r="J100" s="40"/>
      <c r="K100" s="40"/>
      <c r="L100" s="240" t="s">
        <v>70</v>
      </c>
      <c r="M100" s="240" t="s">
        <v>70</v>
      </c>
      <c r="N100" s="268" t="s">
        <v>71</v>
      </c>
      <c r="O100" s="257"/>
      <c r="P100" s="306">
        <v>43</v>
      </c>
      <c r="Q100" s="307">
        <v>0.6</v>
      </c>
      <c r="R100" s="307">
        <v>0.6</v>
      </c>
      <c r="S100" s="307">
        <v>1</v>
      </c>
      <c r="T100" s="307">
        <v>0.3</v>
      </c>
      <c r="U100" s="266">
        <f t="shared" si="9"/>
        <v>0.6</v>
      </c>
    </row>
    <row r="101" spans="1:21" s="48" customFormat="1" ht="15" customHeight="1" x14ac:dyDescent="0.25">
      <c r="A101" s="42" t="s">
        <v>298</v>
      </c>
      <c r="B101" s="192" t="s">
        <v>66</v>
      </c>
      <c r="C101" s="42" t="s">
        <v>67</v>
      </c>
      <c r="D101" s="42"/>
      <c r="E101" s="50" t="s">
        <v>299</v>
      </c>
      <c r="F101" s="38" t="s">
        <v>69</v>
      </c>
      <c r="G101" s="38"/>
      <c r="H101" s="38"/>
      <c r="I101" s="38"/>
      <c r="J101" s="40"/>
      <c r="K101" s="40"/>
      <c r="L101" s="240" t="s">
        <v>70</v>
      </c>
      <c r="M101" s="240" t="s">
        <v>70</v>
      </c>
      <c r="N101" s="268" t="s">
        <v>71</v>
      </c>
      <c r="O101" s="257"/>
      <c r="P101" s="306">
        <v>44</v>
      </c>
      <c r="Q101" s="307">
        <v>0.6</v>
      </c>
      <c r="R101" s="307">
        <v>0.6</v>
      </c>
      <c r="S101" s="307">
        <v>1</v>
      </c>
      <c r="T101" s="307">
        <v>0.3</v>
      </c>
      <c r="U101" s="266">
        <f t="shared" si="9"/>
        <v>0.6</v>
      </c>
    </row>
    <row r="102" spans="1:21" s="48" customFormat="1" ht="15" customHeight="1" x14ac:dyDescent="0.25">
      <c r="A102" s="42" t="s">
        <v>300</v>
      </c>
      <c r="B102" s="192" t="s">
        <v>66</v>
      </c>
      <c r="C102" s="42" t="s">
        <v>67</v>
      </c>
      <c r="D102" s="42"/>
      <c r="E102" s="50" t="s">
        <v>301</v>
      </c>
      <c r="F102" s="38" t="s">
        <v>69</v>
      </c>
      <c r="G102" s="38"/>
      <c r="H102" s="38"/>
      <c r="I102" s="38"/>
      <c r="J102" s="40"/>
      <c r="K102" s="40"/>
      <c r="L102" s="240" t="s">
        <v>70</v>
      </c>
      <c r="M102" s="240" t="s">
        <v>70</v>
      </c>
      <c r="N102" s="268" t="s">
        <v>71</v>
      </c>
      <c r="O102" s="257"/>
      <c r="P102" s="306">
        <v>45</v>
      </c>
      <c r="Q102" s="307">
        <v>0.6</v>
      </c>
      <c r="R102" s="307">
        <v>0.6</v>
      </c>
      <c r="S102" s="307">
        <v>1</v>
      </c>
      <c r="T102" s="307">
        <v>0.3</v>
      </c>
      <c r="U102" s="266">
        <f t="shared" si="9"/>
        <v>0.6</v>
      </c>
    </row>
    <row r="103" spans="1:21" s="48" customFormat="1" ht="15" customHeight="1" x14ac:dyDescent="0.25">
      <c r="A103" s="42" t="s">
        <v>302</v>
      </c>
      <c r="B103" s="192" t="s">
        <v>66</v>
      </c>
      <c r="C103" s="42" t="s">
        <v>67</v>
      </c>
      <c r="D103" s="42"/>
      <c r="E103" s="50" t="s">
        <v>303</v>
      </c>
      <c r="F103" s="38" t="s">
        <v>69</v>
      </c>
      <c r="G103" s="38"/>
      <c r="H103" s="38"/>
      <c r="I103" s="38"/>
      <c r="J103" s="40"/>
      <c r="K103" s="40"/>
      <c r="L103" s="240" t="s">
        <v>70</v>
      </c>
      <c r="M103" s="240" t="s">
        <v>70</v>
      </c>
      <c r="N103" s="268" t="s">
        <v>71</v>
      </c>
      <c r="O103" s="257"/>
      <c r="P103" s="306">
        <v>46</v>
      </c>
      <c r="Q103" s="307">
        <v>0.6</v>
      </c>
      <c r="R103" s="307">
        <v>0.6</v>
      </c>
      <c r="S103" s="307">
        <v>1</v>
      </c>
      <c r="T103" s="307">
        <v>0.3</v>
      </c>
      <c r="U103" s="266">
        <f t="shared" si="9"/>
        <v>0.6</v>
      </c>
    </row>
    <row r="104" spans="1:21" s="48" customFormat="1" ht="15" customHeight="1" x14ac:dyDescent="0.25">
      <c r="A104" s="42" t="s">
        <v>304</v>
      </c>
      <c r="B104" s="192" t="s">
        <v>66</v>
      </c>
      <c r="C104" s="42" t="s">
        <v>67</v>
      </c>
      <c r="D104" s="42"/>
      <c r="E104" s="50" t="s">
        <v>305</v>
      </c>
      <c r="F104" s="38" t="s">
        <v>69</v>
      </c>
      <c r="G104" s="38"/>
      <c r="H104" s="38"/>
      <c r="I104" s="38"/>
      <c r="J104" s="40"/>
      <c r="K104" s="40"/>
      <c r="L104" s="240" t="s">
        <v>70</v>
      </c>
      <c r="M104" s="240" t="s">
        <v>70</v>
      </c>
      <c r="N104" s="268" t="s">
        <v>71</v>
      </c>
      <c r="O104" s="257"/>
      <c r="P104" s="306">
        <v>47</v>
      </c>
      <c r="Q104" s="307">
        <v>0.6</v>
      </c>
      <c r="R104" s="307">
        <v>0.6</v>
      </c>
      <c r="S104" s="307">
        <v>1</v>
      </c>
      <c r="T104" s="307">
        <v>0.3</v>
      </c>
      <c r="U104" s="266">
        <f t="shared" si="9"/>
        <v>0.6</v>
      </c>
    </row>
    <row r="105" spans="1:21" s="48" customFormat="1" ht="15" customHeight="1" x14ac:dyDescent="0.25">
      <c r="A105" s="42" t="s">
        <v>306</v>
      </c>
      <c r="B105" s="192" t="s">
        <v>66</v>
      </c>
      <c r="C105" s="42" t="s">
        <v>67</v>
      </c>
      <c r="D105" s="42"/>
      <c r="E105" s="50" t="s">
        <v>307</v>
      </c>
      <c r="F105" s="38" t="s">
        <v>69</v>
      </c>
      <c r="G105" s="38"/>
      <c r="H105" s="38"/>
      <c r="I105" s="38"/>
      <c r="J105" s="40"/>
      <c r="K105" s="40"/>
      <c r="L105" s="240" t="s">
        <v>70</v>
      </c>
      <c r="M105" s="240" t="s">
        <v>70</v>
      </c>
      <c r="N105" s="268" t="s">
        <v>71</v>
      </c>
      <c r="O105" s="257"/>
      <c r="P105" s="306">
        <v>48</v>
      </c>
      <c r="Q105" s="307">
        <v>0.6</v>
      </c>
      <c r="R105" s="307">
        <v>0.6</v>
      </c>
      <c r="S105" s="307">
        <v>1</v>
      </c>
      <c r="T105" s="307">
        <v>0.3</v>
      </c>
      <c r="U105" s="266">
        <f t="shared" si="9"/>
        <v>0.6</v>
      </c>
    </row>
    <row r="106" spans="1:21" s="48" customFormat="1" ht="15" customHeight="1" x14ac:dyDescent="0.25">
      <c r="A106" s="42" t="s">
        <v>308</v>
      </c>
      <c r="B106" s="192" t="s">
        <v>66</v>
      </c>
      <c r="C106" s="42" t="s">
        <v>67</v>
      </c>
      <c r="D106" s="42"/>
      <c r="E106" s="50" t="s">
        <v>309</v>
      </c>
      <c r="F106" s="38" t="s">
        <v>69</v>
      </c>
      <c r="G106" s="38"/>
      <c r="H106" s="38"/>
      <c r="I106" s="38"/>
      <c r="J106" s="40"/>
      <c r="K106" s="40"/>
      <c r="L106" s="240" t="s">
        <v>70</v>
      </c>
      <c r="M106" s="240" t="s">
        <v>70</v>
      </c>
      <c r="N106" s="268" t="s">
        <v>71</v>
      </c>
      <c r="O106" s="257"/>
      <c r="P106" s="306">
        <v>49</v>
      </c>
      <c r="Q106" s="307">
        <v>0.6</v>
      </c>
      <c r="R106" s="307">
        <v>0.6</v>
      </c>
      <c r="S106" s="307">
        <v>1</v>
      </c>
      <c r="T106" s="307">
        <v>0.3</v>
      </c>
      <c r="U106" s="266">
        <f t="shared" si="9"/>
        <v>0.6</v>
      </c>
    </row>
    <row r="107" spans="1:21" s="48" customFormat="1" ht="15" customHeight="1" x14ac:dyDescent="0.25">
      <c r="A107" s="42" t="s">
        <v>310</v>
      </c>
      <c r="B107" s="192" t="s">
        <v>66</v>
      </c>
      <c r="C107" s="42" t="s">
        <v>67</v>
      </c>
      <c r="D107" s="42"/>
      <c r="E107" s="50" t="s">
        <v>311</v>
      </c>
      <c r="F107" s="38" t="s">
        <v>69</v>
      </c>
      <c r="G107" s="38"/>
      <c r="H107" s="38"/>
      <c r="I107" s="38"/>
      <c r="J107" s="40"/>
      <c r="K107" s="40"/>
      <c r="L107" s="240" t="s">
        <v>70</v>
      </c>
      <c r="M107" s="240" t="s">
        <v>70</v>
      </c>
      <c r="N107" s="268" t="s">
        <v>71</v>
      </c>
      <c r="O107" s="257"/>
      <c r="P107" s="306">
        <v>50</v>
      </c>
      <c r="Q107" s="307">
        <v>0.6</v>
      </c>
      <c r="R107" s="307">
        <v>0.6</v>
      </c>
      <c r="S107" s="307">
        <v>1</v>
      </c>
      <c r="T107" s="307">
        <v>0.3</v>
      </c>
      <c r="U107" s="266">
        <f t="shared" si="9"/>
        <v>0.6</v>
      </c>
    </row>
    <row r="108" spans="1:21" s="48" customFormat="1" ht="15" customHeight="1" x14ac:dyDescent="0.25">
      <c r="A108" s="42" t="s">
        <v>312</v>
      </c>
      <c r="B108" s="192" t="s">
        <v>66</v>
      </c>
      <c r="C108" s="42" t="s">
        <v>67</v>
      </c>
      <c r="D108" s="38"/>
      <c r="E108" s="50" t="s">
        <v>205</v>
      </c>
      <c r="F108" s="38" t="s">
        <v>69</v>
      </c>
      <c r="G108" s="38"/>
      <c r="H108" s="38"/>
      <c r="I108" s="38"/>
      <c r="J108" s="40"/>
      <c r="K108" s="40"/>
      <c r="L108" s="240" t="s">
        <v>70</v>
      </c>
      <c r="M108" s="240" t="s">
        <v>70</v>
      </c>
      <c r="N108" s="268" t="s">
        <v>71</v>
      </c>
      <c r="O108" s="257"/>
      <c r="P108" s="306">
        <v>51</v>
      </c>
      <c r="Q108" s="307">
        <v>0.6</v>
      </c>
      <c r="R108" s="307">
        <v>0.6</v>
      </c>
      <c r="S108" s="307">
        <v>1</v>
      </c>
      <c r="T108" s="307">
        <v>0.3</v>
      </c>
      <c r="U108" s="266">
        <f t="shared" si="9"/>
        <v>0.6</v>
      </c>
    </row>
    <row r="109" spans="1:21" s="48" customFormat="1" ht="15" customHeight="1" x14ac:dyDescent="0.25">
      <c r="A109" s="42" t="s">
        <v>313</v>
      </c>
      <c r="B109" s="192" t="s">
        <v>66</v>
      </c>
      <c r="C109" s="42" t="s">
        <v>67</v>
      </c>
      <c r="D109" s="38"/>
      <c r="E109" s="50" t="s">
        <v>207</v>
      </c>
      <c r="F109" s="38" t="s">
        <v>69</v>
      </c>
      <c r="G109" s="38"/>
      <c r="H109" s="38"/>
      <c r="I109" s="38"/>
      <c r="J109" s="40"/>
      <c r="K109" s="40"/>
      <c r="L109" s="240" t="s">
        <v>70</v>
      </c>
      <c r="M109" s="240" t="s">
        <v>70</v>
      </c>
      <c r="N109" s="268" t="s">
        <v>71</v>
      </c>
      <c r="O109" s="257"/>
      <c r="P109" s="306">
        <v>52</v>
      </c>
      <c r="Q109" s="307">
        <v>0.6</v>
      </c>
      <c r="R109" s="307">
        <v>0.6</v>
      </c>
      <c r="S109" s="307">
        <v>1</v>
      </c>
      <c r="T109" s="307">
        <v>0.3</v>
      </c>
      <c r="U109" s="266">
        <f t="shared" si="9"/>
        <v>0.6</v>
      </c>
    </row>
    <row r="110" spans="1:21" s="48" customFormat="1" ht="15" customHeight="1" x14ac:dyDescent="0.25">
      <c r="A110" s="42" t="s">
        <v>314</v>
      </c>
      <c r="B110" s="192" t="s">
        <v>66</v>
      </c>
      <c r="C110" s="42" t="s">
        <v>67</v>
      </c>
      <c r="D110" s="38"/>
      <c r="E110" s="50" t="s">
        <v>213</v>
      </c>
      <c r="F110" s="38" t="s">
        <v>69</v>
      </c>
      <c r="G110" s="38"/>
      <c r="H110" s="38"/>
      <c r="I110" s="38"/>
      <c r="J110" s="40"/>
      <c r="K110" s="40"/>
      <c r="L110" s="240" t="s">
        <v>70</v>
      </c>
      <c r="M110" s="240" t="s">
        <v>70</v>
      </c>
      <c r="N110" s="268" t="s">
        <v>71</v>
      </c>
      <c r="O110" s="257"/>
      <c r="P110" s="306">
        <v>53</v>
      </c>
      <c r="Q110" s="307">
        <v>0.6</v>
      </c>
      <c r="R110" s="307">
        <v>0.6</v>
      </c>
      <c r="S110" s="307">
        <v>1</v>
      </c>
      <c r="T110" s="307">
        <v>0.3</v>
      </c>
      <c r="U110" s="266">
        <f t="shared" si="9"/>
        <v>0.6</v>
      </c>
    </row>
    <row r="111" spans="1:21" s="48" customFormat="1" ht="15" customHeight="1" x14ac:dyDescent="0.25">
      <c r="A111" s="42" t="s">
        <v>315</v>
      </c>
      <c r="B111" s="192" t="s">
        <v>66</v>
      </c>
      <c r="C111" s="42" t="s">
        <v>67</v>
      </c>
      <c r="D111" s="38"/>
      <c r="E111" s="50" t="s">
        <v>215</v>
      </c>
      <c r="F111" s="38" t="s">
        <v>69</v>
      </c>
      <c r="G111" s="38"/>
      <c r="H111" s="38"/>
      <c r="I111" s="38"/>
      <c r="J111" s="40"/>
      <c r="K111" s="40"/>
      <c r="L111" s="240" t="s">
        <v>70</v>
      </c>
      <c r="M111" s="240" t="s">
        <v>70</v>
      </c>
      <c r="N111" s="268" t="s">
        <v>71</v>
      </c>
      <c r="O111" s="257"/>
      <c r="P111" s="306">
        <v>54</v>
      </c>
      <c r="Q111" s="307">
        <v>0.6</v>
      </c>
      <c r="R111" s="307">
        <v>0.6</v>
      </c>
      <c r="S111" s="307">
        <v>1</v>
      </c>
      <c r="T111" s="307">
        <v>0.3</v>
      </c>
      <c r="U111" s="266">
        <f t="shared" si="9"/>
        <v>0.6</v>
      </c>
    </row>
    <row r="112" spans="1:21" s="48" customFormat="1" ht="15" customHeight="1" x14ac:dyDescent="0.25">
      <c r="A112" s="37"/>
      <c r="B112" s="37"/>
      <c r="C112" s="37"/>
      <c r="D112" s="38"/>
      <c r="E112" s="39"/>
      <c r="F112" s="38"/>
      <c r="G112" s="38"/>
      <c r="H112" s="38"/>
      <c r="I112" s="38"/>
      <c r="J112" s="40"/>
      <c r="K112" s="40"/>
      <c r="L112" s="240"/>
      <c r="M112" s="240"/>
      <c r="N112" s="268"/>
      <c r="O112" s="257"/>
      <c r="P112" s="306"/>
      <c r="Q112" s="307"/>
      <c r="R112" s="307"/>
      <c r="S112" s="307"/>
      <c r="T112" s="307"/>
      <c r="U112" s="266"/>
    </row>
    <row r="113" spans="1:21" s="48" customFormat="1" ht="15" customHeight="1" x14ac:dyDescent="0.25">
      <c r="A113" s="42" t="s">
        <v>316</v>
      </c>
      <c r="B113" s="192" t="s">
        <v>66</v>
      </c>
      <c r="C113" s="42" t="s">
        <v>67</v>
      </c>
      <c r="D113" s="38"/>
      <c r="E113" s="50" t="s">
        <v>221</v>
      </c>
      <c r="F113" s="38" t="s">
        <v>69</v>
      </c>
      <c r="G113" s="38"/>
      <c r="H113" s="38"/>
      <c r="I113" s="38"/>
      <c r="J113" s="40"/>
      <c r="K113" s="40"/>
      <c r="L113" s="240" t="s">
        <v>70</v>
      </c>
      <c r="M113" s="240" t="s">
        <v>70</v>
      </c>
      <c r="N113" s="268" t="s">
        <v>71</v>
      </c>
      <c r="O113" s="257"/>
      <c r="P113" s="306">
        <v>56</v>
      </c>
      <c r="Q113" s="307">
        <v>0.6</v>
      </c>
      <c r="R113" s="307">
        <v>0.6</v>
      </c>
      <c r="S113" s="307">
        <v>1</v>
      </c>
      <c r="T113" s="307">
        <v>0.3</v>
      </c>
      <c r="U113" s="266">
        <f t="shared" si="9"/>
        <v>0.6</v>
      </c>
    </row>
    <row r="114" spans="1:21" s="48" customFormat="1" ht="15" customHeight="1" x14ac:dyDescent="0.25">
      <c r="A114" s="42" t="s">
        <v>317</v>
      </c>
      <c r="B114" s="192" t="s">
        <v>66</v>
      </c>
      <c r="C114" s="42" t="s">
        <v>67</v>
      </c>
      <c r="D114" s="38"/>
      <c r="E114" s="50" t="s">
        <v>223</v>
      </c>
      <c r="F114" s="38" t="s">
        <v>69</v>
      </c>
      <c r="G114" s="38"/>
      <c r="H114" s="38"/>
      <c r="I114" s="38"/>
      <c r="J114" s="40"/>
      <c r="K114" s="40"/>
      <c r="L114" s="240" t="s">
        <v>70</v>
      </c>
      <c r="M114" s="240" t="s">
        <v>70</v>
      </c>
      <c r="N114" s="268" t="s">
        <v>71</v>
      </c>
      <c r="O114" s="257"/>
      <c r="P114" s="306">
        <v>57</v>
      </c>
      <c r="Q114" s="307">
        <v>0.6</v>
      </c>
      <c r="R114" s="307">
        <v>0.6</v>
      </c>
      <c r="S114" s="307">
        <v>1</v>
      </c>
      <c r="T114" s="307">
        <v>0.3</v>
      </c>
      <c r="U114" s="266">
        <f t="shared" si="9"/>
        <v>0.6</v>
      </c>
    </row>
    <row r="115" spans="1:21" s="48" customFormat="1" ht="15" customHeight="1" x14ac:dyDescent="0.25">
      <c r="A115" s="37"/>
      <c r="B115" s="37"/>
      <c r="C115" s="37"/>
      <c r="D115" s="38"/>
      <c r="E115" s="39"/>
      <c r="F115" s="38"/>
      <c r="G115" s="38"/>
      <c r="H115" s="38"/>
      <c r="I115" s="38"/>
      <c r="J115" s="40"/>
      <c r="K115" s="40"/>
      <c r="L115" s="240"/>
      <c r="M115" s="240"/>
      <c r="N115" s="268"/>
      <c r="O115" s="257"/>
      <c r="P115" s="306"/>
      <c r="Q115" s="307"/>
      <c r="R115" s="307"/>
      <c r="S115" s="307"/>
      <c r="T115" s="307"/>
      <c r="U115" s="266"/>
    </row>
    <row r="116" spans="1:21" s="48" customFormat="1" ht="15" customHeight="1" x14ac:dyDescent="0.25">
      <c r="A116" s="42" t="s">
        <v>318</v>
      </c>
      <c r="B116" s="192" t="s">
        <v>66</v>
      </c>
      <c r="C116" s="42" t="s">
        <v>67</v>
      </c>
      <c r="D116" s="38"/>
      <c r="E116" s="50" t="s">
        <v>229</v>
      </c>
      <c r="F116" s="38" t="s">
        <v>69</v>
      </c>
      <c r="G116" s="38"/>
      <c r="H116" s="38"/>
      <c r="I116" s="38"/>
      <c r="J116" s="40"/>
      <c r="K116" s="40"/>
      <c r="L116" s="240" t="s">
        <v>70</v>
      </c>
      <c r="M116" s="240" t="s">
        <v>70</v>
      </c>
      <c r="N116" s="268" t="s">
        <v>71</v>
      </c>
      <c r="O116" s="257"/>
      <c r="P116" s="306">
        <v>59</v>
      </c>
      <c r="Q116" s="307">
        <v>0.6</v>
      </c>
      <c r="R116" s="307">
        <v>0.6</v>
      </c>
      <c r="S116" s="307">
        <v>1</v>
      </c>
      <c r="T116" s="307">
        <v>0.3</v>
      </c>
      <c r="U116" s="266">
        <f t="shared" si="9"/>
        <v>0.6</v>
      </c>
    </row>
    <row r="117" spans="1:21" s="48" customFormat="1" ht="15" customHeight="1" x14ac:dyDescent="0.25">
      <c r="A117" s="42" t="s">
        <v>319</v>
      </c>
      <c r="B117" s="192" t="s">
        <v>66</v>
      </c>
      <c r="C117" s="42" t="s">
        <v>67</v>
      </c>
      <c r="D117" s="38"/>
      <c r="E117" s="50" t="s">
        <v>231</v>
      </c>
      <c r="F117" s="38" t="s">
        <v>69</v>
      </c>
      <c r="G117" s="38"/>
      <c r="H117" s="38"/>
      <c r="I117" s="38"/>
      <c r="J117" s="40"/>
      <c r="K117" s="40"/>
      <c r="L117" s="240" t="s">
        <v>70</v>
      </c>
      <c r="M117" s="240" t="s">
        <v>70</v>
      </c>
      <c r="N117" s="268" t="s">
        <v>71</v>
      </c>
      <c r="O117" s="257"/>
      <c r="P117" s="306">
        <v>60</v>
      </c>
      <c r="Q117" s="307">
        <v>0.6</v>
      </c>
      <c r="R117" s="307">
        <v>0.6</v>
      </c>
      <c r="S117" s="307">
        <v>1</v>
      </c>
      <c r="T117" s="307">
        <v>0.3</v>
      </c>
      <c r="U117" s="266">
        <f t="shared" si="9"/>
        <v>0.6</v>
      </c>
    </row>
    <row r="118" spans="1:21" s="48" customFormat="1" ht="15" customHeight="1" x14ac:dyDescent="0.25">
      <c r="A118" s="42" t="s">
        <v>320</v>
      </c>
      <c r="B118" s="192" t="s">
        <v>66</v>
      </c>
      <c r="C118" s="42" t="s">
        <v>67</v>
      </c>
      <c r="D118" s="38"/>
      <c r="E118" s="50" t="s">
        <v>321</v>
      </c>
      <c r="F118" s="38" t="s">
        <v>69</v>
      </c>
      <c r="G118" s="38"/>
      <c r="H118" s="38"/>
      <c r="I118" s="38"/>
      <c r="J118" s="40"/>
      <c r="K118" s="40"/>
      <c r="L118" s="240" t="s">
        <v>70</v>
      </c>
      <c r="M118" s="240" t="s">
        <v>70</v>
      </c>
      <c r="N118" s="268" t="s">
        <v>71</v>
      </c>
      <c r="O118" s="257"/>
      <c r="P118" s="306">
        <v>61</v>
      </c>
      <c r="Q118" s="307">
        <v>0.6</v>
      </c>
      <c r="R118" s="307">
        <v>0.6</v>
      </c>
      <c r="S118" s="307">
        <v>1</v>
      </c>
      <c r="T118" s="307">
        <v>0.3</v>
      </c>
      <c r="U118" s="266">
        <f t="shared" si="9"/>
        <v>0.6</v>
      </c>
    </row>
    <row r="119" spans="1:21" s="48" customFormat="1" ht="15" customHeight="1" x14ac:dyDescent="0.25">
      <c r="A119" s="42" t="s">
        <v>322</v>
      </c>
      <c r="B119" s="192" t="s">
        <v>66</v>
      </c>
      <c r="C119" s="42" t="s">
        <v>67</v>
      </c>
      <c r="D119" s="38"/>
      <c r="E119" s="50" t="s">
        <v>323</v>
      </c>
      <c r="F119" s="38" t="s">
        <v>69</v>
      </c>
      <c r="G119" s="38"/>
      <c r="H119" s="38"/>
      <c r="I119" s="38"/>
      <c r="J119" s="40"/>
      <c r="K119" s="40"/>
      <c r="L119" s="240" t="s">
        <v>70</v>
      </c>
      <c r="M119" s="240" t="s">
        <v>70</v>
      </c>
      <c r="N119" s="268" t="s">
        <v>71</v>
      </c>
      <c r="O119" s="257"/>
      <c r="P119" s="306">
        <v>62</v>
      </c>
      <c r="Q119" s="307">
        <v>0.6</v>
      </c>
      <c r="R119" s="307">
        <v>0.6</v>
      </c>
      <c r="S119" s="307">
        <v>1</v>
      </c>
      <c r="T119" s="307">
        <v>0.3</v>
      </c>
      <c r="U119" s="266">
        <f t="shared" si="9"/>
        <v>0.6</v>
      </c>
    </row>
    <row r="120" spans="1:21" s="48" customFormat="1" ht="15" customHeight="1" x14ac:dyDescent="0.25">
      <c r="A120" s="42" t="s">
        <v>324</v>
      </c>
      <c r="B120" s="192" t="s">
        <v>66</v>
      </c>
      <c r="C120" s="42" t="s">
        <v>67</v>
      </c>
      <c r="D120" s="38"/>
      <c r="E120" s="50" t="s">
        <v>325</v>
      </c>
      <c r="F120" s="38" t="s">
        <v>69</v>
      </c>
      <c r="G120" s="38"/>
      <c r="H120" s="38"/>
      <c r="I120" s="38"/>
      <c r="J120" s="40"/>
      <c r="K120" s="40"/>
      <c r="L120" s="240" t="s">
        <v>70</v>
      </c>
      <c r="M120" s="240" t="s">
        <v>70</v>
      </c>
      <c r="N120" s="268" t="s">
        <v>71</v>
      </c>
      <c r="O120" s="257"/>
      <c r="P120" s="306">
        <v>63</v>
      </c>
      <c r="Q120" s="307">
        <v>0.6</v>
      </c>
      <c r="R120" s="307">
        <v>0.6</v>
      </c>
      <c r="S120" s="307">
        <v>1</v>
      </c>
      <c r="T120" s="307">
        <v>0.3</v>
      </c>
      <c r="U120" s="266">
        <f t="shared" si="9"/>
        <v>0.6</v>
      </c>
    </row>
    <row r="121" spans="1:21" s="48" customFormat="1" ht="15" customHeight="1" x14ac:dyDescent="0.25">
      <c r="A121" s="42" t="s">
        <v>326</v>
      </c>
      <c r="B121" s="192" t="s">
        <v>66</v>
      </c>
      <c r="C121" s="42" t="s">
        <v>67</v>
      </c>
      <c r="D121" s="38"/>
      <c r="E121" s="50" t="s">
        <v>237</v>
      </c>
      <c r="F121" s="38" t="s">
        <v>69</v>
      </c>
      <c r="G121" s="38"/>
      <c r="H121" s="38"/>
      <c r="I121" s="38"/>
      <c r="J121" s="40"/>
      <c r="K121" s="40"/>
      <c r="L121" s="240" t="s">
        <v>70</v>
      </c>
      <c r="M121" s="240" t="s">
        <v>70</v>
      </c>
      <c r="N121" s="268" t="s">
        <v>71</v>
      </c>
      <c r="O121" s="257"/>
      <c r="P121" s="306">
        <v>64</v>
      </c>
      <c r="Q121" s="307">
        <v>0.6</v>
      </c>
      <c r="R121" s="307">
        <v>0.6</v>
      </c>
      <c r="S121" s="307">
        <v>1</v>
      </c>
      <c r="T121" s="307">
        <v>0.3</v>
      </c>
      <c r="U121" s="266">
        <f t="shared" si="9"/>
        <v>0.6</v>
      </c>
    </row>
    <row r="122" spans="1:21" s="48" customFormat="1" ht="15" customHeight="1" x14ac:dyDescent="0.25">
      <c r="A122" s="42" t="s">
        <v>327</v>
      </c>
      <c r="B122" s="192" t="s">
        <v>66</v>
      </c>
      <c r="C122" s="42" t="s">
        <v>67</v>
      </c>
      <c r="D122" s="38"/>
      <c r="E122" s="50" t="s">
        <v>239</v>
      </c>
      <c r="F122" s="38" t="s">
        <v>69</v>
      </c>
      <c r="G122" s="38"/>
      <c r="H122" s="38"/>
      <c r="I122" s="38"/>
      <c r="J122" s="40"/>
      <c r="K122" s="40"/>
      <c r="L122" s="240" t="s">
        <v>70</v>
      </c>
      <c r="M122" s="240" t="s">
        <v>70</v>
      </c>
      <c r="N122" s="268" t="s">
        <v>71</v>
      </c>
      <c r="O122" s="257"/>
      <c r="P122" s="306">
        <v>65</v>
      </c>
      <c r="Q122" s="307">
        <v>0.6</v>
      </c>
      <c r="R122" s="307">
        <v>0.6</v>
      </c>
      <c r="S122" s="307">
        <v>1</v>
      </c>
      <c r="T122" s="307">
        <v>0.3</v>
      </c>
      <c r="U122" s="266">
        <f t="shared" si="9"/>
        <v>0.6</v>
      </c>
    </row>
    <row r="123" spans="1:21" s="48" customFormat="1" ht="15" customHeight="1" x14ac:dyDescent="0.25">
      <c r="A123" s="42"/>
      <c r="B123" s="37"/>
      <c r="C123" s="37"/>
      <c r="D123" s="38"/>
      <c r="E123" s="50"/>
      <c r="F123" s="38"/>
      <c r="G123" s="38"/>
      <c r="H123" s="38"/>
      <c r="I123" s="38"/>
      <c r="J123" s="40"/>
      <c r="K123" s="40"/>
      <c r="L123" s="240"/>
      <c r="M123" s="240"/>
      <c r="N123" s="268"/>
      <c r="O123" s="257"/>
      <c r="P123" s="306"/>
      <c r="Q123" s="307"/>
      <c r="R123" s="307"/>
      <c r="S123" s="307"/>
      <c r="T123" s="307"/>
      <c r="U123" s="266"/>
    </row>
    <row r="124" spans="1:21" s="48" customFormat="1" ht="15" customHeight="1" x14ac:dyDescent="0.25">
      <c r="A124" s="42" t="s">
        <v>328</v>
      </c>
      <c r="B124" s="192" t="s">
        <v>66</v>
      </c>
      <c r="C124" s="42" t="s">
        <v>67</v>
      </c>
      <c r="D124" s="38"/>
      <c r="E124" s="50" t="s">
        <v>243</v>
      </c>
      <c r="F124" s="38" t="s">
        <v>69</v>
      </c>
      <c r="G124" s="38"/>
      <c r="H124" s="38"/>
      <c r="I124" s="38"/>
      <c r="J124" s="40"/>
      <c r="K124" s="40"/>
      <c r="L124" s="240" t="s">
        <v>70</v>
      </c>
      <c r="M124" s="240" t="s">
        <v>70</v>
      </c>
      <c r="N124" s="268" t="s">
        <v>71</v>
      </c>
      <c r="O124" s="257"/>
      <c r="P124" s="306">
        <v>67</v>
      </c>
      <c r="Q124" s="307">
        <v>0.6</v>
      </c>
      <c r="R124" s="307">
        <v>0.6</v>
      </c>
      <c r="S124" s="307">
        <v>1</v>
      </c>
      <c r="T124" s="307">
        <v>0.3</v>
      </c>
      <c r="U124" s="266">
        <f t="shared" si="9"/>
        <v>0.6</v>
      </c>
    </row>
    <row r="125" spans="1:21" s="48" customFormat="1" ht="15" customHeight="1" x14ac:dyDescent="0.25">
      <c r="A125" s="42"/>
      <c r="B125" s="37"/>
      <c r="C125" s="37"/>
      <c r="D125" s="38"/>
      <c r="E125" s="50"/>
      <c r="F125" s="38"/>
      <c r="G125" s="38"/>
      <c r="H125" s="38"/>
      <c r="I125" s="38"/>
      <c r="J125" s="40"/>
      <c r="K125" s="40"/>
      <c r="L125" s="240"/>
      <c r="M125" s="240"/>
      <c r="N125" s="268"/>
      <c r="O125" s="257"/>
      <c r="P125" s="306"/>
      <c r="Q125" s="307"/>
      <c r="R125" s="307"/>
      <c r="S125" s="307"/>
      <c r="T125" s="307"/>
      <c r="U125" s="266"/>
    </row>
    <row r="126" spans="1:21" s="48" customFormat="1" ht="15" customHeight="1" x14ac:dyDescent="0.25">
      <c r="A126" s="42" t="s">
        <v>329</v>
      </c>
      <c r="B126" s="192" t="s">
        <v>66</v>
      </c>
      <c r="C126" s="42" t="s">
        <v>67</v>
      </c>
      <c r="D126" s="38"/>
      <c r="E126" s="50" t="s">
        <v>247</v>
      </c>
      <c r="F126" s="38" t="s">
        <v>69</v>
      </c>
      <c r="G126" s="38"/>
      <c r="H126" s="38"/>
      <c r="I126" s="38"/>
      <c r="J126" s="40"/>
      <c r="K126" s="40"/>
      <c r="L126" s="240" t="s">
        <v>70</v>
      </c>
      <c r="M126" s="240" t="s">
        <v>70</v>
      </c>
      <c r="N126" s="268" t="s">
        <v>71</v>
      </c>
      <c r="O126" s="257"/>
      <c r="P126" s="306">
        <v>69</v>
      </c>
      <c r="Q126" s="307">
        <v>0.6</v>
      </c>
      <c r="R126" s="307">
        <v>0.6</v>
      </c>
      <c r="S126" s="307">
        <v>1</v>
      </c>
      <c r="T126" s="307">
        <v>0.3</v>
      </c>
      <c r="U126" s="266">
        <f t="shared" si="9"/>
        <v>0.6</v>
      </c>
    </row>
    <row r="127" spans="1:21" s="48" customFormat="1" ht="15" customHeight="1" x14ac:dyDescent="0.25">
      <c r="A127" s="42" t="s">
        <v>330</v>
      </c>
      <c r="B127" s="192" t="s">
        <v>66</v>
      </c>
      <c r="C127" s="42" t="s">
        <v>67</v>
      </c>
      <c r="D127" s="38"/>
      <c r="E127" s="50" t="s">
        <v>249</v>
      </c>
      <c r="F127" s="38" t="s">
        <v>69</v>
      </c>
      <c r="G127" s="38"/>
      <c r="H127" s="38"/>
      <c r="I127" s="38"/>
      <c r="J127" s="40"/>
      <c r="K127" s="40"/>
      <c r="L127" s="240" t="s">
        <v>70</v>
      </c>
      <c r="M127" s="240" t="s">
        <v>70</v>
      </c>
      <c r="N127" s="268" t="s">
        <v>71</v>
      </c>
      <c r="O127" s="257"/>
      <c r="P127" s="306">
        <v>70</v>
      </c>
      <c r="Q127" s="307">
        <v>0.6</v>
      </c>
      <c r="R127" s="307">
        <v>0.6</v>
      </c>
      <c r="S127" s="307">
        <v>1</v>
      </c>
      <c r="T127" s="307">
        <v>0.3</v>
      </c>
      <c r="U127" s="266">
        <f t="shared" si="9"/>
        <v>0.6</v>
      </c>
    </row>
    <row r="128" spans="1:21" s="48" customFormat="1" ht="15" customHeight="1" x14ac:dyDescent="0.25">
      <c r="A128" s="42"/>
      <c r="B128" s="37"/>
      <c r="C128" s="37"/>
      <c r="D128" s="38"/>
      <c r="E128" s="50"/>
      <c r="F128" s="38"/>
      <c r="G128" s="38"/>
      <c r="H128" s="38"/>
      <c r="I128" s="38"/>
      <c r="J128" s="40"/>
      <c r="K128" s="40"/>
      <c r="L128" s="240"/>
      <c r="M128" s="240"/>
      <c r="N128" s="268"/>
      <c r="O128" s="257"/>
      <c r="P128" s="306"/>
      <c r="Q128" s="307"/>
      <c r="R128" s="307"/>
      <c r="S128" s="307"/>
      <c r="T128" s="307"/>
      <c r="U128" s="266"/>
    </row>
    <row r="129" spans="1:21" s="48" customFormat="1" ht="15" customHeight="1" outlineLevel="1" x14ac:dyDescent="0.25">
      <c r="A129" s="42" t="s">
        <v>331</v>
      </c>
      <c r="B129" s="192" t="s">
        <v>66</v>
      </c>
      <c r="C129" s="42" t="s">
        <v>67</v>
      </c>
      <c r="D129" s="42"/>
      <c r="E129" s="50" t="s">
        <v>251</v>
      </c>
      <c r="F129" s="38" t="s">
        <v>69</v>
      </c>
      <c r="G129" s="38"/>
      <c r="H129" s="38"/>
      <c r="I129" s="38"/>
      <c r="J129" s="40"/>
      <c r="K129" s="40"/>
      <c r="L129" s="240" t="s">
        <v>70</v>
      </c>
      <c r="M129" s="240" t="s">
        <v>70</v>
      </c>
      <c r="N129" s="268" t="s">
        <v>71</v>
      </c>
      <c r="O129" s="257"/>
      <c r="P129" s="306">
        <v>72</v>
      </c>
      <c r="Q129" s="307">
        <v>0.6</v>
      </c>
      <c r="R129" s="307">
        <v>0.6</v>
      </c>
      <c r="S129" s="307">
        <v>1</v>
      </c>
      <c r="T129" s="307">
        <v>0.3</v>
      </c>
      <c r="U129" s="266">
        <f t="shared" si="9"/>
        <v>0.6</v>
      </c>
    </row>
    <row r="130" spans="1:21" s="48" customFormat="1" ht="15" customHeight="1" outlineLevel="1" x14ac:dyDescent="0.25">
      <c r="A130" s="42"/>
      <c r="B130" s="192"/>
      <c r="C130" s="42"/>
      <c r="D130" s="42"/>
      <c r="E130" s="50"/>
      <c r="F130" s="38"/>
      <c r="G130" s="38"/>
      <c r="H130" s="38"/>
      <c r="I130" s="38"/>
      <c r="J130" s="40"/>
      <c r="K130" s="40"/>
      <c r="L130" s="240"/>
      <c r="M130" s="240"/>
      <c r="N130" s="268"/>
      <c r="O130" s="257"/>
      <c r="P130" s="306"/>
      <c r="Q130" s="307"/>
      <c r="R130" s="307"/>
      <c r="S130" s="307"/>
      <c r="T130" s="307"/>
      <c r="U130" s="266"/>
    </row>
    <row r="131" spans="1:21" s="48" customFormat="1" ht="15" customHeight="1" outlineLevel="1" x14ac:dyDescent="0.25">
      <c r="A131" s="42" t="s">
        <v>332</v>
      </c>
      <c r="B131" s="192" t="s">
        <v>66</v>
      </c>
      <c r="C131" s="42" t="s">
        <v>67</v>
      </c>
      <c r="D131" s="42"/>
      <c r="E131" s="50" t="s">
        <v>255</v>
      </c>
      <c r="F131" s="38" t="s">
        <v>69</v>
      </c>
      <c r="G131" s="38"/>
      <c r="H131" s="38"/>
      <c r="I131" s="38"/>
      <c r="J131" s="40"/>
      <c r="K131" s="40"/>
      <c r="L131" s="240" t="s">
        <v>70</v>
      </c>
      <c r="M131" s="240" t="s">
        <v>70</v>
      </c>
      <c r="N131" s="268" t="s">
        <v>71</v>
      </c>
      <c r="O131" s="257"/>
      <c r="P131" s="306">
        <v>74</v>
      </c>
      <c r="Q131" s="307">
        <v>0.6</v>
      </c>
      <c r="R131" s="307">
        <v>0.6</v>
      </c>
      <c r="S131" s="307">
        <v>1</v>
      </c>
      <c r="T131" s="307">
        <v>0.3</v>
      </c>
      <c r="U131" s="266">
        <f t="shared" si="9"/>
        <v>0.6</v>
      </c>
    </row>
    <row r="132" spans="1:21" s="48" customFormat="1" ht="15" customHeight="1" outlineLevel="1" x14ac:dyDescent="0.25">
      <c r="A132" s="42"/>
      <c r="B132" s="192"/>
      <c r="C132" s="42"/>
      <c r="D132" s="42"/>
      <c r="E132" s="50"/>
      <c r="F132" s="38"/>
      <c r="G132" s="38"/>
      <c r="H132" s="38"/>
      <c r="I132" s="38"/>
      <c r="J132" s="40"/>
      <c r="K132" s="40"/>
      <c r="L132" s="240"/>
      <c r="M132" s="240"/>
      <c r="N132" s="268"/>
      <c r="O132" s="257"/>
      <c r="P132" s="306"/>
      <c r="Q132" s="307"/>
      <c r="R132" s="307"/>
      <c r="S132" s="307"/>
      <c r="T132" s="307"/>
      <c r="U132" s="266"/>
    </row>
    <row r="133" spans="1:21" s="48" customFormat="1" ht="15" customHeight="1" outlineLevel="1" x14ac:dyDescent="0.25">
      <c r="A133" s="42" t="s">
        <v>333</v>
      </c>
      <c r="B133" s="192" t="s">
        <v>66</v>
      </c>
      <c r="C133" s="42" t="s">
        <v>67</v>
      </c>
      <c r="D133" s="42"/>
      <c r="E133" s="50" t="s">
        <v>257</v>
      </c>
      <c r="F133" s="38" t="s">
        <v>69</v>
      </c>
      <c r="G133" s="38"/>
      <c r="H133" s="38"/>
      <c r="I133" s="38"/>
      <c r="J133" s="40"/>
      <c r="K133" s="40"/>
      <c r="L133" s="240" t="s">
        <v>70</v>
      </c>
      <c r="M133" s="240" t="s">
        <v>70</v>
      </c>
      <c r="N133" s="268" t="s">
        <v>71</v>
      </c>
      <c r="O133" s="257"/>
      <c r="P133" s="306">
        <v>76</v>
      </c>
      <c r="Q133" s="307">
        <v>0.6</v>
      </c>
      <c r="R133" s="307">
        <v>0.6</v>
      </c>
      <c r="S133" s="307">
        <v>1</v>
      </c>
      <c r="T133" s="307">
        <v>0.3</v>
      </c>
      <c r="U133" s="266">
        <f t="shared" si="9"/>
        <v>0.6</v>
      </c>
    </row>
    <row r="134" spans="1:21" s="48" customFormat="1" ht="15" customHeight="1" outlineLevel="1" x14ac:dyDescent="0.25">
      <c r="A134" s="42"/>
      <c r="B134" s="192"/>
      <c r="C134" s="42"/>
      <c r="D134" s="42"/>
      <c r="E134" s="50"/>
      <c r="F134" s="38"/>
      <c r="G134" s="38"/>
      <c r="H134" s="38"/>
      <c r="I134" s="38"/>
      <c r="J134" s="40"/>
      <c r="K134" s="40"/>
      <c r="L134" s="240"/>
      <c r="M134" s="240"/>
      <c r="N134" s="268"/>
      <c r="O134" s="257"/>
      <c r="P134" s="306"/>
      <c r="Q134" s="307"/>
      <c r="R134" s="307"/>
      <c r="S134" s="307"/>
      <c r="T134" s="307"/>
      <c r="U134" s="266"/>
    </row>
    <row r="135" spans="1:21" s="48" customFormat="1" ht="15" customHeight="1" outlineLevel="1" x14ac:dyDescent="0.25">
      <c r="A135" s="42" t="s">
        <v>334</v>
      </c>
      <c r="B135" s="192" t="s">
        <v>66</v>
      </c>
      <c r="C135" s="42" t="s">
        <v>67</v>
      </c>
      <c r="D135" s="42"/>
      <c r="E135" s="50" t="s">
        <v>261</v>
      </c>
      <c r="F135" s="38" t="s">
        <v>69</v>
      </c>
      <c r="G135" s="38"/>
      <c r="H135" s="38"/>
      <c r="I135" s="38"/>
      <c r="J135" s="40"/>
      <c r="K135" s="40"/>
      <c r="L135" s="240" t="s">
        <v>70</v>
      </c>
      <c r="M135" s="240" t="s">
        <v>70</v>
      </c>
      <c r="N135" s="268" t="s">
        <v>71</v>
      </c>
      <c r="O135" s="257"/>
      <c r="P135" s="306">
        <v>78</v>
      </c>
      <c r="Q135" s="307">
        <v>0.6</v>
      </c>
      <c r="R135" s="307">
        <v>0.6</v>
      </c>
      <c r="S135" s="307">
        <v>1</v>
      </c>
      <c r="T135" s="307">
        <v>0.3</v>
      </c>
      <c r="U135" s="266">
        <f t="shared" si="9"/>
        <v>0.6</v>
      </c>
    </row>
    <row r="136" spans="1:21" s="48" customFormat="1" ht="15" customHeight="1" outlineLevel="1" x14ac:dyDescent="0.25">
      <c r="A136" s="42"/>
      <c r="B136" s="192"/>
      <c r="C136" s="42"/>
      <c r="D136" s="42"/>
      <c r="E136" s="50"/>
      <c r="F136" s="38"/>
      <c r="G136" s="38"/>
      <c r="H136" s="38"/>
      <c r="I136" s="38"/>
      <c r="J136" s="40"/>
      <c r="K136" s="40"/>
      <c r="L136" s="240"/>
      <c r="M136" s="240"/>
      <c r="N136" s="268"/>
      <c r="O136" s="257"/>
      <c r="P136" s="306"/>
      <c r="Q136" s="307"/>
      <c r="R136" s="307"/>
      <c r="S136" s="307"/>
      <c r="T136" s="307"/>
      <c r="U136" s="266"/>
    </row>
    <row r="137" spans="1:21" s="48" customFormat="1" ht="15" customHeight="1" outlineLevel="1" x14ac:dyDescent="0.25">
      <c r="A137" s="42" t="s">
        <v>335</v>
      </c>
      <c r="B137" s="192" t="s">
        <v>66</v>
      </c>
      <c r="C137" s="42" t="s">
        <v>67</v>
      </c>
      <c r="D137" s="42"/>
      <c r="E137" s="50" t="s">
        <v>265</v>
      </c>
      <c r="F137" s="38" t="s">
        <v>69</v>
      </c>
      <c r="G137" s="38"/>
      <c r="H137" s="38"/>
      <c r="I137" s="38"/>
      <c r="J137" s="40"/>
      <c r="K137" s="40"/>
      <c r="L137" s="240" t="s">
        <v>70</v>
      </c>
      <c r="M137" s="240" t="s">
        <v>70</v>
      </c>
      <c r="N137" s="268" t="s">
        <v>71</v>
      </c>
      <c r="O137" s="257"/>
      <c r="P137" s="306">
        <v>80</v>
      </c>
      <c r="Q137" s="307">
        <v>0.6</v>
      </c>
      <c r="R137" s="307">
        <v>0.6</v>
      </c>
      <c r="S137" s="307">
        <v>1</v>
      </c>
      <c r="T137" s="307">
        <v>0.3</v>
      </c>
      <c r="U137" s="266">
        <f t="shared" si="9"/>
        <v>0.6</v>
      </c>
    </row>
    <row r="138" spans="1:21" s="48" customFormat="1" ht="15" customHeight="1" outlineLevel="1" x14ac:dyDescent="0.25">
      <c r="A138" s="42" t="s">
        <v>336</v>
      </c>
      <c r="B138" s="192" t="s">
        <v>66</v>
      </c>
      <c r="C138" s="42" t="s">
        <v>67</v>
      </c>
      <c r="D138" s="42"/>
      <c r="E138" s="50" t="s">
        <v>267</v>
      </c>
      <c r="F138" s="38" t="s">
        <v>69</v>
      </c>
      <c r="G138" s="38"/>
      <c r="H138" s="38"/>
      <c r="I138" s="38"/>
      <c r="J138" s="40"/>
      <c r="K138" s="40"/>
      <c r="L138" s="240" t="s">
        <v>70</v>
      </c>
      <c r="M138" s="240" t="s">
        <v>70</v>
      </c>
      <c r="N138" s="268" t="s">
        <v>71</v>
      </c>
      <c r="O138" s="257"/>
      <c r="P138" s="306">
        <v>81</v>
      </c>
      <c r="Q138" s="307">
        <v>0.6</v>
      </c>
      <c r="R138" s="307">
        <v>0.6</v>
      </c>
      <c r="S138" s="307">
        <v>1</v>
      </c>
      <c r="T138" s="307">
        <v>0.3</v>
      </c>
      <c r="U138" s="266">
        <f t="shared" si="9"/>
        <v>0.6</v>
      </c>
    </row>
    <row r="139" spans="1:21" s="48" customFormat="1" ht="15" customHeight="1" outlineLevel="1" x14ac:dyDescent="0.25">
      <c r="A139" s="42"/>
      <c r="B139" s="192"/>
      <c r="C139" s="42"/>
      <c r="D139" s="42"/>
      <c r="E139" s="50"/>
      <c r="F139" s="38"/>
      <c r="G139" s="38"/>
      <c r="H139" s="38"/>
      <c r="I139" s="38"/>
      <c r="J139" s="40"/>
      <c r="K139" s="40"/>
      <c r="L139" s="240"/>
      <c r="M139" s="240"/>
      <c r="N139" s="268"/>
      <c r="O139" s="257"/>
      <c r="P139" s="306"/>
      <c r="Q139" s="307"/>
      <c r="R139" s="307"/>
      <c r="S139" s="307"/>
      <c r="T139" s="307"/>
      <c r="U139" s="266"/>
    </row>
    <row r="140" spans="1:21" s="48" customFormat="1" ht="15" customHeight="1" outlineLevel="1" x14ac:dyDescent="0.25">
      <c r="A140" s="42" t="s">
        <v>337</v>
      </c>
      <c r="B140" s="192" t="s">
        <v>66</v>
      </c>
      <c r="C140" s="42" t="s">
        <v>67</v>
      </c>
      <c r="D140" s="42"/>
      <c r="E140" s="50" t="s">
        <v>275</v>
      </c>
      <c r="F140" s="38" t="s">
        <v>69</v>
      </c>
      <c r="G140" s="38"/>
      <c r="H140" s="38"/>
      <c r="I140" s="38"/>
      <c r="J140" s="40"/>
      <c r="K140" s="40"/>
      <c r="L140" s="240" t="s">
        <v>70</v>
      </c>
      <c r="M140" s="240" t="s">
        <v>70</v>
      </c>
      <c r="N140" s="268" t="s">
        <v>71</v>
      </c>
      <c r="O140" s="257"/>
      <c r="P140" s="306">
        <v>83</v>
      </c>
      <c r="Q140" s="307">
        <v>0.6</v>
      </c>
      <c r="R140" s="307">
        <v>0.6</v>
      </c>
      <c r="S140" s="307">
        <v>1</v>
      </c>
      <c r="T140" s="307">
        <v>0.3</v>
      </c>
      <c r="U140" s="266">
        <f t="shared" si="9"/>
        <v>0.6</v>
      </c>
    </row>
    <row r="141" spans="1:21" s="48" customFormat="1" ht="15" customHeight="1" outlineLevel="1" x14ac:dyDescent="0.25">
      <c r="A141" s="42" t="s">
        <v>338</v>
      </c>
      <c r="B141" s="192" t="s">
        <v>66</v>
      </c>
      <c r="C141" s="42" t="s">
        <v>67</v>
      </c>
      <c r="D141" s="42"/>
      <c r="E141" s="50" t="s">
        <v>277</v>
      </c>
      <c r="F141" s="38" t="s">
        <v>69</v>
      </c>
      <c r="G141" s="38"/>
      <c r="H141" s="38"/>
      <c r="I141" s="38"/>
      <c r="J141" s="40"/>
      <c r="K141" s="40"/>
      <c r="L141" s="240" t="s">
        <v>70</v>
      </c>
      <c r="M141" s="240" t="s">
        <v>70</v>
      </c>
      <c r="N141" s="268" t="s">
        <v>71</v>
      </c>
      <c r="O141" s="257"/>
      <c r="P141" s="306">
        <v>84</v>
      </c>
      <c r="Q141" s="307">
        <v>0.6</v>
      </c>
      <c r="R141" s="307">
        <v>0.6</v>
      </c>
      <c r="S141" s="307">
        <v>1</v>
      </c>
      <c r="T141" s="307">
        <v>0.3</v>
      </c>
      <c r="U141" s="266">
        <f t="shared" si="9"/>
        <v>0.6</v>
      </c>
    </row>
    <row r="142" spans="1:21" s="48" customFormat="1" ht="15" customHeight="1" outlineLevel="1" x14ac:dyDescent="0.25">
      <c r="A142" s="42" t="s">
        <v>339</v>
      </c>
      <c r="B142" s="192" t="s">
        <v>66</v>
      </c>
      <c r="C142" s="42" t="s">
        <v>67</v>
      </c>
      <c r="D142" s="42"/>
      <c r="E142" s="50" t="s">
        <v>279</v>
      </c>
      <c r="F142" s="38" t="s">
        <v>69</v>
      </c>
      <c r="G142" s="38"/>
      <c r="H142" s="38"/>
      <c r="I142" s="38"/>
      <c r="J142" s="40"/>
      <c r="K142" s="40"/>
      <c r="L142" s="240" t="s">
        <v>70</v>
      </c>
      <c r="M142" s="240" t="s">
        <v>70</v>
      </c>
      <c r="N142" s="268" t="s">
        <v>71</v>
      </c>
      <c r="O142" s="257"/>
      <c r="P142" s="306">
        <v>85</v>
      </c>
      <c r="Q142" s="307">
        <v>0.6</v>
      </c>
      <c r="R142" s="307">
        <v>0.6</v>
      </c>
      <c r="S142" s="307">
        <v>1</v>
      </c>
      <c r="T142" s="307">
        <v>0.3</v>
      </c>
      <c r="U142" s="266">
        <f t="shared" ref="U142:U148" si="10">MAX(R142,T142)</f>
        <v>0.6</v>
      </c>
    </row>
    <row r="143" spans="1:21" s="48" customFormat="1" ht="15" customHeight="1" outlineLevel="1" x14ac:dyDescent="0.25">
      <c r="A143" s="42"/>
      <c r="B143" s="192"/>
      <c r="C143" s="42"/>
      <c r="D143" s="42"/>
      <c r="E143" s="50"/>
      <c r="F143" s="38"/>
      <c r="G143" s="38"/>
      <c r="H143" s="38"/>
      <c r="I143" s="38"/>
      <c r="J143" s="40"/>
      <c r="K143" s="40"/>
      <c r="L143" s="240"/>
      <c r="M143" s="240"/>
      <c r="N143" s="268"/>
      <c r="O143" s="257"/>
      <c r="P143" s="306"/>
      <c r="Q143" s="307"/>
      <c r="R143" s="307"/>
      <c r="S143" s="307"/>
      <c r="T143" s="307"/>
      <c r="U143" s="266"/>
    </row>
    <row r="144" spans="1:21" s="48" customFormat="1" ht="15" customHeight="1" thickBot="1" x14ac:dyDescent="0.3">
      <c r="A144" s="41"/>
      <c r="B144" s="41"/>
      <c r="C144" s="41"/>
      <c r="D144" s="38"/>
      <c r="E144" s="43" t="str">
        <f>"SUB-TOTAL "&amp;UPPER(A97)&amp;" DRAWINGS"</f>
        <v>SUB-TOTAL BUILDING NAME OR AREA NAME 2 DRAWINGS</v>
      </c>
      <c r="F144" s="38"/>
      <c r="G144" s="38"/>
      <c r="H144" s="38"/>
      <c r="I144" s="115">
        <f>COUNTA(F98:F143)</f>
        <v>35</v>
      </c>
      <c r="J144" s="36"/>
      <c r="K144" s="36"/>
      <c r="L144" s="240"/>
      <c r="M144" s="240"/>
      <c r="N144" s="268"/>
      <c r="O144" s="257"/>
      <c r="P144" s="306"/>
      <c r="Q144" s="307"/>
      <c r="R144" s="307"/>
      <c r="S144" s="307"/>
      <c r="T144" s="307"/>
      <c r="U144" s="266"/>
    </row>
    <row r="145" spans="1:21" s="48" customFormat="1" ht="15" customHeight="1" thickTop="1" x14ac:dyDescent="0.25">
      <c r="A145" s="41"/>
      <c r="B145" s="41"/>
      <c r="C145" s="41"/>
      <c r="D145" s="38"/>
      <c r="E145" s="43"/>
      <c r="F145" s="38"/>
      <c r="G145" s="38"/>
      <c r="H145" s="38"/>
      <c r="I145" s="38"/>
      <c r="J145" s="36"/>
      <c r="K145" s="36"/>
      <c r="L145" s="240"/>
      <c r="M145" s="240"/>
      <c r="N145" s="268"/>
      <c r="O145" s="257"/>
      <c r="P145" s="306"/>
      <c r="Q145" s="307"/>
      <c r="R145" s="307"/>
      <c r="S145" s="307"/>
      <c r="T145" s="307"/>
      <c r="U145" s="266"/>
    </row>
    <row r="146" spans="1:21" s="48" customFormat="1" ht="18" customHeight="1" x14ac:dyDescent="0.25">
      <c r="A146" s="32" t="str">
        <f>'1. CIVIL'!A67</f>
        <v>Building Name or Area Name 3</v>
      </c>
      <c r="B146" s="32"/>
      <c r="C146" s="32"/>
      <c r="D146" s="11"/>
      <c r="E146" s="11"/>
      <c r="F146" s="11"/>
      <c r="G146" s="11"/>
      <c r="H146" s="11"/>
      <c r="I146" s="11"/>
      <c r="J146" s="11"/>
      <c r="K146" s="11"/>
      <c r="L146" s="240"/>
      <c r="M146" s="240"/>
      <c r="N146" s="268"/>
      <c r="O146" s="257"/>
      <c r="P146" s="306"/>
      <c r="Q146" s="307"/>
      <c r="R146" s="307"/>
      <c r="S146" s="307"/>
      <c r="T146" s="307"/>
      <c r="U146" s="266"/>
    </row>
    <row r="147" spans="1:21" s="48" customFormat="1" ht="15" customHeight="1" x14ac:dyDescent="0.25">
      <c r="A147" s="42" t="s">
        <v>340</v>
      </c>
      <c r="B147" s="192" t="s">
        <v>66</v>
      </c>
      <c r="C147" s="42" t="s">
        <v>67</v>
      </c>
      <c r="D147" s="38"/>
      <c r="E147" s="50" t="s">
        <v>341</v>
      </c>
      <c r="F147" s="38" t="s">
        <v>69</v>
      </c>
      <c r="G147" s="38"/>
      <c r="H147" s="38"/>
      <c r="I147" s="38"/>
      <c r="J147" s="40"/>
      <c r="K147" s="40"/>
      <c r="L147" s="240" t="s">
        <v>70</v>
      </c>
      <c r="M147" s="240" t="s">
        <v>70</v>
      </c>
      <c r="N147" s="268" t="s">
        <v>71</v>
      </c>
      <c r="O147" s="257"/>
      <c r="P147" s="306">
        <v>91</v>
      </c>
      <c r="Q147" s="307">
        <v>0.6</v>
      </c>
      <c r="R147" s="307">
        <v>0.6</v>
      </c>
      <c r="S147" s="307">
        <v>1</v>
      </c>
      <c r="T147" s="307">
        <v>0.3</v>
      </c>
      <c r="U147" s="266">
        <f t="shared" si="10"/>
        <v>0.6</v>
      </c>
    </row>
    <row r="148" spans="1:21" s="48" customFormat="1" ht="15" customHeight="1" outlineLevel="1" thickBot="1" x14ac:dyDescent="0.3">
      <c r="A148" s="42" t="s">
        <v>342</v>
      </c>
      <c r="B148" s="192" t="s">
        <v>66</v>
      </c>
      <c r="C148" s="42" t="s">
        <v>67</v>
      </c>
      <c r="D148" s="38"/>
      <c r="E148" s="50" t="s">
        <v>343</v>
      </c>
      <c r="F148" s="38" t="s">
        <v>69</v>
      </c>
      <c r="G148" s="38"/>
      <c r="H148" s="38"/>
      <c r="I148" s="38"/>
      <c r="J148" s="40"/>
      <c r="K148" s="40"/>
      <c r="L148" s="259" t="s">
        <v>70</v>
      </c>
      <c r="M148" s="259" t="s">
        <v>70</v>
      </c>
      <c r="N148" s="271" t="s">
        <v>71</v>
      </c>
      <c r="O148" s="257"/>
      <c r="P148" s="306">
        <v>92</v>
      </c>
      <c r="Q148" s="307">
        <v>0.6</v>
      </c>
      <c r="R148" s="307">
        <v>0.6</v>
      </c>
      <c r="S148" s="307">
        <v>1</v>
      </c>
      <c r="T148" s="307">
        <v>0.3</v>
      </c>
      <c r="U148" s="266">
        <f t="shared" si="10"/>
        <v>0.6</v>
      </c>
    </row>
    <row r="149" spans="1:21" s="48" customFormat="1" ht="15" customHeight="1" outlineLevel="1" thickBot="1" x14ac:dyDescent="0.3">
      <c r="A149" s="43"/>
      <c r="B149" s="43"/>
      <c r="C149" s="43"/>
      <c r="D149" s="38"/>
      <c r="E149" s="42"/>
      <c r="F149" s="38"/>
      <c r="G149" s="38"/>
      <c r="H149" s="38"/>
      <c r="I149" s="38"/>
      <c r="J149" s="40"/>
      <c r="K149" s="40"/>
      <c r="L149" s="52"/>
      <c r="M149" s="52"/>
      <c r="N149" s="52"/>
      <c r="O149" s="257"/>
      <c r="P149" s="263">
        <f>SUM(P79:P148)</f>
        <v>2634</v>
      </c>
      <c r="Q149" s="264">
        <f>SUMPRODUCT($P79:$P148,Q79:Q148)/$P149</f>
        <v>0.6</v>
      </c>
      <c r="R149" s="264">
        <f>SUMPRODUCT($P79:$P148,R79:R148)/$P149</f>
        <v>0.6</v>
      </c>
      <c r="S149" s="264">
        <f>SUMPRODUCT($P79:$P148,S79:S148)/$P149</f>
        <v>1</v>
      </c>
      <c r="T149" s="264">
        <f>SUMPRODUCT($P79:$P148,T79:T148)/$P149</f>
        <v>0.3</v>
      </c>
      <c r="U149" s="267">
        <f>SUMPRODUCT($P79:$P148,U79:U148)/$P149</f>
        <v>0.6</v>
      </c>
    </row>
    <row r="150" spans="1:21" s="48" customFormat="1" ht="15" customHeight="1" thickBot="1" x14ac:dyDescent="0.3">
      <c r="A150" s="41"/>
      <c r="B150" s="41"/>
      <c r="C150" s="41"/>
      <c r="D150" s="38"/>
      <c r="E150" s="43" t="str">
        <f>"SUB-TOTAL "&amp;UPPER(A146)&amp;" DRAWINGS"</f>
        <v>SUB-TOTAL BUILDING NAME OR AREA NAME 3 DRAWINGS</v>
      </c>
      <c r="F150" s="38"/>
      <c r="G150" s="38"/>
      <c r="H150" s="38"/>
      <c r="I150" s="115">
        <f>COUNTA(F147:F149)</f>
        <v>2</v>
      </c>
      <c r="J150" s="36"/>
      <c r="K150" s="36"/>
      <c r="L150" s="52"/>
      <c r="M150" s="52"/>
      <c r="N150" s="52"/>
      <c r="O150" s="257"/>
      <c r="P150" s="257"/>
      <c r="Q150" s="257"/>
      <c r="R150" s="257"/>
      <c r="S150" s="257"/>
      <c r="T150" s="257"/>
      <c r="U150" s="258"/>
    </row>
    <row r="151" spans="1:21" s="48" customFormat="1" ht="15" customHeight="1" thickTop="1" thickBot="1" x14ac:dyDescent="0.3">
      <c r="A151" s="41"/>
      <c r="B151" s="41"/>
      <c r="C151" s="41"/>
      <c r="D151" s="38"/>
      <c r="E151" s="43"/>
      <c r="F151" s="38"/>
      <c r="G151" s="38"/>
      <c r="H151" s="38"/>
      <c r="I151" s="115"/>
      <c r="J151" s="36"/>
      <c r="K151" s="36"/>
      <c r="L151" s="52"/>
      <c r="M151" s="52"/>
      <c r="N151" s="52"/>
      <c r="O151" s="257"/>
      <c r="P151" s="257"/>
      <c r="Q151" s="257"/>
      <c r="R151" s="257"/>
      <c r="S151" s="257"/>
      <c r="T151" s="257"/>
      <c r="U151" s="258"/>
    </row>
    <row r="152" spans="1:21" s="51" customFormat="1" ht="16.5" thickTop="1" thickBot="1" x14ac:dyDescent="0.3">
      <c r="A152" s="41"/>
      <c r="B152" s="41"/>
      <c r="C152" s="41"/>
      <c r="D152" s="38"/>
      <c r="E152" s="43" t="s">
        <v>157</v>
      </c>
      <c r="F152" s="38"/>
      <c r="G152" s="38"/>
      <c r="H152" s="38"/>
      <c r="I152" s="115">
        <f ca="1">SUMIF(E7:E150,"*SUB-TOTAL*",I7:I150)</f>
        <v>106</v>
      </c>
      <c r="J152" s="36"/>
      <c r="K152" s="36"/>
      <c r="L152" s="52"/>
      <c r="M152" s="52"/>
      <c r="N152" s="52"/>
      <c r="O152" s="257"/>
      <c r="P152" s="257"/>
      <c r="Q152" s="257"/>
      <c r="R152" s="257"/>
      <c r="S152" s="257"/>
      <c r="T152" s="257"/>
      <c r="U152" s="258"/>
    </row>
    <row r="153" spans="1:21" s="51" customFormat="1" ht="15.75" thickTop="1" x14ac:dyDescent="0.25">
      <c r="A153" s="45"/>
      <c r="B153" s="45"/>
      <c r="C153" s="45"/>
      <c r="D153" s="44"/>
      <c r="E153" s="42"/>
      <c r="F153" s="44"/>
      <c r="G153" s="44"/>
      <c r="H153" s="44"/>
      <c r="I153" s="46"/>
      <c r="J153" s="46"/>
      <c r="K153" s="46"/>
      <c r="L153" s="52"/>
      <c r="M153" s="52"/>
      <c r="N153" s="52"/>
      <c r="O153" s="257"/>
      <c r="P153" s="257"/>
      <c r="Q153" s="257"/>
      <c r="R153" s="257"/>
      <c r="S153" s="257"/>
      <c r="T153" s="257"/>
      <c r="U153" s="258"/>
    </row>
    <row r="154" spans="1:21" x14ac:dyDescent="0.25">
      <c r="A154" s="45"/>
      <c r="B154" s="45"/>
      <c r="C154" s="45"/>
      <c r="D154" s="44"/>
      <c r="E154" s="42"/>
      <c r="F154" s="44"/>
      <c r="G154" s="44"/>
      <c r="H154" s="44"/>
      <c r="I154" s="46"/>
      <c r="J154" s="46"/>
      <c r="K154" s="46"/>
    </row>
    <row r="155" spans="1:21" x14ac:dyDescent="0.25">
      <c r="A155" s="45"/>
      <c r="B155" s="45"/>
      <c r="C155" s="45"/>
      <c r="D155" s="44"/>
      <c r="E155" s="42"/>
      <c r="F155" s="44"/>
      <c r="G155" s="44"/>
      <c r="H155" s="44"/>
      <c r="I155" s="46"/>
      <c r="J155" s="46"/>
      <c r="K155" s="46"/>
    </row>
    <row r="156" spans="1:21" x14ac:dyDescent="0.25">
      <c r="A156" s="45"/>
      <c r="B156" s="45"/>
      <c r="C156" s="45"/>
      <c r="D156" s="44"/>
      <c r="E156" s="42"/>
      <c r="F156" s="44"/>
      <c r="G156" s="44"/>
      <c r="H156" s="44"/>
      <c r="I156" s="46"/>
      <c r="J156" s="46"/>
      <c r="K156" s="46"/>
    </row>
    <row r="157" spans="1:21" x14ac:dyDescent="0.25">
      <c r="A157" s="45"/>
      <c r="B157" s="45"/>
      <c r="C157" s="45"/>
      <c r="D157" s="44"/>
      <c r="E157" s="42"/>
      <c r="F157" s="44"/>
      <c r="G157" s="44"/>
      <c r="H157" s="44"/>
      <c r="I157" s="46"/>
      <c r="J157" s="46"/>
      <c r="K157" s="46"/>
    </row>
    <row r="158" spans="1:21" x14ac:dyDescent="0.25">
      <c r="A158" s="45"/>
      <c r="B158" s="45"/>
      <c r="C158" s="45"/>
      <c r="D158" s="44"/>
      <c r="E158" s="42"/>
      <c r="F158" s="44"/>
      <c r="G158" s="44"/>
      <c r="H158" s="44"/>
      <c r="I158" s="46"/>
      <c r="J158" s="46"/>
      <c r="K158" s="46"/>
    </row>
    <row r="159" spans="1:21" x14ac:dyDescent="0.25">
      <c r="A159" s="45"/>
      <c r="B159" s="45"/>
      <c r="C159" s="45"/>
      <c r="D159" s="44"/>
      <c r="E159" s="42"/>
      <c r="F159" s="44"/>
      <c r="G159" s="44"/>
      <c r="H159" s="44"/>
      <c r="I159" s="46"/>
      <c r="J159" s="46"/>
      <c r="K159" s="46"/>
    </row>
    <row r="160" spans="1:21" x14ac:dyDescent="0.25">
      <c r="A160" s="45"/>
      <c r="B160" s="45"/>
      <c r="C160" s="45"/>
      <c r="D160" s="44"/>
      <c r="E160" s="42"/>
      <c r="F160" s="44"/>
      <c r="G160" s="44"/>
      <c r="H160" s="44"/>
      <c r="I160" s="46"/>
      <c r="J160" s="46"/>
      <c r="K160" s="46"/>
    </row>
    <row r="161" spans="1:11" x14ac:dyDescent="0.25">
      <c r="A161" s="45"/>
      <c r="B161" s="45"/>
      <c r="C161" s="45"/>
      <c r="D161" s="44"/>
      <c r="E161" s="42"/>
      <c r="F161" s="44"/>
      <c r="G161" s="44"/>
      <c r="H161" s="44"/>
      <c r="I161" s="46"/>
      <c r="J161" s="46"/>
      <c r="K161" s="46"/>
    </row>
    <row r="162" spans="1:11" x14ac:dyDescent="0.25">
      <c r="A162" s="45"/>
      <c r="B162" s="45"/>
      <c r="C162" s="45"/>
      <c r="D162" s="44"/>
      <c r="E162" s="42"/>
      <c r="F162" s="44"/>
      <c r="G162" s="44"/>
      <c r="H162" s="44"/>
      <c r="I162" s="46"/>
      <c r="J162" s="46"/>
      <c r="K162" s="46"/>
    </row>
    <row r="163" spans="1:11" x14ac:dyDescent="0.25">
      <c r="A163" s="45"/>
      <c r="B163" s="45"/>
      <c r="C163" s="45"/>
      <c r="D163" s="44"/>
      <c r="E163" s="42"/>
      <c r="F163" s="44"/>
      <c r="G163" s="44"/>
      <c r="H163" s="44"/>
      <c r="I163" s="46"/>
      <c r="J163" s="46"/>
      <c r="K163" s="46"/>
    </row>
    <row r="164" spans="1:11" x14ac:dyDescent="0.25">
      <c r="A164" s="45"/>
      <c r="B164" s="45"/>
      <c r="C164" s="45"/>
      <c r="D164" s="44"/>
      <c r="E164" s="42"/>
      <c r="F164" s="44"/>
      <c r="G164" s="44"/>
      <c r="H164" s="44"/>
      <c r="I164" s="46"/>
      <c r="J164" s="46"/>
      <c r="K164" s="46"/>
    </row>
    <row r="165" spans="1:11" x14ac:dyDescent="0.25">
      <c r="A165" s="45"/>
      <c r="B165" s="45"/>
      <c r="C165" s="45"/>
      <c r="D165" s="44"/>
      <c r="E165" s="42"/>
      <c r="F165" s="44"/>
      <c r="G165" s="44"/>
      <c r="H165" s="44"/>
      <c r="I165" s="46"/>
      <c r="J165" s="46"/>
      <c r="K165" s="46"/>
    </row>
    <row r="166" spans="1:11" x14ac:dyDescent="0.25">
      <c r="A166" s="45"/>
      <c r="B166" s="45"/>
      <c r="C166" s="45"/>
      <c r="D166" s="44"/>
      <c r="E166" s="42"/>
      <c r="F166" s="44"/>
      <c r="G166" s="44"/>
      <c r="H166" s="44"/>
      <c r="I166" s="46"/>
      <c r="J166" s="46"/>
      <c r="K166" s="46"/>
    </row>
    <row r="167" spans="1:11" x14ac:dyDescent="0.25">
      <c r="A167" s="45"/>
      <c r="B167" s="45"/>
      <c r="C167" s="45"/>
      <c r="D167" s="44"/>
      <c r="E167" s="42"/>
      <c r="F167" s="44"/>
      <c r="G167" s="44"/>
      <c r="H167" s="44"/>
      <c r="I167" s="46"/>
      <c r="J167" s="46"/>
      <c r="K167" s="46"/>
    </row>
    <row r="168" spans="1:11" x14ac:dyDescent="0.25">
      <c r="A168" s="45"/>
      <c r="B168" s="45"/>
      <c r="C168" s="45"/>
      <c r="D168" s="44"/>
      <c r="E168" s="42"/>
      <c r="F168" s="44"/>
      <c r="G168" s="44"/>
      <c r="H168" s="44"/>
      <c r="I168" s="46"/>
      <c r="J168" s="46"/>
      <c r="K168" s="46"/>
    </row>
    <row r="169" spans="1:11" x14ac:dyDescent="0.25">
      <c r="A169" s="45"/>
      <c r="B169" s="45"/>
      <c r="C169" s="45"/>
      <c r="D169" s="44"/>
      <c r="E169" s="42"/>
      <c r="F169" s="44"/>
      <c r="G169" s="44"/>
      <c r="H169" s="44"/>
      <c r="I169" s="46"/>
      <c r="J169" s="46"/>
      <c r="K169" s="46"/>
    </row>
    <row r="170" spans="1:11" x14ac:dyDescent="0.25">
      <c r="A170" s="45"/>
      <c r="B170" s="45"/>
      <c r="C170" s="45"/>
      <c r="D170" s="44"/>
      <c r="E170" s="42"/>
      <c r="F170" s="44"/>
      <c r="G170" s="44"/>
      <c r="H170" s="44"/>
      <c r="I170" s="46"/>
      <c r="J170" s="46"/>
      <c r="K170" s="46"/>
    </row>
    <row r="171" spans="1:11" x14ac:dyDescent="0.25">
      <c r="A171" s="45"/>
      <c r="B171" s="45"/>
      <c r="C171" s="45"/>
      <c r="D171" s="44"/>
      <c r="E171" s="42"/>
      <c r="F171" s="44"/>
      <c r="G171" s="44"/>
      <c r="H171" s="44"/>
      <c r="I171" s="46"/>
      <c r="J171" s="46"/>
      <c r="K171" s="46"/>
    </row>
    <row r="172" spans="1:11" x14ac:dyDescent="0.25">
      <c r="A172" s="45"/>
      <c r="B172" s="45"/>
      <c r="C172" s="45"/>
      <c r="D172" s="44"/>
      <c r="E172" s="42"/>
      <c r="F172" s="44"/>
      <c r="G172" s="44"/>
      <c r="H172" s="44"/>
      <c r="I172" s="46"/>
      <c r="J172" s="46"/>
      <c r="K172" s="46"/>
    </row>
    <row r="173" spans="1:11" x14ac:dyDescent="0.25">
      <c r="A173" s="45"/>
      <c r="B173" s="45"/>
      <c r="C173" s="45"/>
      <c r="D173" s="44"/>
      <c r="E173" s="42"/>
      <c r="F173" s="44"/>
      <c r="G173" s="44"/>
      <c r="H173" s="44"/>
      <c r="I173" s="46"/>
      <c r="J173" s="46"/>
      <c r="K173" s="46"/>
    </row>
    <row r="174" spans="1:11" x14ac:dyDescent="0.25">
      <c r="A174" s="45"/>
      <c r="B174" s="45"/>
      <c r="C174" s="45"/>
      <c r="D174" s="44"/>
      <c r="E174" s="42"/>
      <c r="F174" s="44"/>
      <c r="G174" s="44"/>
      <c r="H174" s="44"/>
      <c r="I174" s="46"/>
      <c r="J174" s="46"/>
      <c r="K174" s="46"/>
    </row>
    <row r="175" spans="1:11" x14ac:dyDescent="0.25">
      <c r="A175" s="45"/>
      <c r="B175" s="45"/>
      <c r="C175" s="45"/>
      <c r="D175" s="44"/>
      <c r="E175" s="42"/>
      <c r="F175" s="44"/>
      <c r="G175" s="44"/>
      <c r="H175" s="44"/>
      <c r="I175" s="46"/>
      <c r="J175" s="46"/>
      <c r="K175" s="46"/>
    </row>
    <row r="176" spans="1:11" x14ac:dyDescent="0.25">
      <c r="A176" s="45"/>
      <c r="B176" s="45"/>
      <c r="C176" s="45"/>
      <c r="D176" s="44"/>
      <c r="E176" s="42"/>
      <c r="F176" s="44"/>
      <c r="G176" s="44"/>
      <c r="H176" s="44"/>
      <c r="I176" s="46"/>
      <c r="J176" s="46"/>
      <c r="K176" s="46"/>
    </row>
    <row r="177" spans="1:11" x14ac:dyDescent="0.25">
      <c r="A177" s="45"/>
      <c r="B177" s="45"/>
      <c r="C177" s="45"/>
      <c r="D177" s="44"/>
      <c r="E177" s="42"/>
      <c r="F177" s="44"/>
      <c r="G177" s="44"/>
      <c r="H177" s="44"/>
      <c r="I177" s="46"/>
      <c r="J177" s="46"/>
      <c r="K177" s="46"/>
    </row>
    <row r="178" spans="1:11" x14ac:dyDescent="0.25">
      <c r="A178" s="45"/>
      <c r="B178" s="45"/>
      <c r="C178" s="45"/>
      <c r="D178" s="44"/>
      <c r="E178" s="42"/>
      <c r="F178" s="44"/>
      <c r="G178" s="44"/>
      <c r="H178" s="44"/>
      <c r="I178" s="46"/>
      <c r="J178" s="46"/>
      <c r="K178" s="46"/>
    </row>
    <row r="179" spans="1:11" x14ac:dyDescent="0.25">
      <c r="A179" s="45"/>
      <c r="B179" s="45"/>
      <c r="C179" s="45"/>
      <c r="D179" s="44"/>
      <c r="E179" s="42"/>
      <c r="F179" s="44"/>
      <c r="G179" s="44"/>
      <c r="H179" s="44"/>
      <c r="I179" s="46"/>
      <c r="J179" s="46"/>
      <c r="K179" s="46"/>
    </row>
    <row r="180" spans="1:11" x14ac:dyDescent="0.25">
      <c r="A180" s="45"/>
      <c r="B180" s="45"/>
      <c r="C180" s="45"/>
      <c r="D180" s="44"/>
      <c r="E180" s="42"/>
      <c r="F180" s="44"/>
      <c r="G180" s="44"/>
      <c r="H180" s="44"/>
      <c r="I180" s="46"/>
      <c r="J180" s="46"/>
      <c r="K180" s="46"/>
    </row>
    <row r="181" spans="1:11" x14ac:dyDescent="0.25">
      <c r="A181" s="54"/>
      <c r="B181" s="54"/>
      <c r="C181" s="54"/>
      <c r="D181" s="56"/>
      <c r="E181" s="55"/>
      <c r="F181" s="56"/>
      <c r="G181" s="56"/>
      <c r="H181" s="56"/>
      <c r="I181" s="57"/>
      <c r="J181" s="57"/>
      <c r="K181" s="57"/>
    </row>
    <row r="182" spans="1:11" x14ac:dyDescent="0.25">
      <c r="A182" s="54"/>
      <c r="B182" s="54"/>
      <c r="C182" s="54"/>
      <c r="D182" s="56"/>
      <c r="E182" s="55"/>
      <c r="F182" s="56"/>
      <c r="G182" s="56"/>
      <c r="H182" s="56"/>
      <c r="I182" s="57"/>
      <c r="J182" s="57"/>
      <c r="K182" s="57"/>
    </row>
    <row r="183" spans="1:11" x14ac:dyDescent="0.25">
      <c r="A183" s="54"/>
      <c r="B183" s="54"/>
      <c r="C183" s="54"/>
      <c r="D183" s="56"/>
      <c r="E183" s="55"/>
      <c r="F183" s="56"/>
      <c r="G183" s="56"/>
      <c r="H183" s="56"/>
      <c r="I183" s="57"/>
      <c r="J183" s="57"/>
      <c r="K183" s="57"/>
    </row>
    <row r="184" spans="1:11" x14ac:dyDescent="0.25">
      <c r="A184" s="54"/>
      <c r="B184" s="54"/>
      <c r="C184" s="54"/>
      <c r="D184" s="56"/>
      <c r="E184" s="55"/>
      <c r="F184" s="56"/>
      <c r="G184" s="56"/>
      <c r="H184" s="56"/>
      <c r="I184" s="57"/>
      <c r="J184" s="57"/>
      <c r="K184" s="57"/>
    </row>
    <row r="185" spans="1:11" x14ac:dyDescent="0.25">
      <c r="A185" s="54"/>
      <c r="B185" s="54"/>
      <c r="C185" s="54"/>
      <c r="D185" s="56"/>
      <c r="E185" s="55"/>
      <c r="F185" s="56"/>
      <c r="G185" s="56"/>
      <c r="H185" s="56"/>
      <c r="I185" s="57"/>
      <c r="J185" s="57"/>
      <c r="K185" s="57"/>
    </row>
    <row r="186" spans="1:11" x14ac:dyDescent="0.25">
      <c r="A186" s="54"/>
      <c r="B186" s="54"/>
      <c r="C186" s="54"/>
      <c r="D186" s="56"/>
      <c r="E186" s="55"/>
      <c r="F186" s="56"/>
      <c r="G186" s="56"/>
      <c r="H186" s="56"/>
      <c r="I186" s="57"/>
      <c r="J186" s="57"/>
      <c r="K186" s="57"/>
    </row>
    <row r="187" spans="1:11" x14ac:dyDescent="0.25">
      <c r="A187" s="54"/>
      <c r="B187" s="54"/>
      <c r="C187" s="54"/>
      <c r="D187" s="56"/>
      <c r="E187" s="55"/>
      <c r="F187" s="56"/>
      <c r="G187" s="56"/>
      <c r="H187" s="56"/>
      <c r="I187" s="57"/>
      <c r="J187" s="57"/>
      <c r="K187" s="57"/>
    </row>
    <row r="188" spans="1:11" x14ac:dyDescent="0.25">
      <c r="A188" s="54"/>
      <c r="B188" s="54"/>
      <c r="C188" s="54"/>
      <c r="D188" s="56"/>
      <c r="E188" s="55"/>
      <c r="F188" s="56"/>
      <c r="G188" s="56"/>
      <c r="H188" s="56"/>
      <c r="I188" s="57"/>
      <c r="J188" s="57"/>
      <c r="K188" s="57"/>
    </row>
    <row r="189" spans="1:11" x14ac:dyDescent="0.25">
      <c r="A189" s="54"/>
      <c r="B189" s="54"/>
      <c r="C189" s="54"/>
      <c r="D189" s="56"/>
      <c r="E189" s="55"/>
      <c r="F189" s="56"/>
      <c r="G189" s="56"/>
      <c r="H189" s="56"/>
      <c r="I189" s="57"/>
      <c r="J189" s="57"/>
      <c r="K189" s="57"/>
    </row>
    <row r="190" spans="1:11" x14ac:dyDescent="0.25">
      <c r="A190" s="54"/>
      <c r="B190" s="54"/>
      <c r="C190" s="54"/>
      <c r="D190" s="56"/>
      <c r="E190" s="55"/>
      <c r="F190" s="56"/>
      <c r="G190" s="56"/>
      <c r="H190" s="56"/>
      <c r="I190" s="57"/>
      <c r="J190" s="57"/>
      <c r="K190" s="57"/>
    </row>
    <row r="191" spans="1:11" x14ac:dyDescent="0.25">
      <c r="A191" s="54"/>
      <c r="B191" s="54"/>
      <c r="C191" s="54"/>
      <c r="D191" s="56"/>
      <c r="E191" s="55"/>
      <c r="F191" s="56"/>
      <c r="G191" s="56"/>
      <c r="H191" s="56"/>
      <c r="I191" s="57"/>
      <c r="J191" s="57"/>
      <c r="K191" s="57"/>
    </row>
    <row r="192" spans="1:11" x14ac:dyDescent="0.25">
      <c r="A192" s="54"/>
      <c r="B192" s="54"/>
      <c r="C192" s="54"/>
      <c r="D192" s="56"/>
      <c r="E192" s="55"/>
      <c r="F192" s="56"/>
      <c r="G192" s="56"/>
      <c r="H192" s="56"/>
      <c r="I192" s="57"/>
      <c r="J192" s="57"/>
      <c r="K192" s="57"/>
    </row>
    <row r="193" spans="1:11" x14ac:dyDescent="0.25">
      <c r="A193" s="54"/>
      <c r="B193" s="54"/>
      <c r="C193" s="54"/>
      <c r="D193" s="56"/>
      <c r="E193" s="55"/>
      <c r="F193" s="56"/>
      <c r="G193" s="56"/>
      <c r="H193" s="56"/>
      <c r="I193" s="57"/>
      <c r="J193" s="57"/>
      <c r="K193" s="57"/>
    </row>
    <row r="194" spans="1:11" x14ac:dyDescent="0.25">
      <c r="A194" s="54"/>
      <c r="B194" s="54"/>
      <c r="C194" s="54"/>
      <c r="D194" s="56"/>
      <c r="E194" s="55"/>
      <c r="F194" s="56"/>
      <c r="G194" s="56"/>
      <c r="H194" s="56"/>
      <c r="I194" s="57"/>
      <c r="J194" s="57"/>
      <c r="K194" s="57"/>
    </row>
    <row r="195" spans="1:11" x14ac:dyDescent="0.25">
      <c r="A195" s="54"/>
      <c r="B195" s="54"/>
      <c r="C195" s="54"/>
      <c r="D195" s="56"/>
      <c r="E195" s="55"/>
      <c r="F195" s="56"/>
      <c r="G195" s="56"/>
      <c r="H195" s="56"/>
      <c r="I195" s="57"/>
      <c r="J195" s="57"/>
      <c r="K195" s="57"/>
    </row>
    <row r="196" spans="1:11" x14ac:dyDescent="0.25">
      <c r="A196" s="54"/>
      <c r="B196" s="54"/>
      <c r="C196" s="54"/>
      <c r="D196" s="56"/>
      <c r="E196" s="55"/>
      <c r="F196" s="56"/>
      <c r="G196" s="56"/>
      <c r="H196" s="56"/>
      <c r="I196" s="57"/>
      <c r="J196" s="57"/>
      <c r="K196" s="57"/>
    </row>
    <row r="197" spans="1:11" x14ac:dyDescent="0.25">
      <c r="A197" s="54"/>
      <c r="B197" s="54"/>
      <c r="C197" s="54"/>
      <c r="D197" s="56"/>
      <c r="E197" s="55"/>
      <c r="F197" s="56"/>
      <c r="G197" s="56"/>
      <c r="H197" s="56"/>
      <c r="I197" s="57"/>
      <c r="J197" s="57"/>
      <c r="K197" s="57"/>
    </row>
    <row r="198" spans="1:11" x14ac:dyDescent="0.25">
      <c r="A198" s="54"/>
      <c r="B198" s="54"/>
      <c r="C198" s="54"/>
      <c r="D198" s="56"/>
      <c r="E198" s="55"/>
      <c r="F198" s="56"/>
      <c r="G198" s="56"/>
      <c r="H198" s="56"/>
      <c r="I198" s="57"/>
      <c r="J198" s="57"/>
      <c r="K198" s="57"/>
    </row>
    <row r="199" spans="1:11" x14ac:dyDescent="0.25">
      <c r="A199" s="54"/>
      <c r="B199" s="54"/>
      <c r="C199" s="54"/>
      <c r="D199" s="56"/>
      <c r="E199" s="55"/>
      <c r="F199" s="56"/>
      <c r="G199" s="56"/>
      <c r="H199" s="56"/>
      <c r="I199" s="57"/>
      <c r="J199" s="57"/>
      <c r="K199" s="57"/>
    </row>
    <row r="200" spans="1:11" x14ac:dyDescent="0.25">
      <c r="A200" s="54"/>
      <c r="B200" s="54"/>
      <c r="C200" s="54"/>
      <c r="D200" s="56"/>
      <c r="E200" s="55"/>
      <c r="F200" s="56"/>
      <c r="G200" s="56"/>
      <c r="H200" s="56"/>
      <c r="I200" s="57"/>
      <c r="J200" s="57"/>
      <c r="K200" s="57"/>
    </row>
    <row r="201" spans="1:11" x14ac:dyDescent="0.25">
      <c r="A201" s="54"/>
      <c r="B201" s="54"/>
      <c r="C201" s="54"/>
      <c r="D201" s="56"/>
      <c r="E201" s="55"/>
      <c r="F201" s="56"/>
      <c r="G201" s="56"/>
      <c r="H201" s="56"/>
      <c r="I201" s="57"/>
      <c r="J201" s="57"/>
      <c r="K201" s="57"/>
    </row>
    <row r="202" spans="1:11" x14ac:dyDescent="0.25">
      <c r="A202" s="54"/>
      <c r="B202" s="54"/>
      <c r="C202" s="54"/>
      <c r="D202" s="56"/>
      <c r="E202" s="55"/>
      <c r="F202" s="56"/>
      <c r="G202" s="56"/>
      <c r="H202" s="56"/>
      <c r="I202" s="57"/>
      <c r="J202" s="57"/>
      <c r="K202" s="57"/>
    </row>
    <row r="203" spans="1:11" x14ac:dyDescent="0.25">
      <c r="A203" s="54"/>
      <c r="B203" s="54"/>
      <c r="C203" s="54"/>
      <c r="D203" s="56"/>
      <c r="E203" s="55"/>
      <c r="F203" s="56"/>
      <c r="G203" s="56"/>
      <c r="H203" s="56"/>
      <c r="I203" s="57"/>
      <c r="J203" s="57"/>
      <c r="K203" s="57"/>
    </row>
    <row r="204" spans="1:11" x14ac:dyDescent="0.25">
      <c r="A204" s="54"/>
      <c r="B204" s="54"/>
      <c r="C204" s="54"/>
      <c r="D204" s="56"/>
      <c r="E204" s="55"/>
      <c r="F204" s="56"/>
      <c r="G204" s="56"/>
      <c r="H204" s="56"/>
      <c r="I204" s="57"/>
      <c r="J204" s="57"/>
      <c r="K204" s="57"/>
    </row>
    <row r="205" spans="1:11" x14ac:dyDescent="0.25">
      <c r="A205" s="54"/>
      <c r="B205" s="54"/>
      <c r="C205" s="54"/>
      <c r="D205" s="56"/>
      <c r="E205" s="55"/>
      <c r="F205" s="56"/>
      <c r="G205" s="56"/>
      <c r="H205" s="56"/>
      <c r="I205" s="57"/>
      <c r="J205" s="57"/>
      <c r="K205" s="57"/>
    </row>
    <row r="206" spans="1:11" x14ac:dyDescent="0.25">
      <c r="A206" s="54"/>
      <c r="B206" s="54"/>
      <c r="C206" s="54"/>
      <c r="D206" s="56"/>
      <c r="E206" s="55"/>
      <c r="F206" s="56"/>
      <c r="G206" s="56"/>
      <c r="H206" s="56"/>
      <c r="I206" s="57"/>
      <c r="J206" s="57"/>
      <c r="K206" s="57"/>
    </row>
    <row r="207" spans="1:11" x14ac:dyDescent="0.25">
      <c r="A207" s="54"/>
      <c r="B207" s="54"/>
      <c r="C207" s="54"/>
      <c r="D207" s="56"/>
      <c r="E207" s="55"/>
      <c r="F207" s="56"/>
      <c r="G207" s="56"/>
      <c r="H207" s="56"/>
      <c r="I207" s="57"/>
      <c r="J207" s="57"/>
      <c r="K207" s="57"/>
    </row>
    <row r="208" spans="1:11" x14ac:dyDescent="0.25">
      <c r="A208" s="54"/>
      <c r="B208" s="54"/>
      <c r="C208" s="54"/>
      <c r="D208" s="56"/>
      <c r="E208" s="55"/>
      <c r="F208" s="56"/>
      <c r="G208" s="56"/>
      <c r="H208" s="56"/>
      <c r="I208" s="57"/>
      <c r="J208" s="57"/>
      <c r="K208" s="57"/>
    </row>
    <row r="209" spans="1:11" x14ac:dyDescent="0.25">
      <c r="A209" s="54"/>
      <c r="B209" s="54"/>
      <c r="C209" s="54"/>
      <c r="D209" s="56"/>
      <c r="E209" s="55"/>
      <c r="F209" s="56"/>
      <c r="G209" s="56"/>
      <c r="H209" s="56"/>
      <c r="I209" s="57"/>
      <c r="J209" s="57"/>
      <c r="K209" s="57"/>
    </row>
    <row r="210" spans="1:11" x14ac:dyDescent="0.25">
      <c r="A210" s="54"/>
      <c r="B210" s="54"/>
      <c r="C210" s="54"/>
      <c r="D210" s="56"/>
      <c r="E210" s="55"/>
      <c r="F210" s="56"/>
      <c r="G210" s="56"/>
      <c r="H210" s="56"/>
      <c r="I210" s="57"/>
      <c r="J210" s="57"/>
      <c r="K210" s="57"/>
    </row>
    <row r="211" spans="1:11" x14ac:dyDescent="0.25">
      <c r="A211" s="54"/>
      <c r="B211" s="54"/>
      <c r="C211" s="54"/>
      <c r="D211" s="56"/>
      <c r="E211" s="55"/>
      <c r="F211" s="56"/>
      <c r="G211" s="56"/>
      <c r="H211" s="56"/>
      <c r="I211" s="57"/>
      <c r="J211" s="57"/>
      <c r="K211" s="57"/>
    </row>
    <row r="212" spans="1:11" x14ac:dyDescent="0.25">
      <c r="A212" s="54"/>
      <c r="B212" s="54"/>
      <c r="C212" s="54"/>
      <c r="D212" s="56"/>
      <c r="E212" s="55"/>
      <c r="F212" s="56"/>
      <c r="G212" s="56"/>
      <c r="H212" s="56"/>
      <c r="I212" s="57"/>
      <c r="J212" s="57"/>
      <c r="K212" s="57"/>
    </row>
    <row r="213" spans="1:11" x14ac:dyDescent="0.25">
      <c r="A213" s="54"/>
      <c r="B213" s="54"/>
      <c r="C213" s="54"/>
      <c r="D213" s="56"/>
      <c r="E213" s="55"/>
      <c r="F213" s="56"/>
      <c r="G213" s="56"/>
      <c r="H213" s="56"/>
      <c r="I213" s="57"/>
      <c r="J213" s="57"/>
      <c r="K213" s="57"/>
    </row>
    <row r="214" spans="1:11" x14ac:dyDescent="0.25">
      <c r="A214" s="54"/>
      <c r="B214" s="54"/>
      <c r="C214" s="54"/>
      <c r="D214" s="56"/>
      <c r="E214" s="55"/>
      <c r="F214" s="56"/>
      <c r="G214" s="56"/>
      <c r="H214" s="56"/>
      <c r="I214" s="57"/>
      <c r="J214" s="57"/>
      <c r="K214" s="57"/>
    </row>
    <row r="215" spans="1:11" x14ac:dyDescent="0.25">
      <c r="A215" s="54"/>
      <c r="B215" s="54"/>
      <c r="C215" s="54"/>
      <c r="D215" s="56"/>
      <c r="E215" s="55"/>
      <c r="F215" s="56"/>
      <c r="G215" s="56"/>
      <c r="H215" s="56"/>
      <c r="I215" s="57"/>
      <c r="J215" s="57"/>
      <c r="K215" s="57"/>
    </row>
    <row r="216" spans="1:11" x14ac:dyDescent="0.25">
      <c r="A216" s="54"/>
      <c r="B216" s="54"/>
      <c r="C216" s="54"/>
      <c r="D216" s="56"/>
      <c r="E216" s="55"/>
      <c r="F216" s="56"/>
      <c r="G216" s="56"/>
      <c r="H216" s="56"/>
      <c r="I216" s="57"/>
      <c r="J216" s="57"/>
      <c r="K216" s="57"/>
    </row>
    <row r="217" spans="1:11" x14ac:dyDescent="0.25">
      <c r="A217" s="54"/>
      <c r="B217" s="54"/>
      <c r="C217" s="54"/>
      <c r="D217" s="56"/>
      <c r="E217" s="55"/>
      <c r="F217" s="56"/>
      <c r="G217" s="56"/>
      <c r="H217" s="56"/>
      <c r="I217" s="57"/>
      <c r="J217" s="57"/>
      <c r="K217" s="57"/>
    </row>
    <row r="218" spans="1:11" x14ac:dyDescent="0.25">
      <c r="A218" s="54"/>
      <c r="B218" s="54"/>
      <c r="C218" s="54"/>
      <c r="D218" s="56"/>
      <c r="E218" s="55"/>
      <c r="F218" s="56"/>
      <c r="G218" s="56"/>
      <c r="H218" s="56"/>
      <c r="I218" s="57"/>
      <c r="J218" s="57"/>
      <c r="K218" s="57"/>
    </row>
    <row r="219" spans="1:11" x14ac:dyDescent="0.25">
      <c r="A219" s="54"/>
      <c r="B219" s="54"/>
      <c r="C219" s="54"/>
      <c r="D219" s="56"/>
      <c r="E219" s="55"/>
      <c r="F219" s="56"/>
      <c r="G219" s="56"/>
      <c r="H219" s="56"/>
      <c r="I219" s="57"/>
      <c r="J219" s="57"/>
      <c r="K219" s="57"/>
    </row>
    <row r="220" spans="1:11" x14ac:dyDescent="0.25">
      <c r="A220" s="54"/>
      <c r="B220" s="54"/>
      <c r="C220" s="54"/>
      <c r="D220" s="56"/>
      <c r="E220" s="55"/>
      <c r="F220" s="56"/>
      <c r="G220" s="56"/>
      <c r="H220" s="56"/>
      <c r="I220" s="57"/>
      <c r="J220" s="57"/>
      <c r="K220" s="57"/>
    </row>
    <row r="221" spans="1:11" x14ac:dyDescent="0.25">
      <c r="A221" s="54"/>
      <c r="B221" s="54"/>
      <c r="C221" s="54"/>
      <c r="D221" s="56"/>
      <c r="E221" s="55"/>
      <c r="F221" s="56"/>
      <c r="G221" s="56"/>
      <c r="H221" s="56"/>
      <c r="I221" s="57"/>
      <c r="J221" s="57"/>
      <c r="K221" s="57"/>
    </row>
    <row r="222" spans="1:11" x14ac:dyDescent="0.25">
      <c r="A222" s="54"/>
      <c r="B222" s="54"/>
      <c r="C222" s="54"/>
      <c r="D222" s="56"/>
      <c r="E222" s="55"/>
      <c r="F222" s="56"/>
      <c r="G222" s="56"/>
      <c r="H222" s="56"/>
      <c r="I222" s="57"/>
      <c r="J222" s="57"/>
      <c r="K222" s="57"/>
    </row>
    <row r="223" spans="1:11" x14ac:dyDescent="0.25">
      <c r="A223" s="54"/>
      <c r="B223" s="54"/>
      <c r="C223" s="54"/>
      <c r="D223" s="56"/>
      <c r="E223" s="55"/>
      <c r="F223" s="56"/>
      <c r="G223" s="56"/>
      <c r="H223" s="56"/>
      <c r="I223" s="57"/>
      <c r="J223" s="57"/>
      <c r="K223" s="57"/>
    </row>
    <row r="224" spans="1:11" x14ac:dyDescent="0.25">
      <c r="A224" s="54"/>
      <c r="B224" s="54"/>
      <c r="C224" s="54"/>
      <c r="D224" s="56"/>
      <c r="E224" s="55"/>
      <c r="F224" s="56"/>
      <c r="G224" s="56"/>
      <c r="H224" s="56"/>
      <c r="I224" s="57"/>
      <c r="J224" s="57"/>
      <c r="K224" s="57"/>
    </row>
    <row r="225" spans="1:11" x14ac:dyDescent="0.25">
      <c r="A225" s="54"/>
      <c r="B225" s="54"/>
      <c r="C225" s="54"/>
      <c r="D225" s="56"/>
      <c r="E225" s="55"/>
      <c r="F225" s="56"/>
      <c r="G225" s="56"/>
      <c r="H225" s="56"/>
      <c r="I225" s="57"/>
      <c r="J225" s="57"/>
      <c r="K225" s="57"/>
    </row>
    <row r="226" spans="1:11" x14ac:dyDescent="0.25">
      <c r="A226" s="54"/>
      <c r="B226" s="54"/>
      <c r="C226" s="54"/>
      <c r="D226" s="56"/>
      <c r="E226" s="55"/>
      <c r="F226" s="56"/>
      <c r="G226" s="56"/>
      <c r="H226" s="56"/>
      <c r="I226" s="57"/>
      <c r="J226" s="57"/>
      <c r="K226" s="57"/>
    </row>
    <row r="227" spans="1:11" x14ac:dyDescent="0.25">
      <c r="A227" s="54"/>
      <c r="B227" s="54"/>
      <c r="C227" s="54"/>
      <c r="D227" s="56"/>
      <c r="E227" s="55"/>
      <c r="F227" s="56"/>
      <c r="G227" s="56"/>
      <c r="H227" s="56"/>
      <c r="I227" s="57"/>
      <c r="J227" s="57"/>
      <c r="K227" s="57"/>
    </row>
    <row r="228" spans="1:11" x14ac:dyDescent="0.25">
      <c r="A228" s="54"/>
      <c r="B228" s="54"/>
      <c r="C228" s="54"/>
      <c r="D228" s="56"/>
      <c r="E228" s="55"/>
      <c r="F228" s="56"/>
      <c r="G228" s="56"/>
      <c r="H228" s="56"/>
      <c r="I228" s="57"/>
      <c r="J228" s="57"/>
      <c r="K228" s="57"/>
    </row>
    <row r="229" spans="1:11" x14ac:dyDescent="0.25">
      <c r="A229" s="54"/>
      <c r="B229" s="54"/>
      <c r="C229" s="54"/>
      <c r="D229" s="56"/>
      <c r="E229" s="55"/>
      <c r="F229" s="56"/>
      <c r="G229" s="56"/>
      <c r="H229" s="56"/>
      <c r="I229" s="57"/>
      <c r="J229" s="57"/>
      <c r="K229" s="57"/>
    </row>
    <row r="230" spans="1:11" x14ac:dyDescent="0.25">
      <c r="A230" s="54"/>
      <c r="B230" s="54"/>
      <c r="C230" s="54"/>
      <c r="D230" s="56"/>
      <c r="E230" s="55"/>
      <c r="F230" s="56"/>
      <c r="G230" s="56"/>
      <c r="H230" s="56"/>
      <c r="I230" s="57"/>
      <c r="J230" s="57"/>
      <c r="K230" s="57"/>
    </row>
    <row r="231" spans="1:11" x14ac:dyDescent="0.25">
      <c r="A231" s="54"/>
      <c r="B231" s="54"/>
      <c r="C231" s="54"/>
      <c r="D231" s="56"/>
      <c r="E231" s="55"/>
      <c r="F231" s="56"/>
      <c r="G231" s="56"/>
      <c r="H231" s="56"/>
      <c r="I231" s="57"/>
      <c r="J231" s="57"/>
      <c r="K231" s="57"/>
    </row>
    <row r="232" spans="1:11" x14ac:dyDescent="0.25">
      <c r="A232" s="54"/>
      <c r="B232" s="54"/>
      <c r="C232" s="54"/>
      <c r="D232" s="56"/>
      <c r="E232" s="55"/>
      <c r="F232" s="56"/>
      <c r="G232" s="56"/>
      <c r="H232" s="56"/>
      <c r="I232" s="57"/>
      <c r="J232" s="57"/>
      <c r="K232" s="57"/>
    </row>
    <row r="233" spans="1:11" x14ac:dyDescent="0.25">
      <c r="A233" s="54"/>
      <c r="B233" s="54"/>
      <c r="C233" s="54"/>
      <c r="D233" s="56"/>
      <c r="E233" s="55"/>
      <c r="F233" s="56"/>
      <c r="G233" s="56"/>
      <c r="H233" s="56"/>
      <c r="I233" s="57"/>
      <c r="J233" s="57"/>
      <c r="K233" s="57"/>
    </row>
    <row r="234" spans="1:11" x14ac:dyDescent="0.25">
      <c r="A234" s="54"/>
      <c r="B234" s="54"/>
      <c r="C234" s="54"/>
      <c r="D234" s="56"/>
      <c r="E234" s="55"/>
      <c r="F234" s="56"/>
      <c r="G234" s="56"/>
      <c r="H234" s="56"/>
      <c r="I234" s="57"/>
      <c r="J234" s="57"/>
      <c r="K234" s="57"/>
    </row>
    <row r="235" spans="1:11" x14ac:dyDescent="0.25">
      <c r="A235" s="54"/>
      <c r="B235" s="54"/>
      <c r="C235" s="54"/>
      <c r="D235" s="56"/>
      <c r="E235" s="55"/>
      <c r="F235" s="56"/>
      <c r="G235" s="56"/>
      <c r="H235" s="56"/>
      <c r="I235" s="57"/>
      <c r="J235" s="57"/>
      <c r="K235" s="57"/>
    </row>
    <row r="236" spans="1:11" x14ac:dyDescent="0.25">
      <c r="A236" s="54"/>
      <c r="B236" s="54"/>
      <c r="C236" s="54"/>
      <c r="D236" s="56"/>
      <c r="E236" s="55"/>
      <c r="F236" s="56"/>
      <c r="G236" s="56"/>
      <c r="H236" s="56"/>
      <c r="I236" s="57"/>
      <c r="J236" s="57"/>
      <c r="K236" s="57"/>
    </row>
    <row r="237" spans="1:11" x14ac:dyDescent="0.25">
      <c r="A237" s="54"/>
      <c r="B237" s="54"/>
      <c r="C237" s="54"/>
      <c r="D237" s="56"/>
      <c r="E237" s="55"/>
      <c r="F237" s="56"/>
      <c r="G237" s="56"/>
      <c r="H237" s="56"/>
      <c r="I237" s="57"/>
      <c r="J237" s="57"/>
      <c r="K237" s="57"/>
    </row>
    <row r="238" spans="1:11" x14ac:dyDescent="0.25">
      <c r="A238" s="54"/>
      <c r="B238" s="54"/>
      <c r="C238" s="54"/>
      <c r="D238" s="56"/>
      <c r="E238" s="55"/>
      <c r="F238" s="56"/>
      <c r="G238" s="56"/>
      <c r="H238" s="56"/>
      <c r="I238" s="57"/>
      <c r="J238" s="57"/>
      <c r="K238" s="57"/>
    </row>
    <row r="239" spans="1:11" x14ac:dyDescent="0.25">
      <c r="A239" s="54"/>
      <c r="B239" s="54"/>
      <c r="C239" s="54"/>
      <c r="D239" s="56"/>
      <c r="E239" s="55"/>
      <c r="F239" s="56"/>
      <c r="G239" s="56"/>
      <c r="H239" s="56"/>
      <c r="I239" s="57"/>
      <c r="J239" s="57"/>
      <c r="K239" s="57"/>
    </row>
    <row r="240" spans="1:11" x14ac:dyDescent="0.25">
      <c r="A240" s="54"/>
      <c r="B240" s="54"/>
      <c r="C240" s="54"/>
      <c r="D240" s="56"/>
      <c r="E240" s="55"/>
      <c r="F240" s="56"/>
      <c r="G240" s="56"/>
      <c r="H240" s="56"/>
      <c r="I240" s="57"/>
      <c r="J240" s="57"/>
      <c r="K240" s="57"/>
    </row>
    <row r="241" spans="1:11" x14ac:dyDescent="0.25">
      <c r="A241" s="54"/>
      <c r="B241" s="54"/>
      <c r="C241" s="54"/>
      <c r="D241" s="56"/>
      <c r="E241" s="55"/>
      <c r="F241" s="56"/>
      <c r="G241" s="56"/>
      <c r="H241" s="56"/>
      <c r="I241" s="57"/>
      <c r="J241" s="57"/>
      <c r="K241" s="57"/>
    </row>
    <row r="242" spans="1:11" x14ac:dyDescent="0.25">
      <c r="A242" s="54"/>
      <c r="B242" s="54"/>
      <c r="C242" s="54"/>
      <c r="D242" s="56"/>
      <c r="E242" s="55"/>
      <c r="F242" s="56"/>
      <c r="G242" s="56"/>
      <c r="H242" s="56"/>
      <c r="I242" s="57"/>
      <c r="J242" s="57"/>
      <c r="K242" s="57"/>
    </row>
    <row r="243" spans="1:11" x14ac:dyDescent="0.25">
      <c r="A243" s="54"/>
      <c r="B243" s="54"/>
      <c r="C243" s="54"/>
      <c r="D243" s="56"/>
      <c r="E243" s="55"/>
      <c r="F243" s="56"/>
      <c r="G243" s="56"/>
      <c r="H243" s="56"/>
      <c r="I243" s="57"/>
      <c r="J243" s="57"/>
      <c r="K243" s="57"/>
    </row>
    <row r="244" spans="1:11" x14ac:dyDescent="0.25">
      <c r="A244" s="54"/>
      <c r="B244" s="54"/>
      <c r="C244" s="54"/>
      <c r="D244" s="56"/>
      <c r="E244" s="55"/>
      <c r="F244" s="56"/>
      <c r="G244" s="56"/>
      <c r="H244" s="56"/>
      <c r="I244" s="57"/>
      <c r="J244" s="57"/>
      <c r="K244" s="57"/>
    </row>
    <row r="245" spans="1:11" x14ac:dyDescent="0.25">
      <c r="A245" s="54"/>
      <c r="B245" s="54"/>
      <c r="C245" s="54"/>
      <c r="D245" s="56"/>
      <c r="E245" s="55"/>
      <c r="F245" s="56"/>
      <c r="G245" s="56"/>
      <c r="H245" s="56"/>
      <c r="I245" s="57"/>
      <c r="J245" s="57"/>
      <c r="K245" s="57"/>
    </row>
    <row r="246" spans="1:11" x14ac:dyDescent="0.25">
      <c r="A246" s="54"/>
      <c r="B246" s="54"/>
      <c r="C246" s="54"/>
      <c r="D246" s="56"/>
      <c r="E246" s="55"/>
      <c r="F246" s="56"/>
      <c r="G246" s="56"/>
      <c r="H246" s="56"/>
      <c r="I246" s="57"/>
      <c r="J246" s="57"/>
      <c r="K246" s="57"/>
    </row>
    <row r="247" spans="1:11" x14ac:dyDescent="0.25">
      <c r="A247" s="54"/>
      <c r="B247" s="54"/>
      <c r="C247" s="54"/>
      <c r="D247" s="56"/>
      <c r="E247" s="55"/>
      <c r="F247" s="56"/>
      <c r="G247" s="56"/>
      <c r="H247" s="56"/>
      <c r="I247" s="57"/>
      <c r="J247" s="57"/>
      <c r="K247" s="57"/>
    </row>
    <row r="248" spans="1:11" x14ac:dyDescent="0.25">
      <c r="A248" s="54"/>
      <c r="B248" s="54"/>
      <c r="C248" s="54"/>
      <c r="D248" s="56"/>
      <c r="E248" s="55"/>
      <c r="F248" s="56"/>
      <c r="G248" s="56"/>
      <c r="H248" s="56"/>
      <c r="I248" s="57"/>
      <c r="J248" s="57"/>
      <c r="K248" s="57"/>
    </row>
    <row r="249" spans="1:11" x14ac:dyDescent="0.25">
      <c r="A249" s="54"/>
      <c r="B249" s="54"/>
      <c r="C249" s="54"/>
      <c r="D249" s="56"/>
      <c r="E249" s="55"/>
      <c r="F249" s="56"/>
      <c r="G249" s="56"/>
      <c r="H249" s="56"/>
      <c r="I249" s="57"/>
      <c r="J249" s="57"/>
      <c r="K249" s="57"/>
    </row>
    <row r="250" spans="1:11" x14ac:dyDescent="0.25">
      <c r="A250" s="54"/>
      <c r="B250" s="54"/>
      <c r="C250" s="54"/>
      <c r="D250" s="56"/>
      <c r="E250" s="55"/>
      <c r="F250" s="56"/>
      <c r="G250" s="56"/>
      <c r="H250" s="56"/>
      <c r="I250" s="57"/>
      <c r="J250" s="57"/>
      <c r="K250" s="57"/>
    </row>
    <row r="251" spans="1:11" x14ac:dyDescent="0.25">
      <c r="A251" s="54"/>
      <c r="B251" s="54"/>
      <c r="C251" s="54"/>
      <c r="D251" s="56"/>
      <c r="E251" s="55"/>
      <c r="F251" s="56"/>
      <c r="G251" s="56"/>
      <c r="H251" s="56"/>
      <c r="I251" s="57"/>
      <c r="J251" s="57"/>
      <c r="K251" s="57"/>
    </row>
    <row r="252" spans="1:11" x14ac:dyDescent="0.25">
      <c r="A252" s="54"/>
      <c r="B252" s="54"/>
      <c r="C252" s="54"/>
      <c r="D252" s="56"/>
      <c r="E252" s="55"/>
      <c r="F252" s="56"/>
      <c r="G252" s="56"/>
      <c r="H252" s="56"/>
      <c r="I252" s="57"/>
      <c r="J252" s="57"/>
      <c r="K252" s="57"/>
    </row>
    <row r="253" spans="1:11" x14ac:dyDescent="0.25">
      <c r="A253" s="54"/>
      <c r="B253" s="54"/>
      <c r="C253" s="54"/>
      <c r="D253" s="56"/>
      <c r="E253" s="55"/>
      <c r="F253" s="56"/>
      <c r="G253" s="56"/>
      <c r="H253" s="56"/>
      <c r="I253" s="57"/>
      <c r="J253" s="57"/>
      <c r="K253" s="57"/>
    </row>
    <row r="254" spans="1:11" x14ac:dyDescent="0.25">
      <c r="A254" s="54"/>
      <c r="B254" s="54"/>
      <c r="C254" s="54"/>
      <c r="D254" s="56"/>
      <c r="E254" s="55"/>
      <c r="F254" s="56"/>
      <c r="G254" s="56"/>
      <c r="H254" s="56"/>
      <c r="I254" s="57"/>
      <c r="J254" s="57"/>
      <c r="K254" s="57"/>
    </row>
    <row r="255" spans="1:11" x14ac:dyDescent="0.25">
      <c r="A255" s="54"/>
      <c r="B255" s="54"/>
      <c r="C255" s="54"/>
      <c r="D255" s="56"/>
      <c r="E255" s="55"/>
      <c r="F255" s="56"/>
      <c r="G255" s="56"/>
      <c r="H255" s="56"/>
      <c r="I255" s="57"/>
      <c r="J255" s="57"/>
      <c r="K255" s="57"/>
    </row>
    <row r="256" spans="1:11" x14ac:dyDescent="0.25">
      <c r="A256" s="54"/>
      <c r="B256" s="54"/>
      <c r="C256" s="54"/>
      <c r="D256" s="56"/>
      <c r="E256" s="55"/>
      <c r="F256" s="56"/>
      <c r="G256" s="56"/>
      <c r="H256" s="56"/>
      <c r="I256" s="57"/>
      <c r="J256" s="57"/>
      <c r="K256" s="57"/>
    </row>
    <row r="257" spans="1:11" x14ac:dyDescent="0.25">
      <c r="A257" s="54"/>
      <c r="B257" s="54"/>
      <c r="C257" s="54"/>
      <c r="D257" s="56"/>
      <c r="E257" s="55"/>
      <c r="F257" s="56"/>
      <c r="G257" s="56"/>
      <c r="H257" s="56"/>
      <c r="I257" s="57"/>
      <c r="J257" s="57"/>
      <c r="K257" s="57"/>
    </row>
    <row r="258" spans="1:11" x14ac:dyDescent="0.25">
      <c r="A258" s="54"/>
      <c r="B258" s="54"/>
      <c r="C258" s="54"/>
      <c r="D258" s="56"/>
      <c r="E258" s="55"/>
      <c r="F258" s="56"/>
      <c r="G258" s="56"/>
      <c r="H258" s="56"/>
      <c r="I258" s="57"/>
      <c r="J258" s="57"/>
      <c r="K258" s="57"/>
    </row>
    <row r="259" spans="1:11" x14ac:dyDescent="0.25">
      <c r="A259" s="54"/>
      <c r="B259" s="54"/>
      <c r="C259" s="54"/>
      <c r="D259" s="56"/>
      <c r="E259" s="55"/>
      <c r="F259" s="56"/>
      <c r="G259" s="56"/>
      <c r="H259" s="56"/>
      <c r="I259" s="57"/>
      <c r="J259" s="57"/>
      <c r="K259" s="57"/>
    </row>
    <row r="260" spans="1:11" x14ac:dyDescent="0.25">
      <c r="A260" s="54"/>
      <c r="B260" s="54"/>
      <c r="C260" s="54"/>
      <c r="D260" s="56"/>
      <c r="E260" s="55"/>
      <c r="F260" s="56"/>
      <c r="G260" s="56"/>
      <c r="H260" s="56"/>
      <c r="I260" s="57"/>
      <c r="J260" s="57"/>
      <c r="K260" s="57"/>
    </row>
    <row r="261" spans="1:11" x14ac:dyDescent="0.25">
      <c r="A261" s="54"/>
      <c r="B261" s="54"/>
      <c r="C261" s="54"/>
      <c r="D261" s="56"/>
      <c r="E261" s="55"/>
      <c r="F261" s="56"/>
      <c r="G261" s="56"/>
      <c r="H261" s="56"/>
      <c r="I261" s="57"/>
      <c r="J261" s="57"/>
      <c r="K261" s="57"/>
    </row>
    <row r="262" spans="1:11" x14ac:dyDescent="0.25">
      <c r="A262" s="54"/>
      <c r="B262" s="54"/>
      <c r="C262" s="54"/>
      <c r="D262" s="56"/>
      <c r="E262" s="55"/>
      <c r="F262" s="56"/>
      <c r="G262" s="56"/>
      <c r="H262" s="56"/>
      <c r="I262" s="57"/>
      <c r="J262" s="57"/>
      <c r="K262" s="57"/>
    </row>
    <row r="263" spans="1:11" x14ac:dyDescent="0.25">
      <c r="A263" s="54"/>
      <c r="B263" s="54"/>
      <c r="C263" s="54"/>
      <c r="D263" s="56"/>
      <c r="E263" s="55"/>
      <c r="F263" s="56"/>
      <c r="G263" s="56"/>
      <c r="H263" s="56"/>
      <c r="I263" s="57"/>
      <c r="J263" s="57"/>
      <c r="K263" s="57"/>
    </row>
    <row r="264" spans="1:11" x14ac:dyDescent="0.25">
      <c r="A264" s="54"/>
      <c r="B264" s="54"/>
      <c r="C264" s="54"/>
      <c r="D264" s="56"/>
      <c r="E264" s="55"/>
      <c r="F264" s="56"/>
      <c r="G264" s="56"/>
      <c r="H264" s="56"/>
      <c r="I264" s="57"/>
      <c r="J264" s="57"/>
      <c r="K264" s="57"/>
    </row>
    <row r="265" spans="1:11" x14ac:dyDescent="0.25">
      <c r="A265" s="54"/>
      <c r="B265" s="54"/>
      <c r="C265" s="54"/>
      <c r="D265" s="56"/>
      <c r="E265" s="55"/>
      <c r="F265" s="56"/>
      <c r="G265" s="56"/>
      <c r="H265" s="56"/>
      <c r="I265" s="57"/>
      <c r="J265" s="57"/>
      <c r="K265" s="57"/>
    </row>
    <row r="266" spans="1:11" x14ac:dyDescent="0.25">
      <c r="A266" s="54"/>
      <c r="B266" s="54"/>
      <c r="C266" s="54"/>
      <c r="D266" s="56"/>
      <c r="E266" s="55"/>
      <c r="F266" s="56"/>
      <c r="G266" s="56"/>
      <c r="H266" s="56"/>
      <c r="I266" s="57"/>
      <c r="J266" s="57"/>
      <c r="K266" s="57"/>
    </row>
    <row r="267" spans="1:11" x14ac:dyDescent="0.25">
      <c r="A267" s="54"/>
      <c r="B267" s="54"/>
      <c r="C267" s="54"/>
      <c r="D267" s="56"/>
      <c r="E267" s="55"/>
      <c r="F267" s="56"/>
      <c r="G267" s="56"/>
      <c r="H267" s="56"/>
      <c r="I267" s="57"/>
      <c r="J267" s="57"/>
      <c r="K267" s="57"/>
    </row>
    <row r="268" spans="1:11" x14ac:dyDescent="0.25">
      <c r="A268" s="54"/>
      <c r="B268" s="54"/>
      <c r="C268" s="54"/>
      <c r="D268" s="56"/>
      <c r="E268" s="55"/>
      <c r="F268" s="56"/>
      <c r="G268" s="56"/>
      <c r="H268" s="56"/>
      <c r="I268" s="57"/>
      <c r="J268" s="57"/>
      <c r="K268" s="57"/>
    </row>
    <row r="269" spans="1:11" x14ac:dyDescent="0.25">
      <c r="A269" s="54"/>
      <c r="B269" s="54"/>
      <c r="C269" s="54"/>
      <c r="D269" s="56"/>
      <c r="E269" s="55"/>
      <c r="F269" s="56"/>
      <c r="G269" s="56"/>
      <c r="H269" s="56"/>
      <c r="I269" s="57"/>
      <c r="J269" s="57"/>
      <c r="K269" s="57"/>
    </row>
    <row r="270" spans="1:11" x14ac:dyDescent="0.25">
      <c r="A270" s="54"/>
      <c r="B270" s="54"/>
      <c r="C270" s="54"/>
      <c r="D270" s="56"/>
      <c r="E270" s="55"/>
      <c r="F270" s="56"/>
      <c r="G270" s="56"/>
      <c r="H270" s="56"/>
      <c r="I270" s="57"/>
      <c r="J270" s="57"/>
      <c r="K270" s="57"/>
    </row>
    <row r="271" spans="1:11" x14ac:dyDescent="0.25">
      <c r="A271" s="54"/>
      <c r="B271" s="54"/>
      <c r="C271" s="54"/>
      <c r="D271" s="56"/>
      <c r="E271" s="55"/>
      <c r="F271" s="56"/>
      <c r="G271" s="56"/>
      <c r="H271" s="56"/>
      <c r="I271" s="57"/>
      <c r="J271" s="57"/>
      <c r="K271" s="57"/>
    </row>
    <row r="272" spans="1:11" x14ac:dyDescent="0.25">
      <c r="A272" s="54"/>
      <c r="B272" s="54"/>
      <c r="C272" s="54"/>
      <c r="D272" s="56"/>
      <c r="E272" s="55"/>
      <c r="F272" s="56"/>
      <c r="G272" s="56"/>
      <c r="H272" s="56"/>
      <c r="I272" s="57"/>
      <c r="J272" s="57"/>
      <c r="K272" s="57"/>
    </row>
    <row r="273" spans="1:11" x14ac:dyDescent="0.25">
      <c r="A273" s="54"/>
      <c r="B273" s="54"/>
      <c r="C273" s="54"/>
      <c r="D273" s="56"/>
      <c r="E273" s="55"/>
      <c r="F273" s="56"/>
      <c r="G273" s="56"/>
      <c r="H273" s="56"/>
      <c r="I273" s="57"/>
      <c r="J273" s="57"/>
      <c r="K273" s="57"/>
    </row>
    <row r="274" spans="1:11" x14ac:dyDescent="0.25">
      <c r="A274" s="54"/>
      <c r="B274" s="54"/>
      <c r="C274" s="54"/>
      <c r="D274" s="56"/>
      <c r="E274" s="55"/>
      <c r="F274" s="56"/>
      <c r="G274" s="56"/>
      <c r="H274" s="56"/>
      <c r="I274" s="57"/>
      <c r="J274" s="57"/>
      <c r="K274" s="57"/>
    </row>
    <row r="275" spans="1:11" x14ac:dyDescent="0.25">
      <c r="A275" s="54"/>
      <c r="B275" s="54"/>
      <c r="C275" s="54"/>
      <c r="D275" s="56"/>
      <c r="E275" s="55"/>
      <c r="F275" s="56"/>
      <c r="G275" s="56"/>
      <c r="H275" s="56"/>
      <c r="I275" s="57"/>
      <c r="J275" s="57"/>
      <c r="K275" s="57"/>
    </row>
    <row r="276" spans="1:11" x14ac:dyDescent="0.25">
      <c r="A276" s="54"/>
      <c r="B276" s="54"/>
      <c r="C276" s="54"/>
      <c r="D276" s="56"/>
      <c r="E276" s="55"/>
      <c r="F276" s="56"/>
      <c r="G276" s="56"/>
      <c r="H276" s="56"/>
      <c r="I276" s="57"/>
      <c r="J276" s="57"/>
      <c r="K276" s="57"/>
    </row>
    <row r="277" spans="1:11" x14ac:dyDescent="0.25">
      <c r="A277" s="54"/>
      <c r="B277" s="54"/>
      <c r="C277" s="54"/>
      <c r="D277" s="56"/>
      <c r="E277" s="55"/>
      <c r="F277" s="56"/>
      <c r="G277" s="56"/>
      <c r="H277" s="56"/>
      <c r="I277" s="57"/>
      <c r="J277" s="57"/>
      <c r="K277" s="57"/>
    </row>
    <row r="278" spans="1:11" x14ac:dyDescent="0.25">
      <c r="A278" s="54"/>
      <c r="B278" s="54"/>
      <c r="C278" s="54"/>
      <c r="D278" s="56"/>
      <c r="E278" s="55"/>
      <c r="F278" s="56"/>
      <c r="G278" s="56"/>
      <c r="H278" s="56"/>
      <c r="I278" s="57"/>
      <c r="J278" s="57"/>
      <c r="K278" s="57"/>
    </row>
    <row r="279" spans="1:11" x14ac:dyDescent="0.25">
      <c r="A279" s="54"/>
      <c r="B279" s="54"/>
      <c r="C279" s="54"/>
      <c r="D279" s="56"/>
      <c r="E279" s="55"/>
      <c r="F279" s="56"/>
      <c r="G279" s="56"/>
      <c r="H279" s="56"/>
      <c r="I279" s="57"/>
      <c r="J279" s="57"/>
      <c r="K279" s="57"/>
    </row>
    <row r="280" spans="1:11" x14ac:dyDescent="0.25">
      <c r="A280" s="54"/>
      <c r="B280" s="54"/>
      <c r="C280" s="54"/>
      <c r="D280" s="56"/>
      <c r="E280" s="55"/>
      <c r="F280" s="56"/>
      <c r="G280" s="56"/>
      <c r="H280" s="56"/>
      <c r="I280" s="57"/>
      <c r="J280" s="57"/>
      <c r="K280" s="57"/>
    </row>
    <row r="281" spans="1:11" x14ac:dyDescent="0.25">
      <c r="A281" s="54"/>
      <c r="B281" s="54"/>
      <c r="C281" s="54"/>
      <c r="D281" s="56"/>
      <c r="E281" s="55"/>
      <c r="F281" s="56"/>
      <c r="G281" s="56"/>
      <c r="H281" s="56"/>
      <c r="I281" s="57"/>
      <c r="J281" s="57"/>
      <c r="K281" s="57"/>
    </row>
    <row r="282" spans="1:11" x14ac:dyDescent="0.25">
      <c r="A282" s="54"/>
      <c r="B282" s="54"/>
      <c r="C282" s="54"/>
      <c r="D282" s="56"/>
      <c r="E282" s="55"/>
      <c r="F282" s="56"/>
      <c r="G282" s="56"/>
      <c r="H282" s="56"/>
      <c r="I282" s="57"/>
      <c r="J282" s="57"/>
      <c r="K282" s="57"/>
    </row>
    <row r="283" spans="1:11" x14ac:dyDescent="0.25">
      <c r="A283" s="54"/>
      <c r="B283" s="54"/>
      <c r="C283" s="54"/>
      <c r="D283" s="56"/>
      <c r="E283" s="55"/>
      <c r="F283" s="56"/>
      <c r="G283" s="56"/>
      <c r="H283" s="56"/>
      <c r="I283" s="57"/>
      <c r="J283" s="57"/>
      <c r="K283" s="57"/>
    </row>
    <row r="284" spans="1:11" x14ac:dyDescent="0.25">
      <c r="A284" s="54"/>
      <c r="B284" s="54"/>
      <c r="C284" s="54"/>
      <c r="D284" s="56"/>
      <c r="E284" s="55"/>
      <c r="F284" s="56"/>
      <c r="G284" s="56"/>
      <c r="H284" s="56"/>
      <c r="I284" s="57"/>
      <c r="J284" s="57"/>
      <c r="K284" s="57"/>
    </row>
    <row r="285" spans="1:11" x14ac:dyDescent="0.25">
      <c r="A285" s="54"/>
      <c r="B285" s="54"/>
      <c r="C285" s="54"/>
      <c r="D285" s="56"/>
      <c r="E285" s="55"/>
      <c r="F285" s="56"/>
      <c r="G285" s="56"/>
      <c r="H285" s="56"/>
      <c r="I285" s="57"/>
      <c r="J285" s="57"/>
      <c r="K285" s="57"/>
    </row>
    <row r="286" spans="1:11" x14ac:dyDescent="0.25">
      <c r="A286" s="54"/>
      <c r="B286" s="54"/>
      <c r="C286" s="54"/>
      <c r="D286" s="56"/>
      <c r="E286" s="55"/>
      <c r="F286" s="56"/>
      <c r="G286" s="56"/>
      <c r="H286" s="56"/>
      <c r="I286" s="57"/>
      <c r="J286" s="57"/>
      <c r="K286" s="57"/>
    </row>
    <row r="287" spans="1:11" x14ac:dyDescent="0.25">
      <c r="A287" s="54"/>
      <c r="B287" s="54"/>
      <c r="C287" s="54"/>
      <c r="D287" s="56"/>
      <c r="E287" s="55"/>
      <c r="F287" s="56"/>
      <c r="G287" s="56"/>
      <c r="H287" s="56"/>
      <c r="I287" s="57"/>
      <c r="J287" s="57"/>
      <c r="K287" s="57"/>
    </row>
    <row r="288" spans="1:11" x14ac:dyDescent="0.25">
      <c r="A288" s="54"/>
      <c r="B288" s="54"/>
      <c r="C288" s="54"/>
      <c r="D288" s="56"/>
      <c r="E288" s="55"/>
      <c r="F288" s="56"/>
      <c r="G288" s="56"/>
      <c r="H288" s="56"/>
      <c r="I288" s="57"/>
      <c r="J288" s="57"/>
      <c r="K288" s="57"/>
    </row>
    <row r="289" spans="1:11" x14ac:dyDescent="0.25">
      <c r="A289" s="54"/>
      <c r="B289" s="54"/>
      <c r="C289" s="54"/>
      <c r="D289" s="56"/>
      <c r="E289" s="55"/>
      <c r="F289" s="56"/>
      <c r="G289" s="56"/>
      <c r="H289" s="56"/>
      <c r="I289" s="57"/>
      <c r="J289" s="57"/>
      <c r="K289" s="57"/>
    </row>
    <row r="290" spans="1:11" x14ac:dyDescent="0.25">
      <c r="A290" s="54"/>
      <c r="B290" s="54"/>
      <c r="C290" s="54"/>
      <c r="D290" s="56"/>
      <c r="E290" s="55"/>
      <c r="F290" s="56"/>
      <c r="G290" s="56"/>
      <c r="H290" s="56"/>
      <c r="I290" s="57"/>
      <c r="J290" s="57"/>
      <c r="K290" s="57"/>
    </row>
    <row r="291" spans="1:11" x14ac:dyDescent="0.25">
      <c r="A291" s="54"/>
      <c r="B291" s="54"/>
      <c r="C291" s="54"/>
      <c r="D291" s="56"/>
      <c r="E291" s="55"/>
      <c r="F291" s="56"/>
      <c r="G291" s="56"/>
      <c r="H291" s="56"/>
      <c r="I291" s="57"/>
      <c r="J291" s="57"/>
      <c r="K291" s="57"/>
    </row>
    <row r="292" spans="1:11" x14ac:dyDescent="0.25">
      <c r="A292" s="54"/>
      <c r="B292" s="54"/>
      <c r="C292" s="54"/>
      <c r="D292" s="56"/>
      <c r="E292" s="55"/>
      <c r="F292" s="56"/>
      <c r="G292" s="56"/>
      <c r="H292" s="56"/>
      <c r="I292" s="57"/>
      <c r="J292" s="57"/>
      <c r="K292" s="57"/>
    </row>
    <row r="293" spans="1:11" x14ac:dyDescent="0.25">
      <c r="A293" s="54"/>
      <c r="B293" s="54"/>
      <c r="C293" s="54"/>
      <c r="D293" s="56"/>
      <c r="E293" s="55"/>
      <c r="F293" s="56"/>
      <c r="G293" s="56"/>
      <c r="H293" s="56"/>
      <c r="I293" s="57"/>
      <c r="J293" s="57"/>
      <c r="K293" s="57"/>
    </row>
    <row r="294" spans="1:11" x14ac:dyDescent="0.25">
      <c r="A294" s="54"/>
      <c r="B294" s="54"/>
      <c r="C294" s="54"/>
      <c r="D294" s="56"/>
      <c r="E294" s="55"/>
      <c r="F294" s="56"/>
      <c r="G294" s="56"/>
      <c r="H294" s="56"/>
      <c r="I294" s="57"/>
      <c r="J294" s="57"/>
      <c r="K294" s="57"/>
    </row>
    <row r="295" spans="1:11" x14ac:dyDescent="0.25">
      <c r="A295" s="54"/>
      <c r="B295" s="54"/>
      <c r="C295" s="54"/>
      <c r="D295" s="56"/>
      <c r="E295" s="55"/>
      <c r="F295" s="56"/>
      <c r="G295" s="56"/>
      <c r="H295" s="56"/>
      <c r="I295" s="57"/>
      <c r="J295" s="57"/>
      <c r="K295" s="57"/>
    </row>
    <row r="296" spans="1:11" x14ac:dyDescent="0.25">
      <c r="A296" s="54"/>
      <c r="B296" s="54"/>
      <c r="C296" s="54"/>
      <c r="D296" s="56"/>
      <c r="E296" s="55"/>
      <c r="F296" s="56"/>
      <c r="G296" s="56"/>
      <c r="H296" s="56"/>
      <c r="I296" s="57"/>
      <c r="J296" s="57"/>
      <c r="K296" s="57"/>
    </row>
    <row r="297" spans="1:11" x14ac:dyDescent="0.25">
      <c r="A297" s="54"/>
      <c r="B297" s="54"/>
      <c r="C297" s="54"/>
      <c r="D297" s="56"/>
      <c r="E297" s="55"/>
      <c r="F297" s="56"/>
      <c r="G297" s="56"/>
      <c r="H297" s="56"/>
      <c r="I297" s="57"/>
      <c r="J297" s="57"/>
      <c r="K297" s="57"/>
    </row>
    <row r="298" spans="1:11" x14ac:dyDescent="0.25">
      <c r="A298" s="54"/>
      <c r="B298" s="54"/>
      <c r="C298" s="54"/>
      <c r="D298" s="56"/>
      <c r="E298" s="55"/>
      <c r="F298" s="56"/>
      <c r="G298" s="56"/>
      <c r="H298" s="56"/>
      <c r="I298" s="57"/>
      <c r="J298" s="57"/>
      <c r="K298" s="57"/>
    </row>
    <row r="299" spans="1:11" x14ac:dyDescent="0.25">
      <c r="A299" s="54"/>
      <c r="B299" s="54"/>
      <c r="C299" s="54"/>
      <c r="D299" s="56"/>
      <c r="E299" s="55"/>
      <c r="F299" s="56"/>
      <c r="G299" s="56"/>
      <c r="H299" s="56"/>
      <c r="I299" s="57"/>
      <c r="J299" s="57"/>
      <c r="K299" s="57"/>
    </row>
    <row r="300" spans="1:11" x14ac:dyDescent="0.25">
      <c r="A300" s="54"/>
      <c r="B300" s="54"/>
      <c r="C300" s="54"/>
      <c r="D300" s="56"/>
      <c r="E300" s="55"/>
      <c r="F300" s="56"/>
      <c r="G300" s="56"/>
      <c r="H300" s="56"/>
      <c r="I300" s="57"/>
      <c r="J300" s="57"/>
      <c r="K300" s="57"/>
    </row>
    <row r="301" spans="1:11" x14ac:dyDescent="0.25">
      <c r="A301" s="54"/>
      <c r="B301" s="54"/>
      <c r="C301" s="54"/>
      <c r="D301" s="56"/>
      <c r="E301" s="55"/>
      <c r="F301" s="56"/>
      <c r="G301" s="56"/>
      <c r="H301" s="56"/>
      <c r="I301" s="57"/>
      <c r="J301" s="57"/>
      <c r="K301" s="57"/>
    </row>
    <row r="302" spans="1:11" x14ac:dyDescent="0.25">
      <c r="A302" s="54"/>
      <c r="B302" s="54"/>
      <c r="C302" s="54"/>
      <c r="D302" s="56"/>
      <c r="E302" s="55"/>
      <c r="F302" s="56"/>
      <c r="G302" s="56"/>
      <c r="H302" s="56"/>
      <c r="I302" s="57"/>
      <c r="J302" s="57"/>
      <c r="K302" s="57"/>
    </row>
    <row r="303" spans="1:11" x14ac:dyDescent="0.25">
      <c r="A303" s="54"/>
      <c r="B303" s="54"/>
      <c r="C303" s="54"/>
      <c r="D303" s="56"/>
      <c r="E303" s="55"/>
      <c r="F303" s="56"/>
      <c r="G303" s="56"/>
      <c r="H303" s="56"/>
      <c r="I303" s="57"/>
      <c r="J303" s="57"/>
      <c r="K303" s="57"/>
    </row>
    <row r="304" spans="1:11" x14ac:dyDescent="0.25">
      <c r="A304" s="54"/>
      <c r="B304" s="54"/>
      <c r="C304" s="54"/>
      <c r="D304" s="56"/>
      <c r="E304" s="55"/>
      <c r="F304" s="56"/>
      <c r="G304" s="56"/>
      <c r="H304" s="56"/>
      <c r="I304" s="57"/>
      <c r="J304" s="57"/>
      <c r="K304" s="57"/>
    </row>
    <row r="305" spans="1:11" x14ac:dyDescent="0.25">
      <c r="A305" s="54"/>
      <c r="B305" s="54"/>
      <c r="C305" s="54"/>
      <c r="D305" s="56"/>
      <c r="E305" s="55"/>
      <c r="F305" s="56"/>
      <c r="G305" s="56"/>
      <c r="H305" s="56"/>
      <c r="I305" s="57"/>
      <c r="J305" s="57"/>
      <c r="K305" s="57"/>
    </row>
    <row r="306" spans="1:11" x14ac:dyDescent="0.25">
      <c r="A306" s="54"/>
      <c r="B306" s="54"/>
      <c r="C306" s="54"/>
      <c r="D306" s="56"/>
      <c r="E306" s="55"/>
      <c r="F306" s="56"/>
      <c r="G306" s="56"/>
      <c r="H306" s="56"/>
      <c r="I306" s="57"/>
      <c r="J306" s="57"/>
      <c r="K306" s="57"/>
    </row>
    <row r="307" spans="1:11" x14ac:dyDescent="0.25">
      <c r="A307" s="54"/>
      <c r="B307" s="54"/>
      <c r="C307" s="54"/>
      <c r="D307" s="56"/>
      <c r="E307" s="55"/>
      <c r="F307" s="56"/>
      <c r="G307" s="56"/>
      <c r="H307" s="56"/>
      <c r="I307" s="57"/>
      <c r="J307" s="57"/>
      <c r="K307" s="57"/>
    </row>
    <row r="308" spans="1:11" x14ac:dyDescent="0.25">
      <c r="A308" s="54"/>
      <c r="B308" s="54"/>
      <c r="C308" s="54"/>
      <c r="D308" s="56"/>
      <c r="E308" s="55"/>
      <c r="F308" s="56"/>
      <c r="G308" s="56"/>
      <c r="H308" s="56"/>
      <c r="I308" s="57"/>
      <c r="J308" s="57"/>
      <c r="K308" s="57"/>
    </row>
    <row r="309" spans="1:11" x14ac:dyDescent="0.25">
      <c r="A309" s="54"/>
      <c r="B309" s="54"/>
      <c r="C309" s="54"/>
      <c r="D309" s="56"/>
      <c r="E309" s="55"/>
      <c r="F309" s="56"/>
      <c r="G309" s="56"/>
      <c r="H309" s="56"/>
      <c r="I309" s="57"/>
      <c r="J309" s="57"/>
      <c r="K309" s="57"/>
    </row>
    <row r="310" spans="1:11" x14ac:dyDescent="0.25">
      <c r="A310" s="54"/>
      <c r="B310" s="54"/>
      <c r="C310" s="54"/>
      <c r="D310" s="56"/>
      <c r="E310" s="55"/>
      <c r="F310" s="56"/>
      <c r="G310" s="56"/>
      <c r="H310" s="56"/>
      <c r="I310" s="57"/>
      <c r="J310" s="57"/>
      <c r="K310" s="57"/>
    </row>
    <row r="311" spans="1:11" x14ac:dyDescent="0.25">
      <c r="A311" s="54"/>
      <c r="B311" s="54"/>
      <c r="C311" s="54"/>
      <c r="D311" s="56"/>
      <c r="E311" s="55"/>
      <c r="F311" s="56"/>
      <c r="G311" s="56"/>
      <c r="H311" s="56"/>
      <c r="I311" s="57"/>
      <c r="J311" s="57"/>
      <c r="K311" s="57"/>
    </row>
    <row r="312" spans="1:11" x14ac:dyDescent="0.25">
      <c r="A312" s="54"/>
      <c r="B312" s="54"/>
      <c r="C312" s="54"/>
      <c r="D312" s="56"/>
      <c r="E312" s="55"/>
      <c r="F312" s="56"/>
      <c r="G312" s="56"/>
      <c r="H312" s="56"/>
      <c r="I312" s="57"/>
      <c r="J312" s="57"/>
      <c r="K312" s="57"/>
    </row>
    <row r="313" spans="1:11" x14ac:dyDescent="0.25">
      <c r="A313" s="54"/>
      <c r="B313" s="54"/>
      <c r="C313" s="54"/>
      <c r="D313" s="56"/>
      <c r="E313" s="55"/>
      <c r="F313" s="56"/>
      <c r="G313" s="56"/>
      <c r="H313" s="56"/>
      <c r="I313" s="57"/>
      <c r="J313" s="57"/>
      <c r="K313" s="57"/>
    </row>
    <row r="314" spans="1:11" x14ac:dyDescent="0.25">
      <c r="A314" s="54"/>
      <c r="B314" s="54"/>
      <c r="C314" s="54"/>
      <c r="D314" s="56"/>
      <c r="E314" s="55"/>
      <c r="F314" s="56"/>
      <c r="G314" s="56"/>
      <c r="H314" s="56"/>
      <c r="I314" s="57"/>
      <c r="J314" s="57"/>
      <c r="K314" s="57"/>
    </row>
    <row r="315" spans="1:11" x14ac:dyDescent="0.25">
      <c r="A315" s="54"/>
      <c r="B315" s="54"/>
      <c r="C315" s="54"/>
      <c r="D315" s="56"/>
      <c r="E315" s="55"/>
      <c r="F315" s="56"/>
      <c r="G315" s="56"/>
      <c r="H315" s="56"/>
      <c r="I315" s="57"/>
      <c r="J315" s="57"/>
      <c r="K315" s="57"/>
    </row>
    <row r="316" spans="1:11" x14ac:dyDescent="0.25">
      <c r="A316" s="54"/>
      <c r="B316" s="54"/>
      <c r="C316" s="54"/>
      <c r="D316" s="56"/>
      <c r="E316" s="55"/>
      <c r="F316" s="56"/>
      <c r="G316" s="56"/>
      <c r="H316" s="56"/>
      <c r="I316" s="57"/>
      <c r="J316" s="57"/>
      <c r="K316" s="57"/>
    </row>
    <row r="317" spans="1:11" x14ac:dyDescent="0.25">
      <c r="A317" s="54"/>
      <c r="B317" s="54"/>
      <c r="C317" s="54"/>
      <c r="D317" s="56"/>
      <c r="E317" s="55"/>
      <c r="F317" s="56"/>
      <c r="G317" s="56"/>
      <c r="H317" s="56"/>
      <c r="I317" s="57"/>
      <c r="J317" s="57"/>
      <c r="K317" s="57"/>
    </row>
    <row r="318" spans="1:11" x14ac:dyDescent="0.25">
      <c r="A318" s="54"/>
      <c r="B318" s="54"/>
      <c r="C318" s="54"/>
      <c r="D318" s="56"/>
      <c r="E318" s="55"/>
      <c r="F318" s="56"/>
      <c r="G318" s="56"/>
      <c r="H318" s="56"/>
      <c r="I318" s="57"/>
      <c r="J318" s="57"/>
      <c r="K318" s="57"/>
    </row>
    <row r="319" spans="1:11" x14ac:dyDescent="0.25">
      <c r="A319" s="54"/>
      <c r="B319" s="54"/>
      <c r="C319" s="54"/>
      <c r="D319" s="56"/>
      <c r="E319" s="55"/>
      <c r="F319" s="56"/>
      <c r="G319" s="56"/>
      <c r="H319" s="56"/>
      <c r="I319" s="57"/>
      <c r="J319" s="57"/>
      <c r="K319" s="57"/>
    </row>
    <row r="320" spans="1:11" x14ac:dyDescent="0.25">
      <c r="A320" s="54"/>
      <c r="B320" s="54"/>
      <c r="C320" s="54"/>
      <c r="D320" s="56"/>
      <c r="E320" s="55"/>
      <c r="F320" s="56"/>
      <c r="G320" s="56"/>
      <c r="H320" s="56"/>
      <c r="I320" s="57"/>
      <c r="J320" s="57"/>
      <c r="K320" s="57"/>
    </row>
    <row r="321" spans="1:11" x14ac:dyDescent="0.25">
      <c r="A321" s="54"/>
      <c r="B321" s="54"/>
      <c r="C321" s="54"/>
      <c r="D321" s="56"/>
      <c r="E321" s="55"/>
      <c r="F321" s="56"/>
      <c r="G321" s="56"/>
      <c r="H321" s="56"/>
      <c r="I321" s="57"/>
      <c r="J321" s="57"/>
      <c r="K321" s="57"/>
    </row>
    <row r="322" spans="1:11" x14ac:dyDescent="0.25">
      <c r="A322" s="54"/>
      <c r="B322" s="54"/>
      <c r="C322" s="54"/>
      <c r="D322" s="56"/>
      <c r="E322" s="55"/>
      <c r="F322" s="56"/>
      <c r="G322" s="56"/>
      <c r="H322" s="56"/>
      <c r="I322" s="57"/>
      <c r="J322" s="57"/>
      <c r="K322" s="57"/>
    </row>
    <row r="323" spans="1:11" x14ac:dyDescent="0.25">
      <c r="A323" s="54"/>
      <c r="B323" s="54"/>
      <c r="C323" s="54"/>
      <c r="D323" s="56"/>
      <c r="E323" s="55"/>
      <c r="F323" s="56"/>
      <c r="G323" s="56"/>
      <c r="H323" s="56"/>
      <c r="I323" s="57"/>
      <c r="J323" s="57"/>
      <c r="K323" s="57"/>
    </row>
    <row r="324" spans="1:11" x14ac:dyDescent="0.25">
      <c r="A324" s="54"/>
      <c r="B324" s="54"/>
      <c r="C324" s="54"/>
      <c r="D324" s="56"/>
      <c r="E324" s="55"/>
      <c r="F324" s="56"/>
      <c r="G324" s="56"/>
      <c r="H324" s="56"/>
      <c r="I324" s="57"/>
      <c r="J324" s="57"/>
      <c r="K324" s="57"/>
    </row>
    <row r="325" spans="1:11" x14ac:dyDescent="0.25">
      <c r="A325" s="54"/>
      <c r="B325" s="54"/>
      <c r="C325" s="54"/>
      <c r="D325" s="56"/>
      <c r="E325" s="55"/>
      <c r="F325" s="56"/>
      <c r="G325" s="56"/>
      <c r="H325" s="56"/>
      <c r="I325" s="57"/>
      <c r="J325" s="57"/>
      <c r="K325" s="57"/>
    </row>
    <row r="326" spans="1:11" x14ac:dyDescent="0.25">
      <c r="A326" s="54"/>
      <c r="B326" s="54"/>
      <c r="C326" s="54"/>
      <c r="D326" s="56"/>
      <c r="E326" s="55"/>
      <c r="F326" s="56"/>
      <c r="G326" s="56"/>
      <c r="H326" s="56"/>
      <c r="I326" s="57"/>
      <c r="J326" s="57"/>
      <c r="K326" s="57"/>
    </row>
    <row r="327" spans="1:11" x14ac:dyDescent="0.25">
      <c r="A327" s="54"/>
      <c r="B327" s="54"/>
      <c r="C327" s="54"/>
      <c r="D327" s="56"/>
      <c r="E327" s="55"/>
      <c r="F327" s="56"/>
      <c r="G327" s="56"/>
      <c r="H327" s="56"/>
      <c r="I327" s="57"/>
      <c r="J327" s="57"/>
      <c r="K327" s="57"/>
    </row>
    <row r="328" spans="1:11" x14ac:dyDescent="0.25">
      <c r="A328" s="54"/>
      <c r="B328" s="54"/>
      <c r="C328" s="54"/>
      <c r="D328" s="56"/>
      <c r="E328" s="55"/>
      <c r="F328" s="56"/>
      <c r="G328" s="56"/>
      <c r="H328" s="56"/>
      <c r="I328" s="57"/>
      <c r="J328" s="57"/>
      <c r="K328" s="57"/>
    </row>
    <row r="329" spans="1:11" x14ac:dyDescent="0.25">
      <c r="A329" s="54"/>
      <c r="B329" s="54"/>
      <c r="C329" s="54"/>
      <c r="D329" s="56"/>
      <c r="E329" s="55"/>
      <c r="F329" s="56"/>
      <c r="G329" s="56"/>
      <c r="H329" s="56"/>
      <c r="I329" s="57"/>
      <c r="J329" s="57"/>
      <c r="K329" s="57"/>
    </row>
    <row r="330" spans="1:11" x14ac:dyDescent="0.25">
      <c r="A330" s="54"/>
      <c r="B330" s="54"/>
      <c r="C330" s="54"/>
      <c r="D330" s="56"/>
      <c r="E330" s="55"/>
      <c r="F330" s="56"/>
      <c r="G330" s="56"/>
      <c r="H330" s="56"/>
      <c r="I330" s="57"/>
      <c r="J330" s="57"/>
      <c r="K330" s="57"/>
    </row>
    <row r="331" spans="1:11" x14ac:dyDescent="0.25">
      <c r="A331" s="54"/>
      <c r="B331" s="54"/>
      <c r="C331" s="54"/>
      <c r="D331" s="56"/>
      <c r="E331" s="55"/>
      <c r="F331" s="56"/>
      <c r="G331" s="56"/>
      <c r="H331" s="56"/>
      <c r="I331" s="57"/>
      <c r="J331" s="57"/>
      <c r="K331" s="57"/>
    </row>
    <row r="332" spans="1:11" x14ac:dyDescent="0.25">
      <c r="A332" s="54"/>
      <c r="B332" s="54"/>
      <c r="C332" s="54"/>
      <c r="D332" s="56"/>
      <c r="E332" s="55"/>
      <c r="F332" s="56"/>
      <c r="G332" s="56"/>
      <c r="H332" s="56"/>
      <c r="I332" s="57"/>
      <c r="J332" s="57"/>
      <c r="K332" s="57"/>
    </row>
    <row r="333" spans="1:11" x14ac:dyDescent="0.25">
      <c r="A333" s="54"/>
      <c r="B333" s="54"/>
      <c r="C333" s="54"/>
      <c r="D333" s="56"/>
      <c r="E333" s="55"/>
      <c r="F333" s="56"/>
      <c r="G333" s="56"/>
      <c r="H333" s="56"/>
      <c r="I333" s="57"/>
      <c r="J333" s="57"/>
      <c r="K333" s="57"/>
    </row>
    <row r="334" spans="1:11" x14ac:dyDescent="0.25">
      <c r="A334" s="54"/>
      <c r="B334" s="54"/>
      <c r="C334" s="54"/>
      <c r="D334" s="56"/>
      <c r="E334" s="55"/>
      <c r="F334" s="56"/>
      <c r="G334" s="56"/>
      <c r="H334" s="56"/>
      <c r="I334" s="57"/>
      <c r="J334" s="57"/>
      <c r="K334" s="57"/>
    </row>
    <row r="335" spans="1:11" x14ac:dyDescent="0.25">
      <c r="A335" s="54"/>
      <c r="B335" s="54"/>
      <c r="C335" s="54"/>
      <c r="D335" s="56"/>
      <c r="E335" s="55"/>
      <c r="F335" s="56"/>
      <c r="G335" s="56"/>
      <c r="H335" s="56"/>
      <c r="I335" s="57"/>
      <c r="J335" s="57"/>
      <c r="K335" s="57"/>
    </row>
    <row r="336" spans="1:11" x14ac:dyDescent="0.25">
      <c r="A336" s="54"/>
      <c r="B336" s="54"/>
      <c r="C336" s="54"/>
      <c r="D336" s="56"/>
      <c r="E336" s="55"/>
      <c r="F336" s="56"/>
      <c r="G336" s="56"/>
      <c r="H336" s="56"/>
      <c r="I336" s="57"/>
      <c r="J336" s="57"/>
      <c r="K336" s="57"/>
    </row>
    <row r="337" spans="1:11" x14ac:dyDescent="0.25">
      <c r="A337" s="54"/>
      <c r="B337" s="54"/>
      <c r="C337" s="54"/>
      <c r="D337" s="56"/>
      <c r="E337" s="55"/>
      <c r="F337" s="56"/>
      <c r="G337" s="56"/>
      <c r="H337" s="56"/>
      <c r="I337" s="57"/>
      <c r="J337" s="57"/>
      <c r="K337" s="57"/>
    </row>
    <row r="338" spans="1:11" x14ac:dyDescent="0.25">
      <c r="A338" s="54"/>
      <c r="B338" s="54"/>
      <c r="C338" s="54"/>
      <c r="D338" s="56"/>
      <c r="E338" s="55"/>
      <c r="F338" s="56"/>
      <c r="G338" s="56"/>
      <c r="H338" s="56"/>
      <c r="I338" s="57"/>
      <c r="J338" s="57"/>
      <c r="K338" s="57"/>
    </row>
    <row r="339" spans="1:11" x14ac:dyDescent="0.25">
      <c r="A339" s="54"/>
      <c r="B339" s="54"/>
      <c r="C339" s="54"/>
      <c r="D339" s="56"/>
      <c r="E339" s="55"/>
      <c r="F339" s="56"/>
      <c r="G339" s="56"/>
      <c r="H339" s="56"/>
      <c r="I339" s="57"/>
      <c r="J339" s="57"/>
      <c r="K339" s="57"/>
    </row>
    <row r="340" spans="1:11" x14ac:dyDescent="0.25">
      <c r="A340" s="54"/>
      <c r="B340" s="54"/>
      <c r="C340" s="54"/>
      <c r="D340" s="56"/>
      <c r="E340" s="55"/>
      <c r="F340" s="56"/>
      <c r="G340" s="56"/>
      <c r="H340" s="56"/>
      <c r="I340" s="57"/>
      <c r="J340" s="57"/>
      <c r="K340" s="57"/>
    </row>
    <row r="341" spans="1:11" x14ac:dyDescent="0.25">
      <c r="A341" s="54"/>
      <c r="B341" s="54"/>
      <c r="C341" s="54"/>
      <c r="D341" s="56"/>
      <c r="E341" s="55"/>
      <c r="F341" s="56"/>
      <c r="G341" s="56"/>
      <c r="H341" s="56"/>
      <c r="I341" s="57"/>
      <c r="J341" s="57"/>
      <c r="K341" s="57"/>
    </row>
    <row r="342" spans="1:11" x14ac:dyDescent="0.25">
      <c r="A342" s="54"/>
      <c r="B342" s="54"/>
      <c r="C342" s="54"/>
      <c r="D342" s="56"/>
      <c r="E342" s="55"/>
      <c r="F342" s="56"/>
      <c r="G342" s="56"/>
      <c r="H342" s="56"/>
      <c r="I342" s="57"/>
      <c r="J342" s="57"/>
      <c r="K342" s="57"/>
    </row>
    <row r="343" spans="1:11" x14ac:dyDescent="0.25">
      <c r="A343" s="54"/>
      <c r="B343" s="54"/>
      <c r="C343" s="54"/>
      <c r="D343" s="56"/>
      <c r="E343" s="55"/>
      <c r="F343" s="56"/>
      <c r="G343" s="56"/>
      <c r="H343" s="56"/>
      <c r="I343" s="57"/>
      <c r="J343" s="57"/>
      <c r="K343" s="57"/>
    </row>
    <row r="344" spans="1:11" x14ac:dyDescent="0.25">
      <c r="A344" s="54"/>
      <c r="B344" s="54"/>
      <c r="C344" s="54"/>
      <c r="D344" s="56"/>
      <c r="E344" s="55"/>
      <c r="F344" s="56"/>
      <c r="G344" s="56"/>
      <c r="H344" s="56"/>
      <c r="I344" s="57"/>
      <c r="J344" s="57"/>
      <c r="K344" s="57"/>
    </row>
    <row r="345" spans="1:11" x14ac:dyDescent="0.25">
      <c r="A345" s="54"/>
      <c r="B345" s="54"/>
      <c r="C345" s="54"/>
      <c r="D345" s="56"/>
      <c r="E345" s="55"/>
      <c r="F345" s="56"/>
      <c r="G345" s="56"/>
      <c r="H345" s="56"/>
      <c r="I345" s="57"/>
      <c r="J345" s="57"/>
      <c r="K345" s="57"/>
    </row>
    <row r="346" spans="1:11" x14ac:dyDescent="0.25">
      <c r="A346" s="54"/>
      <c r="B346" s="54"/>
      <c r="C346" s="54"/>
      <c r="D346" s="56"/>
      <c r="E346" s="55"/>
      <c r="F346" s="56"/>
      <c r="G346" s="56"/>
      <c r="H346" s="56"/>
      <c r="I346" s="57"/>
      <c r="J346" s="57"/>
      <c r="K346" s="57"/>
    </row>
    <row r="347" spans="1:11" x14ac:dyDescent="0.25">
      <c r="A347" s="54"/>
      <c r="B347" s="54"/>
      <c r="C347" s="54"/>
      <c r="D347" s="56"/>
      <c r="E347" s="55"/>
      <c r="F347" s="56"/>
      <c r="G347" s="56"/>
      <c r="H347" s="56"/>
      <c r="I347" s="57"/>
      <c r="J347" s="57"/>
      <c r="K347" s="57"/>
    </row>
    <row r="348" spans="1:11" x14ac:dyDescent="0.25">
      <c r="A348" s="54"/>
      <c r="B348" s="54"/>
      <c r="C348" s="54"/>
      <c r="D348" s="56"/>
      <c r="E348" s="55"/>
      <c r="F348" s="56"/>
      <c r="G348" s="56"/>
      <c r="H348" s="56"/>
      <c r="I348" s="57"/>
      <c r="J348" s="57"/>
      <c r="K348" s="57"/>
    </row>
    <row r="349" spans="1:11" x14ac:dyDescent="0.25">
      <c r="A349" s="54"/>
      <c r="B349" s="54"/>
      <c r="C349" s="54"/>
      <c r="D349" s="56"/>
      <c r="E349" s="55"/>
      <c r="F349" s="56"/>
      <c r="G349" s="56"/>
      <c r="H349" s="56"/>
      <c r="I349" s="57"/>
      <c r="J349" s="57"/>
      <c r="K349" s="57"/>
    </row>
    <row r="350" spans="1:11" x14ac:dyDescent="0.25">
      <c r="A350" s="54"/>
      <c r="B350" s="54"/>
      <c r="C350" s="54"/>
      <c r="D350" s="56"/>
      <c r="E350" s="55"/>
      <c r="F350" s="56"/>
      <c r="G350" s="56"/>
      <c r="H350" s="56"/>
      <c r="I350" s="57"/>
      <c r="J350" s="57"/>
      <c r="K350" s="57"/>
    </row>
    <row r="351" spans="1:11" x14ac:dyDescent="0.25">
      <c r="A351" s="54"/>
      <c r="B351" s="54"/>
      <c r="C351" s="54"/>
      <c r="D351" s="56"/>
      <c r="E351" s="55"/>
      <c r="F351" s="56"/>
      <c r="G351" s="56"/>
      <c r="H351" s="56"/>
      <c r="I351" s="57"/>
      <c r="J351" s="57"/>
      <c r="K351" s="57"/>
    </row>
    <row r="352" spans="1:11" x14ac:dyDescent="0.25">
      <c r="A352" s="54"/>
      <c r="B352" s="54"/>
      <c r="C352" s="54"/>
      <c r="D352" s="56"/>
      <c r="E352" s="55"/>
      <c r="F352" s="56"/>
      <c r="G352" s="56"/>
      <c r="H352" s="56"/>
      <c r="I352" s="57"/>
      <c r="J352" s="57"/>
      <c r="K352" s="57"/>
    </row>
    <row r="353" spans="1:11" x14ac:dyDescent="0.25">
      <c r="A353" s="54"/>
      <c r="B353" s="54"/>
      <c r="C353" s="54"/>
      <c r="D353" s="56"/>
      <c r="E353" s="55"/>
      <c r="F353" s="56"/>
      <c r="G353" s="56"/>
      <c r="H353" s="56"/>
      <c r="I353" s="57"/>
      <c r="J353" s="57"/>
      <c r="K353" s="57"/>
    </row>
    <row r="354" spans="1:11" x14ac:dyDescent="0.25">
      <c r="A354" s="54"/>
      <c r="B354" s="54"/>
      <c r="C354" s="54"/>
      <c r="D354" s="56"/>
      <c r="E354" s="55"/>
      <c r="F354" s="56"/>
      <c r="G354" s="56"/>
      <c r="H354" s="56"/>
      <c r="I354" s="57"/>
      <c r="J354" s="57"/>
      <c r="K354" s="57"/>
    </row>
    <row r="355" spans="1:11" x14ac:dyDescent="0.25">
      <c r="A355" s="54"/>
      <c r="B355" s="54"/>
      <c r="C355" s="54"/>
      <c r="D355" s="56"/>
      <c r="E355" s="55"/>
      <c r="F355" s="56"/>
      <c r="G355" s="56"/>
      <c r="H355" s="56"/>
      <c r="I355" s="57"/>
      <c r="J355" s="57"/>
      <c r="K355" s="57"/>
    </row>
    <row r="356" spans="1:11" x14ac:dyDescent="0.25">
      <c r="A356" s="54"/>
      <c r="B356" s="54"/>
      <c r="C356" s="54"/>
      <c r="D356" s="56"/>
      <c r="E356" s="55"/>
      <c r="F356" s="56"/>
      <c r="G356" s="56"/>
      <c r="H356" s="56"/>
      <c r="I356" s="57"/>
      <c r="J356" s="57"/>
      <c r="K356" s="57"/>
    </row>
  </sheetData>
  <mergeCells count="15">
    <mergeCell ref="A1:K1"/>
    <mergeCell ref="F5:H5"/>
    <mergeCell ref="D5:E6"/>
    <mergeCell ref="I5:I6"/>
    <mergeCell ref="J5:J6"/>
    <mergeCell ref="K5:K6"/>
    <mergeCell ref="A5:C6"/>
    <mergeCell ref="Q4:R4"/>
    <mergeCell ref="S4:T4"/>
    <mergeCell ref="U4:U5"/>
    <mergeCell ref="L3:N3"/>
    <mergeCell ref="L4:L5"/>
    <mergeCell ref="M4:M5"/>
    <mergeCell ref="N4:N5"/>
    <mergeCell ref="P4:P5"/>
  </mergeCells>
  <conditionalFormatting sqref="U8:U148">
    <cfRule type="dataBar" priority="2">
      <dataBar>
        <cfvo type="percent" val="0"/>
        <cfvo type="percent" val="100"/>
        <color rgb="FF00B050"/>
      </dataBar>
      <extLst>
        <ext xmlns:x14="http://schemas.microsoft.com/office/spreadsheetml/2009/9/main" uri="{B025F937-C7B1-47D3-B67F-A62EFF666E3E}">
          <x14:id>{2A2434D3-4A1D-433F-B33F-2671E096D28A}</x14:id>
        </ext>
      </extLst>
    </cfRule>
  </conditionalFormatting>
  <printOptions horizontalCentered="1"/>
  <pageMargins left="0.7" right="0.7" top="0.65441176470588203" bottom="0.66352941176470592" header="0.3" footer="0.3"/>
  <pageSetup paperSize="9" scale="72" fitToHeight="0" orientation="portrait" r:id="rId1"/>
  <headerFooter>
    <oddHeader>&amp;L&amp;"FreesiaUPC,Regular"&amp;14TP-PM-DSN-006
7-MAY-2026&amp;C&amp;"FreesiaUPC,Regular"&amp;14Drawing List&amp;R&amp;"FreesiaUPC,Regular"&amp;14R01
&amp;P of &amp;N</oddHeader>
    <oddFooter>&amp;C&amp;"FreesiaUPC,Regular"&amp;14&amp;K01+005Hard copies of this document are for REFERENCE ONLY and should not be considered the latest revision beyond the date of printing.</oddFooter>
  </headerFooter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A2434D3-4A1D-433F-B33F-2671E096D28A}">
            <x14:dataBar minLength="0" maxLength="100">
              <x14:cfvo type="percent">
                <xm:f>0</xm:f>
              </x14:cfvo>
              <x14:cfvo type="percent">
                <xm:f>100</xm:f>
              </x14:cfvo>
              <x14:negativeFillColor rgb="FF00B050"/>
              <x14:axisColor theme="0"/>
            </x14:dataBar>
          </x14:cfRule>
          <xm:sqref>U8:U148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78F1EA-E58E-4103-A3F0-0A9DCCB5E91C}">
  <sheetPr>
    <tabColor rgb="FF92D050"/>
  </sheetPr>
  <dimension ref="A1:AD334"/>
  <sheetViews>
    <sheetView topLeftCell="H1" zoomScaleNormal="100" workbookViewId="0">
      <selection activeCell="T2" sqref="T2"/>
    </sheetView>
  </sheetViews>
  <sheetFormatPr defaultColWidth="9.140625" defaultRowHeight="15" outlineLevelRow="1" outlineLevelCol="1" x14ac:dyDescent="0.25"/>
  <cols>
    <col min="1" max="1" width="22" style="58" customWidth="1"/>
    <col min="2" max="2" width="2.42578125" style="60" customWidth="1"/>
    <col min="3" max="3" width="5.5703125" style="58" customWidth="1"/>
    <col min="4" max="4" width="2.42578125" style="60" customWidth="1"/>
    <col min="5" max="5" width="74.42578125" style="59" bestFit="1" customWidth="1"/>
    <col min="6" max="8" width="4.5703125" style="60" customWidth="1" outlineLevel="1"/>
    <col min="9" max="10" width="9.140625" style="61" customWidth="1"/>
    <col min="11" max="11" width="20.42578125" style="61" customWidth="1"/>
    <col min="12" max="12" width="9.140625" style="52" customWidth="1" outlineLevel="1"/>
    <col min="13" max="14" width="11.5703125" style="52" customWidth="1" outlineLevel="1"/>
    <col min="15" max="15" width="9.42578125" style="257" customWidth="1"/>
    <col min="16" max="16" width="9.5703125" style="257" customWidth="1"/>
    <col min="17" max="20" width="8.5703125" style="257" customWidth="1"/>
    <col min="21" max="21" width="9.42578125" style="258" customWidth="1"/>
    <col min="22" max="22" width="9.140625" style="53" customWidth="1"/>
    <col min="23" max="23" width="36.5703125" style="53" bestFit="1" customWidth="1"/>
    <col min="24" max="29" width="9.140625" style="53"/>
    <col min="30" max="30" width="36.5703125" style="53" bestFit="1" customWidth="1"/>
    <col min="31" max="16384" width="9.140625" style="53"/>
  </cols>
  <sheetData>
    <row r="1" spans="1:30" s="48" customFormat="1" ht="45" customHeight="1" x14ac:dyDescent="0.25">
      <c r="A1" s="365" t="str">
        <f>'Cover(2)'!A1</f>
        <v>PROJECT NAME
LOCATION, PROVINCE, THAILAND</v>
      </c>
      <c r="B1" s="366"/>
      <c r="C1" s="366"/>
      <c r="D1" s="366"/>
      <c r="E1" s="366"/>
      <c r="F1" s="366"/>
      <c r="G1" s="366"/>
      <c r="H1" s="366"/>
      <c r="I1" s="366"/>
      <c r="J1" s="366"/>
      <c r="K1" s="367"/>
      <c r="L1" s="47"/>
      <c r="M1" s="47"/>
      <c r="N1" s="47"/>
      <c r="O1" s="223"/>
      <c r="P1" s="223"/>
      <c r="Q1" s="223"/>
      <c r="R1" s="223"/>
      <c r="S1" s="223"/>
      <c r="T1" s="223"/>
      <c r="U1" s="224"/>
      <c r="V1" s="37"/>
      <c r="W1" s="37"/>
      <c r="X1" s="37"/>
      <c r="Y1" s="37"/>
      <c r="Z1" s="37"/>
      <c r="AA1" s="37"/>
      <c r="AB1" s="37"/>
      <c r="AC1" s="37"/>
      <c r="AD1" s="37"/>
    </row>
    <row r="2" spans="1:30" s="48" customFormat="1" ht="15" customHeight="1" x14ac:dyDescent="0.25">
      <c r="A2" s="133"/>
      <c r="B2" s="122"/>
      <c r="C2" s="133"/>
      <c r="D2" s="133"/>
      <c r="E2" s="133"/>
      <c r="F2" s="133"/>
      <c r="G2" s="133"/>
      <c r="H2" s="133"/>
      <c r="I2" s="133"/>
      <c r="J2" s="133"/>
      <c r="K2" s="122"/>
      <c r="L2" s="49"/>
      <c r="M2" s="49"/>
      <c r="N2" s="225"/>
      <c r="O2" s="226"/>
      <c r="P2" s="227"/>
      <c r="Q2" s="227"/>
      <c r="R2" s="227"/>
      <c r="S2" s="227"/>
      <c r="T2" s="227"/>
      <c r="U2" s="227"/>
      <c r="V2" s="37"/>
      <c r="W2" s="37"/>
      <c r="X2" s="37"/>
      <c r="Y2" s="37"/>
      <c r="Z2" s="37"/>
      <c r="AA2" s="37"/>
      <c r="AB2" s="37"/>
      <c r="AC2" s="37"/>
      <c r="AD2" s="37"/>
    </row>
    <row r="3" spans="1:30" s="48" customFormat="1" ht="18" customHeight="1" thickBot="1" x14ac:dyDescent="0.3">
      <c r="A3" s="132" t="str" cm="1">
        <f t="array" aca="1" ref="A3" ca="1">MID(CELL("filename", A1), FIND("]", CELL("filename", A1)) + 1, LEN(CELL("filename", A1)))</f>
        <v>4. MECHANICAL</v>
      </c>
      <c r="B3" s="186"/>
      <c r="C3" s="132"/>
      <c r="D3" s="35"/>
      <c r="E3" s="35"/>
      <c r="F3" s="35"/>
      <c r="G3" s="35"/>
      <c r="H3" s="35"/>
      <c r="I3" s="36"/>
      <c r="J3" s="36"/>
      <c r="K3" s="123"/>
      <c r="L3" s="379" t="s">
        <v>48</v>
      </c>
      <c r="M3" s="379"/>
      <c r="N3" s="380"/>
      <c r="O3" s="228"/>
      <c r="P3" s="228"/>
      <c r="Q3" s="228"/>
      <c r="R3" s="228"/>
      <c r="S3" s="228"/>
      <c r="T3" s="228"/>
      <c r="U3" s="229"/>
      <c r="V3" s="37"/>
      <c r="W3" s="37"/>
      <c r="X3" s="37"/>
      <c r="Y3" s="37"/>
      <c r="Z3" s="37"/>
      <c r="AA3" s="37"/>
      <c r="AB3" s="37"/>
      <c r="AC3" s="37"/>
      <c r="AD3" s="37"/>
    </row>
    <row r="4" spans="1:30" s="48" customFormat="1" ht="18" customHeight="1" x14ac:dyDescent="0.25">
      <c r="A4" s="33"/>
      <c r="B4" s="34" t="s">
        <v>8</v>
      </c>
      <c r="C4" s="33"/>
      <c r="D4" s="34"/>
      <c r="E4" s="35"/>
      <c r="F4" s="34"/>
      <c r="G4" s="34"/>
      <c r="H4" s="34"/>
      <c r="I4" s="36"/>
      <c r="J4" s="36"/>
      <c r="K4" s="36"/>
      <c r="L4" s="381" t="s">
        <v>49</v>
      </c>
      <c r="M4" s="381" t="s">
        <v>50</v>
      </c>
      <c r="N4" s="381" t="s">
        <v>51</v>
      </c>
      <c r="O4" s="230"/>
      <c r="P4" s="382" t="s">
        <v>52</v>
      </c>
      <c r="Q4" s="362" t="s">
        <v>53</v>
      </c>
      <c r="R4" s="362"/>
      <c r="S4" s="362" t="s">
        <v>54</v>
      </c>
      <c r="T4" s="362"/>
      <c r="U4" s="363" t="s">
        <v>55</v>
      </c>
      <c r="V4" s="37"/>
      <c r="W4" s="37"/>
      <c r="X4" s="37"/>
      <c r="Y4" s="37"/>
      <c r="Z4" s="37"/>
      <c r="AA4" s="37"/>
      <c r="AB4" s="37"/>
      <c r="AC4" s="37"/>
      <c r="AD4" s="37"/>
    </row>
    <row r="5" spans="1:30" s="48" customFormat="1" ht="18" customHeight="1" thickBot="1" x14ac:dyDescent="0.3">
      <c r="A5" s="368" t="s">
        <v>56</v>
      </c>
      <c r="B5" s="369"/>
      <c r="C5" s="370"/>
      <c r="D5" s="374" t="s">
        <v>57</v>
      </c>
      <c r="E5" s="374"/>
      <c r="F5" s="375" t="s">
        <v>58</v>
      </c>
      <c r="G5" s="376"/>
      <c r="H5" s="377"/>
      <c r="I5" s="374" t="s">
        <v>59</v>
      </c>
      <c r="J5" s="374" t="s">
        <v>60</v>
      </c>
      <c r="K5" s="374" t="s">
        <v>15</v>
      </c>
      <c r="L5" s="381"/>
      <c r="M5" s="381"/>
      <c r="N5" s="381"/>
      <c r="O5" s="230"/>
      <c r="P5" s="383"/>
      <c r="Q5" s="265" t="s">
        <v>61</v>
      </c>
      <c r="R5" s="265" t="s">
        <v>62</v>
      </c>
      <c r="S5" s="265" t="s">
        <v>61</v>
      </c>
      <c r="T5" s="265" t="s">
        <v>62</v>
      </c>
      <c r="U5" s="364"/>
      <c r="V5" s="37"/>
      <c r="W5" s="37"/>
      <c r="X5" s="37"/>
      <c r="Y5" s="37"/>
      <c r="Z5" s="37"/>
      <c r="AA5" s="37"/>
      <c r="AB5" s="37"/>
      <c r="AC5" s="37"/>
      <c r="AD5" s="37"/>
    </row>
    <row r="6" spans="1:30" s="48" customFormat="1" ht="28.5" customHeight="1" x14ac:dyDescent="0.2">
      <c r="A6" s="371"/>
      <c r="B6" s="372"/>
      <c r="C6" s="373"/>
      <c r="D6" s="374"/>
      <c r="E6" s="374"/>
      <c r="F6" s="201" t="s">
        <v>63</v>
      </c>
      <c r="G6" s="201" t="s">
        <v>63</v>
      </c>
      <c r="H6" s="201" t="s">
        <v>63</v>
      </c>
      <c r="I6" s="374"/>
      <c r="J6" s="374"/>
      <c r="K6" s="374"/>
      <c r="L6" s="231"/>
      <c r="M6" s="232"/>
      <c r="N6" s="233"/>
      <c r="O6" s="234"/>
      <c r="P6" s="262"/>
      <c r="Q6" s="235"/>
      <c r="R6" s="235"/>
      <c r="S6" s="235"/>
      <c r="T6" s="235"/>
      <c r="U6" s="236"/>
      <c r="V6" s="37"/>
      <c r="W6" s="37"/>
      <c r="X6" s="37"/>
      <c r="Y6" s="37"/>
      <c r="Z6" s="37"/>
      <c r="AA6" s="37"/>
      <c r="AB6" s="37"/>
      <c r="AC6" s="37"/>
      <c r="AD6" s="37"/>
    </row>
    <row r="7" spans="1:30" s="48" customFormat="1" ht="18" customHeight="1" x14ac:dyDescent="0.2">
      <c r="A7" s="32" t="str">
        <f>'1. CIVIL'!A7</f>
        <v>General Drawing</v>
      </c>
      <c r="B7" s="32"/>
      <c r="C7" s="32"/>
      <c r="D7" s="11"/>
      <c r="E7" s="11"/>
      <c r="F7" s="11"/>
      <c r="G7" s="11"/>
      <c r="H7" s="11"/>
      <c r="I7" s="11"/>
      <c r="J7" s="11"/>
      <c r="K7" s="11"/>
      <c r="L7" s="237"/>
      <c r="M7" s="238"/>
      <c r="N7" s="239"/>
      <c r="O7" s="234"/>
      <c r="P7" s="262"/>
      <c r="Q7" s="235"/>
      <c r="R7" s="235"/>
      <c r="S7" s="235"/>
      <c r="T7" s="235"/>
      <c r="U7" s="236"/>
      <c r="V7" s="37"/>
      <c r="W7" s="37"/>
      <c r="X7" s="37"/>
      <c r="Y7" s="37"/>
      <c r="Z7" s="37"/>
      <c r="AA7" s="37"/>
      <c r="AB7" s="37"/>
      <c r="AC7" s="37"/>
      <c r="AD7" s="37"/>
    </row>
    <row r="8" spans="1:30" s="48" customFormat="1" ht="15" customHeight="1" outlineLevel="1" x14ac:dyDescent="0.25">
      <c r="A8" s="37" t="str">
        <f>"18043-"&amp;LEFT(W8,11)</f>
        <v>18043-LMBMS 08214</v>
      </c>
      <c r="B8" s="38" t="s">
        <v>66</v>
      </c>
      <c r="C8" s="41" t="s">
        <v>67</v>
      </c>
      <c r="D8" s="38"/>
      <c r="E8" s="161" t="str">
        <f>MID(W8,FIND(" ",W8,15)+2,100)</f>
        <v>Typical Details Sheet 1</v>
      </c>
      <c r="F8" s="38" t="s">
        <v>69</v>
      </c>
      <c r="G8" s="38"/>
      <c r="H8" s="38"/>
      <c r="I8" s="38" t="s">
        <v>344</v>
      </c>
      <c r="J8" s="40"/>
      <c r="K8" s="40"/>
      <c r="L8" s="240" t="s">
        <v>70</v>
      </c>
      <c r="M8" s="241" t="s">
        <v>70</v>
      </c>
      <c r="N8" s="242" t="s">
        <v>71</v>
      </c>
      <c r="O8" s="234"/>
      <c r="P8" s="306">
        <v>0</v>
      </c>
      <c r="Q8" s="307">
        <v>0.8</v>
      </c>
      <c r="R8" s="307">
        <v>0.8</v>
      </c>
      <c r="S8" s="307">
        <v>1</v>
      </c>
      <c r="T8" s="307">
        <v>0.95</v>
      </c>
      <c r="U8" s="266">
        <f>MAX(R8,T8)</f>
        <v>0.95</v>
      </c>
      <c r="V8" s="37"/>
      <c r="W8" s="41" t="s">
        <v>345</v>
      </c>
      <c r="X8" s="37"/>
      <c r="Y8" s="37"/>
      <c r="Z8" s="37"/>
      <c r="AA8" s="37"/>
      <c r="AB8" s="37"/>
      <c r="AC8" s="37"/>
      <c r="AD8" s="37"/>
    </row>
    <row r="9" spans="1:30" s="48" customFormat="1" ht="15" customHeight="1" outlineLevel="1" x14ac:dyDescent="0.25">
      <c r="A9" s="37" t="str">
        <f>"18043-"&amp;LEFT(W9,11)</f>
        <v>18043-LMBMS 08215</v>
      </c>
      <c r="B9" s="40" t="s">
        <v>66</v>
      </c>
      <c r="C9" s="41" t="s">
        <v>67</v>
      </c>
      <c r="D9" s="38"/>
      <c r="E9" s="161" t="str">
        <f>MID(W9,FIND(" ",W9,15)+2,100)</f>
        <v>Typical Details Sheet 2</v>
      </c>
      <c r="F9" s="38" t="s">
        <v>69</v>
      </c>
      <c r="G9" s="38"/>
      <c r="H9" s="38"/>
      <c r="I9" s="38" t="s">
        <v>344</v>
      </c>
      <c r="J9" s="40"/>
      <c r="K9" s="40"/>
      <c r="L9" s="240" t="s">
        <v>70</v>
      </c>
      <c r="M9" s="241" t="s">
        <v>70</v>
      </c>
      <c r="N9" s="242" t="s">
        <v>71</v>
      </c>
      <c r="O9" s="234"/>
      <c r="P9" s="306">
        <v>1</v>
      </c>
      <c r="Q9" s="307">
        <v>0.8</v>
      </c>
      <c r="R9" s="307">
        <v>0.8</v>
      </c>
      <c r="S9" s="307">
        <v>1</v>
      </c>
      <c r="T9" s="307">
        <v>0.95</v>
      </c>
      <c r="U9" s="266">
        <f>MAX(R9,T9)</f>
        <v>0.95</v>
      </c>
      <c r="V9" s="37"/>
      <c r="W9" s="41" t="s">
        <v>346</v>
      </c>
      <c r="X9" s="37"/>
      <c r="Y9" s="37"/>
      <c r="Z9" s="37"/>
      <c r="AA9" s="37"/>
      <c r="AB9" s="37"/>
      <c r="AC9" s="37"/>
      <c r="AD9" s="37"/>
    </row>
    <row r="10" spans="1:30" s="48" customFormat="1" ht="15" customHeight="1" outlineLevel="1" x14ac:dyDescent="0.25">
      <c r="A10" s="37" t="str">
        <f>"18043-"&amp;LEFT(W10,11)</f>
        <v>18043-LMBMS 08217</v>
      </c>
      <c r="B10" s="40" t="s">
        <v>66</v>
      </c>
      <c r="C10" s="41" t="s">
        <v>67</v>
      </c>
      <c r="D10" s="38"/>
      <c r="E10" s="161" t="str">
        <f>MID(W10,FIND(" ",W10,15)+2,100)</f>
        <v>Fire Door Operation Typical Details</v>
      </c>
      <c r="F10" s="38" t="s">
        <v>69</v>
      </c>
      <c r="G10" s="38"/>
      <c r="H10" s="38"/>
      <c r="I10" s="38" t="s">
        <v>344</v>
      </c>
      <c r="J10" s="40"/>
      <c r="K10" s="40"/>
      <c r="L10" s="240" t="s">
        <v>70</v>
      </c>
      <c r="M10" s="241" t="s">
        <v>70</v>
      </c>
      <c r="N10" s="242" t="s">
        <v>71</v>
      </c>
      <c r="O10" s="234"/>
      <c r="P10" s="306">
        <v>1.5</v>
      </c>
      <c r="Q10" s="307">
        <v>0.6</v>
      </c>
      <c r="R10" s="307">
        <v>0.6</v>
      </c>
      <c r="S10" s="307">
        <v>1</v>
      </c>
      <c r="T10" s="307">
        <v>0.9</v>
      </c>
      <c r="U10" s="266">
        <f t="shared" ref="U10:U73" si="0">MAX(R10,T10)</f>
        <v>0.9</v>
      </c>
      <c r="V10" s="37"/>
      <c r="W10" s="41" t="s">
        <v>347</v>
      </c>
      <c r="X10" s="37"/>
      <c r="Y10" s="37"/>
      <c r="Z10" s="37"/>
      <c r="AA10" s="37"/>
      <c r="AB10" s="37"/>
      <c r="AC10" s="37"/>
      <c r="AD10" s="37"/>
    </row>
    <row r="11" spans="1:30" s="48" customFormat="1" ht="15" customHeight="1" outlineLevel="1" x14ac:dyDescent="0.25">
      <c r="A11" s="37" t="str">
        <f>"18043-"&amp;LEFT(W11,11)</f>
        <v>18043-LMBMS 08218</v>
      </c>
      <c r="B11" s="38" t="s">
        <v>66</v>
      </c>
      <c r="C11" s="41" t="s">
        <v>67</v>
      </c>
      <c r="D11" s="38"/>
      <c r="E11" s="161" t="str">
        <f>MID(W11,FIND(" ",W11,15)+2,100)</f>
        <v>Fire Protection Abbreviation and General Note</v>
      </c>
      <c r="F11" s="38" t="s">
        <v>69</v>
      </c>
      <c r="G11" s="38"/>
      <c r="H11" s="38"/>
      <c r="I11" s="38" t="s">
        <v>344</v>
      </c>
      <c r="J11" s="40"/>
      <c r="K11" s="40"/>
      <c r="L11" s="240" t="s">
        <v>70</v>
      </c>
      <c r="M11" s="241" t="s">
        <v>70</v>
      </c>
      <c r="N11" s="242" t="s">
        <v>71</v>
      </c>
      <c r="O11" s="234"/>
      <c r="P11" s="306">
        <v>1.5</v>
      </c>
      <c r="Q11" s="307">
        <v>0.6</v>
      </c>
      <c r="R11" s="307">
        <v>0.6</v>
      </c>
      <c r="S11" s="307">
        <v>1</v>
      </c>
      <c r="T11" s="307">
        <v>0.9</v>
      </c>
      <c r="U11" s="266">
        <f t="shared" si="0"/>
        <v>0.9</v>
      </c>
      <c r="V11" s="37"/>
      <c r="W11" s="41" t="s">
        <v>348</v>
      </c>
      <c r="X11" s="37"/>
      <c r="Y11" s="37"/>
      <c r="Z11" s="37"/>
      <c r="AA11" s="37"/>
      <c r="AB11" s="37"/>
      <c r="AC11" s="37"/>
      <c r="AD11" s="37"/>
    </row>
    <row r="12" spans="1:30" s="48" customFormat="1" ht="15" customHeight="1" outlineLevel="1" x14ac:dyDescent="0.2">
      <c r="A12" s="37" t="str">
        <f>"18043-"&amp;LEFT(W12,11)</f>
        <v>18043-LMBMS 08219</v>
      </c>
      <c r="B12" s="38" t="s">
        <v>66</v>
      </c>
      <c r="C12" s="41" t="s">
        <v>67</v>
      </c>
      <c r="D12" s="38"/>
      <c r="E12" s="161" t="str">
        <f>MID(W12,FIND(" ",W12,15)+2,100)</f>
        <v>Typical Details Sheet 3</v>
      </c>
      <c r="F12" s="38" t="s">
        <v>69</v>
      </c>
      <c r="G12" s="38"/>
      <c r="H12" s="38"/>
      <c r="I12" s="38" t="s">
        <v>344</v>
      </c>
      <c r="J12" s="40"/>
      <c r="K12" s="40"/>
      <c r="L12" s="243" t="s">
        <v>70</v>
      </c>
      <c r="M12" s="241" t="s">
        <v>70</v>
      </c>
      <c r="N12" s="242" t="s">
        <v>71</v>
      </c>
      <c r="O12" s="234"/>
      <c r="P12" s="306">
        <v>1.5</v>
      </c>
      <c r="Q12" s="307">
        <v>0.6</v>
      </c>
      <c r="R12" s="307">
        <v>0.2</v>
      </c>
      <c r="S12" s="307">
        <v>1</v>
      </c>
      <c r="T12" s="307">
        <v>0.9</v>
      </c>
      <c r="U12" s="266">
        <f t="shared" si="0"/>
        <v>0.9</v>
      </c>
      <c r="V12" s="37"/>
      <c r="W12" s="41" t="s">
        <v>349</v>
      </c>
      <c r="X12" s="37"/>
      <c r="Y12" s="37"/>
      <c r="Z12" s="37"/>
      <c r="AA12" s="37"/>
      <c r="AB12" s="37"/>
      <c r="AC12" s="37"/>
      <c r="AD12" s="37"/>
    </row>
    <row r="13" spans="1:30" s="48" customFormat="1" ht="15" customHeight="1" outlineLevel="1" x14ac:dyDescent="0.2">
      <c r="A13" s="37"/>
      <c r="B13" s="38"/>
      <c r="C13" s="41"/>
      <c r="D13" s="38"/>
      <c r="E13" s="161"/>
      <c r="F13" s="38"/>
      <c r="G13" s="38"/>
      <c r="H13" s="38"/>
      <c r="I13" s="38"/>
      <c r="J13" s="40"/>
      <c r="K13" s="40"/>
      <c r="L13" s="243"/>
      <c r="M13" s="241"/>
      <c r="N13" s="242"/>
      <c r="O13" s="234"/>
      <c r="P13" s="306"/>
      <c r="Q13" s="307"/>
      <c r="R13" s="307"/>
      <c r="S13" s="307"/>
      <c r="T13" s="307"/>
      <c r="U13" s="266"/>
      <c r="V13" s="37"/>
      <c r="W13" s="37"/>
      <c r="X13" s="37"/>
      <c r="Y13" s="37"/>
      <c r="Z13" s="37"/>
      <c r="AA13" s="37"/>
      <c r="AB13" s="37"/>
      <c r="AC13" s="37"/>
      <c r="AD13" s="37"/>
    </row>
    <row r="14" spans="1:30" s="48" customFormat="1" ht="15" customHeight="1" outlineLevel="1" x14ac:dyDescent="0.2">
      <c r="A14" s="37" t="str">
        <f>"18043-"&amp;LEFT(W14,11)</f>
        <v>18043-LMBMS 08311</v>
      </c>
      <c r="B14" s="38" t="s">
        <v>66</v>
      </c>
      <c r="C14" s="185" t="s">
        <v>67</v>
      </c>
      <c r="D14" s="38"/>
      <c r="E14" s="161" t="str">
        <f>MID(W14,FIND(" ",W14,15)+1,100)</f>
        <v>Typical Details Sheet 1</v>
      </c>
      <c r="F14" s="38" t="s">
        <v>69</v>
      </c>
      <c r="G14" s="38"/>
      <c r="H14" s="38"/>
      <c r="I14" s="38" t="s">
        <v>344</v>
      </c>
      <c r="J14" s="40"/>
      <c r="K14" s="40"/>
      <c r="L14" s="243" t="s">
        <v>70</v>
      </c>
      <c r="M14" s="241" t="s">
        <v>70</v>
      </c>
      <c r="N14" s="242" t="s">
        <v>71</v>
      </c>
      <c r="O14" s="234"/>
      <c r="P14" s="306">
        <v>3.5</v>
      </c>
      <c r="Q14" s="307">
        <v>0.6</v>
      </c>
      <c r="R14" s="307">
        <v>0.2</v>
      </c>
      <c r="S14" s="307">
        <v>1</v>
      </c>
      <c r="T14" s="307">
        <v>0.9</v>
      </c>
      <c r="U14" s="266">
        <f t="shared" ref="U14" si="1">MAX(R14,T14)</f>
        <v>0.9</v>
      </c>
      <c r="V14" s="37"/>
      <c r="W14" s="37" t="s">
        <v>350</v>
      </c>
      <c r="X14" s="37"/>
      <c r="Y14" s="37"/>
      <c r="Z14" s="37"/>
      <c r="AA14" s="37"/>
      <c r="AB14" s="37"/>
      <c r="AC14" s="37"/>
      <c r="AD14" s="37"/>
    </row>
    <row r="15" spans="1:30" s="48" customFormat="1" ht="15" customHeight="1" outlineLevel="1" x14ac:dyDescent="0.25">
      <c r="A15" s="37" t="str">
        <f>"18043-"&amp;LEFT(W15,11)</f>
        <v>18043-LMBMS 08312</v>
      </c>
      <c r="B15" s="38" t="s">
        <v>66</v>
      </c>
      <c r="C15" s="185" t="s">
        <v>67</v>
      </c>
      <c r="D15" s="38"/>
      <c r="E15" s="161" t="str">
        <f>MID(W15,FIND(" ",W15,15)+1,100)</f>
        <v>Typical Details Sheet 2</v>
      </c>
      <c r="F15" s="38" t="s">
        <v>69</v>
      </c>
      <c r="G15" s="38"/>
      <c r="H15" s="38"/>
      <c r="I15" s="38" t="s">
        <v>344</v>
      </c>
      <c r="J15" s="40"/>
      <c r="K15" s="40"/>
      <c r="L15" s="240" t="s">
        <v>70</v>
      </c>
      <c r="M15" s="248" t="s">
        <v>79</v>
      </c>
      <c r="N15" s="242" t="s">
        <v>71</v>
      </c>
      <c r="O15" s="234"/>
      <c r="P15" s="306">
        <v>2.5</v>
      </c>
      <c r="Q15" s="307">
        <v>0.8</v>
      </c>
      <c r="R15" s="307">
        <v>0.6</v>
      </c>
      <c r="S15" s="307">
        <v>1</v>
      </c>
      <c r="T15" s="307">
        <v>0.9</v>
      </c>
      <c r="U15" s="266">
        <f t="shared" si="0"/>
        <v>0.9</v>
      </c>
      <c r="V15" s="37"/>
      <c r="W15" s="37" t="s">
        <v>351</v>
      </c>
      <c r="X15" s="37"/>
      <c r="Y15" s="37"/>
      <c r="Z15" s="37"/>
      <c r="AA15" s="37"/>
      <c r="AB15" s="37"/>
      <c r="AC15" s="37"/>
      <c r="AD15" s="37"/>
    </row>
    <row r="16" spans="1:30" s="48" customFormat="1" ht="15" customHeight="1" outlineLevel="1" x14ac:dyDescent="0.25">
      <c r="A16" s="37" t="str">
        <f>"18043-"&amp;LEFT(W16,11)</f>
        <v>18043-LMBMS 08313</v>
      </c>
      <c r="B16" s="38" t="s">
        <v>66</v>
      </c>
      <c r="C16" s="185" t="s">
        <v>67</v>
      </c>
      <c r="D16" s="38"/>
      <c r="E16" s="161" t="str">
        <f>MID(W16,FIND(" ",W16,15)+1,100)</f>
        <v>Typical Details Sheet 3</v>
      </c>
      <c r="F16" s="38" t="s">
        <v>69</v>
      </c>
      <c r="G16" s="38"/>
      <c r="H16" s="38"/>
      <c r="I16" s="38" t="s">
        <v>344</v>
      </c>
      <c r="J16" s="40"/>
      <c r="K16" s="40"/>
      <c r="L16" s="240" t="s">
        <v>70</v>
      </c>
      <c r="M16" s="248" t="s">
        <v>79</v>
      </c>
      <c r="N16" s="242" t="s">
        <v>71</v>
      </c>
      <c r="O16" s="234"/>
      <c r="P16" s="306">
        <v>2.5</v>
      </c>
      <c r="Q16" s="307">
        <v>0.8</v>
      </c>
      <c r="R16" s="307">
        <v>0.7</v>
      </c>
      <c r="S16" s="307">
        <v>1</v>
      </c>
      <c r="T16" s="307">
        <v>0.9</v>
      </c>
      <c r="U16" s="266">
        <f t="shared" si="0"/>
        <v>0.9</v>
      </c>
      <c r="V16" s="37"/>
      <c r="W16" s="37" t="s">
        <v>352</v>
      </c>
      <c r="X16" s="37"/>
      <c r="Y16" s="37"/>
      <c r="Z16" s="37"/>
      <c r="AA16" s="37"/>
      <c r="AB16" s="37"/>
      <c r="AC16" s="37"/>
      <c r="AD16" s="37"/>
    </row>
    <row r="17" spans="1:30" s="48" customFormat="1" ht="15" customHeight="1" outlineLevel="1" x14ac:dyDescent="0.25">
      <c r="A17" s="37" t="str">
        <f>"18043-"&amp;LEFT(W17,11)</f>
        <v>18043-LMBMS 08314</v>
      </c>
      <c r="B17" s="38" t="s">
        <v>66</v>
      </c>
      <c r="C17" s="185" t="s">
        <v>67</v>
      </c>
      <c r="D17" s="38"/>
      <c r="E17" s="161" t="str">
        <f>MID(W17,FIND(" ",W17,15)+1,100)</f>
        <v xml:space="preserve">Typical Details Sheet 4 </v>
      </c>
      <c r="F17" s="38" t="s">
        <v>69</v>
      </c>
      <c r="G17" s="38"/>
      <c r="H17" s="38"/>
      <c r="I17" s="38" t="s">
        <v>344</v>
      </c>
      <c r="J17" s="40"/>
      <c r="K17" s="40"/>
      <c r="L17" s="240" t="s">
        <v>70</v>
      </c>
      <c r="M17" s="248" t="s">
        <v>79</v>
      </c>
      <c r="N17" s="242" t="s">
        <v>71</v>
      </c>
      <c r="O17" s="234"/>
      <c r="P17" s="306">
        <v>2.5</v>
      </c>
      <c r="Q17" s="307">
        <v>0.8</v>
      </c>
      <c r="R17" s="307">
        <v>0.7</v>
      </c>
      <c r="S17" s="307">
        <v>1</v>
      </c>
      <c r="T17" s="307">
        <v>0.8</v>
      </c>
      <c r="U17" s="266">
        <f t="shared" si="0"/>
        <v>0.8</v>
      </c>
      <c r="V17" s="37"/>
      <c r="W17" s="37" t="s">
        <v>353</v>
      </c>
      <c r="X17" s="37"/>
      <c r="Y17" s="37"/>
      <c r="Z17" s="37"/>
      <c r="AA17" s="37"/>
      <c r="AB17" s="37"/>
      <c r="AC17" s="37"/>
      <c r="AD17" s="37"/>
    </row>
    <row r="18" spans="1:30" s="48" customFormat="1" ht="15" customHeight="1" outlineLevel="1" x14ac:dyDescent="0.25">
      <c r="A18" s="37" t="str">
        <f>"18043-"&amp;LEFT(W18,11)</f>
        <v>18043-LMBMS 08315</v>
      </c>
      <c r="B18" s="38" t="s">
        <v>66</v>
      </c>
      <c r="C18" s="185" t="s">
        <v>67</v>
      </c>
      <c r="D18" s="38"/>
      <c r="E18" s="161" t="str">
        <f>MID(W18,FIND(" ",W18,15)+1,100)</f>
        <v>Typical Details Sheet 5</v>
      </c>
      <c r="F18" s="38" t="s">
        <v>69</v>
      </c>
      <c r="G18" s="38"/>
      <c r="H18" s="38"/>
      <c r="I18" s="38" t="s">
        <v>344</v>
      </c>
      <c r="J18" s="40"/>
      <c r="K18" s="40"/>
      <c r="L18" s="240" t="s">
        <v>70</v>
      </c>
      <c r="M18" s="248" t="s">
        <v>79</v>
      </c>
      <c r="N18" s="242" t="s">
        <v>71</v>
      </c>
      <c r="O18" s="234"/>
      <c r="P18" s="306">
        <v>3.5</v>
      </c>
      <c r="Q18" s="307">
        <v>0.8</v>
      </c>
      <c r="R18" s="307">
        <v>0.7</v>
      </c>
      <c r="S18" s="307">
        <v>1</v>
      </c>
      <c r="T18" s="307">
        <v>0.8</v>
      </c>
      <c r="U18" s="266">
        <f t="shared" ref="U18:U21" si="2">MAX(R18,T18)</f>
        <v>0.8</v>
      </c>
      <c r="V18" s="37"/>
      <c r="W18" s="37" t="s">
        <v>354</v>
      </c>
      <c r="X18" s="37"/>
      <c r="Y18" s="37"/>
      <c r="Z18" s="37"/>
      <c r="AA18" s="37"/>
      <c r="AB18" s="37"/>
      <c r="AC18" s="37"/>
      <c r="AD18" s="37"/>
    </row>
    <row r="19" spans="1:30" s="48" customFormat="1" ht="15" customHeight="1" outlineLevel="1" x14ac:dyDescent="0.25">
      <c r="A19" s="37"/>
      <c r="B19" s="38"/>
      <c r="C19" s="185"/>
      <c r="D19" s="38"/>
      <c r="E19" s="161"/>
      <c r="F19" s="38"/>
      <c r="G19" s="38"/>
      <c r="H19" s="38"/>
      <c r="I19" s="38"/>
      <c r="J19" s="40"/>
      <c r="K19" s="40"/>
      <c r="L19" s="240"/>
      <c r="M19" s="248"/>
      <c r="N19" s="242"/>
      <c r="O19" s="234"/>
      <c r="P19" s="306"/>
      <c r="Q19" s="307"/>
      <c r="R19" s="307"/>
      <c r="S19" s="307"/>
      <c r="T19" s="307"/>
      <c r="U19" s="266"/>
      <c r="V19" s="37"/>
      <c r="W19" s="37"/>
      <c r="X19" s="37"/>
      <c r="Y19" s="37"/>
      <c r="Z19" s="37"/>
      <c r="AA19" s="37"/>
      <c r="AB19" s="37"/>
      <c r="AC19" s="37"/>
      <c r="AD19" s="37"/>
    </row>
    <row r="20" spans="1:30" s="48" customFormat="1" ht="15" customHeight="1" outlineLevel="1" x14ac:dyDescent="0.25">
      <c r="A20" s="37" t="str">
        <f>"18043-"&amp;LEFT(W20,11)</f>
        <v>18043-LMBMS 08513</v>
      </c>
      <c r="B20" s="38" t="s">
        <v>66</v>
      </c>
      <c r="C20" s="185" t="s">
        <v>67</v>
      </c>
      <c r="D20" s="38"/>
      <c r="E20" s="161" t="str">
        <f>MID(W20,FIND(" ",W20,15)+1,100)</f>
        <v>Typical Details Sheet 1</v>
      </c>
      <c r="F20" s="38" t="s">
        <v>69</v>
      </c>
      <c r="G20" s="38"/>
      <c r="H20" s="38"/>
      <c r="I20" s="38" t="s">
        <v>344</v>
      </c>
      <c r="J20" s="40"/>
      <c r="K20" s="40"/>
      <c r="L20" s="240" t="s">
        <v>70</v>
      </c>
      <c r="M20" s="248" t="s">
        <v>79</v>
      </c>
      <c r="N20" s="242" t="s">
        <v>71</v>
      </c>
      <c r="O20" s="234"/>
      <c r="P20" s="306">
        <v>5.5</v>
      </c>
      <c r="Q20" s="307">
        <v>0.8</v>
      </c>
      <c r="R20" s="307">
        <v>0.7</v>
      </c>
      <c r="S20" s="307">
        <v>1</v>
      </c>
      <c r="T20" s="307">
        <v>0.8</v>
      </c>
      <c r="U20" s="266">
        <f t="shared" si="2"/>
        <v>0.8</v>
      </c>
      <c r="V20" s="37"/>
      <c r="W20" s="37" t="s">
        <v>355</v>
      </c>
      <c r="X20" s="37"/>
      <c r="Y20" s="37"/>
      <c r="Z20" s="37"/>
      <c r="AA20" s="37"/>
      <c r="AB20" s="37"/>
      <c r="AC20" s="37"/>
      <c r="AD20" s="37"/>
    </row>
    <row r="21" spans="1:30" s="48" customFormat="1" ht="15" customHeight="1" outlineLevel="1" x14ac:dyDescent="0.25">
      <c r="A21" s="37" t="str">
        <f>"18043-"&amp;LEFT(W21,11)</f>
        <v>18043-LMBMS 08514</v>
      </c>
      <c r="B21" s="38" t="s">
        <v>66</v>
      </c>
      <c r="C21" s="185" t="s">
        <v>67</v>
      </c>
      <c r="D21" s="38"/>
      <c r="E21" s="161" t="str">
        <f>MID(W21,FIND(" ",W21,15)+1,100)</f>
        <v>Typical Details Sheet 2</v>
      </c>
      <c r="F21" s="38" t="s">
        <v>69</v>
      </c>
      <c r="G21" s="38"/>
      <c r="H21" s="38"/>
      <c r="I21" s="38" t="s">
        <v>344</v>
      </c>
      <c r="J21" s="40"/>
      <c r="K21" s="40"/>
      <c r="L21" s="240" t="s">
        <v>70</v>
      </c>
      <c r="M21" s="248" t="s">
        <v>79</v>
      </c>
      <c r="N21" s="242" t="s">
        <v>71</v>
      </c>
      <c r="O21" s="234"/>
      <c r="P21" s="306">
        <v>6.5</v>
      </c>
      <c r="Q21" s="307">
        <v>0.8</v>
      </c>
      <c r="R21" s="307">
        <v>0.7</v>
      </c>
      <c r="S21" s="307">
        <v>1</v>
      </c>
      <c r="T21" s="307">
        <v>0.8</v>
      </c>
      <c r="U21" s="266">
        <f t="shared" si="2"/>
        <v>0.8</v>
      </c>
      <c r="V21" s="37"/>
      <c r="W21" s="37" t="s">
        <v>356</v>
      </c>
      <c r="X21" s="37"/>
      <c r="Y21" s="37"/>
      <c r="Z21" s="37"/>
      <c r="AA21" s="37"/>
      <c r="AB21" s="37"/>
      <c r="AC21" s="37"/>
      <c r="AD21" s="37"/>
    </row>
    <row r="22" spans="1:30" s="48" customFormat="1" ht="15" customHeight="1" outlineLevel="1" x14ac:dyDescent="0.25">
      <c r="A22" s="37" t="str">
        <f>"18043-"&amp;LEFT(W22,11)</f>
        <v>18043-LMBMS 08515</v>
      </c>
      <c r="B22" s="38" t="s">
        <v>66</v>
      </c>
      <c r="C22" s="185" t="s">
        <v>67</v>
      </c>
      <c r="D22" s="38"/>
      <c r="E22" s="161" t="str">
        <f>MID(W22,FIND(" ",W22,15)+1,100)</f>
        <v>Typical Details Sheet 3</v>
      </c>
      <c r="F22" s="38" t="s">
        <v>69</v>
      </c>
      <c r="G22" s="38"/>
      <c r="H22" s="38"/>
      <c r="I22" s="38" t="s">
        <v>344</v>
      </c>
      <c r="J22" s="40"/>
      <c r="K22" s="40"/>
      <c r="L22" s="240" t="s">
        <v>70</v>
      </c>
      <c r="M22" s="241" t="s">
        <v>79</v>
      </c>
      <c r="N22" s="242" t="s">
        <v>71</v>
      </c>
      <c r="O22" s="234"/>
      <c r="P22" s="306">
        <v>-1.5</v>
      </c>
      <c r="Q22" s="307">
        <v>0.6</v>
      </c>
      <c r="R22" s="307">
        <v>0.6</v>
      </c>
      <c r="S22" s="307">
        <v>1</v>
      </c>
      <c r="T22" s="307">
        <v>0.9</v>
      </c>
      <c r="U22" s="266">
        <f t="shared" ref="U22:U23" si="3">MAX(R22,T22)</f>
        <v>0.9</v>
      </c>
      <c r="V22" s="37"/>
      <c r="W22" s="37" t="s">
        <v>357</v>
      </c>
      <c r="X22" s="37"/>
      <c r="Y22" s="37"/>
      <c r="Z22" s="37"/>
      <c r="AA22" s="37"/>
      <c r="AB22" s="37"/>
      <c r="AC22" s="37"/>
      <c r="AD22" s="37"/>
    </row>
    <row r="23" spans="1:30" s="48" customFormat="1" ht="15" customHeight="1" outlineLevel="1" x14ac:dyDescent="0.25">
      <c r="A23" s="37" t="str">
        <f>"18043-"&amp;LEFT(W23,11)</f>
        <v>18043-LMBMS 08517</v>
      </c>
      <c r="B23" s="38" t="s">
        <v>66</v>
      </c>
      <c r="C23" s="185" t="s">
        <v>67</v>
      </c>
      <c r="D23" s="38"/>
      <c r="E23" s="161" t="str">
        <f>MID(W23,FIND(" ",W23,15)+1,100)</f>
        <v>Fluids Abbreviation and General Note</v>
      </c>
      <c r="F23" s="38" t="s">
        <v>69</v>
      </c>
      <c r="G23" s="38"/>
      <c r="H23" s="38"/>
      <c r="I23" s="38" t="s">
        <v>344</v>
      </c>
      <c r="J23" s="40"/>
      <c r="K23" s="40"/>
      <c r="L23" s="240" t="s">
        <v>70</v>
      </c>
      <c r="M23" s="241" t="s">
        <v>79</v>
      </c>
      <c r="N23" s="242" t="s">
        <v>71</v>
      </c>
      <c r="O23" s="234"/>
      <c r="P23" s="306">
        <v>-0.5</v>
      </c>
      <c r="Q23" s="307">
        <v>0.6</v>
      </c>
      <c r="R23" s="307">
        <v>0.6</v>
      </c>
      <c r="S23" s="307">
        <v>1</v>
      </c>
      <c r="T23" s="307">
        <v>0.9</v>
      </c>
      <c r="U23" s="266">
        <f t="shared" si="3"/>
        <v>0.9</v>
      </c>
      <c r="V23" s="37"/>
      <c r="W23" s="37" t="s">
        <v>358</v>
      </c>
      <c r="X23" s="37"/>
      <c r="Y23" s="37"/>
      <c r="Z23" s="37"/>
      <c r="AA23" s="37"/>
      <c r="AB23" s="37"/>
      <c r="AC23" s="37"/>
      <c r="AD23" s="37"/>
    </row>
    <row r="24" spans="1:30" s="48" customFormat="1" ht="15" customHeight="1" outlineLevel="1" x14ac:dyDescent="0.25">
      <c r="A24" s="37"/>
      <c r="B24" s="38"/>
      <c r="C24" s="185"/>
      <c r="D24" s="38"/>
      <c r="E24" s="161"/>
      <c r="F24" s="38"/>
      <c r="G24" s="38"/>
      <c r="H24" s="38"/>
      <c r="I24" s="38"/>
      <c r="J24" s="40"/>
      <c r="K24" s="40"/>
      <c r="L24" s="240"/>
      <c r="M24" s="241"/>
      <c r="N24" s="242"/>
      <c r="O24" s="234"/>
      <c r="P24" s="306"/>
      <c r="Q24" s="307"/>
      <c r="R24" s="307"/>
      <c r="S24" s="307"/>
      <c r="T24" s="307"/>
      <c r="U24" s="266"/>
      <c r="V24" s="37"/>
      <c r="W24" s="37"/>
      <c r="X24" s="37"/>
      <c r="Y24" s="37"/>
      <c r="Z24" s="37"/>
      <c r="AA24" s="37"/>
      <c r="AB24" s="37"/>
      <c r="AC24" s="37"/>
      <c r="AD24" s="37"/>
    </row>
    <row r="25" spans="1:30" s="48" customFormat="1" ht="15" customHeight="1" outlineLevel="1" x14ac:dyDescent="0.25">
      <c r="A25" s="37" t="str">
        <f>"18043-"&amp;LEFT(W25,11)</f>
        <v>18043-LMBMS 09301</v>
      </c>
      <c r="B25" s="38" t="s">
        <v>66</v>
      </c>
      <c r="C25" s="185" t="s">
        <v>67</v>
      </c>
      <c r="D25" s="38"/>
      <c r="E25" s="161" t="str">
        <f>MID(W25,FIND(" ",W25,15)+1,100)</f>
        <v>Control Unit and Wiring Typical Details Sheet 1</v>
      </c>
      <c r="F25" s="38" t="s">
        <v>69</v>
      </c>
      <c r="G25" s="38"/>
      <c r="H25" s="38"/>
      <c r="I25" s="38" t="s">
        <v>359</v>
      </c>
      <c r="J25" s="40"/>
      <c r="K25" s="40"/>
      <c r="L25" s="240" t="s">
        <v>70</v>
      </c>
      <c r="M25" s="241" t="s">
        <v>79</v>
      </c>
      <c r="N25" s="242" t="s">
        <v>71</v>
      </c>
      <c r="O25" s="234"/>
      <c r="P25" s="306">
        <v>1.5</v>
      </c>
      <c r="Q25" s="307">
        <v>0.6</v>
      </c>
      <c r="R25" s="307">
        <v>0.6</v>
      </c>
      <c r="S25" s="307">
        <v>1</v>
      </c>
      <c r="T25" s="307">
        <v>0.9</v>
      </c>
      <c r="U25" s="266">
        <f t="shared" si="0"/>
        <v>0.9</v>
      </c>
      <c r="V25" s="37"/>
      <c r="W25" s="37" t="s">
        <v>360</v>
      </c>
      <c r="X25" s="37"/>
      <c r="Y25" s="37"/>
      <c r="Z25" s="37"/>
      <c r="AA25" s="37"/>
      <c r="AB25" s="37"/>
      <c r="AC25" s="37"/>
      <c r="AD25" s="37"/>
    </row>
    <row r="26" spans="1:30" s="48" customFormat="1" ht="15" customHeight="1" outlineLevel="1" x14ac:dyDescent="0.25">
      <c r="A26" s="37" t="str">
        <f>"18043-"&amp;LEFT(W26,11)</f>
        <v>18043-LMBMS 09302</v>
      </c>
      <c r="B26" s="38" t="s">
        <v>66</v>
      </c>
      <c r="C26" s="185" t="s">
        <v>67</v>
      </c>
      <c r="D26" s="38"/>
      <c r="E26" s="161" t="str">
        <f>MID(W26,FIND(" ",W26,15)+1,100)</f>
        <v>Control Unit and Wiring Typical Details Sheet 2</v>
      </c>
      <c r="F26" s="38" t="s">
        <v>69</v>
      </c>
      <c r="G26" s="38"/>
      <c r="H26" s="38"/>
      <c r="I26" s="38" t="s">
        <v>359</v>
      </c>
      <c r="J26" s="40"/>
      <c r="K26" s="40"/>
      <c r="L26" s="240" t="s">
        <v>70</v>
      </c>
      <c r="M26" s="241" t="s">
        <v>79</v>
      </c>
      <c r="N26" s="242" t="s">
        <v>71</v>
      </c>
      <c r="O26" s="234"/>
      <c r="P26" s="306">
        <v>0.5</v>
      </c>
      <c r="Q26" s="307">
        <v>0</v>
      </c>
      <c r="R26" s="307">
        <v>0</v>
      </c>
      <c r="S26" s="307">
        <v>1</v>
      </c>
      <c r="T26" s="307">
        <v>0.3</v>
      </c>
      <c r="U26" s="266">
        <f t="shared" si="0"/>
        <v>0.3</v>
      </c>
      <c r="V26" s="37"/>
      <c r="W26" s="37" t="s">
        <v>361</v>
      </c>
      <c r="X26" s="37"/>
      <c r="Y26" s="37"/>
      <c r="Z26" s="37"/>
      <c r="AA26" s="37"/>
      <c r="AB26" s="37"/>
      <c r="AC26" s="37"/>
      <c r="AD26" s="37"/>
    </row>
    <row r="27" spans="1:30" s="48" customFormat="1" ht="15" customHeight="1" outlineLevel="1" x14ac:dyDescent="0.25">
      <c r="A27" s="37"/>
      <c r="B27" s="38"/>
      <c r="C27" s="185"/>
      <c r="D27" s="38"/>
      <c r="E27" s="161"/>
      <c r="F27" s="38"/>
      <c r="G27" s="38"/>
      <c r="H27" s="38"/>
      <c r="I27" s="38"/>
      <c r="J27" s="40"/>
      <c r="K27" s="40"/>
      <c r="L27" s="240"/>
      <c r="M27" s="241"/>
      <c r="N27" s="242"/>
      <c r="O27" s="234"/>
      <c r="P27" s="306"/>
      <c r="Q27" s="307"/>
      <c r="R27" s="307"/>
      <c r="S27" s="307"/>
      <c r="T27" s="307"/>
      <c r="U27" s="266"/>
      <c r="V27" s="37"/>
      <c r="W27" s="37"/>
      <c r="X27" s="37"/>
      <c r="Y27" s="37"/>
      <c r="Z27" s="37"/>
      <c r="AA27" s="37"/>
      <c r="AB27" s="37"/>
      <c r="AC27" s="37"/>
      <c r="AD27" s="37"/>
    </row>
    <row r="28" spans="1:30" s="48" customFormat="1" ht="15" customHeight="1" outlineLevel="1" x14ac:dyDescent="0.25">
      <c r="A28" s="37" t="str">
        <f>"18043-"&amp;LEFT(W28,11)</f>
        <v>18043-LM000 08251</v>
      </c>
      <c r="B28" s="38" t="s">
        <v>66</v>
      </c>
      <c r="C28" s="185" t="s">
        <v>67</v>
      </c>
      <c r="D28" s="38"/>
      <c r="E28" s="161" t="str">
        <f>MID(W28,FIND(" ",W28,15)+1,100)</f>
        <v xml:space="preserve">Outside Building - Fire Protection System - Modification Plan </v>
      </c>
      <c r="F28" s="38" t="s">
        <v>69</v>
      </c>
      <c r="G28" s="38"/>
      <c r="H28" s="38"/>
      <c r="I28" s="38" t="s">
        <v>344</v>
      </c>
      <c r="J28" s="40"/>
      <c r="K28" s="40"/>
      <c r="L28" s="240" t="s">
        <v>70</v>
      </c>
      <c r="M28" s="241" t="s">
        <v>79</v>
      </c>
      <c r="N28" s="242" t="s">
        <v>71</v>
      </c>
      <c r="O28" s="234"/>
      <c r="P28" s="306">
        <v>0.5</v>
      </c>
      <c r="Q28" s="307">
        <v>0</v>
      </c>
      <c r="R28" s="307">
        <v>0</v>
      </c>
      <c r="S28" s="307">
        <v>1</v>
      </c>
      <c r="T28" s="307">
        <v>0.3</v>
      </c>
      <c r="U28" s="266">
        <f t="shared" si="0"/>
        <v>0.3</v>
      </c>
      <c r="V28" s="37"/>
      <c r="W28" s="37" t="s">
        <v>362</v>
      </c>
      <c r="X28" s="37"/>
      <c r="Y28" s="37"/>
      <c r="Z28" s="37"/>
      <c r="AA28" s="37"/>
      <c r="AB28" s="37"/>
      <c r="AC28" s="37"/>
      <c r="AD28" s="37" t="s">
        <v>363</v>
      </c>
    </row>
    <row r="29" spans="1:30" s="48" customFormat="1" ht="15" customHeight="1" outlineLevel="1" x14ac:dyDescent="0.25">
      <c r="A29" s="37"/>
      <c r="B29" s="188"/>
      <c r="C29" s="37"/>
      <c r="D29" s="38"/>
      <c r="E29" s="161"/>
      <c r="F29" s="38"/>
      <c r="G29" s="38"/>
      <c r="H29" s="38"/>
      <c r="I29" s="38"/>
      <c r="J29" s="40"/>
      <c r="K29" s="40"/>
      <c r="L29" s="240"/>
      <c r="M29" s="245"/>
      <c r="N29" s="242"/>
      <c r="O29" s="234"/>
      <c r="P29" s="306"/>
      <c r="Q29" s="307"/>
      <c r="R29" s="307"/>
      <c r="S29" s="307"/>
      <c r="T29" s="307"/>
      <c r="U29" s="266"/>
      <c r="V29" s="37"/>
      <c r="W29" s="37"/>
      <c r="X29" s="37"/>
      <c r="Y29" s="37"/>
      <c r="Z29" s="37"/>
      <c r="AA29" s="37"/>
      <c r="AB29" s="37"/>
      <c r="AC29" s="37"/>
      <c r="AD29" s="37"/>
    </row>
    <row r="30" spans="1:30" s="48" customFormat="1" ht="15" customHeight="1" outlineLevel="1" x14ac:dyDescent="0.25">
      <c r="A30" s="37" t="str">
        <f>"18043-"&amp;LEFT(W30,11)</f>
        <v>18043-LMBME 08553</v>
      </c>
      <c r="B30" s="38" t="s">
        <v>66</v>
      </c>
      <c r="C30" s="185" t="s">
        <v>67</v>
      </c>
      <c r="D30" s="38"/>
      <c r="E30" s="161" t="str">
        <f>MID(W30,FIND(" ",W30,15)+1,100)</f>
        <v xml:space="preserve">Main Pipe Racks Fluid Distribution Diagram </v>
      </c>
      <c r="F30" s="38" t="s">
        <v>69</v>
      </c>
      <c r="G30" s="38"/>
      <c r="H30" s="38"/>
      <c r="I30" s="38" t="s">
        <v>344</v>
      </c>
      <c r="J30" s="40"/>
      <c r="K30" s="40"/>
      <c r="L30" s="240" t="s">
        <v>70</v>
      </c>
      <c r="M30" s="245" t="s">
        <v>98</v>
      </c>
      <c r="N30" s="242" t="s">
        <v>99</v>
      </c>
      <c r="O30" s="234"/>
      <c r="P30" s="306">
        <v>1</v>
      </c>
      <c r="Q30" s="307">
        <v>0.3</v>
      </c>
      <c r="R30" s="307">
        <v>0.3</v>
      </c>
      <c r="S30" s="307">
        <v>1</v>
      </c>
      <c r="T30" s="307">
        <v>0.8</v>
      </c>
      <c r="U30" s="266">
        <f t="shared" si="0"/>
        <v>0.8</v>
      </c>
      <c r="V30" s="37"/>
      <c r="W30" s="37" t="s">
        <v>364</v>
      </c>
      <c r="X30" s="37"/>
      <c r="Y30" s="37"/>
      <c r="Z30" s="37"/>
      <c r="AA30" s="37"/>
      <c r="AB30" s="37"/>
      <c r="AC30" s="37"/>
      <c r="AD30" s="37"/>
    </row>
    <row r="31" spans="1:30" s="48" customFormat="1" ht="15" customHeight="1" outlineLevel="1" x14ac:dyDescent="0.2">
      <c r="A31" s="37"/>
      <c r="B31" s="38"/>
      <c r="C31" s="185"/>
      <c r="D31" s="38"/>
      <c r="E31" s="161"/>
      <c r="F31" s="38"/>
      <c r="G31" s="38"/>
      <c r="H31" s="38"/>
      <c r="I31" s="38"/>
      <c r="J31" s="40"/>
      <c r="K31" s="40"/>
      <c r="L31" s="240"/>
      <c r="M31" s="245"/>
      <c r="N31" s="250"/>
      <c r="O31" s="234"/>
      <c r="P31" s="306"/>
      <c r="Q31" s="307"/>
      <c r="R31" s="307"/>
      <c r="S31" s="307"/>
      <c r="T31" s="307"/>
      <c r="U31" s="266"/>
      <c r="V31" s="37"/>
      <c r="W31" s="37"/>
      <c r="X31" s="37"/>
      <c r="Y31" s="37"/>
      <c r="Z31" s="37"/>
      <c r="AA31" s="37"/>
      <c r="AB31" s="37"/>
      <c r="AC31" s="37"/>
      <c r="AD31" s="37"/>
    </row>
    <row r="32" spans="1:30" s="48" customFormat="1" ht="15" customHeight="1" outlineLevel="1" x14ac:dyDescent="0.2">
      <c r="A32" s="37"/>
      <c r="B32" s="38"/>
      <c r="C32" s="185"/>
      <c r="D32" s="38"/>
      <c r="E32" s="161"/>
      <c r="F32" s="38"/>
      <c r="G32" s="38"/>
      <c r="H32" s="38"/>
      <c r="I32" s="38"/>
      <c r="J32" s="40"/>
      <c r="K32" s="40"/>
      <c r="L32" s="240"/>
      <c r="M32" s="245"/>
      <c r="N32" s="250"/>
      <c r="O32" s="234"/>
      <c r="P32" s="306"/>
      <c r="Q32" s="307"/>
      <c r="R32" s="307"/>
      <c r="S32" s="307"/>
      <c r="T32" s="307"/>
      <c r="U32" s="266"/>
      <c r="V32" s="37"/>
      <c r="W32" s="37"/>
      <c r="X32" s="37"/>
      <c r="Y32" s="37"/>
      <c r="Z32" s="37"/>
      <c r="AA32" s="37"/>
      <c r="AB32" s="37"/>
      <c r="AC32" s="37"/>
      <c r="AD32" s="37"/>
    </row>
    <row r="33" spans="1:30" s="48" customFormat="1" ht="15" customHeight="1" outlineLevel="1" x14ac:dyDescent="0.25">
      <c r="A33" s="37"/>
      <c r="B33" s="38"/>
      <c r="C33" s="185"/>
      <c r="D33" s="38"/>
      <c r="E33" s="161"/>
      <c r="F33" s="38"/>
      <c r="G33" s="38"/>
      <c r="H33" s="38"/>
      <c r="I33" s="38"/>
      <c r="J33" s="40"/>
      <c r="K33" s="40"/>
      <c r="L33" s="240"/>
      <c r="M33" s="241"/>
      <c r="N33" s="242"/>
      <c r="O33" s="234"/>
      <c r="P33" s="306"/>
      <c r="Q33" s="307"/>
      <c r="R33" s="307"/>
      <c r="S33" s="307"/>
      <c r="T33" s="307"/>
      <c r="U33" s="266"/>
      <c r="V33" s="37"/>
      <c r="W33" s="37"/>
      <c r="X33" s="37"/>
      <c r="Y33" s="37"/>
      <c r="Z33" s="37"/>
      <c r="AA33" s="37"/>
      <c r="AB33" s="37"/>
      <c r="AC33" s="37"/>
      <c r="AD33" s="37"/>
    </row>
    <row r="34" spans="1:30" s="48" customFormat="1" ht="15" customHeight="1" thickBot="1" x14ac:dyDescent="0.3">
      <c r="A34" s="41"/>
      <c r="B34" s="38"/>
      <c r="C34" s="185"/>
      <c r="D34" s="38"/>
      <c r="E34" s="43" t="str">
        <f>"SUB-TOTAL "&amp;UPPER(A7)&amp;" DRAWINGS"</f>
        <v>SUB-TOTAL GENERAL DRAWING DRAWINGS</v>
      </c>
      <c r="F34" s="38"/>
      <c r="G34" s="38"/>
      <c r="H34" s="38"/>
      <c r="I34" s="115">
        <f>COUNTA(F8:F33)</f>
        <v>18</v>
      </c>
      <c r="J34" s="36"/>
      <c r="K34" s="36"/>
      <c r="L34" s="240"/>
      <c r="M34" s="241"/>
      <c r="N34" s="242"/>
      <c r="O34" s="234"/>
      <c r="P34" s="306"/>
      <c r="Q34" s="307"/>
      <c r="R34" s="307"/>
      <c r="S34" s="307"/>
      <c r="T34" s="307"/>
      <c r="U34" s="266"/>
      <c r="V34" s="37"/>
      <c r="W34" s="37"/>
      <c r="X34" s="37"/>
      <c r="Y34" s="37"/>
      <c r="Z34" s="37"/>
      <c r="AA34" s="37"/>
      <c r="AB34" s="37"/>
      <c r="AC34" s="37"/>
      <c r="AD34" s="37"/>
    </row>
    <row r="35" spans="1:30" s="62" customFormat="1" ht="15.75" thickTop="1" x14ac:dyDescent="0.2">
      <c r="A35" s="33"/>
      <c r="B35" s="38"/>
      <c r="C35" s="41"/>
      <c r="D35" s="36"/>
      <c r="E35" s="63"/>
      <c r="F35" s="36"/>
      <c r="G35" s="36"/>
      <c r="H35" s="36"/>
      <c r="I35" s="36"/>
      <c r="J35" s="36"/>
      <c r="K35" s="36"/>
      <c r="L35" s="240"/>
      <c r="M35" s="241"/>
      <c r="N35" s="242"/>
      <c r="O35" s="234"/>
      <c r="P35" s="306"/>
      <c r="Q35" s="307"/>
      <c r="R35" s="307"/>
      <c r="S35" s="307"/>
      <c r="T35" s="307"/>
      <c r="U35" s="266"/>
      <c r="V35" s="53"/>
      <c r="W35" s="53"/>
      <c r="X35" s="53"/>
      <c r="Y35" s="53"/>
      <c r="Z35" s="53"/>
      <c r="AA35" s="53"/>
      <c r="AB35" s="53"/>
      <c r="AC35" s="53"/>
      <c r="AD35" s="53"/>
    </row>
    <row r="36" spans="1:30" s="48" customFormat="1" ht="18" customHeight="1" x14ac:dyDescent="0.25">
      <c r="A36" s="32" t="str">
        <f>'1. CIVIL'!A33</f>
        <v>Building Name or Area Name 1</v>
      </c>
      <c r="B36" s="187"/>
      <c r="C36" s="32"/>
      <c r="D36" s="11"/>
      <c r="E36" s="11"/>
      <c r="F36" s="11"/>
      <c r="G36" s="11"/>
      <c r="H36" s="11"/>
      <c r="I36" s="11"/>
      <c r="J36" s="11"/>
      <c r="K36" s="11"/>
      <c r="L36" s="240"/>
      <c r="M36" s="248"/>
      <c r="N36" s="242"/>
      <c r="O36" s="234"/>
      <c r="P36" s="306"/>
      <c r="Q36" s="307"/>
      <c r="R36" s="307"/>
      <c r="S36" s="307"/>
      <c r="T36" s="307"/>
      <c r="U36" s="266"/>
      <c r="V36" s="37"/>
      <c r="W36" s="37"/>
      <c r="X36" s="37"/>
      <c r="Y36" s="37"/>
      <c r="Z36" s="37"/>
      <c r="AA36" s="37"/>
      <c r="AB36" s="37"/>
      <c r="AC36" s="37"/>
      <c r="AD36" s="37"/>
    </row>
    <row r="37" spans="1:30" s="48" customFormat="1" ht="30" customHeight="1" outlineLevel="1" x14ac:dyDescent="0.25">
      <c r="A37" s="37" t="str">
        <f>"18043-"&amp;LEFT(W37,11)</f>
        <v>18043-LM000 08253</v>
      </c>
      <c r="B37" s="38" t="s">
        <v>66</v>
      </c>
      <c r="C37" s="185" t="s">
        <v>67</v>
      </c>
      <c r="D37" s="38"/>
      <c r="E37" s="161" t="str">
        <f>MID(W37,FIND(" ",W37,15)+1,100)</f>
        <v>Covered Passageway (190-642) - Fire Protection Plan &amp; Sections</v>
      </c>
      <c r="F37" s="38" t="s">
        <v>69</v>
      </c>
      <c r="G37" s="38"/>
      <c r="H37" s="38"/>
      <c r="I37" s="38" t="s">
        <v>344</v>
      </c>
      <c r="J37" s="38"/>
      <c r="K37" s="38"/>
      <c r="L37" s="240" t="s">
        <v>70</v>
      </c>
      <c r="M37" s="248" t="s">
        <v>79</v>
      </c>
      <c r="N37" s="242" t="s">
        <v>71</v>
      </c>
      <c r="O37" s="234"/>
      <c r="P37" s="306">
        <v>1.5</v>
      </c>
      <c r="Q37" s="307">
        <v>0.6</v>
      </c>
      <c r="R37" s="307">
        <v>0.6</v>
      </c>
      <c r="S37" s="307">
        <v>1</v>
      </c>
      <c r="T37" s="307">
        <v>0.8</v>
      </c>
      <c r="U37" s="266">
        <f t="shared" si="0"/>
        <v>0.8</v>
      </c>
      <c r="V37" s="37"/>
      <c r="W37" s="37" t="s">
        <v>365</v>
      </c>
      <c r="X37" s="37"/>
      <c r="Y37" s="37"/>
      <c r="Z37" s="37"/>
      <c r="AA37" s="37"/>
      <c r="AB37" s="37"/>
      <c r="AC37" s="37"/>
      <c r="AD37" s="37"/>
    </row>
    <row r="38" spans="1:30" s="48" customFormat="1" ht="30" customHeight="1" outlineLevel="1" x14ac:dyDescent="0.25">
      <c r="A38" s="37" t="str">
        <f>"18043-"&amp;LEFT(W38,11)</f>
        <v>18043-LM000 08504</v>
      </c>
      <c r="B38" s="38" t="s">
        <v>66</v>
      </c>
      <c r="C38" s="185" t="s">
        <v>67</v>
      </c>
      <c r="D38" s="38"/>
      <c r="E38" s="161" t="str">
        <f>MID(W38,FIND(" ",W38,15)+1,100)</f>
        <v>Bladder Post, AFC Workshop &amp; TBM Workshop - Piping Plans &amp; Details</v>
      </c>
      <c r="F38" s="38" t="s">
        <v>69</v>
      </c>
      <c r="G38" s="38"/>
      <c r="H38" s="38"/>
      <c r="I38" s="38" t="s">
        <v>344</v>
      </c>
      <c r="J38" s="38"/>
      <c r="K38" s="38"/>
      <c r="L38" s="240" t="s">
        <v>70</v>
      </c>
      <c r="M38" s="248" t="s">
        <v>79</v>
      </c>
      <c r="N38" s="242" t="s">
        <v>71</v>
      </c>
      <c r="O38" s="234"/>
      <c r="P38" s="306">
        <v>2.5</v>
      </c>
      <c r="Q38" s="307">
        <v>0.6</v>
      </c>
      <c r="R38" s="307">
        <v>0.6</v>
      </c>
      <c r="S38" s="307">
        <v>1</v>
      </c>
      <c r="T38" s="307">
        <v>0.8</v>
      </c>
      <c r="U38" s="266">
        <f t="shared" si="0"/>
        <v>0.8</v>
      </c>
      <c r="V38" s="37"/>
      <c r="W38" s="37" t="s">
        <v>366</v>
      </c>
      <c r="X38" s="37"/>
      <c r="Y38" s="37"/>
      <c r="Z38" s="37"/>
      <c r="AA38" s="37"/>
      <c r="AB38" s="37"/>
      <c r="AC38" s="37"/>
      <c r="AD38" s="37"/>
    </row>
    <row r="39" spans="1:30" s="48" customFormat="1" ht="15" customHeight="1" outlineLevel="1" x14ac:dyDescent="0.25">
      <c r="A39" s="37" t="str">
        <f>"18043-"&amp;LEFT(W39,11)</f>
        <v>18043-LMBME 08560</v>
      </c>
      <c r="B39" s="38" t="s">
        <v>66</v>
      </c>
      <c r="C39" s="185" t="s">
        <v>67</v>
      </c>
      <c r="D39" s="38"/>
      <c r="E39" s="161" t="str">
        <f>MID(W39,FIND(" ",W39,15)+1,100)</f>
        <v>Main Pipes Rack Piping Layout</v>
      </c>
      <c r="F39" s="38" t="s">
        <v>69</v>
      </c>
      <c r="G39" s="38"/>
      <c r="H39" s="38"/>
      <c r="I39" s="38" t="s">
        <v>344</v>
      </c>
      <c r="J39" s="38"/>
      <c r="K39" s="38"/>
      <c r="L39" s="240" t="s">
        <v>70</v>
      </c>
      <c r="M39" s="248" t="s">
        <v>79</v>
      </c>
      <c r="N39" s="242" t="s">
        <v>71</v>
      </c>
      <c r="O39" s="234"/>
      <c r="P39" s="306">
        <v>3.5</v>
      </c>
      <c r="Q39" s="307">
        <v>0.6</v>
      </c>
      <c r="R39" s="307">
        <v>0.6</v>
      </c>
      <c r="S39" s="307">
        <v>1</v>
      </c>
      <c r="T39" s="307">
        <v>0.8</v>
      </c>
      <c r="U39" s="266">
        <f t="shared" si="0"/>
        <v>0.8</v>
      </c>
      <c r="V39" s="37"/>
      <c r="W39" s="37" t="s">
        <v>367</v>
      </c>
      <c r="X39" s="37"/>
      <c r="Y39" s="37"/>
      <c r="Z39" s="37"/>
      <c r="AA39" s="37"/>
      <c r="AB39" s="37"/>
      <c r="AC39" s="37"/>
      <c r="AD39" s="37"/>
    </row>
    <row r="40" spans="1:30" s="48" customFormat="1" ht="18" customHeight="1" outlineLevel="1" x14ac:dyDescent="0.25">
      <c r="A40" s="37"/>
      <c r="B40" s="38"/>
      <c r="C40" s="185"/>
      <c r="D40" s="38"/>
      <c r="E40" s="161"/>
      <c r="F40" s="38"/>
      <c r="G40" s="38"/>
      <c r="H40" s="38"/>
      <c r="I40" s="38"/>
      <c r="J40" s="38"/>
      <c r="K40" s="38"/>
      <c r="L40" s="240"/>
      <c r="M40" s="248"/>
      <c r="N40" s="242"/>
      <c r="O40" s="234"/>
      <c r="P40" s="306"/>
      <c r="Q40" s="307"/>
      <c r="R40" s="307"/>
      <c r="S40" s="307"/>
      <c r="T40" s="307"/>
      <c r="U40" s="266"/>
      <c r="V40" s="37"/>
      <c r="W40" s="37"/>
      <c r="X40" s="37"/>
      <c r="Y40" s="37"/>
      <c r="Z40" s="37"/>
      <c r="AA40" s="37"/>
      <c r="AB40" s="37"/>
      <c r="AC40" s="37"/>
      <c r="AD40" s="37"/>
    </row>
    <row r="41" spans="1:30" s="48" customFormat="1" ht="15" customHeight="1" outlineLevel="1" x14ac:dyDescent="0.25">
      <c r="A41" s="37" t="str">
        <f>"18043-"&amp;LEFT(W41,11)</f>
        <v>18043-LM103 08201</v>
      </c>
      <c r="B41" s="38" t="s">
        <v>66</v>
      </c>
      <c r="C41" s="185" t="s">
        <v>67</v>
      </c>
      <c r="D41" s="38"/>
      <c r="E41" s="161" t="str">
        <f>MID(W41,FIND(" ",W41,15)+1,100)</f>
        <v>Fire Water System - Plans</v>
      </c>
      <c r="F41" s="38" t="s">
        <v>69</v>
      </c>
      <c r="G41" s="38"/>
      <c r="H41" s="38"/>
      <c r="I41" s="38" t="s">
        <v>344</v>
      </c>
      <c r="J41" s="40"/>
      <c r="K41" s="40"/>
      <c r="L41" s="240" t="s">
        <v>70</v>
      </c>
      <c r="M41" s="248" t="s">
        <v>79</v>
      </c>
      <c r="N41" s="242" t="s">
        <v>71</v>
      </c>
      <c r="O41" s="234"/>
      <c r="P41" s="306">
        <v>1.5</v>
      </c>
      <c r="Q41" s="307">
        <v>0.6</v>
      </c>
      <c r="R41" s="307">
        <v>0</v>
      </c>
      <c r="S41" s="307">
        <v>1</v>
      </c>
      <c r="T41" s="307">
        <v>0.9</v>
      </c>
      <c r="U41" s="266">
        <f t="shared" si="0"/>
        <v>0.9</v>
      </c>
      <c r="V41" s="37"/>
      <c r="W41" s="37" t="s">
        <v>368</v>
      </c>
      <c r="X41" s="37"/>
      <c r="Y41" s="37"/>
      <c r="Z41" s="37"/>
      <c r="AA41" s="37"/>
      <c r="AB41" s="37"/>
      <c r="AC41" s="37"/>
      <c r="AD41" s="37"/>
    </row>
    <row r="42" spans="1:30" s="48" customFormat="1" ht="15" customHeight="1" outlineLevel="1" x14ac:dyDescent="0.25">
      <c r="A42" s="37" t="str">
        <f>"18043-"&amp;LEFT(W42,11)</f>
        <v>18043-LM103 08202</v>
      </c>
      <c r="B42" s="38" t="s">
        <v>66</v>
      </c>
      <c r="C42" s="185" t="s">
        <v>67</v>
      </c>
      <c r="D42" s="38"/>
      <c r="E42" s="161" t="str">
        <f>MID(W42,FIND(" ",W42,15)+1,100)</f>
        <v>Fire Water System - Sections</v>
      </c>
      <c r="F42" s="38" t="s">
        <v>69</v>
      </c>
      <c r="G42" s="38"/>
      <c r="H42" s="38"/>
      <c r="I42" s="38" t="s">
        <v>344</v>
      </c>
      <c r="J42" s="40"/>
      <c r="K42" s="40"/>
      <c r="L42" s="240" t="s">
        <v>70</v>
      </c>
      <c r="M42" s="248" t="s">
        <v>79</v>
      </c>
      <c r="N42" s="242" t="s">
        <v>71</v>
      </c>
      <c r="O42" s="234"/>
      <c r="P42" s="306">
        <v>1</v>
      </c>
      <c r="Q42" s="307">
        <v>0</v>
      </c>
      <c r="R42" s="307">
        <v>0</v>
      </c>
      <c r="S42" s="307">
        <v>1</v>
      </c>
      <c r="T42" s="307">
        <v>0.3</v>
      </c>
      <c r="U42" s="266">
        <f t="shared" si="0"/>
        <v>0.3</v>
      </c>
      <c r="V42" s="37"/>
      <c r="W42" s="37" t="s">
        <v>369</v>
      </c>
      <c r="X42" s="37"/>
      <c r="Y42" s="37"/>
      <c r="Z42" s="37"/>
      <c r="AA42" s="37"/>
      <c r="AB42" s="37"/>
      <c r="AC42" s="37"/>
      <c r="AD42" s="37"/>
    </row>
    <row r="43" spans="1:30" s="48" customFormat="1" ht="15" customHeight="1" outlineLevel="1" x14ac:dyDescent="0.25">
      <c r="A43" s="37" t="str">
        <f>"18043-"&amp;LEFT(W43,11)</f>
        <v>18043-LM103 08203</v>
      </c>
      <c r="B43" s="38" t="s">
        <v>66</v>
      </c>
      <c r="C43" s="185" t="s">
        <v>67</v>
      </c>
      <c r="D43" s="38"/>
      <c r="E43" s="161" t="str">
        <f>MID(W43,FIND(" ",W43,15)+1,100)</f>
        <v>LV2 Room - PLans &amp; Diagram</v>
      </c>
      <c r="F43" s="38" t="s">
        <v>69</v>
      </c>
      <c r="G43" s="38"/>
      <c r="H43" s="38"/>
      <c r="I43" s="38" t="s">
        <v>344</v>
      </c>
      <c r="J43" s="40"/>
      <c r="K43" s="40"/>
      <c r="L43" s="240" t="s">
        <v>70</v>
      </c>
      <c r="M43" s="248" t="s">
        <v>79</v>
      </c>
      <c r="N43" s="242" t="s">
        <v>71</v>
      </c>
      <c r="O43" s="234"/>
      <c r="P43" s="306">
        <v>2</v>
      </c>
      <c r="Q43" s="307">
        <v>0</v>
      </c>
      <c r="R43" s="307">
        <v>0</v>
      </c>
      <c r="S43" s="307">
        <v>1</v>
      </c>
      <c r="T43" s="307">
        <v>0.3</v>
      </c>
      <c r="U43" s="266">
        <f t="shared" si="0"/>
        <v>0.3</v>
      </c>
      <c r="V43" s="37"/>
      <c r="W43" s="37" t="s">
        <v>370</v>
      </c>
      <c r="X43" s="37"/>
      <c r="Y43" s="37"/>
      <c r="Z43" s="37"/>
      <c r="AA43" s="37"/>
      <c r="AB43" s="37"/>
      <c r="AC43" s="37"/>
      <c r="AD43" s="37"/>
    </row>
    <row r="44" spans="1:30" s="48" customFormat="1" ht="15" customHeight="1" outlineLevel="1" x14ac:dyDescent="0.25">
      <c r="A44" s="37" t="str">
        <f>"18043-"&amp;LEFT(W44,11)</f>
        <v>18043-LM103 08301</v>
      </c>
      <c r="B44" s="38" t="s">
        <v>66</v>
      </c>
      <c r="C44" s="185" t="s">
        <v>67</v>
      </c>
      <c r="D44" s="38"/>
      <c r="E44" s="161" t="str">
        <f>MID(W44,FIND(" ",W44,15)+1,100)</f>
        <v>Air Conditioning &amp; Ventilation System - P&amp;I Diagram</v>
      </c>
      <c r="F44" s="38" t="s">
        <v>69</v>
      </c>
      <c r="G44" s="38"/>
      <c r="H44" s="38"/>
      <c r="I44" s="38" t="s">
        <v>344</v>
      </c>
      <c r="J44" s="40"/>
      <c r="K44" s="40"/>
      <c r="L44" s="240" t="s">
        <v>70</v>
      </c>
      <c r="M44" s="248" t="s">
        <v>79</v>
      </c>
      <c r="N44" s="242" t="s">
        <v>71</v>
      </c>
      <c r="O44" s="234"/>
      <c r="P44" s="306">
        <v>3</v>
      </c>
      <c r="Q44" s="307">
        <v>0</v>
      </c>
      <c r="R44" s="307">
        <v>0</v>
      </c>
      <c r="S44" s="307">
        <v>1</v>
      </c>
      <c r="T44" s="307">
        <v>0.3</v>
      </c>
      <c r="U44" s="266">
        <f t="shared" ref="U44" si="4">MAX(R44,T44)</f>
        <v>0.3</v>
      </c>
      <c r="V44" s="37"/>
      <c r="W44" s="37" t="s">
        <v>371</v>
      </c>
      <c r="X44" s="37"/>
      <c r="Y44" s="37"/>
      <c r="Z44" s="37"/>
      <c r="AA44" s="37"/>
      <c r="AB44" s="37"/>
      <c r="AC44" s="37"/>
      <c r="AD44" s="37"/>
    </row>
    <row r="45" spans="1:30" s="48" customFormat="1" ht="15" customHeight="1" outlineLevel="1" x14ac:dyDescent="0.2">
      <c r="A45" s="37" t="str">
        <f>"18043-"&amp;LEFT(W45,11)</f>
        <v>18043-LM103 08302</v>
      </c>
      <c r="B45" s="38" t="s">
        <v>66</v>
      </c>
      <c r="C45" s="185" t="s">
        <v>67</v>
      </c>
      <c r="D45" s="38"/>
      <c r="E45" s="161" t="str">
        <f>MID(W45,FIND(" ",W45,15)+1,100)</f>
        <v>Air Conditioning &amp; Ventilation System - Plan &amp; Section</v>
      </c>
      <c r="F45" s="38" t="s">
        <v>69</v>
      </c>
      <c r="G45" s="38"/>
      <c r="H45" s="38"/>
      <c r="I45" s="38" t="s">
        <v>344</v>
      </c>
      <c r="J45" s="40"/>
      <c r="K45" s="40"/>
      <c r="L45" s="240" t="s">
        <v>70</v>
      </c>
      <c r="M45" s="241" t="s">
        <v>70</v>
      </c>
      <c r="N45" s="252" t="s">
        <v>71</v>
      </c>
      <c r="O45" s="234"/>
      <c r="P45" s="306">
        <v>1</v>
      </c>
      <c r="Q45" s="307">
        <v>0.6</v>
      </c>
      <c r="R45" s="307">
        <v>0.6</v>
      </c>
      <c r="S45" s="307">
        <v>1</v>
      </c>
      <c r="T45" s="307">
        <v>0.95</v>
      </c>
      <c r="U45" s="266">
        <f t="shared" si="0"/>
        <v>0.95</v>
      </c>
      <c r="V45" s="37"/>
      <c r="W45" s="37" t="s">
        <v>372</v>
      </c>
      <c r="X45" s="37"/>
      <c r="Y45" s="37"/>
      <c r="Z45" s="37"/>
      <c r="AA45" s="37"/>
      <c r="AB45" s="37"/>
      <c r="AC45" s="37"/>
      <c r="AD45" s="37"/>
    </row>
    <row r="46" spans="1:30" s="48" customFormat="1" ht="15" customHeight="1" outlineLevel="1" x14ac:dyDescent="0.2">
      <c r="A46" s="37"/>
      <c r="B46" s="38"/>
      <c r="C46" s="185"/>
      <c r="D46" s="38"/>
      <c r="E46" s="161"/>
      <c r="F46" s="38"/>
      <c r="G46" s="38"/>
      <c r="H46" s="38"/>
      <c r="I46" s="38"/>
      <c r="J46" s="40"/>
      <c r="K46" s="40"/>
      <c r="L46" s="240"/>
      <c r="M46" s="241"/>
      <c r="N46" s="252"/>
      <c r="O46" s="234"/>
      <c r="P46" s="306"/>
      <c r="Q46" s="307"/>
      <c r="R46" s="307"/>
      <c r="S46" s="307"/>
      <c r="T46" s="307"/>
      <c r="U46" s="266"/>
      <c r="V46" s="37"/>
      <c r="W46" s="37"/>
      <c r="X46" s="37"/>
      <c r="Y46" s="37"/>
      <c r="Z46" s="37"/>
      <c r="AA46" s="37"/>
      <c r="AB46" s="37"/>
      <c r="AC46" s="37"/>
      <c r="AD46" s="37"/>
    </row>
    <row r="47" spans="1:30" s="48" customFormat="1" ht="15" customHeight="1" outlineLevel="1" x14ac:dyDescent="0.2">
      <c r="A47" s="37" t="str">
        <f>"18043-"&amp;LEFT(W47,11)</f>
        <v>18043-LM263 08101</v>
      </c>
      <c r="B47" s="38" t="s">
        <v>66</v>
      </c>
      <c r="C47" s="185" t="s">
        <v>67</v>
      </c>
      <c r="D47" s="38"/>
      <c r="E47" s="161" t="str">
        <f>MID(W47,FIND(" ",W47,15)+1,100)</f>
        <v>Plumbing Plan and Details</v>
      </c>
      <c r="F47" s="38" t="s">
        <v>69</v>
      </c>
      <c r="G47" s="38"/>
      <c r="H47" s="38"/>
      <c r="I47" s="38" t="s">
        <v>344</v>
      </c>
      <c r="J47" s="40"/>
      <c r="K47" s="40"/>
      <c r="L47" s="240" t="s">
        <v>70</v>
      </c>
      <c r="M47" s="241" t="s">
        <v>70</v>
      </c>
      <c r="N47" s="252" t="s">
        <v>71</v>
      </c>
      <c r="O47" s="234"/>
      <c r="P47" s="306">
        <v>1</v>
      </c>
      <c r="Q47" s="307">
        <v>0.3</v>
      </c>
      <c r="R47" s="307">
        <v>0.3</v>
      </c>
      <c r="S47" s="307">
        <v>1</v>
      </c>
      <c r="T47" s="307">
        <v>0.95</v>
      </c>
      <c r="U47" s="266">
        <f t="shared" si="0"/>
        <v>0.95</v>
      </c>
      <c r="V47" s="37"/>
      <c r="W47" s="37" t="s">
        <v>373</v>
      </c>
      <c r="X47" s="37"/>
      <c r="Y47" s="37"/>
      <c r="Z47" s="37"/>
      <c r="AA47" s="37"/>
      <c r="AB47" s="37"/>
      <c r="AC47" s="37"/>
      <c r="AD47" s="37"/>
    </row>
    <row r="48" spans="1:30" s="48" customFormat="1" ht="15" customHeight="1" outlineLevel="1" x14ac:dyDescent="0.2">
      <c r="A48" s="37" t="str">
        <f>"18043-"&amp;LEFT(W48,11)</f>
        <v>18043-LM263 08301</v>
      </c>
      <c r="B48" s="38" t="s">
        <v>66</v>
      </c>
      <c r="C48" s="185" t="s">
        <v>67</v>
      </c>
      <c r="D48" s="38"/>
      <c r="E48" s="161" t="str">
        <f>MID(W48,FIND(" ",W48,15)+1,100)</f>
        <v>Ventilation Plans</v>
      </c>
      <c r="F48" s="38" t="s">
        <v>69</v>
      </c>
      <c r="G48" s="38"/>
      <c r="H48" s="38"/>
      <c r="I48" s="38" t="s">
        <v>344</v>
      </c>
      <c r="J48" s="40"/>
      <c r="K48" s="40"/>
      <c r="L48" s="240" t="s">
        <v>70</v>
      </c>
      <c r="M48" s="241" t="s">
        <v>70</v>
      </c>
      <c r="N48" s="252" t="s">
        <v>71</v>
      </c>
      <c r="O48" s="234"/>
      <c r="P48" s="306">
        <v>2</v>
      </c>
      <c r="Q48" s="307">
        <v>0.3</v>
      </c>
      <c r="R48" s="307">
        <v>0.3</v>
      </c>
      <c r="S48" s="307">
        <v>1</v>
      </c>
      <c r="T48" s="307">
        <v>0.95</v>
      </c>
      <c r="U48" s="266">
        <f t="shared" si="0"/>
        <v>0.95</v>
      </c>
      <c r="V48" s="37"/>
      <c r="W48" s="37" t="s">
        <v>374</v>
      </c>
      <c r="X48" s="37"/>
      <c r="Y48" s="37"/>
      <c r="Z48" s="37"/>
      <c r="AA48" s="37"/>
      <c r="AB48" s="37"/>
      <c r="AC48" s="37"/>
      <c r="AD48" s="37"/>
    </row>
    <row r="49" spans="1:30" s="48" customFormat="1" ht="15" customHeight="1" outlineLevel="1" x14ac:dyDescent="0.2">
      <c r="A49" s="37"/>
      <c r="B49" s="38"/>
      <c r="C49" s="185"/>
      <c r="D49" s="38"/>
      <c r="E49" s="161"/>
      <c r="F49" s="38"/>
      <c r="G49" s="38"/>
      <c r="H49" s="38"/>
      <c r="I49" s="38"/>
      <c r="J49" s="40"/>
      <c r="K49" s="40"/>
      <c r="L49" s="244"/>
      <c r="M49" s="245"/>
      <c r="N49" s="253"/>
      <c r="O49" s="234"/>
      <c r="P49" s="306"/>
      <c r="Q49" s="307"/>
      <c r="R49" s="307"/>
      <c r="S49" s="307"/>
      <c r="T49" s="307"/>
      <c r="U49" s="266"/>
      <c r="V49" s="37"/>
      <c r="W49" s="37"/>
      <c r="X49" s="37"/>
      <c r="Y49" s="37"/>
      <c r="Z49" s="37"/>
      <c r="AA49" s="37"/>
      <c r="AB49" s="37"/>
      <c r="AC49" s="37"/>
      <c r="AD49" s="37"/>
    </row>
    <row r="50" spans="1:30" s="48" customFormat="1" ht="15" customHeight="1" outlineLevel="1" x14ac:dyDescent="0.2">
      <c r="A50" s="37" t="str">
        <f>"18043-"&amp;LEFT(W50,11)</f>
        <v>18043-LM642 08251</v>
      </c>
      <c r="B50" s="38" t="s">
        <v>66</v>
      </c>
      <c r="C50" s="185" t="s">
        <v>67</v>
      </c>
      <c r="D50" s="38"/>
      <c r="E50" s="161" t="str">
        <f>MID(W50,FIND(" ",W50,15)+1,100)</f>
        <v>Fire Protection Plan &amp; Section</v>
      </c>
      <c r="F50" s="38" t="s">
        <v>69</v>
      </c>
      <c r="G50" s="38"/>
      <c r="H50" s="38"/>
      <c r="I50" s="38" t="s">
        <v>344</v>
      </c>
      <c r="J50" s="40"/>
      <c r="K50" s="40"/>
      <c r="L50" s="240" t="s">
        <v>70</v>
      </c>
      <c r="M50" s="241" t="s">
        <v>70</v>
      </c>
      <c r="N50" s="252" t="s">
        <v>71</v>
      </c>
      <c r="O50" s="234"/>
      <c r="P50" s="306">
        <v>1</v>
      </c>
      <c r="Q50" s="307">
        <v>0.6</v>
      </c>
      <c r="R50" s="307">
        <v>0.6</v>
      </c>
      <c r="S50" s="307">
        <v>1</v>
      </c>
      <c r="T50" s="307">
        <v>0.95</v>
      </c>
      <c r="U50" s="266">
        <f t="shared" si="0"/>
        <v>0.95</v>
      </c>
      <c r="V50" s="37"/>
      <c r="W50" s="37" t="s">
        <v>375</v>
      </c>
      <c r="X50" s="37"/>
      <c r="Y50" s="37"/>
      <c r="Z50" s="37"/>
      <c r="AA50" s="37"/>
      <c r="AB50" s="37"/>
      <c r="AC50" s="37"/>
      <c r="AD50" s="37"/>
    </row>
    <row r="51" spans="1:30" s="48" customFormat="1" ht="15" customHeight="1" outlineLevel="1" x14ac:dyDescent="0.2">
      <c r="A51" s="191" t="str">
        <f>"18043-"&amp;LEFT(W51,11)</f>
        <v>18043-LM642 08302</v>
      </c>
      <c r="B51" s="38" t="s">
        <v>66</v>
      </c>
      <c r="C51" s="185" t="s">
        <v>67</v>
      </c>
      <c r="D51" s="38"/>
      <c r="E51" s="161" t="s">
        <v>376</v>
      </c>
      <c r="F51" s="38" t="s">
        <v>69</v>
      </c>
      <c r="G51" s="38"/>
      <c r="H51" s="38"/>
      <c r="I51" s="38" t="s">
        <v>344</v>
      </c>
      <c r="J51" s="40"/>
      <c r="K51" s="40"/>
      <c r="L51" s="240" t="s">
        <v>70</v>
      </c>
      <c r="M51" s="241" t="s">
        <v>70</v>
      </c>
      <c r="N51" s="252" t="s">
        <v>71</v>
      </c>
      <c r="O51" s="234"/>
      <c r="P51" s="306">
        <v>1</v>
      </c>
      <c r="Q51" s="307">
        <v>0.3</v>
      </c>
      <c r="R51" s="307">
        <v>0.6</v>
      </c>
      <c r="S51" s="307">
        <v>1</v>
      </c>
      <c r="T51" s="307">
        <v>0.95</v>
      </c>
      <c r="U51" s="266">
        <f t="shared" si="0"/>
        <v>0.95</v>
      </c>
      <c r="V51" s="37"/>
      <c r="W51" s="37" t="s">
        <v>377</v>
      </c>
      <c r="X51" s="37"/>
      <c r="Y51" s="37"/>
      <c r="Z51" s="37"/>
      <c r="AA51" s="37"/>
      <c r="AB51" s="37"/>
      <c r="AC51" s="37"/>
      <c r="AD51" s="37"/>
    </row>
    <row r="52" spans="1:30" s="48" customFormat="1" ht="15" customHeight="1" outlineLevel="1" x14ac:dyDescent="0.2">
      <c r="A52" s="41"/>
      <c r="B52" s="38"/>
      <c r="C52" s="185"/>
      <c r="D52" s="38"/>
      <c r="E52" s="41"/>
      <c r="F52" s="38"/>
      <c r="G52" s="38"/>
      <c r="H52" s="38"/>
      <c r="I52" s="38"/>
      <c r="J52" s="40"/>
      <c r="K52" s="40"/>
      <c r="L52" s="240"/>
      <c r="M52" s="241"/>
      <c r="N52" s="252"/>
      <c r="O52" s="234"/>
      <c r="P52" s="306"/>
      <c r="Q52" s="307"/>
      <c r="R52" s="307"/>
      <c r="S52" s="307"/>
      <c r="T52" s="307"/>
      <c r="U52" s="266"/>
      <c r="V52" s="37"/>
      <c r="W52" s="37"/>
      <c r="X52" s="37"/>
      <c r="Y52" s="37"/>
      <c r="Z52" s="37"/>
      <c r="AA52" s="37"/>
      <c r="AB52" s="37"/>
      <c r="AC52" s="37"/>
      <c r="AD52" s="37"/>
    </row>
    <row r="53" spans="1:30" s="48" customFormat="1" ht="15" customHeight="1" outlineLevel="1" x14ac:dyDescent="0.2">
      <c r="A53" s="37" t="str">
        <f>"18043-"&amp;LEFT(W53,11)</f>
        <v>18043-LM651 08201</v>
      </c>
      <c r="B53" s="38" t="s">
        <v>66</v>
      </c>
      <c r="C53" s="185" t="s">
        <v>67</v>
      </c>
      <c r="D53" s="38"/>
      <c r="E53" s="161" t="str">
        <f>MID(W53,FIND(" ",W53,15)+1,100)</f>
        <v>Fire Water System - Plan &amp; Sections</v>
      </c>
      <c r="F53" s="38" t="s">
        <v>69</v>
      </c>
      <c r="G53" s="38"/>
      <c r="H53" s="38"/>
      <c r="I53" s="38" t="s">
        <v>344</v>
      </c>
      <c r="J53" s="40"/>
      <c r="K53" s="40"/>
      <c r="L53" s="240" t="s">
        <v>70</v>
      </c>
      <c r="M53" s="241" t="s">
        <v>70</v>
      </c>
      <c r="N53" s="252" t="s">
        <v>71</v>
      </c>
      <c r="O53" s="234"/>
      <c r="P53" s="306">
        <v>3</v>
      </c>
      <c r="Q53" s="307">
        <v>0.3</v>
      </c>
      <c r="R53" s="307">
        <v>0.6</v>
      </c>
      <c r="S53" s="307">
        <v>1</v>
      </c>
      <c r="T53" s="307">
        <v>0.95</v>
      </c>
      <c r="U53" s="266">
        <f t="shared" si="0"/>
        <v>0.95</v>
      </c>
      <c r="V53" s="37"/>
      <c r="W53" s="37" t="s">
        <v>378</v>
      </c>
      <c r="X53" s="37"/>
      <c r="Y53" s="37"/>
      <c r="Z53" s="37"/>
      <c r="AA53" s="37"/>
      <c r="AB53" s="37"/>
      <c r="AC53" s="37"/>
      <c r="AD53" s="37"/>
    </row>
    <row r="54" spans="1:30" s="48" customFormat="1" ht="15" customHeight="1" outlineLevel="1" x14ac:dyDescent="0.2">
      <c r="A54" s="37" t="str">
        <f>"18043-"&amp;LEFT(W54,11)</f>
        <v>18043-LM651 08301</v>
      </c>
      <c r="B54" s="38" t="s">
        <v>66</v>
      </c>
      <c r="C54" s="185" t="s">
        <v>67</v>
      </c>
      <c r="D54" s="38"/>
      <c r="E54" s="161" t="str">
        <f>MID(W54,FIND(" ",W54,15)+1,100)</f>
        <v>Air Conditioning System - Plan, Section And P&amp;I Diagram</v>
      </c>
      <c r="F54" s="38" t="s">
        <v>69</v>
      </c>
      <c r="G54" s="38"/>
      <c r="H54" s="38"/>
      <c r="I54" s="38" t="s">
        <v>344</v>
      </c>
      <c r="J54" s="40"/>
      <c r="K54" s="40"/>
      <c r="L54" s="240" t="s">
        <v>70</v>
      </c>
      <c r="M54" s="241" t="s">
        <v>70</v>
      </c>
      <c r="N54" s="252" t="s">
        <v>71</v>
      </c>
      <c r="O54" s="234"/>
      <c r="P54" s="306">
        <v>1</v>
      </c>
      <c r="Q54" s="307">
        <v>0.3</v>
      </c>
      <c r="R54" s="307">
        <v>0</v>
      </c>
      <c r="S54" s="307">
        <v>1</v>
      </c>
      <c r="T54" s="307">
        <v>0.3</v>
      </c>
      <c r="U54" s="266">
        <f t="shared" si="0"/>
        <v>0.3</v>
      </c>
      <c r="V54" s="37"/>
      <c r="W54" s="37" t="s">
        <v>379</v>
      </c>
      <c r="X54" s="37"/>
      <c r="Y54" s="37"/>
      <c r="Z54" s="37"/>
      <c r="AA54" s="37"/>
      <c r="AB54" s="37"/>
      <c r="AC54" s="37"/>
      <c r="AD54" s="37"/>
    </row>
    <row r="55" spans="1:30" s="48" customFormat="1" ht="15" customHeight="1" outlineLevel="1" x14ac:dyDescent="0.2">
      <c r="A55" s="41"/>
      <c r="B55" s="38"/>
      <c r="C55" s="185"/>
      <c r="D55" s="38"/>
      <c r="E55" s="41"/>
      <c r="F55" s="38"/>
      <c r="G55" s="38"/>
      <c r="H55" s="38"/>
      <c r="I55" s="38"/>
      <c r="J55" s="40"/>
      <c r="K55" s="40"/>
      <c r="L55" s="240"/>
      <c r="M55" s="241"/>
      <c r="N55" s="252"/>
      <c r="O55" s="234"/>
      <c r="P55" s="306"/>
      <c r="Q55" s="307"/>
      <c r="R55" s="307"/>
      <c r="S55" s="307"/>
      <c r="T55" s="307"/>
      <c r="U55" s="266"/>
      <c r="V55" s="37"/>
      <c r="W55" s="37"/>
      <c r="X55" s="37"/>
      <c r="Y55" s="37"/>
      <c r="Z55" s="37"/>
      <c r="AA55" s="37"/>
      <c r="AB55" s="37"/>
      <c r="AC55" s="37"/>
      <c r="AD55" s="37"/>
    </row>
    <row r="56" spans="1:30" s="48" customFormat="1" ht="15" customHeight="1" outlineLevel="1" x14ac:dyDescent="0.2">
      <c r="A56" s="191" t="s">
        <v>380</v>
      </c>
      <c r="B56" s="38" t="s">
        <v>66</v>
      </c>
      <c r="C56" s="185" t="s">
        <v>67</v>
      </c>
      <c r="D56" s="38"/>
      <c r="E56" s="161" t="s">
        <v>381</v>
      </c>
      <c r="F56" s="38" t="s">
        <v>69</v>
      </c>
      <c r="G56" s="38"/>
      <c r="H56" s="38"/>
      <c r="I56" s="38" t="s">
        <v>344</v>
      </c>
      <c r="J56" s="40"/>
      <c r="K56" s="40"/>
      <c r="L56" s="240" t="s">
        <v>70</v>
      </c>
      <c r="M56" s="241" t="s">
        <v>70</v>
      </c>
      <c r="N56" s="252" t="s">
        <v>71</v>
      </c>
      <c r="O56" s="234"/>
      <c r="P56" s="306">
        <v>1</v>
      </c>
      <c r="Q56" s="307">
        <v>0.6</v>
      </c>
      <c r="R56" s="307">
        <v>0.6</v>
      </c>
      <c r="S56" s="307">
        <v>1</v>
      </c>
      <c r="T56" s="307">
        <v>0.95</v>
      </c>
      <c r="U56" s="266">
        <f t="shared" si="0"/>
        <v>0.95</v>
      </c>
      <c r="V56" s="37"/>
      <c r="W56" s="37"/>
      <c r="X56" s="37"/>
      <c r="Y56" s="37"/>
      <c r="Z56" s="37"/>
      <c r="AA56" s="37"/>
      <c r="AB56" s="37"/>
      <c r="AC56" s="37"/>
      <c r="AD56" s="37"/>
    </row>
    <row r="57" spans="1:30" s="48" customFormat="1" ht="15" customHeight="1" outlineLevel="1" x14ac:dyDescent="0.2">
      <c r="A57" s="191" t="s">
        <v>382</v>
      </c>
      <c r="B57" s="38" t="s">
        <v>66</v>
      </c>
      <c r="C57" s="185" t="s">
        <v>67</v>
      </c>
      <c r="D57" s="38"/>
      <c r="E57" s="161" t="s">
        <v>383</v>
      </c>
      <c r="F57" s="38" t="s">
        <v>69</v>
      </c>
      <c r="G57" s="38"/>
      <c r="H57" s="38"/>
      <c r="I57" s="38" t="s">
        <v>344</v>
      </c>
      <c r="J57" s="40"/>
      <c r="K57" s="40"/>
      <c r="L57" s="240" t="s">
        <v>70</v>
      </c>
      <c r="M57" s="241" t="s">
        <v>70</v>
      </c>
      <c r="N57" s="252" t="s">
        <v>71</v>
      </c>
      <c r="O57" s="234"/>
      <c r="P57" s="306">
        <v>2</v>
      </c>
      <c r="Q57" s="307">
        <v>0.6</v>
      </c>
      <c r="R57" s="307">
        <v>0.6</v>
      </c>
      <c r="S57" s="307">
        <v>1</v>
      </c>
      <c r="T57" s="307">
        <v>0.95</v>
      </c>
      <c r="U57" s="266">
        <f t="shared" ref="U57" si="5">MAX(R57,T57)</f>
        <v>0.95</v>
      </c>
      <c r="V57" s="37"/>
      <c r="W57" s="37"/>
      <c r="X57" s="37"/>
      <c r="Y57" s="37"/>
      <c r="Z57" s="37"/>
      <c r="AA57" s="37"/>
      <c r="AB57" s="37"/>
      <c r="AC57" s="37"/>
      <c r="AD57" s="37"/>
    </row>
    <row r="58" spans="1:30" s="48" customFormat="1" ht="15" customHeight="1" outlineLevel="1" x14ac:dyDescent="0.2">
      <c r="A58" s="191" t="s">
        <v>384</v>
      </c>
      <c r="B58" s="38" t="s">
        <v>66</v>
      </c>
      <c r="C58" s="185" t="s">
        <v>67</v>
      </c>
      <c r="D58" s="38"/>
      <c r="E58" s="161" t="s">
        <v>385</v>
      </c>
      <c r="F58" s="38" t="s">
        <v>69</v>
      </c>
      <c r="G58" s="38"/>
      <c r="H58" s="38"/>
      <c r="I58" s="38" t="s">
        <v>344</v>
      </c>
      <c r="J58" s="40"/>
      <c r="K58" s="40"/>
      <c r="L58" s="240" t="s">
        <v>70</v>
      </c>
      <c r="M58" s="241" t="s">
        <v>70</v>
      </c>
      <c r="N58" s="252" t="s">
        <v>71</v>
      </c>
      <c r="O58" s="234"/>
      <c r="P58" s="306">
        <v>1</v>
      </c>
      <c r="Q58" s="307">
        <v>0.6</v>
      </c>
      <c r="R58" s="307">
        <v>0.6</v>
      </c>
      <c r="S58" s="307">
        <v>1</v>
      </c>
      <c r="T58" s="307">
        <v>0.3</v>
      </c>
      <c r="U58" s="266">
        <f t="shared" si="0"/>
        <v>0.6</v>
      </c>
      <c r="V58" s="37"/>
      <c r="W58" s="37"/>
      <c r="X58" s="37"/>
      <c r="Y58" s="37"/>
      <c r="Z58" s="37"/>
      <c r="AA58" s="37"/>
      <c r="AB58" s="37"/>
      <c r="AC58" s="37"/>
      <c r="AD58" s="37"/>
    </row>
    <row r="59" spans="1:30" s="48" customFormat="1" ht="15" customHeight="1" outlineLevel="1" x14ac:dyDescent="0.2">
      <c r="A59" s="191" t="s">
        <v>386</v>
      </c>
      <c r="B59" s="38" t="s">
        <v>66</v>
      </c>
      <c r="C59" s="185" t="s">
        <v>67</v>
      </c>
      <c r="D59" s="38"/>
      <c r="E59" s="161" t="s">
        <v>387</v>
      </c>
      <c r="F59" s="38" t="s">
        <v>69</v>
      </c>
      <c r="G59" s="38"/>
      <c r="H59" s="38"/>
      <c r="I59" s="38" t="s">
        <v>344</v>
      </c>
      <c r="J59" s="40"/>
      <c r="K59" s="40"/>
      <c r="L59" s="240" t="s">
        <v>70</v>
      </c>
      <c r="M59" s="241" t="s">
        <v>70</v>
      </c>
      <c r="N59" s="252" t="s">
        <v>71</v>
      </c>
      <c r="O59" s="234"/>
      <c r="P59" s="306">
        <v>2</v>
      </c>
      <c r="Q59" s="307">
        <v>0.6</v>
      </c>
      <c r="R59" s="307">
        <v>0.6</v>
      </c>
      <c r="S59" s="307">
        <v>1</v>
      </c>
      <c r="T59" s="307">
        <v>0.3</v>
      </c>
      <c r="U59" s="266">
        <f t="shared" si="0"/>
        <v>0.6</v>
      </c>
      <c r="V59" s="37"/>
      <c r="W59" s="37"/>
      <c r="X59" s="37"/>
      <c r="Y59" s="37"/>
      <c r="Z59" s="37"/>
      <c r="AA59" s="37"/>
      <c r="AB59" s="37"/>
      <c r="AC59" s="37"/>
      <c r="AD59" s="37"/>
    </row>
    <row r="60" spans="1:30" s="48" customFormat="1" outlineLevel="1" x14ac:dyDescent="0.2">
      <c r="A60" s="191" t="s">
        <v>388</v>
      </c>
      <c r="B60" s="38" t="s">
        <v>66</v>
      </c>
      <c r="C60" s="185" t="s">
        <v>67</v>
      </c>
      <c r="D60" s="38"/>
      <c r="E60" s="161" t="s">
        <v>389</v>
      </c>
      <c r="F60" s="38" t="s">
        <v>69</v>
      </c>
      <c r="G60" s="38"/>
      <c r="H60" s="38"/>
      <c r="I60" s="38" t="s">
        <v>344</v>
      </c>
      <c r="J60" s="40"/>
      <c r="K60" s="40"/>
      <c r="L60" s="240" t="s">
        <v>70</v>
      </c>
      <c r="M60" s="241" t="s">
        <v>70</v>
      </c>
      <c r="N60" s="252" t="s">
        <v>71</v>
      </c>
      <c r="O60" s="234"/>
      <c r="P60" s="306">
        <v>3</v>
      </c>
      <c r="Q60" s="307">
        <v>0.6</v>
      </c>
      <c r="R60" s="307">
        <v>0.6</v>
      </c>
      <c r="S60" s="307">
        <v>1</v>
      </c>
      <c r="T60" s="307">
        <v>0.3</v>
      </c>
      <c r="U60" s="266">
        <f t="shared" ref="U60" si="6">MAX(R60,T60)</f>
        <v>0.6</v>
      </c>
      <c r="V60" s="37"/>
      <c r="W60" s="37"/>
      <c r="X60" s="37"/>
      <c r="Y60" s="37"/>
      <c r="Z60" s="37"/>
      <c r="AA60" s="37"/>
      <c r="AB60" s="37"/>
      <c r="AC60" s="37"/>
      <c r="AD60" s="37"/>
    </row>
    <row r="61" spans="1:30" s="48" customFormat="1" outlineLevel="1" x14ac:dyDescent="0.25">
      <c r="A61" s="191" t="s">
        <v>390</v>
      </c>
      <c r="B61" s="38" t="s">
        <v>66</v>
      </c>
      <c r="C61" s="185" t="s">
        <v>67</v>
      </c>
      <c r="D61" s="38"/>
      <c r="E61" s="161" t="s">
        <v>391</v>
      </c>
      <c r="F61" s="38" t="s">
        <v>69</v>
      </c>
      <c r="G61" s="38"/>
      <c r="H61" s="38"/>
      <c r="I61" s="38" t="s">
        <v>344</v>
      </c>
      <c r="J61" s="40"/>
      <c r="K61" s="40"/>
      <c r="L61" s="240" t="s">
        <v>70</v>
      </c>
      <c r="M61" s="241" t="s">
        <v>70</v>
      </c>
      <c r="N61" s="252" t="s">
        <v>71</v>
      </c>
      <c r="O61" s="257"/>
      <c r="P61" s="306">
        <v>4</v>
      </c>
      <c r="Q61" s="307">
        <v>0.6</v>
      </c>
      <c r="R61" s="307">
        <v>0.6</v>
      </c>
      <c r="S61" s="307">
        <v>1</v>
      </c>
      <c r="T61" s="307">
        <v>0.3</v>
      </c>
      <c r="U61" s="266">
        <f t="shared" si="0"/>
        <v>0.6</v>
      </c>
      <c r="V61" s="37"/>
      <c r="W61" s="37"/>
      <c r="X61" s="37"/>
      <c r="Y61" s="37"/>
      <c r="Z61" s="37"/>
      <c r="AA61" s="37"/>
      <c r="AB61" s="37"/>
      <c r="AC61" s="37"/>
      <c r="AD61" s="37"/>
    </row>
    <row r="62" spans="1:30" s="48" customFormat="1" ht="15" customHeight="1" outlineLevel="1" x14ac:dyDescent="0.25">
      <c r="A62" s="191" t="s">
        <v>392</v>
      </c>
      <c r="B62" s="38" t="s">
        <v>66</v>
      </c>
      <c r="C62" s="185" t="s">
        <v>67</v>
      </c>
      <c r="D62" s="38"/>
      <c r="E62" s="161" t="s">
        <v>393</v>
      </c>
      <c r="F62" s="38" t="s">
        <v>69</v>
      </c>
      <c r="G62" s="38"/>
      <c r="H62" s="38"/>
      <c r="I62" s="38" t="s">
        <v>344</v>
      </c>
      <c r="J62" s="40"/>
      <c r="K62" s="40"/>
      <c r="L62" s="240" t="s">
        <v>70</v>
      </c>
      <c r="M62" s="241" t="s">
        <v>70</v>
      </c>
      <c r="N62" s="252" t="s">
        <v>71</v>
      </c>
      <c r="O62" s="257"/>
      <c r="P62" s="306">
        <v>5</v>
      </c>
      <c r="Q62" s="307">
        <v>0.6</v>
      </c>
      <c r="R62" s="307">
        <v>0.6</v>
      </c>
      <c r="S62" s="307">
        <v>1</v>
      </c>
      <c r="T62" s="307">
        <v>0.3</v>
      </c>
      <c r="U62" s="266">
        <f t="shared" si="0"/>
        <v>0.6</v>
      </c>
      <c r="V62" s="37"/>
      <c r="W62" s="37"/>
      <c r="X62" s="37"/>
      <c r="Y62" s="37"/>
      <c r="Z62" s="37"/>
      <c r="AA62" s="37"/>
      <c r="AB62" s="37"/>
      <c r="AC62" s="37"/>
      <c r="AD62" s="37"/>
    </row>
    <row r="63" spans="1:30" s="48" customFormat="1" ht="15" customHeight="1" outlineLevel="1" x14ac:dyDescent="0.25">
      <c r="A63" s="191" t="s">
        <v>394</v>
      </c>
      <c r="B63" s="38" t="s">
        <v>66</v>
      </c>
      <c r="C63" s="185" t="s">
        <v>67</v>
      </c>
      <c r="D63" s="38"/>
      <c r="E63" s="161" t="s">
        <v>395</v>
      </c>
      <c r="F63" s="38" t="s">
        <v>69</v>
      </c>
      <c r="G63" s="38"/>
      <c r="H63" s="38"/>
      <c r="I63" s="38" t="s">
        <v>344</v>
      </c>
      <c r="J63" s="40"/>
      <c r="K63" s="40"/>
      <c r="L63" s="240" t="s">
        <v>70</v>
      </c>
      <c r="M63" s="241" t="s">
        <v>70</v>
      </c>
      <c r="N63" s="252" t="s">
        <v>71</v>
      </c>
      <c r="O63" s="257"/>
      <c r="P63" s="306">
        <v>6</v>
      </c>
      <c r="Q63" s="307">
        <v>0.6</v>
      </c>
      <c r="R63" s="307">
        <v>0.6</v>
      </c>
      <c r="S63" s="307">
        <v>1</v>
      </c>
      <c r="T63" s="307">
        <v>0.3</v>
      </c>
      <c r="U63" s="266">
        <f t="shared" ref="U63" si="7">MAX(R63,T63)</f>
        <v>0.6</v>
      </c>
      <c r="V63" s="37"/>
      <c r="W63" s="37"/>
      <c r="X63" s="37"/>
      <c r="Y63" s="37"/>
      <c r="Z63" s="37"/>
      <c r="AA63" s="37"/>
      <c r="AB63" s="37"/>
      <c r="AC63" s="37"/>
      <c r="AD63" s="37"/>
    </row>
    <row r="64" spans="1:30" s="48" customFormat="1" ht="15" customHeight="1" outlineLevel="1" x14ac:dyDescent="0.25">
      <c r="A64" s="191" t="s">
        <v>396</v>
      </c>
      <c r="B64" s="38" t="s">
        <v>66</v>
      </c>
      <c r="C64" s="185" t="s">
        <v>67</v>
      </c>
      <c r="D64" s="38"/>
      <c r="E64" s="161" t="s">
        <v>397</v>
      </c>
      <c r="F64" s="38" t="s">
        <v>69</v>
      </c>
      <c r="G64" s="38"/>
      <c r="H64" s="38"/>
      <c r="I64" s="38" t="s">
        <v>344</v>
      </c>
      <c r="J64" s="40"/>
      <c r="K64" s="40"/>
      <c r="L64" s="240" t="s">
        <v>70</v>
      </c>
      <c r="M64" s="241" t="s">
        <v>70</v>
      </c>
      <c r="N64" s="252" t="s">
        <v>71</v>
      </c>
      <c r="O64" s="257"/>
      <c r="P64" s="306">
        <v>7</v>
      </c>
      <c r="Q64" s="307">
        <v>0.6</v>
      </c>
      <c r="R64" s="307">
        <v>0.6</v>
      </c>
      <c r="S64" s="307">
        <v>1</v>
      </c>
      <c r="T64" s="307">
        <v>0.3</v>
      </c>
      <c r="U64" s="266">
        <f t="shared" si="0"/>
        <v>0.6</v>
      </c>
      <c r="V64" s="37"/>
      <c r="W64" s="37"/>
      <c r="X64" s="37"/>
      <c r="Y64" s="37"/>
      <c r="Z64" s="37"/>
      <c r="AA64" s="37"/>
      <c r="AB64" s="37"/>
      <c r="AC64" s="37"/>
      <c r="AD64" s="37"/>
    </row>
    <row r="65" spans="1:30" s="48" customFormat="1" ht="15" customHeight="1" outlineLevel="1" x14ac:dyDescent="0.25">
      <c r="A65" s="191" t="s">
        <v>398</v>
      </c>
      <c r="B65" s="38" t="s">
        <v>66</v>
      </c>
      <c r="C65" s="185" t="s">
        <v>67</v>
      </c>
      <c r="D65" s="38"/>
      <c r="E65" s="161" t="s">
        <v>399</v>
      </c>
      <c r="F65" s="38" t="s">
        <v>69</v>
      </c>
      <c r="G65" s="38"/>
      <c r="H65" s="38"/>
      <c r="I65" s="38" t="s">
        <v>344</v>
      </c>
      <c r="J65" s="40"/>
      <c r="K65" s="40"/>
      <c r="L65" s="240" t="s">
        <v>70</v>
      </c>
      <c r="M65" s="241" t="s">
        <v>70</v>
      </c>
      <c r="N65" s="252" t="s">
        <v>71</v>
      </c>
      <c r="O65" s="257"/>
      <c r="P65" s="306">
        <v>8</v>
      </c>
      <c r="Q65" s="307">
        <v>0.6</v>
      </c>
      <c r="R65" s="307">
        <v>0.6</v>
      </c>
      <c r="S65" s="307">
        <v>1</v>
      </c>
      <c r="T65" s="307">
        <v>0.3</v>
      </c>
      <c r="U65" s="266">
        <f t="shared" si="0"/>
        <v>0.6</v>
      </c>
      <c r="V65" s="37"/>
      <c r="W65" s="37"/>
      <c r="X65" s="37"/>
      <c r="Y65" s="37"/>
      <c r="Z65" s="37"/>
      <c r="AA65" s="37"/>
      <c r="AB65" s="37"/>
      <c r="AC65" s="37"/>
      <c r="AD65" s="37"/>
    </row>
    <row r="66" spans="1:30" s="48" customFormat="1" ht="15" customHeight="1" outlineLevel="1" x14ac:dyDescent="0.25">
      <c r="A66" s="191" t="s">
        <v>400</v>
      </c>
      <c r="B66" s="38" t="s">
        <v>66</v>
      </c>
      <c r="C66" s="185" t="s">
        <v>67</v>
      </c>
      <c r="D66" s="38"/>
      <c r="E66" s="161" t="s">
        <v>401</v>
      </c>
      <c r="F66" s="38" t="s">
        <v>69</v>
      </c>
      <c r="G66" s="38"/>
      <c r="H66" s="38"/>
      <c r="I66" s="38" t="s">
        <v>344</v>
      </c>
      <c r="J66" s="40"/>
      <c r="K66" s="40"/>
      <c r="L66" s="240" t="s">
        <v>70</v>
      </c>
      <c r="M66" s="241" t="s">
        <v>70</v>
      </c>
      <c r="N66" s="252" t="s">
        <v>71</v>
      </c>
      <c r="O66" s="257"/>
      <c r="P66" s="306">
        <v>9</v>
      </c>
      <c r="Q66" s="307">
        <v>0.6</v>
      </c>
      <c r="R66" s="307">
        <v>0.6</v>
      </c>
      <c r="S66" s="307">
        <v>1</v>
      </c>
      <c r="T66" s="307">
        <v>0.3</v>
      </c>
      <c r="U66" s="266">
        <f t="shared" ref="U66" si="8">MAX(R66,T66)</f>
        <v>0.6</v>
      </c>
      <c r="V66" s="37"/>
      <c r="W66" s="37"/>
      <c r="X66" s="37"/>
      <c r="Y66" s="37"/>
      <c r="Z66" s="37"/>
      <c r="AA66" s="37"/>
      <c r="AB66" s="37"/>
      <c r="AC66" s="37"/>
      <c r="AD66" s="37"/>
    </row>
    <row r="67" spans="1:30" s="48" customFormat="1" ht="15" customHeight="1" outlineLevel="1" x14ac:dyDescent="0.25">
      <c r="A67" s="191" t="s">
        <v>402</v>
      </c>
      <c r="B67" s="38" t="s">
        <v>66</v>
      </c>
      <c r="C67" s="185" t="s">
        <v>67</v>
      </c>
      <c r="D67" s="38"/>
      <c r="E67" s="161" t="s">
        <v>403</v>
      </c>
      <c r="F67" s="38" t="s">
        <v>69</v>
      </c>
      <c r="G67" s="38"/>
      <c r="H67" s="38"/>
      <c r="I67" s="38" t="s">
        <v>344</v>
      </c>
      <c r="J67" s="40"/>
      <c r="K67" s="40"/>
      <c r="L67" s="240" t="s">
        <v>70</v>
      </c>
      <c r="M67" s="241" t="s">
        <v>70</v>
      </c>
      <c r="N67" s="252" t="s">
        <v>71</v>
      </c>
      <c r="O67" s="257"/>
      <c r="P67" s="306">
        <v>10</v>
      </c>
      <c r="Q67" s="307">
        <v>0.6</v>
      </c>
      <c r="R67" s="307">
        <v>0.6</v>
      </c>
      <c r="S67" s="307">
        <v>1</v>
      </c>
      <c r="T67" s="307">
        <v>0.3</v>
      </c>
      <c r="U67" s="266">
        <f t="shared" si="0"/>
        <v>0.6</v>
      </c>
      <c r="V67" s="37"/>
      <c r="W67" s="37"/>
      <c r="X67" s="37"/>
      <c r="Y67" s="37"/>
      <c r="Z67" s="37"/>
      <c r="AA67" s="37"/>
      <c r="AB67" s="37"/>
      <c r="AC67" s="37"/>
      <c r="AD67" s="37"/>
    </row>
    <row r="68" spans="1:30" s="48" customFormat="1" ht="15" customHeight="1" outlineLevel="1" x14ac:dyDescent="0.25">
      <c r="A68" s="191" t="s">
        <v>404</v>
      </c>
      <c r="B68" s="38" t="s">
        <v>66</v>
      </c>
      <c r="C68" s="185" t="s">
        <v>67</v>
      </c>
      <c r="D68" s="38"/>
      <c r="E68" s="161" t="s">
        <v>405</v>
      </c>
      <c r="F68" s="38" t="s">
        <v>69</v>
      </c>
      <c r="G68" s="38"/>
      <c r="H68" s="38"/>
      <c r="I68" s="38" t="s">
        <v>344</v>
      </c>
      <c r="J68" s="40"/>
      <c r="K68" s="40"/>
      <c r="L68" s="240" t="s">
        <v>70</v>
      </c>
      <c r="M68" s="241" t="s">
        <v>70</v>
      </c>
      <c r="N68" s="252" t="s">
        <v>71</v>
      </c>
      <c r="O68" s="257"/>
      <c r="P68" s="306">
        <v>11</v>
      </c>
      <c r="Q68" s="307">
        <v>0.6</v>
      </c>
      <c r="R68" s="307">
        <v>0.6</v>
      </c>
      <c r="S68" s="307">
        <v>1</v>
      </c>
      <c r="T68" s="307">
        <v>0.3</v>
      </c>
      <c r="U68" s="266">
        <f t="shared" ref="U68" si="9">MAX(R68,T68)</f>
        <v>0.6</v>
      </c>
      <c r="V68" s="37"/>
      <c r="W68" s="37"/>
      <c r="X68" s="37"/>
      <c r="Y68" s="37"/>
      <c r="Z68" s="37"/>
      <c r="AA68" s="37"/>
      <c r="AB68" s="37"/>
      <c r="AC68" s="37"/>
      <c r="AD68" s="37"/>
    </row>
    <row r="69" spans="1:30" s="48" customFormat="1" ht="15" customHeight="1" outlineLevel="1" x14ac:dyDescent="0.25">
      <c r="A69" s="191" t="s">
        <v>406</v>
      </c>
      <c r="B69" s="38" t="s">
        <v>66</v>
      </c>
      <c r="C69" s="185" t="s">
        <v>67</v>
      </c>
      <c r="D69" s="38"/>
      <c r="E69" s="161" t="s">
        <v>407</v>
      </c>
      <c r="F69" s="38" t="s">
        <v>69</v>
      </c>
      <c r="G69" s="38"/>
      <c r="H69" s="38"/>
      <c r="I69" s="38" t="s">
        <v>344</v>
      </c>
      <c r="J69" s="40"/>
      <c r="K69" s="40"/>
      <c r="L69" s="240" t="s">
        <v>70</v>
      </c>
      <c r="M69" s="241" t="s">
        <v>70</v>
      </c>
      <c r="N69" s="252" t="s">
        <v>71</v>
      </c>
      <c r="O69" s="257"/>
      <c r="P69" s="306">
        <v>12</v>
      </c>
      <c r="Q69" s="307">
        <v>0.6</v>
      </c>
      <c r="R69" s="307">
        <v>0.6</v>
      </c>
      <c r="S69" s="307">
        <v>1</v>
      </c>
      <c r="T69" s="307">
        <v>0.3</v>
      </c>
      <c r="U69" s="266">
        <f t="shared" si="0"/>
        <v>0.6</v>
      </c>
      <c r="V69" s="37"/>
      <c r="W69" s="37"/>
      <c r="X69" s="37"/>
      <c r="Y69" s="37"/>
      <c r="Z69" s="37"/>
      <c r="AA69" s="37"/>
      <c r="AB69" s="37"/>
      <c r="AC69" s="37"/>
      <c r="AD69" s="37"/>
    </row>
    <row r="70" spans="1:30" s="48" customFormat="1" ht="15" customHeight="1" outlineLevel="1" x14ac:dyDescent="0.25">
      <c r="A70" s="41"/>
      <c r="B70" s="38"/>
      <c r="C70" s="185"/>
      <c r="D70" s="38"/>
      <c r="E70" s="41"/>
      <c r="F70" s="38"/>
      <c r="G70" s="38"/>
      <c r="H70" s="38"/>
      <c r="I70" s="38"/>
      <c r="J70" s="40"/>
      <c r="K70" s="40"/>
      <c r="L70" s="240"/>
      <c r="M70" s="241"/>
      <c r="N70" s="252"/>
      <c r="O70" s="257"/>
      <c r="P70" s="306"/>
      <c r="Q70" s="307"/>
      <c r="R70" s="307"/>
      <c r="S70" s="307"/>
      <c r="T70" s="307"/>
      <c r="U70" s="266"/>
      <c r="V70" s="37"/>
      <c r="W70" s="37"/>
      <c r="X70" s="37"/>
      <c r="Y70" s="37"/>
      <c r="Z70" s="37"/>
      <c r="AA70" s="37"/>
      <c r="AB70" s="37"/>
      <c r="AC70" s="37"/>
      <c r="AD70" s="37"/>
    </row>
    <row r="71" spans="1:30" s="48" customFormat="1" ht="15" customHeight="1" outlineLevel="1" x14ac:dyDescent="0.25">
      <c r="A71" s="191" t="s">
        <v>408</v>
      </c>
      <c r="B71" s="38" t="s">
        <v>66</v>
      </c>
      <c r="C71" s="185" t="s">
        <v>67</v>
      </c>
      <c r="D71" s="38"/>
      <c r="E71" s="161" t="s">
        <v>409</v>
      </c>
      <c r="F71" s="38" t="s">
        <v>69</v>
      </c>
      <c r="G71" s="38"/>
      <c r="H71" s="38"/>
      <c r="I71" s="38" t="s">
        <v>344</v>
      </c>
      <c r="J71" s="40"/>
      <c r="K71" s="40"/>
      <c r="L71" s="240" t="s">
        <v>70</v>
      </c>
      <c r="M71" s="241" t="s">
        <v>70</v>
      </c>
      <c r="N71" s="252" t="s">
        <v>71</v>
      </c>
      <c r="O71" s="257"/>
      <c r="P71" s="306">
        <v>14</v>
      </c>
      <c r="Q71" s="307">
        <v>0.6</v>
      </c>
      <c r="R71" s="307">
        <v>0.6</v>
      </c>
      <c r="S71" s="307">
        <v>1</v>
      </c>
      <c r="T71" s="307">
        <v>0.3</v>
      </c>
      <c r="U71" s="266">
        <f t="shared" ref="U71" si="10">MAX(R71,T71)</f>
        <v>0.6</v>
      </c>
      <c r="V71" s="37"/>
      <c r="W71" s="37"/>
      <c r="X71" s="37"/>
      <c r="Y71" s="37"/>
      <c r="Z71" s="37"/>
      <c r="AA71" s="37"/>
      <c r="AB71" s="37"/>
      <c r="AC71" s="37"/>
      <c r="AD71" s="37"/>
    </row>
    <row r="72" spans="1:30" s="48" customFormat="1" ht="15" customHeight="1" outlineLevel="1" x14ac:dyDescent="0.25">
      <c r="A72" s="41"/>
      <c r="B72" s="38"/>
      <c r="C72" s="185"/>
      <c r="D72" s="38"/>
      <c r="E72" s="41"/>
      <c r="F72" s="38"/>
      <c r="G72" s="38"/>
      <c r="H72" s="38"/>
      <c r="I72" s="38"/>
      <c r="J72" s="40"/>
      <c r="K72" s="40"/>
      <c r="L72" s="240"/>
      <c r="M72" s="241"/>
      <c r="N72" s="252"/>
      <c r="O72" s="257"/>
      <c r="P72" s="306"/>
      <c r="Q72" s="307"/>
      <c r="R72" s="307"/>
      <c r="S72" s="307"/>
      <c r="T72" s="307"/>
      <c r="U72" s="266"/>
      <c r="V72" s="37"/>
      <c r="W72" s="37"/>
      <c r="X72" s="37"/>
      <c r="Y72" s="37"/>
      <c r="Z72" s="37"/>
      <c r="AA72" s="37"/>
      <c r="AB72" s="37"/>
      <c r="AC72" s="37"/>
      <c r="AD72" s="37"/>
    </row>
    <row r="73" spans="1:30" s="48" customFormat="1" ht="15" customHeight="1" outlineLevel="1" x14ac:dyDescent="0.25">
      <c r="A73" s="191" t="s">
        <v>410</v>
      </c>
      <c r="B73" s="38" t="s">
        <v>66</v>
      </c>
      <c r="C73" s="185" t="s">
        <v>67</v>
      </c>
      <c r="D73" s="38"/>
      <c r="E73" s="161" t="s">
        <v>411</v>
      </c>
      <c r="F73" s="38" t="s">
        <v>69</v>
      </c>
      <c r="G73" s="38"/>
      <c r="H73" s="38"/>
      <c r="I73" s="38" t="s">
        <v>344</v>
      </c>
      <c r="J73" s="40"/>
      <c r="K73" s="40"/>
      <c r="L73" s="240" t="s">
        <v>70</v>
      </c>
      <c r="M73" s="241" t="s">
        <v>70</v>
      </c>
      <c r="N73" s="252" t="s">
        <v>71</v>
      </c>
      <c r="O73" s="257"/>
      <c r="P73" s="306">
        <v>16</v>
      </c>
      <c r="Q73" s="307">
        <v>0.6</v>
      </c>
      <c r="R73" s="307">
        <v>0.6</v>
      </c>
      <c r="S73" s="307">
        <v>1</v>
      </c>
      <c r="T73" s="307">
        <v>0.3</v>
      </c>
      <c r="U73" s="266">
        <f t="shared" si="0"/>
        <v>0.6</v>
      </c>
      <c r="V73" s="37"/>
      <c r="W73" s="37"/>
      <c r="X73" s="37"/>
      <c r="Y73" s="37"/>
      <c r="Z73" s="37"/>
      <c r="AA73" s="37"/>
      <c r="AB73" s="37"/>
      <c r="AC73" s="37"/>
      <c r="AD73" s="37"/>
    </row>
    <row r="74" spans="1:30" s="48" customFormat="1" ht="15" customHeight="1" outlineLevel="1" x14ac:dyDescent="0.25">
      <c r="A74" s="191" t="s">
        <v>412</v>
      </c>
      <c r="B74" s="38" t="s">
        <v>66</v>
      </c>
      <c r="C74" s="185" t="s">
        <v>67</v>
      </c>
      <c r="D74" s="38"/>
      <c r="E74" s="161" t="s">
        <v>413</v>
      </c>
      <c r="F74" s="38" t="s">
        <v>69</v>
      </c>
      <c r="G74" s="38"/>
      <c r="H74" s="38"/>
      <c r="I74" s="38" t="s">
        <v>344</v>
      </c>
      <c r="J74" s="40"/>
      <c r="K74" s="40"/>
      <c r="L74" s="240" t="s">
        <v>70</v>
      </c>
      <c r="M74" s="241" t="s">
        <v>70</v>
      </c>
      <c r="N74" s="252" t="s">
        <v>71</v>
      </c>
      <c r="O74" s="257"/>
      <c r="P74" s="306">
        <v>17</v>
      </c>
      <c r="Q74" s="307">
        <v>0.6</v>
      </c>
      <c r="R74" s="307">
        <v>0.6</v>
      </c>
      <c r="S74" s="307">
        <v>1</v>
      </c>
      <c r="T74" s="307">
        <v>0.3</v>
      </c>
      <c r="U74" s="266">
        <f t="shared" ref="U74" si="11">MAX(R74,T74)</f>
        <v>0.6</v>
      </c>
      <c r="V74" s="37"/>
      <c r="W74" s="37"/>
      <c r="X74" s="37"/>
      <c r="Y74" s="37"/>
      <c r="Z74" s="37"/>
      <c r="AA74" s="37"/>
      <c r="AB74" s="37"/>
      <c r="AC74" s="37"/>
      <c r="AD74" s="37"/>
    </row>
    <row r="75" spans="1:30" s="48" customFormat="1" ht="15" customHeight="1" outlineLevel="1" x14ac:dyDescent="0.25">
      <c r="A75" s="41"/>
      <c r="B75" s="38"/>
      <c r="C75" s="185"/>
      <c r="D75" s="38"/>
      <c r="E75" s="161" t="s">
        <v>102</v>
      </c>
      <c r="F75" s="38"/>
      <c r="G75" s="38"/>
      <c r="H75" s="38"/>
      <c r="I75" s="38"/>
      <c r="J75" s="40"/>
      <c r="K75" s="40"/>
      <c r="L75" s="240"/>
      <c r="M75" s="241"/>
      <c r="N75" s="252"/>
      <c r="O75" s="257"/>
      <c r="P75" s="306"/>
      <c r="Q75" s="307"/>
      <c r="R75" s="307"/>
      <c r="S75" s="307"/>
      <c r="T75" s="307"/>
      <c r="U75" s="266"/>
      <c r="V75" s="37"/>
      <c r="W75" s="37"/>
      <c r="X75" s="37"/>
      <c r="Y75" s="37"/>
      <c r="Z75" s="37"/>
      <c r="AA75" s="37"/>
      <c r="AB75" s="37"/>
      <c r="AC75" s="37"/>
      <c r="AD75" s="37"/>
    </row>
    <row r="76" spans="1:30" s="48" customFormat="1" ht="15" customHeight="1" outlineLevel="1" x14ac:dyDescent="0.25">
      <c r="A76" s="41"/>
      <c r="B76" s="38"/>
      <c r="C76" s="185"/>
      <c r="D76" s="38"/>
      <c r="E76" s="41"/>
      <c r="F76" s="38"/>
      <c r="G76" s="38"/>
      <c r="H76" s="38"/>
      <c r="I76" s="38"/>
      <c r="J76" s="40"/>
      <c r="K76" s="40"/>
      <c r="L76" s="240"/>
      <c r="M76" s="241"/>
      <c r="N76" s="268"/>
      <c r="O76" s="257"/>
      <c r="P76" s="306"/>
      <c r="Q76" s="307"/>
      <c r="R76" s="307"/>
      <c r="S76" s="307"/>
      <c r="T76" s="307"/>
      <c r="U76" s="266"/>
      <c r="V76" s="37"/>
      <c r="W76" s="37"/>
      <c r="X76" s="37"/>
      <c r="Y76" s="37"/>
      <c r="Z76" s="37"/>
      <c r="AA76" s="37"/>
      <c r="AB76" s="37"/>
      <c r="AC76" s="37"/>
      <c r="AD76" s="37"/>
    </row>
    <row r="77" spans="1:30" s="48" customFormat="1" ht="15" customHeight="1" thickBot="1" x14ac:dyDescent="0.3">
      <c r="A77" s="41"/>
      <c r="B77" s="38"/>
      <c r="C77" s="185"/>
      <c r="D77" s="38"/>
      <c r="E77" s="43" t="str">
        <f>"SUB-TOTAL "&amp;UPPER(A36)&amp;" DRAWINGS"</f>
        <v>SUB-TOTAL BUILDING NAME OR AREA NAME 1 DRAWINGS</v>
      </c>
      <c r="F77" s="38"/>
      <c r="G77" s="38"/>
      <c r="H77" s="38"/>
      <c r="I77" s="115">
        <f>COUNTA(F37:F76)</f>
        <v>31</v>
      </c>
      <c r="J77" s="36"/>
      <c r="K77" s="36"/>
      <c r="L77" s="240"/>
      <c r="M77" s="240"/>
      <c r="N77" s="268"/>
      <c r="O77" s="257"/>
      <c r="P77" s="306"/>
      <c r="Q77" s="307"/>
      <c r="R77" s="307"/>
      <c r="S77" s="307"/>
      <c r="T77" s="307"/>
      <c r="U77" s="266"/>
      <c r="V77" s="37"/>
      <c r="W77" s="37"/>
      <c r="X77" s="37"/>
      <c r="Y77" s="37"/>
      <c r="Z77" s="37"/>
      <c r="AA77" s="37"/>
      <c r="AB77" s="37"/>
      <c r="AC77" s="37"/>
      <c r="AD77" s="37"/>
    </row>
    <row r="78" spans="1:30" s="62" customFormat="1" ht="15.75" thickTop="1" x14ac:dyDescent="0.25">
      <c r="A78" s="33"/>
      <c r="B78" s="38"/>
      <c r="C78" s="185"/>
      <c r="D78" s="36"/>
      <c r="E78" s="63"/>
      <c r="F78" s="36"/>
      <c r="G78" s="36"/>
      <c r="H78" s="36"/>
      <c r="I78" s="36"/>
      <c r="J78" s="36"/>
      <c r="K78" s="36"/>
      <c r="L78" s="240"/>
      <c r="M78" s="240"/>
      <c r="N78" s="268"/>
      <c r="O78" s="257"/>
      <c r="P78" s="306"/>
      <c r="Q78" s="307"/>
      <c r="R78" s="307"/>
      <c r="S78" s="307"/>
      <c r="T78" s="307"/>
      <c r="U78" s="266"/>
      <c r="V78" s="53"/>
      <c r="W78" s="53"/>
      <c r="X78" s="53"/>
      <c r="Y78" s="53"/>
      <c r="Z78" s="53"/>
      <c r="AA78" s="53"/>
      <c r="AB78" s="53"/>
      <c r="AC78" s="53"/>
      <c r="AD78" s="53"/>
    </row>
    <row r="79" spans="1:30" s="48" customFormat="1" ht="18" customHeight="1" x14ac:dyDescent="0.25">
      <c r="A79" s="32" t="str">
        <f>'1. CIVIL'!A61</f>
        <v>Building Name or Area Name 2</v>
      </c>
      <c r="B79" s="32"/>
      <c r="C79" s="32"/>
      <c r="D79" s="11"/>
      <c r="E79" s="11"/>
      <c r="F79" s="11"/>
      <c r="G79" s="11"/>
      <c r="H79" s="11"/>
      <c r="I79" s="11"/>
      <c r="J79" s="11"/>
      <c r="K79" s="11"/>
      <c r="L79" s="240"/>
      <c r="M79" s="240"/>
      <c r="N79" s="268"/>
      <c r="O79" s="257"/>
      <c r="P79" s="306"/>
      <c r="Q79" s="307"/>
      <c r="R79" s="307"/>
      <c r="S79" s="307"/>
      <c r="T79" s="307"/>
      <c r="U79" s="266"/>
      <c r="V79" s="37"/>
      <c r="W79" s="37"/>
      <c r="X79" s="37"/>
      <c r="Y79" s="37"/>
      <c r="Z79" s="37"/>
      <c r="AA79" s="37"/>
      <c r="AB79" s="37"/>
      <c r="AC79" s="37"/>
      <c r="AD79" s="37"/>
    </row>
    <row r="80" spans="1:30" s="48" customFormat="1" ht="15" customHeight="1" x14ac:dyDescent="0.25">
      <c r="A80" s="37" t="str">
        <f>"18043-"&amp;LEFT(W80,11)</f>
        <v>18043-LM190 08210</v>
      </c>
      <c r="B80" s="38" t="s">
        <v>66</v>
      </c>
      <c r="C80" s="185" t="s">
        <v>67</v>
      </c>
      <c r="D80" s="38"/>
      <c r="E80" s="161" t="str">
        <f>MID(W80,FIND(" ",W80,15)+1,100)</f>
        <v>Fire Protection Plan And Sections</v>
      </c>
      <c r="F80" s="38" t="s">
        <v>69</v>
      </c>
      <c r="G80" s="38"/>
      <c r="H80" s="38"/>
      <c r="I80" s="38" t="s">
        <v>344</v>
      </c>
      <c r="J80" s="40"/>
      <c r="K80" s="40"/>
      <c r="L80" s="240" t="s">
        <v>70</v>
      </c>
      <c r="M80" s="240" t="s">
        <v>70</v>
      </c>
      <c r="N80" s="268" t="s">
        <v>71</v>
      </c>
      <c r="O80" s="257"/>
      <c r="P80" s="306">
        <v>23</v>
      </c>
      <c r="Q80" s="307">
        <v>0.6</v>
      </c>
      <c r="R80" s="307">
        <v>0.6</v>
      </c>
      <c r="S80" s="307">
        <v>1</v>
      </c>
      <c r="T80" s="307">
        <v>0.3</v>
      </c>
      <c r="U80" s="266">
        <f t="shared" ref="U80:U113" si="12">MAX(R80,T80)</f>
        <v>0.6</v>
      </c>
      <c r="V80" s="37"/>
      <c r="W80" s="37" t="s">
        <v>414</v>
      </c>
      <c r="X80" s="37"/>
      <c r="Y80" s="37"/>
      <c r="Z80" s="37"/>
      <c r="AA80" s="37"/>
      <c r="AB80" s="37"/>
      <c r="AC80" s="37"/>
      <c r="AD80" s="37"/>
    </row>
    <row r="81" spans="1:30" s="48" customFormat="1" ht="15" customHeight="1" outlineLevel="1" x14ac:dyDescent="0.25">
      <c r="A81" s="37" t="str">
        <f>"18043-"&amp;LEFT(W81,11)</f>
        <v>18043-LM190 08305</v>
      </c>
      <c r="B81" s="38" t="s">
        <v>66</v>
      </c>
      <c r="C81" s="185" t="s">
        <v>67</v>
      </c>
      <c r="D81" s="38"/>
      <c r="E81" s="161" t="str">
        <f>MID(W81,FIND(" ",W81,15)+1,100)</f>
        <v>Ground &amp; Second Floor - HVAC Plan and Details</v>
      </c>
      <c r="F81" s="38" t="s">
        <v>69</v>
      </c>
      <c r="G81" s="38"/>
      <c r="H81" s="38"/>
      <c r="I81" s="38" t="s">
        <v>344</v>
      </c>
      <c r="J81" s="40"/>
      <c r="K81" s="40"/>
      <c r="L81" s="240" t="s">
        <v>70</v>
      </c>
      <c r="M81" s="240" t="s">
        <v>70</v>
      </c>
      <c r="N81" s="268" t="s">
        <v>71</v>
      </c>
      <c r="O81" s="257"/>
      <c r="P81" s="306">
        <v>24</v>
      </c>
      <c r="Q81" s="307">
        <v>0.6</v>
      </c>
      <c r="R81" s="307">
        <v>0.6</v>
      </c>
      <c r="S81" s="307">
        <v>1</v>
      </c>
      <c r="T81" s="307">
        <v>0.3</v>
      </c>
      <c r="U81" s="266">
        <f t="shared" si="12"/>
        <v>0.6</v>
      </c>
      <c r="V81" s="37"/>
      <c r="W81" s="37" t="s">
        <v>415</v>
      </c>
      <c r="X81" s="37"/>
      <c r="Y81" s="37"/>
      <c r="Z81" s="37"/>
      <c r="AA81" s="37"/>
      <c r="AB81" s="37"/>
      <c r="AC81" s="37"/>
      <c r="AD81" s="37"/>
    </row>
    <row r="82" spans="1:30" s="48" customFormat="1" ht="15" customHeight="1" outlineLevel="1" x14ac:dyDescent="0.25">
      <c r="A82" s="43"/>
      <c r="B82" s="38"/>
      <c r="C82" s="185"/>
      <c r="D82" s="38"/>
      <c r="E82" s="42"/>
      <c r="F82" s="38"/>
      <c r="G82" s="38"/>
      <c r="H82" s="38"/>
      <c r="I82" s="38"/>
      <c r="J82" s="40"/>
      <c r="K82" s="40"/>
      <c r="L82" s="240"/>
      <c r="M82" s="240"/>
      <c r="N82" s="268"/>
      <c r="O82" s="257"/>
      <c r="P82" s="306"/>
      <c r="Q82" s="307"/>
      <c r="R82" s="307"/>
      <c r="S82" s="307"/>
      <c r="T82" s="307"/>
      <c r="U82" s="266"/>
      <c r="V82" s="37"/>
      <c r="W82" s="37"/>
      <c r="X82" s="37"/>
      <c r="Y82" s="37"/>
      <c r="Z82" s="37"/>
      <c r="AA82" s="37"/>
      <c r="AB82" s="37"/>
      <c r="AC82" s="37"/>
      <c r="AD82" s="37"/>
    </row>
    <row r="83" spans="1:30" s="48" customFormat="1" ht="15" customHeight="1" outlineLevel="1" x14ac:dyDescent="0.25">
      <c r="A83" s="200" t="s">
        <v>416</v>
      </c>
      <c r="B83" s="38" t="s">
        <v>66</v>
      </c>
      <c r="C83" s="185" t="s">
        <v>67</v>
      </c>
      <c r="D83" s="38"/>
      <c r="E83" s="161" t="s">
        <v>381</v>
      </c>
      <c r="F83" s="38" t="s">
        <v>69</v>
      </c>
      <c r="G83" s="38"/>
      <c r="H83" s="38"/>
      <c r="I83" s="38" t="s">
        <v>344</v>
      </c>
      <c r="J83" s="40"/>
      <c r="K83" s="40"/>
      <c r="L83" s="240" t="s">
        <v>70</v>
      </c>
      <c r="M83" s="240" t="s">
        <v>70</v>
      </c>
      <c r="N83" s="268" t="s">
        <v>71</v>
      </c>
      <c r="O83" s="257"/>
      <c r="P83" s="306">
        <v>26</v>
      </c>
      <c r="Q83" s="307">
        <v>0.6</v>
      </c>
      <c r="R83" s="307">
        <v>0.6</v>
      </c>
      <c r="S83" s="307">
        <v>1</v>
      </c>
      <c r="T83" s="307">
        <v>0.3</v>
      </c>
      <c r="U83" s="266">
        <f t="shared" si="12"/>
        <v>0.6</v>
      </c>
      <c r="V83" s="37"/>
      <c r="W83" s="37" t="s">
        <v>417</v>
      </c>
      <c r="X83" s="37"/>
      <c r="Y83" s="37"/>
      <c r="Z83" s="37"/>
      <c r="AA83" s="37"/>
      <c r="AB83" s="37"/>
      <c r="AC83" s="37"/>
      <c r="AD83" s="37"/>
    </row>
    <row r="84" spans="1:30" s="48" customFormat="1" ht="15" customHeight="1" outlineLevel="1" x14ac:dyDescent="0.25">
      <c r="A84" s="200" t="s">
        <v>418</v>
      </c>
      <c r="B84" s="38" t="s">
        <v>66</v>
      </c>
      <c r="C84" s="185" t="s">
        <v>67</v>
      </c>
      <c r="D84" s="38"/>
      <c r="E84" s="161" t="s">
        <v>385</v>
      </c>
      <c r="F84" s="38" t="s">
        <v>69</v>
      </c>
      <c r="G84" s="38"/>
      <c r="H84" s="38"/>
      <c r="I84" s="38" t="s">
        <v>344</v>
      </c>
      <c r="J84" s="40"/>
      <c r="K84" s="40"/>
      <c r="L84" s="240" t="s">
        <v>70</v>
      </c>
      <c r="M84" s="240" t="s">
        <v>70</v>
      </c>
      <c r="N84" s="268" t="s">
        <v>71</v>
      </c>
      <c r="O84" s="257"/>
      <c r="P84" s="306">
        <v>27</v>
      </c>
      <c r="Q84" s="307">
        <v>0.6</v>
      </c>
      <c r="R84" s="307">
        <v>0.6</v>
      </c>
      <c r="S84" s="307">
        <v>1</v>
      </c>
      <c r="T84" s="307">
        <v>0.3</v>
      </c>
      <c r="U84" s="266">
        <f t="shared" si="12"/>
        <v>0.6</v>
      </c>
      <c r="V84" s="37"/>
      <c r="W84" s="37" t="s">
        <v>419</v>
      </c>
      <c r="X84" s="37"/>
      <c r="Y84" s="37"/>
      <c r="Z84" s="37"/>
      <c r="AA84" s="37"/>
      <c r="AB84" s="37"/>
      <c r="AC84" s="37"/>
      <c r="AD84" s="37"/>
    </row>
    <row r="85" spans="1:30" s="48" customFormat="1" ht="15" customHeight="1" outlineLevel="1" x14ac:dyDescent="0.25">
      <c r="A85" s="200" t="s">
        <v>420</v>
      </c>
      <c r="B85" s="38" t="s">
        <v>66</v>
      </c>
      <c r="C85" s="185" t="s">
        <v>67</v>
      </c>
      <c r="D85" s="38"/>
      <c r="E85" s="161" t="s">
        <v>421</v>
      </c>
      <c r="F85" s="38" t="s">
        <v>69</v>
      </c>
      <c r="G85" s="38"/>
      <c r="H85" s="38"/>
      <c r="I85" s="38" t="s">
        <v>344</v>
      </c>
      <c r="J85" s="40"/>
      <c r="K85" s="40"/>
      <c r="L85" s="240" t="s">
        <v>70</v>
      </c>
      <c r="M85" s="240" t="s">
        <v>70</v>
      </c>
      <c r="N85" s="268" t="s">
        <v>71</v>
      </c>
      <c r="O85" s="257"/>
      <c r="P85" s="306">
        <v>28</v>
      </c>
      <c r="Q85" s="307">
        <v>0.6</v>
      </c>
      <c r="R85" s="307">
        <v>0.6</v>
      </c>
      <c r="S85" s="307">
        <v>1</v>
      </c>
      <c r="T85" s="307">
        <v>0.3</v>
      </c>
      <c r="U85" s="266">
        <f t="shared" ref="U85" si="13">MAX(R85,T85)</f>
        <v>0.6</v>
      </c>
      <c r="V85" s="37"/>
      <c r="W85" s="37" t="s">
        <v>422</v>
      </c>
      <c r="X85" s="37"/>
      <c r="Y85" s="37"/>
      <c r="Z85" s="37"/>
      <c r="AA85" s="37"/>
      <c r="AB85" s="37"/>
      <c r="AC85" s="37"/>
      <c r="AD85" s="37"/>
    </row>
    <row r="86" spans="1:30" s="48" customFormat="1" ht="15" customHeight="1" outlineLevel="1" x14ac:dyDescent="0.25">
      <c r="A86" s="200" t="s">
        <v>423</v>
      </c>
      <c r="B86" s="38" t="s">
        <v>66</v>
      </c>
      <c r="C86" s="185" t="s">
        <v>67</v>
      </c>
      <c r="D86" s="38"/>
      <c r="E86" s="161" t="s">
        <v>424</v>
      </c>
      <c r="F86" s="38" t="s">
        <v>69</v>
      </c>
      <c r="G86" s="38"/>
      <c r="H86" s="38"/>
      <c r="I86" s="38" t="s">
        <v>344</v>
      </c>
      <c r="J86" s="40"/>
      <c r="K86" s="40"/>
      <c r="L86" s="240" t="s">
        <v>70</v>
      </c>
      <c r="M86" s="240" t="s">
        <v>70</v>
      </c>
      <c r="N86" s="268" t="s">
        <v>71</v>
      </c>
      <c r="O86" s="257"/>
      <c r="P86" s="306">
        <v>29</v>
      </c>
      <c r="Q86" s="307">
        <v>0.6</v>
      </c>
      <c r="R86" s="307">
        <v>0.6</v>
      </c>
      <c r="S86" s="307">
        <v>1</v>
      </c>
      <c r="T86" s="307">
        <v>0.3</v>
      </c>
      <c r="U86" s="266">
        <f t="shared" si="12"/>
        <v>0.6</v>
      </c>
      <c r="V86" s="37"/>
      <c r="W86" s="37" t="s">
        <v>425</v>
      </c>
      <c r="X86" s="37"/>
      <c r="Y86" s="37"/>
      <c r="Z86" s="37"/>
      <c r="AA86" s="37"/>
      <c r="AB86" s="37"/>
      <c r="AC86" s="37"/>
      <c r="AD86" s="37"/>
    </row>
    <row r="87" spans="1:30" s="48" customFormat="1" ht="15" customHeight="1" outlineLevel="1" x14ac:dyDescent="0.25">
      <c r="A87" s="200" t="s">
        <v>426</v>
      </c>
      <c r="B87" s="38" t="s">
        <v>66</v>
      </c>
      <c r="C87" s="185" t="s">
        <v>67</v>
      </c>
      <c r="D87" s="38"/>
      <c r="E87" s="161" t="s">
        <v>389</v>
      </c>
      <c r="F87" s="38" t="s">
        <v>69</v>
      </c>
      <c r="G87" s="38"/>
      <c r="H87" s="38"/>
      <c r="I87" s="38" t="s">
        <v>344</v>
      </c>
      <c r="J87" s="40"/>
      <c r="K87" s="40"/>
      <c r="L87" s="240" t="s">
        <v>70</v>
      </c>
      <c r="M87" s="240" t="s">
        <v>70</v>
      </c>
      <c r="N87" s="268" t="s">
        <v>71</v>
      </c>
      <c r="O87" s="257"/>
      <c r="P87" s="306">
        <v>30</v>
      </c>
      <c r="Q87" s="307">
        <v>0.6</v>
      </c>
      <c r="R87" s="307">
        <v>0.6</v>
      </c>
      <c r="S87" s="307">
        <v>1</v>
      </c>
      <c r="T87" s="307">
        <v>0.3</v>
      </c>
      <c r="U87" s="266">
        <f t="shared" si="12"/>
        <v>0.6</v>
      </c>
      <c r="V87" s="37"/>
      <c r="W87" s="37" t="s">
        <v>427</v>
      </c>
      <c r="X87" s="37"/>
      <c r="Y87" s="37"/>
      <c r="Z87" s="37"/>
      <c r="AA87" s="37"/>
      <c r="AB87" s="37"/>
      <c r="AC87" s="37"/>
      <c r="AD87" s="37"/>
    </row>
    <row r="88" spans="1:30" s="48" customFormat="1" ht="15" customHeight="1" outlineLevel="1" x14ac:dyDescent="0.25">
      <c r="A88" s="200" t="s">
        <v>428</v>
      </c>
      <c r="B88" s="38" t="s">
        <v>66</v>
      </c>
      <c r="C88" s="185" t="s">
        <v>67</v>
      </c>
      <c r="D88" s="38"/>
      <c r="E88" s="161" t="s">
        <v>391</v>
      </c>
      <c r="F88" s="38" t="s">
        <v>69</v>
      </c>
      <c r="G88" s="38"/>
      <c r="H88" s="38"/>
      <c r="I88" s="38" t="s">
        <v>344</v>
      </c>
      <c r="J88" s="40"/>
      <c r="K88" s="40"/>
      <c r="L88" s="240" t="s">
        <v>70</v>
      </c>
      <c r="M88" s="240" t="s">
        <v>70</v>
      </c>
      <c r="N88" s="268" t="s">
        <v>71</v>
      </c>
      <c r="O88" s="257"/>
      <c r="P88" s="306">
        <v>31</v>
      </c>
      <c r="Q88" s="307">
        <v>0.6</v>
      </c>
      <c r="R88" s="307">
        <v>0.6</v>
      </c>
      <c r="S88" s="307">
        <v>1</v>
      </c>
      <c r="T88" s="307">
        <v>0.3</v>
      </c>
      <c r="U88" s="266">
        <f t="shared" ref="U88" si="14">MAX(R88,T88)</f>
        <v>0.6</v>
      </c>
      <c r="V88" s="37"/>
      <c r="W88" s="37" t="s">
        <v>429</v>
      </c>
      <c r="X88" s="37"/>
      <c r="Y88" s="37"/>
      <c r="Z88" s="37"/>
      <c r="AA88" s="37"/>
      <c r="AB88" s="37"/>
      <c r="AC88" s="37"/>
      <c r="AD88" s="37"/>
    </row>
    <row r="89" spans="1:30" s="48" customFormat="1" ht="15" customHeight="1" outlineLevel="1" x14ac:dyDescent="0.25">
      <c r="A89" s="200" t="s">
        <v>430</v>
      </c>
      <c r="B89" s="38" t="s">
        <v>66</v>
      </c>
      <c r="C89" s="185" t="s">
        <v>67</v>
      </c>
      <c r="D89" s="38"/>
      <c r="E89" s="161" t="s">
        <v>431</v>
      </c>
      <c r="F89" s="38" t="s">
        <v>69</v>
      </c>
      <c r="G89" s="38"/>
      <c r="H89" s="38"/>
      <c r="I89" s="38" t="s">
        <v>344</v>
      </c>
      <c r="J89" s="40"/>
      <c r="K89" s="40"/>
      <c r="L89" s="240" t="s">
        <v>70</v>
      </c>
      <c r="M89" s="240" t="s">
        <v>70</v>
      </c>
      <c r="N89" s="268" t="s">
        <v>71</v>
      </c>
      <c r="O89" s="257"/>
      <c r="P89" s="306">
        <v>32</v>
      </c>
      <c r="Q89" s="307">
        <v>0.6</v>
      </c>
      <c r="R89" s="307">
        <v>0.6</v>
      </c>
      <c r="S89" s="307">
        <v>1</v>
      </c>
      <c r="T89" s="307">
        <v>0.3</v>
      </c>
      <c r="U89" s="266">
        <f t="shared" si="12"/>
        <v>0.6</v>
      </c>
      <c r="V89" s="37"/>
      <c r="W89" s="37" t="s">
        <v>432</v>
      </c>
      <c r="X89" s="37"/>
      <c r="Y89" s="37"/>
      <c r="Z89" s="37"/>
      <c r="AA89" s="37"/>
      <c r="AB89" s="37"/>
      <c r="AC89" s="37"/>
      <c r="AD89" s="37"/>
    </row>
    <row r="90" spans="1:30" s="48" customFormat="1" ht="15" customHeight="1" outlineLevel="1" x14ac:dyDescent="0.25">
      <c r="A90" s="200" t="s">
        <v>433</v>
      </c>
      <c r="B90" s="38" t="s">
        <v>66</v>
      </c>
      <c r="C90" s="185" t="s">
        <v>67</v>
      </c>
      <c r="D90" s="38"/>
      <c r="E90" s="161" t="s">
        <v>434</v>
      </c>
      <c r="F90" s="38" t="s">
        <v>69</v>
      </c>
      <c r="G90" s="38"/>
      <c r="H90" s="38"/>
      <c r="I90" s="38" t="s">
        <v>344</v>
      </c>
      <c r="J90" s="40"/>
      <c r="K90" s="40"/>
      <c r="L90" s="240" t="s">
        <v>70</v>
      </c>
      <c r="M90" s="240" t="s">
        <v>70</v>
      </c>
      <c r="N90" s="268" t="s">
        <v>71</v>
      </c>
      <c r="O90" s="257"/>
      <c r="P90" s="306">
        <v>33</v>
      </c>
      <c r="Q90" s="307">
        <v>0.6</v>
      </c>
      <c r="R90" s="307">
        <v>0.6</v>
      </c>
      <c r="S90" s="307">
        <v>1</v>
      </c>
      <c r="T90" s="307">
        <v>0.3</v>
      </c>
      <c r="U90" s="266">
        <f t="shared" si="12"/>
        <v>0.6</v>
      </c>
      <c r="V90" s="37"/>
      <c r="W90" s="37" t="s">
        <v>435</v>
      </c>
      <c r="X90" s="37"/>
      <c r="Y90" s="37"/>
      <c r="Z90" s="37"/>
      <c r="AA90" s="37"/>
      <c r="AB90" s="37"/>
      <c r="AC90" s="37"/>
      <c r="AD90" s="37"/>
    </row>
    <row r="91" spans="1:30" s="48" customFormat="1" ht="15" customHeight="1" outlineLevel="1" x14ac:dyDescent="0.25">
      <c r="A91" s="200" t="s">
        <v>436</v>
      </c>
      <c r="B91" s="38" t="s">
        <v>66</v>
      </c>
      <c r="C91" s="185" t="s">
        <v>67</v>
      </c>
      <c r="D91" s="38"/>
      <c r="E91" s="161" t="s">
        <v>437</v>
      </c>
      <c r="F91" s="38" t="s">
        <v>69</v>
      </c>
      <c r="G91" s="38"/>
      <c r="H91" s="38"/>
      <c r="I91" s="38" t="s">
        <v>344</v>
      </c>
      <c r="J91" s="40"/>
      <c r="K91" s="40"/>
      <c r="L91" s="240" t="s">
        <v>70</v>
      </c>
      <c r="M91" s="240" t="s">
        <v>70</v>
      </c>
      <c r="N91" s="268" t="s">
        <v>71</v>
      </c>
      <c r="O91" s="257"/>
      <c r="P91" s="306">
        <v>34</v>
      </c>
      <c r="Q91" s="307">
        <v>0.6</v>
      </c>
      <c r="R91" s="307">
        <v>0.6</v>
      </c>
      <c r="S91" s="307">
        <v>1</v>
      </c>
      <c r="T91" s="307">
        <v>0.3</v>
      </c>
      <c r="U91" s="266">
        <f t="shared" ref="U91" si="15">MAX(R91,T91)</f>
        <v>0.6</v>
      </c>
      <c r="V91" s="37"/>
      <c r="W91" s="37" t="s">
        <v>438</v>
      </c>
      <c r="X91" s="37"/>
      <c r="Y91" s="37"/>
      <c r="Z91" s="37"/>
      <c r="AA91" s="37"/>
      <c r="AB91" s="37"/>
      <c r="AC91" s="37"/>
      <c r="AD91" s="37"/>
    </row>
    <row r="92" spans="1:30" s="48" customFormat="1" ht="15" customHeight="1" outlineLevel="1" x14ac:dyDescent="0.25">
      <c r="A92" s="200" t="s">
        <v>439</v>
      </c>
      <c r="B92" s="38" t="s">
        <v>66</v>
      </c>
      <c r="C92" s="185" t="s">
        <v>67</v>
      </c>
      <c r="D92" s="38"/>
      <c r="E92" s="161" t="s">
        <v>393</v>
      </c>
      <c r="F92" s="38" t="s">
        <v>69</v>
      </c>
      <c r="G92" s="38"/>
      <c r="H92" s="38"/>
      <c r="I92" s="38" t="s">
        <v>344</v>
      </c>
      <c r="J92" s="40"/>
      <c r="K92" s="40"/>
      <c r="L92" s="240" t="s">
        <v>70</v>
      </c>
      <c r="M92" s="240" t="s">
        <v>70</v>
      </c>
      <c r="N92" s="268" t="s">
        <v>71</v>
      </c>
      <c r="O92" s="257"/>
      <c r="P92" s="306">
        <v>35</v>
      </c>
      <c r="Q92" s="307">
        <v>0.6</v>
      </c>
      <c r="R92" s="307">
        <v>0.6</v>
      </c>
      <c r="S92" s="307">
        <v>1</v>
      </c>
      <c r="T92" s="307">
        <v>0.3</v>
      </c>
      <c r="U92" s="266">
        <f t="shared" si="12"/>
        <v>0.6</v>
      </c>
      <c r="V92" s="37"/>
      <c r="W92" s="37" t="s">
        <v>438</v>
      </c>
      <c r="X92" s="37"/>
      <c r="Y92" s="37"/>
      <c r="Z92" s="37"/>
      <c r="AA92" s="37"/>
      <c r="AB92" s="37"/>
      <c r="AC92" s="37"/>
      <c r="AD92" s="37"/>
    </row>
    <row r="93" spans="1:30" s="48" customFormat="1" ht="15" customHeight="1" outlineLevel="1" x14ac:dyDescent="0.25">
      <c r="A93" s="200" t="s">
        <v>440</v>
      </c>
      <c r="B93" s="38" t="s">
        <v>66</v>
      </c>
      <c r="C93" s="185" t="s">
        <v>67</v>
      </c>
      <c r="D93" s="38"/>
      <c r="E93" s="161" t="s">
        <v>395</v>
      </c>
      <c r="F93" s="38" t="s">
        <v>69</v>
      </c>
      <c r="G93" s="38"/>
      <c r="H93" s="38"/>
      <c r="I93" s="38" t="s">
        <v>344</v>
      </c>
      <c r="J93" s="40"/>
      <c r="K93" s="40"/>
      <c r="L93" s="240" t="s">
        <v>70</v>
      </c>
      <c r="M93" s="240" t="s">
        <v>70</v>
      </c>
      <c r="N93" s="268" t="s">
        <v>71</v>
      </c>
      <c r="O93" s="257"/>
      <c r="P93" s="306">
        <v>36</v>
      </c>
      <c r="Q93" s="307">
        <v>0.6</v>
      </c>
      <c r="R93" s="307">
        <v>0.6</v>
      </c>
      <c r="S93" s="307">
        <v>1</v>
      </c>
      <c r="T93" s="307">
        <v>0.3</v>
      </c>
      <c r="U93" s="266">
        <f t="shared" si="12"/>
        <v>0.6</v>
      </c>
      <c r="V93" s="37"/>
      <c r="W93" s="37" t="s">
        <v>441</v>
      </c>
      <c r="X93" s="37"/>
      <c r="Y93" s="37"/>
      <c r="Z93" s="37"/>
      <c r="AA93" s="37"/>
      <c r="AB93" s="37"/>
      <c r="AC93" s="37"/>
      <c r="AD93" s="37"/>
    </row>
    <row r="94" spans="1:30" s="48" customFormat="1" ht="15" customHeight="1" outlineLevel="1" x14ac:dyDescent="0.25">
      <c r="A94" s="200" t="s">
        <v>442</v>
      </c>
      <c r="B94" s="38" t="s">
        <v>66</v>
      </c>
      <c r="C94" s="185" t="s">
        <v>67</v>
      </c>
      <c r="D94" s="38"/>
      <c r="E94" s="161" t="s">
        <v>397</v>
      </c>
      <c r="F94" s="38" t="s">
        <v>69</v>
      </c>
      <c r="G94" s="38"/>
      <c r="H94" s="38"/>
      <c r="I94" s="38" t="s">
        <v>344</v>
      </c>
      <c r="J94" s="40"/>
      <c r="K94" s="40"/>
      <c r="L94" s="240" t="s">
        <v>70</v>
      </c>
      <c r="M94" s="240" t="s">
        <v>70</v>
      </c>
      <c r="N94" s="268" t="s">
        <v>71</v>
      </c>
      <c r="O94" s="257"/>
      <c r="P94" s="306">
        <v>37</v>
      </c>
      <c r="Q94" s="307">
        <v>0.6</v>
      </c>
      <c r="R94" s="307">
        <v>0.6</v>
      </c>
      <c r="S94" s="307">
        <v>1</v>
      </c>
      <c r="T94" s="307">
        <v>0.3</v>
      </c>
      <c r="U94" s="266">
        <f t="shared" ref="U94:U97" si="16">MAX(R94,T94)</f>
        <v>0.6</v>
      </c>
      <c r="V94" s="37"/>
      <c r="W94" s="37" t="s">
        <v>443</v>
      </c>
      <c r="X94" s="37"/>
      <c r="Y94" s="37"/>
      <c r="Z94" s="37"/>
      <c r="AA94" s="37"/>
      <c r="AB94" s="37"/>
      <c r="AC94" s="37"/>
      <c r="AD94" s="37"/>
    </row>
    <row r="95" spans="1:30" s="48" customFormat="1" ht="15" customHeight="1" outlineLevel="1" x14ac:dyDescent="0.25">
      <c r="A95" s="200" t="s">
        <v>444</v>
      </c>
      <c r="B95" s="38" t="s">
        <v>66</v>
      </c>
      <c r="C95" s="185" t="s">
        <v>67</v>
      </c>
      <c r="D95" s="38"/>
      <c r="E95" s="161" t="s">
        <v>399</v>
      </c>
      <c r="F95" s="38" t="s">
        <v>69</v>
      </c>
      <c r="G95" s="38"/>
      <c r="H95" s="38"/>
      <c r="I95" s="38" t="s">
        <v>344</v>
      </c>
      <c r="J95" s="40"/>
      <c r="K95" s="40"/>
      <c r="L95" s="240" t="s">
        <v>70</v>
      </c>
      <c r="M95" s="240" t="s">
        <v>70</v>
      </c>
      <c r="N95" s="268" t="s">
        <v>71</v>
      </c>
      <c r="O95" s="257"/>
      <c r="P95" s="306">
        <v>38</v>
      </c>
      <c r="Q95" s="307">
        <v>0.6</v>
      </c>
      <c r="R95" s="307">
        <v>0.6</v>
      </c>
      <c r="S95" s="307">
        <v>1</v>
      </c>
      <c r="T95" s="307">
        <v>0.3</v>
      </c>
      <c r="U95" s="266">
        <f t="shared" si="16"/>
        <v>0.6</v>
      </c>
      <c r="V95" s="37"/>
      <c r="W95" s="37" t="s">
        <v>445</v>
      </c>
      <c r="X95" s="37"/>
      <c r="Y95" s="37"/>
      <c r="Z95" s="37"/>
      <c r="AA95" s="37"/>
      <c r="AB95" s="37"/>
      <c r="AC95" s="37"/>
      <c r="AD95" s="37"/>
    </row>
    <row r="96" spans="1:30" s="48" customFormat="1" ht="15" customHeight="1" outlineLevel="1" x14ac:dyDescent="0.25">
      <c r="A96" s="200" t="s">
        <v>446</v>
      </c>
      <c r="B96" s="38" t="s">
        <v>66</v>
      </c>
      <c r="C96" s="185" t="s">
        <v>67</v>
      </c>
      <c r="D96" s="38"/>
      <c r="E96" s="161" t="s">
        <v>447</v>
      </c>
      <c r="F96" s="38" t="s">
        <v>69</v>
      </c>
      <c r="G96" s="38"/>
      <c r="H96" s="38"/>
      <c r="I96" s="38" t="s">
        <v>344</v>
      </c>
      <c r="J96" s="40"/>
      <c r="K96" s="40"/>
      <c r="L96" s="240" t="s">
        <v>70</v>
      </c>
      <c r="M96" s="240" t="s">
        <v>70</v>
      </c>
      <c r="N96" s="268" t="s">
        <v>71</v>
      </c>
      <c r="O96" s="257"/>
      <c r="P96" s="306">
        <v>39</v>
      </c>
      <c r="Q96" s="307">
        <v>0.6</v>
      </c>
      <c r="R96" s="307">
        <v>0.6</v>
      </c>
      <c r="S96" s="307">
        <v>1</v>
      </c>
      <c r="T96" s="307">
        <v>0.3</v>
      </c>
      <c r="U96" s="266">
        <f t="shared" si="16"/>
        <v>0.6</v>
      </c>
      <c r="V96" s="37"/>
      <c r="W96" s="37" t="s">
        <v>448</v>
      </c>
      <c r="X96" s="37"/>
      <c r="Y96" s="37"/>
      <c r="Z96" s="37"/>
      <c r="AA96" s="37"/>
      <c r="AB96" s="37"/>
      <c r="AC96" s="37"/>
      <c r="AD96" s="37"/>
    </row>
    <row r="97" spans="1:30" s="48" customFormat="1" ht="15" customHeight="1" outlineLevel="1" x14ac:dyDescent="0.25">
      <c r="A97" s="200" t="s">
        <v>449</v>
      </c>
      <c r="B97" s="38" t="s">
        <v>66</v>
      </c>
      <c r="C97" s="185" t="s">
        <v>67</v>
      </c>
      <c r="D97" s="38"/>
      <c r="E97" s="161" t="s">
        <v>450</v>
      </c>
      <c r="F97" s="38" t="s">
        <v>69</v>
      </c>
      <c r="G97" s="38"/>
      <c r="H97" s="38"/>
      <c r="I97" s="38" t="s">
        <v>344</v>
      </c>
      <c r="J97" s="40"/>
      <c r="K97" s="40"/>
      <c r="L97" s="240" t="s">
        <v>70</v>
      </c>
      <c r="M97" s="240" t="s">
        <v>70</v>
      </c>
      <c r="N97" s="268" t="s">
        <v>71</v>
      </c>
      <c r="O97" s="257"/>
      <c r="P97" s="306">
        <v>40</v>
      </c>
      <c r="Q97" s="307">
        <v>0.6</v>
      </c>
      <c r="R97" s="307">
        <v>0.6</v>
      </c>
      <c r="S97" s="307">
        <v>1</v>
      </c>
      <c r="T97" s="307">
        <v>0.3</v>
      </c>
      <c r="U97" s="266">
        <f t="shared" si="16"/>
        <v>0.6</v>
      </c>
      <c r="V97" s="37"/>
      <c r="W97" s="37" t="s">
        <v>451</v>
      </c>
      <c r="X97" s="37"/>
      <c r="Y97" s="37"/>
      <c r="Z97" s="37"/>
      <c r="AA97" s="37"/>
      <c r="AB97" s="37"/>
      <c r="AC97" s="37"/>
      <c r="AD97" s="37"/>
    </row>
    <row r="98" spans="1:30" s="48" customFormat="1" ht="15" customHeight="1" outlineLevel="1" x14ac:dyDescent="0.25">
      <c r="A98" s="200" t="s">
        <v>452</v>
      </c>
      <c r="B98" s="38" t="s">
        <v>66</v>
      </c>
      <c r="C98" s="185" t="s">
        <v>67</v>
      </c>
      <c r="D98" s="38"/>
      <c r="E98" s="161" t="s">
        <v>453</v>
      </c>
      <c r="F98" s="38" t="s">
        <v>69</v>
      </c>
      <c r="G98" s="38"/>
      <c r="H98" s="38"/>
      <c r="I98" s="38" t="s">
        <v>344</v>
      </c>
      <c r="J98" s="40"/>
      <c r="K98" s="40"/>
      <c r="L98" s="240" t="s">
        <v>70</v>
      </c>
      <c r="M98" s="240" t="s">
        <v>70</v>
      </c>
      <c r="N98" s="268" t="s">
        <v>71</v>
      </c>
      <c r="O98" s="257"/>
      <c r="P98" s="306">
        <v>41</v>
      </c>
      <c r="Q98" s="307">
        <v>0.6</v>
      </c>
      <c r="R98" s="307">
        <v>0.6</v>
      </c>
      <c r="S98" s="307">
        <v>1</v>
      </c>
      <c r="T98" s="307">
        <v>0.3</v>
      </c>
      <c r="U98" s="266">
        <f t="shared" si="12"/>
        <v>0.6</v>
      </c>
      <c r="V98" s="37"/>
      <c r="W98" s="37" t="s">
        <v>454</v>
      </c>
      <c r="X98" s="37"/>
      <c r="Y98" s="37"/>
      <c r="Z98" s="37"/>
      <c r="AA98" s="37"/>
      <c r="AB98" s="37"/>
      <c r="AC98" s="37"/>
      <c r="AD98" s="37"/>
    </row>
    <row r="99" spans="1:30" s="48" customFormat="1" ht="15" customHeight="1" outlineLevel="1" x14ac:dyDescent="0.25">
      <c r="A99" s="200" t="s">
        <v>455</v>
      </c>
      <c r="B99" s="38" t="s">
        <v>66</v>
      </c>
      <c r="C99" s="185" t="s">
        <v>67</v>
      </c>
      <c r="D99" s="38"/>
      <c r="E99" s="161" t="s">
        <v>456</v>
      </c>
      <c r="F99" s="38" t="s">
        <v>69</v>
      </c>
      <c r="G99" s="38"/>
      <c r="H99" s="38"/>
      <c r="I99" s="38" t="s">
        <v>344</v>
      </c>
      <c r="J99" s="40"/>
      <c r="K99" s="40"/>
      <c r="L99" s="240" t="s">
        <v>70</v>
      </c>
      <c r="M99" s="240" t="s">
        <v>70</v>
      </c>
      <c r="N99" s="268" t="s">
        <v>71</v>
      </c>
      <c r="O99" s="257"/>
      <c r="P99" s="306">
        <v>42</v>
      </c>
      <c r="Q99" s="307">
        <v>0.6</v>
      </c>
      <c r="R99" s="307">
        <v>0.6</v>
      </c>
      <c r="S99" s="307">
        <v>1</v>
      </c>
      <c r="T99" s="307">
        <v>0.3</v>
      </c>
      <c r="U99" s="266">
        <f t="shared" si="12"/>
        <v>0.6</v>
      </c>
      <c r="V99" s="37"/>
      <c r="W99" s="37"/>
      <c r="X99" s="37"/>
      <c r="Y99" s="37"/>
      <c r="Z99" s="37"/>
      <c r="AA99" s="37"/>
      <c r="AB99" s="37"/>
      <c r="AC99" s="37"/>
      <c r="AD99" s="37"/>
    </row>
    <row r="100" spans="1:30" s="48" customFormat="1" ht="15" customHeight="1" outlineLevel="1" x14ac:dyDescent="0.25">
      <c r="A100" s="200" t="s">
        <v>457</v>
      </c>
      <c r="B100" s="38" t="s">
        <v>66</v>
      </c>
      <c r="C100" s="185" t="s">
        <v>67</v>
      </c>
      <c r="D100" s="38"/>
      <c r="E100" s="161" t="s">
        <v>458</v>
      </c>
      <c r="F100" s="38" t="s">
        <v>69</v>
      </c>
      <c r="G100" s="38"/>
      <c r="H100" s="38"/>
      <c r="I100" s="38" t="s">
        <v>344</v>
      </c>
      <c r="J100" s="40"/>
      <c r="K100" s="40"/>
      <c r="L100" s="240" t="s">
        <v>70</v>
      </c>
      <c r="M100" s="240" t="s">
        <v>70</v>
      </c>
      <c r="N100" s="268" t="s">
        <v>71</v>
      </c>
      <c r="O100" s="257"/>
      <c r="P100" s="306">
        <v>43</v>
      </c>
      <c r="Q100" s="307">
        <v>0.6</v>
      </c>
      <c r="R100" s="307">
        <v>0.6</v>
      </c>
      <c r="S100" s="307">
        <v>1</v>
      </c>
      <c r="T100" s="307">
        <v>0.3</v>
      </c>
      <c r="U100" s="266">
        <f t="shared" si="12"/>
        <v>0.6</v>
      </c>
      <c r="V100" s="37"/>
      <c r="W100" s="37"/>
      <c r="X100" s="37"/>
      <c r="Y100" s="37"/>
      <c r="Z100" s="37"/>
      <c r="AA100" s="37"/>
      <c r="AB100" s="37"/>
      <c r="AC100" s="37"/>
      <c r="AD100" s="37"/>
    </row>
    <row r="101" spans="1:30" s="48" customFormat="1" ht="15" customHeight="1" outlineLevel="1" x14ac:dyDescent="0.25">
      <c r="A101" s="200" t="s">
        <v>459</v>
      </c>
      <c r="B101" s="38" t="s">
        <v>66</v>
      </c>
      <c r="C101" s="185" t="s">
        <v>67</v>
      </c>
      <c r="D101" s="38"/>
      <c r="E101" s="161" t="s">
        <v>407</v>
      </c>
      <c r="F101" s="38" t="s">
        <v>69</v>
      </c>
      <c r="G101" s="38"/>
      <c r="H101" s="38"/>
      <c r="I101" s="38" t="s">
        <v>344</v>
      </c>
      <c r="J101" s="40"/>
      <c r="K101" s="40"/>
      <c r="L101" s="240" t="s">
        <v>70</v>
      </c>
      <c r="M101" s="240" t="s">
        <v>70</v>
      </c>
      <c r="N101" s="268" t="s">
        <v>71</v>
      </c>
      <c r="O101" s="257"/>
      <c r="P101" s="306">
        <v>44</v>
      </c>
      <c r="Q101" s="307">
        <v>0.6</v>
      </c>
      <c r="R101" s="307">
        <v>0.6</v>
      </c>
      <c r="S101" s="307">
        <v>1</v>
      </c>
      <c r="T101" s="307">
        <v>0.3</v>
      </c>
      <c r="U101" s="266">
        <f t="shared" si="12"/>
        <v>0.6</v>
      </c>
      <c r="V101" s="37"/>
      <c r="W101" s="37"/>
      <c r="X101" s="37"/>
      <c r="Y101" s="37"/>
      <c r="Z101" s="37"/>
      <c r="AA101" s="37"/>
      <c r="AB101" s="37"/>
      <c r="AC101" s="37"/>
      <c r="AD101" s="37"/>
    </row>
    <row r="102" spans="1:30" s="48" customFormat="1" ht="15" customHeight="1" outlineLevel="1" x14ac:dyDescent="0.25">
      <c r="A102" s="41"/>
      <c r="B102" s="38"/>
      <c r="C102" s="185"/>
      <c r="D102" s="38"/>
      <c r="E102" s="41"/>
      <c r="F102" s="38"/>
      <c r="G102" s="38"/>
      <c r="H102" s="38"/>
      <c r="I102" s="38"/>
      <c r="J102" s="40"/>
      <c r="K102" s="40"/>
      <c r="L102" s="240"/>
      <c r="M102" s="240"/>
      <c r="N102" s="268"/>
      <c r="O102" s="257"/>
      <c r="P102" s="306"/>
      <c r="Q102" s="307"/>
      <c r="R102" s="307"/>
      <c r="S102" s="307"/>
      <c r="T102" s="307"/>
      <c r="U102" s="266"/>
      <c r="V102" s="37"/>
      <c r="W102" s="37"/>
      <c r="X102" s="37"/>
      <c r="Y102" s="37"/>
      <c r="Z102" s="37"/>
      <c r="AA102" s="37"/>
      <c r="AB102" s="37"/>
      <c r="AC102" s="37"/>
      <c r="AD102" s="37"/>
    </row>
    <row r="103" spans="1:30" s="48" customFormat="1" ht="15" customHeight="1" outlineLevel="1" x14ac:dyDescent="0.25">
      <c r="A103" s="191" t="s">
        <v>460</v>
      </c>
      <c r="B103" s="38" t="s">
        <v>66</v>
      </c>
      <c r="C103" s="185" t="s">
        <v>67</v>
      </c>
      <c r="D103" s="38"/>
      <c r="E103" s="161" t="s">
        <v>461</v>
      </c>
      <c r="F103" s="38" t="s">
        <v>69</v>
      </c>
      <c r="G103" s="38"/>
      <c r="H103" s="38"/>
      <c r="I103" s="38" t="s">
        <v>344</v>
      </c>
      <c r="J103" s="40"/>
      <c r="K103" s="40"/>
      <c r="L103" s="240" t="s">
        <v>70</v>
      </c>
      <c r="M103" s="240" t="s">
        <v>70</v>
      </c>
      <c r="N103" s="268" t="s">
        <v>71</v>
      </c>
      <c r="O103" s="257"/>
      <c r="P103" s="306">
        <v>46</v>
      </c>
      <c r="Q103" s="307">
        <v>0.6</v>
      </c>
      <c r="R103" s="307">
        <v>0.6</v>
      </c>
      <c r="S103" s="307">
        <v>1</v>
      </c>
      <c r="T103" s="307">
        <v>0.3</v>
      </c>
      <c r="U103" s="266">
        <f t="shared" si="12"/>
        <v>0.6</v>
      </c>
      <c r="V103" s="37"/>
      <c r="W103" s="37"/>
      <c r="X103" s="37"/>
      <c r="Y103" s="37"/>
      <c r="Z103" s="37"/>
      <c r="AA103" s="37"/>
      <c r="AB103" s="37"/>
      <c r="AC103" s="37"/>
      <c r="AD103" s="37"/>
    </row>
    <row r="104" spans="1:30" s="48" customFormat="1" ht="15" customHeight="1" outlineLevel="1" x14ac:dyDescent="0.25">
      <c r="A104" s="191" t="s">
        <v>462</v>
      </c>
      <c r="B104" s="38" t="s">
        <v>66</v>
      </c>
      <c r="C104" s="185" t="s">
        <v>67</v>
      </c>
      <c r="D104" s="38"/>
      <c r="E104" s="161" t="s">
        <v>463</v>
      </c>
      <c r="F104" s="38" t="s">
        <v>69</v>
      </c>
      <c r="G104" s="38"/>
      <c r="H104" s="38"/>
      <c r="I104" s="38" t="s">
        <v>344</v>
      </c>
      <c r="J104" s="40"/>
      <c r="K104" s="40"/>
      <c r="L104" s="240" t="s">
        <v>70</v>
      </c>
      <c r="M104" s="240" t="s">
        <v>70</v>
      </c>
      <c r="N104" s="268" t="s">
        <v>71</v>
      </c>
      <c r="O104" s="257"/>
      <c r="P104" s="306">
        <v>47</v>
      </c>
      <c r="Q104" s="307">
        <v>0.6</v>
      </c>
      <c r="R104" s="307">
        <v>0.6</v>
      </c>
      <c r="S104" s="307">
        <v>1</v>
      </c>
      <c r="T104" s="307">
        <v>0.3</v>
      </c>
      <c r="U104" s="266">
        <f t="shared" si="12"/>
        <v>0.6</v>
      </c>
      <c r="V104" s="37"/>
      <c r="W104" s="37"/>
      <c r="X104" s="37"/>
      <c r="Y104" s="37"/>
      <c r="Z104" s="37"/>
      <c r="AA104" s="37"/>
      <c r="AB104" s="37"/>
      <c r="AC104" s="37"/>
      <c r="AD104" s="37"/>
    </row>
    <row r="105" spans="1:30" s="48" customFormat="1" ht="15" customHeight="1" outlineLevel="1" x14ac:dyDescent="0.25">
      <c r="A105" s="41"/>
      <c r="B105" s="38"/>
      <c r="C105" s="185"/>
      <c r="D105" s="38"/>
      <c r="E105" s="41"/>
      <c r="F105" s="38"/>
      <c r="G105" s="38"/>
      <c r="H105" s="38"/>
      <c r="I105" s="38"/>
      <c r="J105" s="40"/>
      <c r="K105" s="40"/>
      <c r="L105" s="240"/>
      <c r="M105" s="240"/>
      <c r="N105" s="268"/>
      <c r="O105" s="257"/>
      <c r="P105" s="306"/>
      <c r="Q105" s="307"/>
      <c r="R105" s="307"/>
      <c r="S105" s="307"/>
      <c r="T105" s="307"/>
      <c r="U105" s="266"/>
      <c r="V105" s="37"/>
      <c r="W105" s="37"/>
      <c r="X105" s="37"/>
      <c r="Y105" s="37"/>
      <c r="Z105" s="37"/>
      <c r="AA105" s="37"/>
      <c r="AB105" s="37"/>
      <c r="AC105" s="37"/>
      <c r="AD105" s="37"/>
    </row>
    <row r="106" spans="1:30" s="48" customFormat="1" ht="15" customHeight="1" outlineLevel="1" x14ac:dyDescent="0.25">
      <c r="A106" s="191" t="s">
        <v>464</v>
      </c>
      <c r="B106" s="38" t="s">
        <v>66</v>
      </c>
      <c r="C106" s="185" t="s">
        <v>67</v>
      </c>
      <c r="D106" s="38"/>
      <c r="E106" s="161" t="s">
        <v>409</v>
      </c>
      <c r="F106" s="38" t="s">
        <v>69</v>
      </c>
      <c r="G106" s="38"/>
      <c r="H106" s="38"/>
      <c r="I106" s="38" t="s">
        <v>344</v>
      </c>
      <c r="J106" s="40"/>
      <c r="K106" s="40"/>
      <c r="L106" s="240" t="s">
        <v>70</v>
      </c>
      <c r="M106" s="240" t="s">
        <v>70</v>
      </c>
      <c r="N106" s="268" t="s">
        <v>71</v>
      </c>
      <c r="O106" s="257"/>
      <c r="P106" s="306">
        <v>49</v>
      </c>
      <c r="Q106" s="307">
        <v>0.6</v>
      </c>
      <c r="R106" s="307">
        <v>0.6</v>
      </c>
      <c r="S106" s="307">
        <v>1</v>
      </c>
      <c r="T106" s="307">
        <v>0.3</v>
      </c>
      <c r="U106" s="266">
        <f t="shared" si="12"/>
        <v>0.6</v>
      </c>
      <c r="V106" s="37"/>
      <c r="W106" s="37"/>
      <c r="X106" s="37"/>
      <c r="Y106" s="37"/>
      <c r="Z106" s="37"/>
      <c r="AA106" s="37"/>
      <c r="AB106" s="37"/>
      <c r="AC106" s="37"/>
      <c r="AD106" s="37"/>
    </row>
    <row r="107" spans="1:30" s="48" customFormat="1" ht="15" customHeight="1" outlineLevel="1" x14ac:dyDescent="0.25">
      <c r="A107" s="41"/>
      <c r="B107" s="38"/>
      <c r="C107" s="185"/>
      <c r="D107" s="38"/>
      <c r="E107" s="41"/>
      <c r="F107" s="38"/>
      <c r="G107" s="38"/>
      <c r="H107" s="38"/>
      <c r="I107" s="38"/>
      <c r="J107" s="40"/>
      <c r="K107" s="40"/>
      <c r="L107" s="240"/>
      <c r="M107" s="240"/>
      <c r="N107" s="268"/>
      <c r="O107" s="257"/>
      <c r="P107" s="306"/>
      <c r="Q107" s="307"/>
      <c r="R107" s="307"/>
      <c r="S107" s="307"/>
      <c r="T107" s="307"/>
      <c r="U107" s="266"/>
      <c r="V107" s="37"/>
      <c r="W107" s="37"/>
      <c r="X107" s="37"/>
      <c r="Y107" s="37"/>
      <c r="Z107" s="37"/>
      <c r="AA107" s="37"/>
      <c r="AB107" s="37"/>
      <c r="AC107" s="37"/>
      <c r="AD107" s="37"/>
    </row>
    <row r="108" spans="1:30" s="48" customFormat="1" ht="15" customHeight="1" outlineLevel="1" x14ac:dyDescent="0.25">
      <c r="A108" s="41"/>
      <c r="B108" s="38"/>
      <c r="C108" s="185"/>
      <c r="D108" s="38"/>
      <c r="E108" s="41"/>
      <c r="F108" s="38"/>
      <c r="G108" s="38"/>
      <c r="H108" s="38"/>
      <c r="I108" s="38"/>
      <c r="J108" s="40"/>
      <c r="K108" s="40"/>
      <c r="L108" s="240"/>
      <c r="M108" s="240"/>
      <c r="N108" s="268"/>
      <c r="O108" s="257"/>
      <c r="P108" s="306"/>
      <c r="Q108" s="307"/>
      <c r="R108" s="307"/>
      <c r="S108" s="307"/>
      <c r="T108" s="307"/>
      <c r="U108" s="266"/>
      <c r="V108" s="37"/>
      <c r="W108" s="37"/>
      <c r="X108" s="37"/>
      <c r="Y108" s="37"/>
      <c r="Z108" s="37"/>
      <c r="AA108" s="37"/>
      <c r="AB108" s="37"/>
      <c r="AC108" s="37"/>
      <c r="AD108" s="37"/>
    </row>
    <row r="109" spans="1:30" s="48" customFormat="1" ht="15" customHeight="1" thickBot="1" x14ac:dyDescent="0.3">
      <c r="A109" s="41"/>
      <c r="B109" s="38"/>
      <c r="C109" s="185"/>
      <c r="D109" s="38"/>
      <c r="E109" s="43" t="str">
        <f>"SUB-TOTAL "&amp;UPPER(A79)&amp;" DRAWINGS"</f>
        <v>SUB-TOTAL BUILDING NAME OR AREA NAME 2 DRAWINGS</v>
      </c>
      <c r="F109" s="38"/>
      <c r="G109" s="38"/>
      <c r="H109" s="38"/>
      <c r="I109" s="115">
        <f>COUNTA(F80:F108)</f>
        <v>24</v>
      </c>
      <c r="J109" s="36"/>
      <c r="K109" s="36"/>
      <c r="L109" s="240"/>
      <c r="M109" s="240"/>
      <c r="N109" s="268"/>
      <c r="O109" s="257"/>
      <c r="P109" s="306"/>
      <c r="Q109" s="307"/>
      <c r="R109" s="307"/>
      <c r="S109" s="307"/>
      <c r="T109" s="307"/>
      <c r="U109" s="266"/>
      <c r="V109" s="37"/>
      <c r="W109" s="37"/>
      <c r="X109" s="37"/>
      <c r="Y109" s="37"/>
      <c r="Z109" s="37"/>
      <c r="AA109" s="37"/>
      <c r="AB109" s="37"/>
      <c r="AC109" s="37"/>
      <c r="AD109" s="37"/>
    </row>
    <row r="110" spans="1:30" s="48" customFormat="1" ht="15" customHeight="1" thickTop="1" x14ac:dyDescent="0.25">
      <c r="A110" s="41"/>
      <c r="B110" s="38"/>
      <c r="C110" s="185"/>
      <c r="D110" s="38"/>
      <c r="E110" s="43"/>
      <c r="F110" s="38"/>
      <c r="G110" s="38"/>
      <c r="H110" s="38"/>
      <c r="I110" s="38"/>
      <c r="J110" s="36"/>
      <c r="K110" s="36"/>
      <c r="L110" s="240"/>
      <c r="M110" s="240"/>
      <c r="N110" s="268"/>
      <c r="O110" s="257"/>
      <c r="P110" s="306"/>
      <c r="Q110" s="307"/>
      <c r="R110" s="307"/>
      <c r="S110" s="307"/>
      <c r="T110" s="307"/>
      <c r="U110" s="266"/>
      <c r="V110" s="37"/>
      <c r="W110" s="37"/>
      <c r="X110" s="37"/>
      <c r="Y110" s="37"/>
      <c r="Z110" s="37"/>
      <c r="AA110" s="37"/>
      <c r="AB110" s="37"/>
      <c r="AC110" s="37"/>
      <c r="AD110" s="37"/>
    </row>
    <row r="111" spans="1:30" s="48" customFormat="1" ht="18" customHeight="1" x14ac:dyDescent="0.25">
      <c r="A111" s="32" t="str">
        <f>'1. CIVIL'!A67</f>
        <v>Building Name or Area Name 3</v>
      </c>
      <c r="B111" s="32"/>
      <c r="C111" s="32"/>
      <c r="D111" s="11"/>
      <c r="E111" s="11"/>
      <c r="F111" s="11"/>
      <c r="G111" s="11"/>
      <c r="H111" s="11"/>
      <c r="I111" s="11"/>
      <c r="J111" s="11"/>
      <c r="K111" s="11"/>
      <c r="L111" s="240"/>
      <c r="M111" s="240"/>
      <c r="N111" s="268"/>
      <c r="O111" s="257"/>
      <c r="P111" s="306"/>
      <c r="Q111" s="307"/>
      <c r="R111" s="307"/>
      <c r="S111" s="307"/>
      <c r="T111" s="307"/>
      <c r="U111" s="266"/>
      <c r="V111" s="37"/>
      <c r="W111" s="37"/>
      <c r="X111" s="37"/>
      <c r="Y111" s="37"/>
      <c r="Z111" s="37"/>
      <c r="AA111" s="37"/>
      <c r="AB111" s="37"/>
      <c r="AC111" s="37"/>
      <c r="AD111" s="37"/>
    </row>
    <row r="112" spans="1:30" s="48" customFormat="1" ht="15" customHeight="1" x14ac:dyDescent="0.25">
      <c r="A112" s="37" t="str">
        <f>"18043-"&amp;LEFT(W112,11)</f>
        <v>18043-LM520 08209</v>
      </c>
      <c r="B112" s="38" t="s">
        <v>66</v>
      </c>
      <c r="C112" s="185" t="s">
        <v>67</v>
      </c>
      <c r="D112" s="38"/>
      <c r="E112" s="161" t="str">
        <f>MID(W112,FIND(" ",W112,15)+1,100)</f>
        <v xml:space="preserve">Roof Plan </v>
      </c>
      <c r="F112" s="38" t="s">
        <v>69</v>
      </c>
      <c r="G112" s="38"/>
      <c r="H112" s="38"/>
      <c r="I112" s="38" t="s">
        <v>344</v>
      </c>
      <c r="J112" s="40"/>
      <c r="K112" s="40"/>
      <c r="L112" s="240" t="s">
        <v>70</v>
      </c>
      <c r="M112" s="240" t="s">
        <v>70</v>
      </c>
      <c r="N112" s="268" t="s">
        <v>71</v>
      </c>
      <c r="O112" s="257"/>
      <c r="P112" s="306">
        <v>55</v>
      </c>
      <c r="Q112" s="307">
        <v>0.6</v>
      </c>
      <c r="R112" s="307">
        <v>0.6</v>
      </c>
      <c r="S112" s="307">
        <v>1</v>
      </c>
      <c r="T112" s="307">
        <v>0.3</v>
      </c>
      <c r="U112" s="266">
        <f t="shared" ref="U112" si="17">MAX(R112,T112)</f>
        <v>0.6</v>
      </c>
      <c r="V112" s="37"/>
      <c r="W112" s="37" t="s">
        <v>465</v>
      </c>
      <c r="X112" s="37"/>
      <c r="Y112" s="37"/>
      <c r="Z112" s="37"/>
      <c r="AA112" s="37"/>
      <c r="AB112" s="37"/>
      <c r="AC112" s="37"/>
      <c r="AD112" s="37"/>
    </row>
    <row r="113" spans="1:30" s="48" customFormat="1" ht="15" customHeight="1" outlineLevel="1" thickBot="1" x14ac:dyDescent="0.3">
      <c r="A113" s="37" t="str">
        <f>"18043-"&amp;LEFT(W113,11)</f>
        <v>18043-LM520 08210</v>
      </c>
      <c r="B113" s="38" t="s">
        <v>66</v>
      </c>
      <c r="C113" s="185" t="s">
        <v>67</v>
      </c>
      <c r="D113" s="38"/>
      <c r="E113" s="161" t="str">
        <f>MID(W113,FIND(" ",W113,15)+1,100)</f>
        <v>Intermediate Plan &amp; Section</v>
      </c>
      <c r="F113" s="38" t="s">
        <v>69</v>
      </c>
      <c r="G113" s="38"/>
      <c r="H113" s="38"/>
      <c r="I113" s="38" t="s">
        <v>344</v>
      </c>
      <c r="J113" s="40"/>
      <c r="K113" s="40"/>
      <c r="L113" s="259" t="s">
        <v>70</v>
      </c>
      <c r="M113" s="259" t="s">
        <v>70</v>
      </c>
      <c r="N113" s="271" t="s">
        <v>71</v>
      </c>
      <c r="O113" s="257"/>
      <c r="P113" s="306">
        <v>56</v>
      </c>
      <c r="Q113" s="307">
        <v>0.6</v>
      </c>
      <c r="R113" s="307">
        <v>0.6</v>
      </c>
      <c r="S113" s="307">
        <v>1</v>
      </c>
      <c r="T113" s="307">
        <v>0.3</v>
      </c>
      <c r="U113" s="266">
        <f t="shared" si="12"/>
        <v>0.6</v>
      </c>
      <c r="V113" s="37"/>
      <c r="W113" s="37" t="s">
        <v>466</v>
      </c>
      <c r="X113" s="37"/>
      <c r="Y113" s="37"/>
      <c r="Z113" s="37"/>
      <c r="AA113" s="37"/>
      <c r="AB113" s="37"/>
      <c r="AC113" s="37"/>
      <c r="AD113" s="37"/>
    </row>
    <row r="114" spans="1:30" s="48" customFormat="1" ht="15" customHeight="1" outlineLevel="1" thickBot="1" x14ac:dyDescent="0.3">
      <c r="A114" s="43"/>
      <c r="B114" s="34"/>
      <c r="C114" s="33"/>
      <c r="D114" s="38"/>
      <c r="E114" s="42"/>
      <c r="F114" s="38"/>
      <c r="G114" s="38"/>
      <c r="H114" s="38"/>
      <c r="I114" s="38"/>
      <c r="J114" s="40"/>
      <c r="K114" s="40"/>
      <c r="L114" s="269"/>
      <c r="M114" s="269"/>
      <c r="N114" s="270"/>
      <c r="O114" s="257"/>
      <c r="P114" s="275">
        <f>SUM(P44:P113)</f>
        <v>1106</v>
      </c>
      <c r="Q114" s="276">
        <f>SUMPRODUCT($P44:$P113,Q44:Q113)/$P114</f>
        <v>0.59620253164556958</v>
      </c>
      <c r="R114" s="276">
        <f>SUMPRODUCT($P44:$P113,R44:R113)/$P114</f>
        <v>0.59701627486437614</v>
      </c>
      <c r="S114" s="276">
        <f>SUMPRODUCT($P44:$P113,S44:S113)/$P114</f>
        <v>1</v>
      </c>
      <c r="T114" s="276">
        <f>SUMPRODUCT($P44:$P113,T44:T113)/$P114</f>
        <v>0.30705244122965641</v>
      </c>
      <c r="U114" s="277">
        <f>SUMPRODUCT($P44:$P113,U44:U113)/$P114</f>
        <v>0.60271247739602174</v>
      </c>
      <c r="V114" s="37"/>
      <c r="W114" s="37"/>
      <c r="X114" s="37"/>
      <c r="Y114" s="37"/>
      <c r="Z114" s="37"/>
      <c r="AA114" s="37"/>
      <c r="AB114" s="37"/>
      <c r="AC114" s="37"/>
      <c r="AD114" s="37"/>
    </row>
    <row r="115" spans="1:30" s="48" customFormat="1" ht="15" customHeight="1" thickBot="1" x14ac:dyDescent="0.3">
      <c r="A115" s="41"/>
      <c r="B115" s="38"/>
      <c r="C115" s="41"/>
      <c r="D115" s="38"/>
      <c r="E115" s="43" t="str">
        <f>"SUB-TOTAL "&amp;UPPER(A111)&amp;" DRAWINGS"</f>
        <v>SUB-TOTAL BUILDING NAME OR AREA NAME 3 DRAWINGS</v>
      </c>
      <c r="F115" s="38"/>
      <c r="G115" s="38"/>
      <c r="H115" s="38"/>
      <c r="I115" s="115">
        <f>COUNTA(F112:F114)</f>
        <v>2</v>
      </c>
      <c r="J115" s="36"/>
      <c r="K115" s="36"/>
      <c r="L115" s="269"/>
      <c r="M115" s="269"/>
      <c r="N115" s="270"/>
      <c r="O115" s="257"/>
      <c r="P115" s="308"/>
      <c r="Q115" s="309"/>
      <c r="R115" s="309"/>
      <c r="S115" s="309"/>
      <c r="T115" s="309"/>
      <c r="U115" s="272"/>
      <c r="V115" s="37"/>
      <c r="W115" s="37"/>
      <c r="X115" s="37"/>
      <c r="Y115" s="37"/>
      <c r="Z115" s="37"/>
      <c r="AA115" s="37"/>
      <c r="AB115" s="37"/>
      <c r="AC115" s="37"/>
      <c r="AD115" s="37"/>
    </row>
    <row r="116" spans="1:30" s="48" customFormat="1" ht="15" customHeight="1" thickTop="1" thickBot="1" x14ac:dyDescent="0.3">
      <c r="A116" s="41"/>
      <c r="B116" s="38"/>
      <c r="C116" s="41"/>
      <c r="D116" s="38"/>
      <c r="E116" s="43"/>
      <c r="F116" s="38"/>
      <c r="G116" s="38"/>
      <c r="H116" s="38"/>
      <c r="I116" s="115"/>
      <c r="J116" s="36"/>
      <c r="K116" s="36"/>
      <c r="L116" s="269"/>
      <c r="M116" s="269"/>
      <c r="N116" s="270"/>
      <c r="O116" s="257"/>
      <c r="P116" s="308"/>
      <c r="Q116" s="309"/>
      <c r="R116" s="309"/>
      <c r="S116" s="309"/>
      <c r="T116" s="309"/>
      <c r="U116" s="272"/>
      <c r="V116" s="37"/>
      <c r="W116" s="37"/>
      <c r="X116" s="37"/>
      <c r="Y116" s="37"/>
      <c r="Z116" s="37"/>
      <c r="AA116" s="37"/>
      <c r="AB116" s="37"/>
      <c r="AC116" s="37"/>
      <c r="AD116" s="37"/>
    </row>
    <row r="117" spans="1:30" s="51" customFormat="1" ht="16.5" thickTop="1" thickBot="1" x14ac:dyDescent="0.3">
      <c r="A117" s="41"/>
      <c r="B117" s="38"/>
      <c r="C117" s="41"/>
      <c r="D117" s="38"/>
      <c r="E117" s="43" t="s">
        <v>467</v>
      </c>
      <c r="F117" s="38"/>
      <c r="G117" s="38"/>
      <c r="H117" s="38"/>
      <c r="I117" s="115">
        <f>SUMIF(E7:E115,"*SUB-TOTAL*",I7:I115)</f>
        <v>75</v>
      </c>
      <c r="J117" s="36"/>
      <c r="K117" s="36"/>
      <c r="L117" s="269"/>
      <c r="M117" s="269"/>
      <c r="N117" s="270"/>
      <c r="O117" s="257"/>
      <c r="P117" s="308"/>
      <c r="Q117" s="309"/>
      <c r="R117" s="309"/>
      <c r="S117" s="309"/>
      <c r="T117" s="309"/>
      <c r="U117" s="272"/>
      <c r="V117" s="50"/>
      <c r="W117" s="50"/>
      <c r="X117" s="50"/>
      <c r="Y117" s="50"/>
      <c r="Z117" s="50"/>
      <c r="AA117" s="50"/>
      <c r="AB117" s="50"/>
      <c r="AC117" s="50"/>
      <c r="AD117" s="50"/>
    </row>
    <row r="118" spans="1:30" s="51" customFormat="1" ht="15.75" thickTop="1" x14ac:dyDescent="0.25">
      <c r="A118" s="45"/>
      <c r="B118" s="38"/>
      <c r="C118" s="41"/>
      <c r="D118" s="44"/>
      <c r="E118" s="42"/>
      <c r="F118" s="44"/>
      <c r="G118" s="44"/>
      <c r="H118" s="44"/>
      <c r="I118" s="46"/>
      <c r="J118" s="46"/>
      <c r="K118" s="46"/>
      <c r="L118" s="269"/>
      <c r="M118" s="269"/>
      <c r="N118" s="270"/>
      <c r="O118" s="257"/>
      <c r="P118" s="308"/>
      <c r="Q118" s="309"/>
      <c r="R118" s="309"/>
      <c r="S118" s="309"/>
      <c r="T118" s="309"/>
      <c r="U118" s="272"/>
      <c r="V118" s="50"/>
      <c r="W118" s="50"/>
      <c r="X118" s="50"/>
      <c r="Y118" s="50"/>
      <c r="Z118" s="50"/>
      <c r="AA118" s="50"/>
      <c r="AB118" s="50"/>
      <c r="AC118" s="50"/>
      <c r="AD118" s="50"/>
    </row>
    <row r="119" spans="1:30" x14ac:dyDescent="0.25">
      <c r="A119" s="45"/>
      <c r="B119" s="188"/>
      <c r="C119" s="37"/>
      <c r="D119" s="44"/>
      <c r="E119" s="42"/>
      <c r="F119" s="44"/>
      <c r="G119" s="44"/>
      <c r="H119" s="44"/>
      <c r="I119" s="46"/>
      <c r="J119" s="46"/>
      <c r="K119" s="46"/>
      <c r="L119" s="269"/>
      <c r="M119" s="269"/>
      <c r="N119" s="270"/>
      <c r="P119" s="308"/>
      <c r="Q119" s="309"/>
      <c r="R119" s="309"/>
      <c r="S119" s="309"/>
      <c r="T119" s="309"/>
      <c r="U119" s="272"/>
    </row>
    <row r="120" spans="1:30" x14ac:dyDescent="0.25">
      <c r="A120" s="45"/>
      <c r="B120" s="38"/>
      <c r="C120" s="43"/>
      <c r="D120" s="44"/>
      <c r="E120" s="42"/>
      <c r="F120" s="44"/>
      <c r="G120" s="44"/>
      <c r="H120" s="44"/>
      <c r="I120" s="46"/>
      <c r="J120" s="46"/>
      <c r="K120" s="46"/>
      <c r="L120" s="269"/>
      <c r="M120" s="269"/>
      <c r="N120" s="270"/>
      <c r="P120" s="308"/>
      <c r="Q120" s="309"/>
      <c r="R120" s="309"/>
      <c r="S120" s="309"/>
      <c r="T120" s="309"/>
      <c r="U120" s="272"/>
    </row>
    <row r="121" spans="1:30" x14ac:dyDescent="0.25">
      <c r="A121" s="45"/>
      <c r="B121" s="38"/>
      <c r="C121" s="43"/>
      <c r="D121" s="44"/>
      <c r="E121" s="42"/>
      <c r="F121" s="44"/>
      <c r="G121" s="44"/>
      <c r="H121" s="44"/>
      <c r="I121" s="46"/>
      <c r="J121" s="46"/>
      <c r="K121" s="46"/>
      <c r="L121" s="269"/>
      <c r="M121" s="269"/>
      <c r="N121" s="270"/>
      <c r="P121" s="308"/>
      <c r="Q121" s="309"/>
      <c r="R121" s="309"/>
      <c r="S121" s="309"/>
      <c r="T121" s="309"/>
      <c r="U121" s="272"/>
    </row>
    <row r="122" spans="1:30" x14ac:dyDescent="0.25">
      <c r="A122" s="45"/>
      <c r="B122" s="38"/>
      <c r="C122" s="41"/>
      <c r="D122" s="44"/>
      <c r="E122" s="42"/>
      <c r="F122" s="44"/>
      <c r="G122" s="44"/>
      <c r="H122" s="44"/>
      <c r="I122" s="46"/>
      <c r="J122" s="46"/>
      <c r="K122" s="46"/>
      <c r="L122" s="269"/>
      <c r="M122" s="269"/>
      <c r="N122" s="270"/>
      <c r="P122" s="308"/>
      <c r="Q122" s="309"/>
      <c r="R122" s="309"/>
      <c r="S122" s="309"/>
      <c r="T122" s="309"/>
      <c r="U122" s="272"/>
    </row>
    <row r="123" spans="1:30" x14ac:dyDescent="0.25">
      <c r="A123" s="45"/>
      <c r="B123" s="56"/>
      <c r="C123" s="54"/>
      <c r="D123" s="44"/>
      <c r="E123" s="42"/>
      <c r="F123" s="44"/>
      <c r="G123" s="44"/>
      <c r="H123" s="44"/>
      <c r="I123" s="46"/>
      <c r="J123" s="46"/>
      <c r="K123" s="46"/>
      <c r="L123" s="269"/>
      <c r="M123" s="269"/>
      <c r="N123" s="270"/>
      <c r="P123" s="308"/>
      <c r="Q123" s="309"/>
      <c r="R123" s="309"/>
      <c r="S123" s="309"/>
      <c r="T123" s="309"/>
      <c r="U123" s="272"/>
    </row>
    <row r="124" spans="1:30" x14ac:dyDescent="0.25">
      <c r="A124" s="45"/>
      <c r="B124" s="38"/>
      <c r="C124" s="41"/>
      <c r="D124" s="44"/>
      <c r="E124" s="42"/>
      <c r="F124" s="44"/>
      <c r="G124" s="44"/>
      <c r="H124" s="44"/>
      <c r="I124" s="46"/>
      <c r="J124" s="46"/>
      <c r="K124" s="46"/>
      <c r="L124" s="269"/>
      <c r="M124" s="269"/>
      <c r="N124" s="270"/>
      <c r="P124" s="308"/>
      <c r="Q124" s="309"/>
      <c r="R124" s="309"/>
      <c r="S124" s="309"/>
      <c r="T124" s="309"/>
      <c r="U124" s="272"/>
    </row>
    <row r="125" spans="1:30" x14ac:dyDescent="0.25">
      <c r="A125" s="45"/>
      <c r="B125" s="188"/>
      <c r="C125" s="37"/>
      <c r="D125" s="44"/>
      <c r="E125" s="42"/>
      <c r="F125" s="44"/>
      <c r="G125" s="44"/>
      <c r="H125" s="44"/>
      <c r="I125" s="46"/>
      <c r="J125" s="46"/>
      <c r="K125" s="46"/>
      <c r="L125" s="269"/>
      <c r="M125" s="269"/>
      <c r="N125" s="270"/>
      <c r="P125" s="308"/>
      <c r="Q125" s="309"/>
      <c r="R125" s="309"/>
      <c r="S125" s="309"/>
      <c r="T125" s="309"/>
      <c r="U125" s="272"/>
    </row>
    <row r="126" spans="1:30" x14ac:dyDescent="0.25">
      <c r="A126" s="45"/>
      <c r="B126" s="38"/>
      <c r="C126" s="43"/>
      <c r="D126" s="44"/>
      <c r="E126" s="42"/>
      <c r="F126" s="44"/>
      <c r="G126" s="44"/>
      <c r="H126" s="44"/>
      <c r="I126" s="46"/>
      <c r="J126" s="46"/>
      <c r="K126" s="46"/>
      <c r="L126" s="269"/>
      <c r="M126" s="269"/>
      <c r="N126" s="270"/>
      <c r="P126" s="308"/>
      <c r="Q126" s="309"/>
      <c r="R126" s="309"/>
      <c r="S126" s="309"/>
      <c r="T126" s="309"/>
      <c r="U126" s="272"/>
    </row>
    <row r="127" spans="1:30" x14ac:dyDescent="0.25">
      <c r="A127" s="45"/>
      <c r="B127" s="38"/>
      <c r="C127" s="43"/>
      <c r="D127" s="44"/>
      <c r="E127" s="42"/>
      <c r="F127" s="44"/>
      <c r="G127" s="44"/>
      <c r="H127" s="44"/>
      <c r="I127" s="46"/>
      <c r="J127" s="46"/>
      <c r="K127" s="46"/>
      <c r="L127" s="269"/>
      <c r="M127" s="269"/>
      <c r="N127" s="270"/>
      <c r="P127" s="308"/>
      <c r="Q127" s="309"/>
      <c r="R127" s="309"/>
      <c r="S127" s="309"/>
      <c r="T127" s="309"/>
      <c r="U127" s="272"/>
    </row>
    <row r="128" spans="1:30" x14ac:dyDescent="0.25">
      <c r="A128" s="45"/>
      <c r="B128" s="38"/>
      <c r="C128" s="41"/>
      <c r="D128" s="44"/>
      <c r="E128" s="42"/>
      <c r="F128" s="44"/>
      <c r="G128" s="44"/>
      <c r="H128" s="44"/>
      <c r="I128" s="46"/>
      <c r="J128" s="46"/>
      <c r="K128" s="46"/>
      <c r="L128" s="269"/>
      <c r="M128" s="269"/>
      <c r="N128" s="270"/>
      <c r="P128" s="308"/>
      <c r="Q128" s="309"/>
      <c r="R128" s="309"/>
      <c r="S128" s="309"/>
      <c r="T128" s="309"/>
      <c r="U128" s="272"/>
    </row>
    <row r="129" spans="1:21" x14ac:dyDescent="0.25">
      <c r="A129" s="45"/>
      <c r="B129" s="34"/>
      <c r="C129" s="33"/>
      <c r="D129" s="44"/>
      <c r="E129" s="42"/>
      <c r="F129" s="44"/>
      <c r="G129" s="44"/>
      <c r="H129" s="44"/>
      <c r="I129" s="46"/>
      <c r="J129" s="46"/>
      <c r="K129" s="46"/>
      <c r="L129" s="269"/>
      <c r="M129" s="269"/>
      <c r="N129" s="270"/>
      <c r="P129" s="308"/>
      <c r="Q129" s="309"/>
      <c r="R129" s="309"/>
      <c r="S129" s="309"/>
      <c r="T129" s="309"/>
      <c r="U129" s="272"/>
    </row>
    <row r="130" spans="1:21" x14ac:dyDescent="0.25">
      <c r="A130" s="45"/>
      <c r="B130" s="38"/>
      <c r="C130" s="41"/>
      <c r="D130" s="44"/>
      <c r="E130" s="42"/>
      <c r="F130" s="44"/>
      <c r="G130" s="44"/>
      <c r="H130" s="44"/>
      <c r="I130" s="46"/>
      <c r="J130" s="46"/>
      <c r="K130" s="46"/>
      <c r="L130" s="269"/>
      <c r="M130" s="269"/>
      <c r="N130" s="270"/>
      <c r="P130" s="308"/>
      <c r="Q130" s="309"/>
      <c r="R130" s="309"/>
      <c r="S130" s="309"/>
      <c r="T130" s="309"/>
      <c r="U130" s="272"/>
    </row>
    <row r="131" spans="1:21" x14ac:dyDescent="0.25">
      <c r="A131" s="45"/>
      <c r="B131" s="44"/>
      <c r="C131" s="45"/>
      <c r="D131" s="44"/>
      <c r="E131" s="42"/>
      <c r="F131" s="44"/>
      <c r="G131" s="44"/>
      <c r="H131" s="44"/>
      <c r="I131" s="46"/>
      <c r="J131" s="46"/>
      <c r="K131" s="46"/>
      <c r="L131" s="269"/>
      <c r="M131" s="269"/>
      <c r="N131" s="270"/>
      <c r="P131" s="308"/>
      <c r="Q131" s="309"/>
      <c r="R131" s="309"/>
      <c r="S131" s="309"/>
      <c r="T131" s="309"/>
      <c r="U131" s="272"/>
    </row>
    <row r="132" spans="1:21" x14ac:dyDescent="0.25">
      <c r="A132" s="45"/>
      <c r="B132" s="44"/>
      <c r="C132" s="45"/>
      <c r="D132" s="44"/>
      <c r="E132" s="42"/>
      <c r="F132" s="44"/>
      <c r="G132" s="44"/>
      <c r="H132" s="44"/>
      <c r="I132" s="46"/>
      <c r="J132" s="46"/>
      <c r="K132" s="46"/>
      <c r="L132" s="269"/>
      <c r="M132" s="269"/>
      <c r="N132" s="270"/>
      <c r="P132" s="308"/>
      <c r="Q132" s="309"/>
      <c r="R132" s="309"/>
      <c r="S132" s="309"/>
      <c r="T132" s="309"/>
      <c r="U132" s="272"/>
    </row>
    <row r="133" spans="1:21" x14ac:dyDescent="0.25">
      <c r="A133" s="45"/>
      <c r="B133" s="44"/>
      <c r="C133" s="45"/>
      <c r="D133" s="44"/>
      <c r="E133" s="42"/>
      <c r="F133" s="44"/>
      <c r="G133" s="44"/>
      <c r="H133" s="44"/>
      <c r="I133" s="46"/>
      <c r="J133" s="46"/>
      <c r="K133" s="46"/>
      <c r="L133" s="269"/>
      <c r="M133" s="269"/>
      <c r="N133" s="270"/>
      <c r="P133" s="308"/>
      <c r="Q133" s="309"/>
      <c r="R133" s="309"/>
      <c r="S133" s="309"/>
      <c r="T133" s="309"/>
      <c r="U133" s="272"/>
    </row>
    <row r="134" spans="1:21" x14ac:dyDescent="0.25">
      <c r="A134" s="45"/>
      <c r="B134" s="44"/>
      <c r="C134" s="45"/>
      <c r="D134" s="44"/>
      <c r="E134" s="42"/>
      <c r="F134" s="44"/>
      <c r="G134" s="44"/>
      <c r="H134" s="44"/>
      <c r="I134" s="46"/>
      <c r="J134" s="46"/>
      <c r="K134" s="46"/>
      <c r="L134" s="269"/>
      <c r="M134" s="269"/>
      <c r="N134" s="270"/>
      <c r="P134" s="308"/>
      <c r="Q134" s="309"/>
      <c r="R134" s="309"/>
      <c r="S134" s="309"/>
      <c r="T134" s="309"/>
      <c r="U134" s="272"/>
    </row>
    <row r="135" spans="1:21" x14ac:dyDescent="0.25">
      <c r="A135" s="45"/>
      <c r="B135" s="44"/>
      <c r="C135" s="45"/>
      <c r="D135" s="44"/>
      <c r="E135" s="42"/>
      <c r="F135" s="44"/>
      <c r="G135" s="44"/>
      <c r="H135" s="44"/>
      <c r="I135" s="46"/>
      <c r="J135" s="46"/>
      <c r="K135" s="46"/>
      <c r="L135" s="269"/>
      <c r="M135" s="269"/>
      <c r="N135" s="270"/>
      <c r="P135" s="308"/>
      <c r="Q135" s="309"/>
      <c r="R135" s="309"/>
      <c r="S135" s="309"/>
      <c r="T135" s="309"/>
      <c r="U135" s="272"/>
    </row>
    <row r="136" spans="1:21" x14ac:dyDescent="0.25">
      <c r="A136" s="45"/>
      <c r="B136" s="44"/>
      <c r="C136" s="45"/>
      <c r="D136" s="44"/>
      <c r="E136" s="42"/>
      <c r="F136" s="44"/>
      <c r="G136" s="44"/>
      <c r="H136" s="44"/>
      <c r="I136" s="46"/>
      <c r="J136" s="46"/>
      <c r="K136" s="46"/>
      <c r="L136" s="269"/>
      <c r="M136" s="269"/>
      <c r="N136" s="270"/>
      <c r="P136" s="308"/>
      <c r="Q136" s="309"/>
      <c r="R136" s="309"/>
      <c r="S136" s="309"/>
      <c r="T136" s="309"/>
      <c r="U136" s="272"/>
    </row>
    <row r="137" spans="1:21" x14ac:dyDescent="0.25">
      <c r="A137" s="45"/>
      <c r="B137" s="44"/>
      <c r="C137" s="45"/>
      <c r="D137" s="44"/>
      <c r="E137" s="42"/>
      <c r="F137" s="44"/>
      <c r="G137" s="44"/>
      <c r="H137" s="44"/>
      <c r="I137" s="46"/>
      <c r="J137" s="46"/>
      <c r="K137" s="46"/>
      <c r="L137" s="269"/>
      <c r="M137" s="269"/>
      <c r="N137" s="270"/>
      <c r="P137" s="308"/>
      <c r="Q137" s="309"/>
      <c r="R137" s="309"/>
      <c r="S137" s="309"/>
      <c r="T137" s="309"/>
      <c r="U137" s="272"/>
    </row>
    <row r="138" spans="1:21" x14ac:dyDescent="0.25">
      <c r="A138" s="45"/>
      <c r="B138" s="44"/>
      <c r="C138" s="45"/>
      <c r="D138" s="44"/>
      <c r="E138" s="42"/>
      <c r="F138" s="44"/>
      <c r="G138" s="44"/>
      <c r="H138" s="44"/>
      <c r="I138" s="46"/>
      <c r="J138" s="46"/>
      <c r="K138" s="46"/>
      <c r="L138" s="269"/>
      <c r="M138" s="269"/>
      <c r="N138" s="270"/>
      <c r="P138" s="308"/>
      <c r="Q138" s="309"/>
      <c r="R138" s="309"/>
      <c r="S138" s="309"/>
      <c r="T138" s="309"/>
      <c r="U138" s="272"/>
    </row>
    <row r="139" spans="1:21" x14ac:dyDescent="0.25">
      <c r="A139" s="45"/>
      <c r="B139" s="44"/>
      <c r="C139" s="45"/>
      <c r="D139" s="44"/>
      <c r="E139" s="42"/>
      <c r="F139" s="44"/>
      <c r="G139" s="44"/>
      <c r="H139" s="44"/>
      <c r="I139" s="46"/>
      <c r="J139" s="46"/>
      <c r="K139" s="46"/>
      <c r="L139" s="269"/>
      <c r="M139" s="269"/>
      <c r="N139" s="270"/>
      <c r="P139" s="308"/>
      <c r="Q139" s="309"/>
      <c r="R139" s="309"/>
      <c r="S139" s="309"/>
      <c r="T139" s="309"/>
      <c r="U139" s="272"/>
    </row>
    <row r="140" spans="1:21" x14ac:dyDescent="0.25">
      <c r="A140" s="45"/>
      <c r="B140" s="44"/>
      <c r="C140" s="45"/>
      <c r="D140" s="44"/>
      <c r="E140" s="42"/>
      <c r="F140" s="44"/>
      <c r="G140" s="44"/>
      <c r="H140" s="44"/>
      <c r="I140" s="46"/>
      <c r="J140" s="46"/>
      <c r="K140" s="46"/>
      <c r="L140" s="269"/>
      <c r="M140" s="269"/>
      <c r="N140" s="270"/>
      <c r="P140" s="308"/>
      <c r="Q140" s="309"/>
      <c r="R140" s="309"/>
      <c r="S140" s="309"/>
      <c r="T140" s="309"/>
      <c r="U140" s="272"/>
    </row>
    <row r="141" spans="1:21" x14ac:dyDescent="0.25">
      <c r="A141" s="45"/>
      <c r="B141" s="44"/>
      <c r="C141" s="45"/>
      <c r="D141" s="44"/>
      <c r="E141" s="42"/>
      <c r="F141" s="44"/>
      <c r="G141" s="44"/>
      <c r="H141" s="44"/>
      <c r="I141" s="46"/>
      <c r="J141" s="46"/>
      <c r="K141" s="46"/>
      <c r="L141" s="269"/>
      <c r="M141" s="269"/>
      <c r="N141" s="270"/>
      <c r="P141" s="308"/>
      <c r="Q141" s="309"/>
      <c r="R141" s="309"/>
      <c r="S141" s="309"/>
      <c r="T141" s="309"/>
      <c r="U141" s="272"/>
    </row>
    <row r="142" spans="1:21" x14ac:dyDescent="0.25">
      <c r="A142" s="45"/>
      <c r="B142" s="44"/>
      <c r="C142" s="45"/>
      <c r="D142" s="44"/>
      <c r="E142" s="42"/>
      <c r="F142" s="44"/>
      <c r="G142" s="44"/>
      <c r="H142" s="44"/>
      <c r="I142" s="46"/>
      <c r="J142" s="46"/>
      <c r="K142" s="46"/>
      <c r="L142" s="269"/>
      <c r="M142" s="269"/>
      <c r="N142" s="270"/>
      <c r="P142" s="308"/>
      <c r="Q142" s="309"/>
      <c r="R142" s="309"/>
      <c r="S142" s="309"/>
      <c r="T142" s="309"/>
      <c r="U142" s="272"/>
    </row>
    <row r="143" spans="1:21" x14ac:dyDescent="0.25">
      <c r="A143" s="45"/>
      <c r="B143" s="44"/>
      <c r="C143" s="45"/>
      <c r="D143" s="44"/>
      <c r="E143" s="42"/>
      <c r="F143" s="44"/>
      <c r="G143" s="44"/>
      <c r="H143" s="44"/>
      <c r="I143" s="46"/>
      <c r="J143" s="46"/>
      <c r="K143" s="46"/>
      <c r="L143" s="269"/>
      <c r="M143" s="269"/>
      <c r="N143" s="270"/>
      <c r="P143" s="308"/>
      <c r="Q143" s="309"/>
      <c r="R143" s="309"/>
      <c r="S143" s="309"/>
      <c r="T143" s="309"/>
      <c r="U143" s="272"/>
    </row>
    <row r="144" spans="1:21" x14ac:dyDescent="0.25">
      <c r="A144" s="45"/>
      <c r="B144" s="44"/>
      <c r="C144" s="45"/>
      <c r="D144" s="44"/>
      <c r="E144" s="42"/>
      <c r="F144" s="44"/>
      <c r="G144" s="44"/>
      <c r="H144" s="44"/>
      <c r="I144" s="46"/>
      <c r="J144" s="46"/>
      <c r="K144" s="46"/>
      <c r="L144" s="269"/>
      <c r="M144" s="269"/>
      <c r="N144" s="270"/>
      <c r="P144" s="308"/>
      <c r="Q144" s="309"/>
      <c r="R144" s="309"/>
      <c r="S144" s="309"/>
      <c r="T144" s="309"/>
      <c r="U144" s="272"/>
    </row>
    <row r="145" spans="1:21" x14ac:dyDescent="0.25">
      <c r="A145" s="45"/>
      <c r="B145" s="44"/>
      <c r="C145" s="45"/>
      <c r="D145" s="44"/>
      <c r="E145" s="42"/>
      <c r="F145" s="44"/>
      <c r="G145" s="44"/>
      <c r="H145" s="44"/>
      <c r="I145" s="46"/>
      <c r="J145" s="46"/>
      <c r="K145" s="46"/>
      <c r="L145" s="269"/>
      <c r="M145" s="269"/>
      <c r="N145" s="270"/>
      <c r="P145" s="308"/>
      <c r="Q145" s="309"/>
      <c r="R145" s="309"/>
      <c r="S145" s="309"/>
      <c r="T145" s="309"/>
      <c r="U145" s="272"/>
    </row>
    <row r="146" spans="1:21" x14ac:dyDescent="0.25">
      <c r="A146" s="54"/>
      <c r="B146" s="44"/>
      <c r="C146" s="45"/>
      <c r="D146" s="56"/>
      <c r="E146" s="55"/>
      <c r="F146" s="56"/>
      <c r="G146" s="56"/>
      <c r="H146" s="56"/>
      <c r="I146" s="57"/>
      <c r="J146" s="57"/>
      <c r="K146" s="57"/>
      <c r="L146" s="269"/>
      <c r="M146" s="269"/>
      <c r="N146" s="270"/>
      <c r="P146" s="308"/>
      <c r="Q146" s="309"/>
      <c r="R146" s="309"/>
      <c r="S146" s="309"/>
      <c r="T146" s="309"/>
      <c r="U146" s="272"/>
    </row>
    <row r="147" spans="1:21" x14ac:dyDescent="0.25">
      <c r="A147" s="54"/>
      <c r="B147" s="44"/>
      <c r="C147" s="45"/>
      <c r="D147" s="56"/>
      <c r="E147" s="55"/>
      <c r="F147" s="56"/>
      <c r="G147" s="56"/>
      <c r="H147" s="56"/>
      <c r="I147" s="57"/>
      <c r="J147" s="57"/>
      <c r="K147" s="57"/>
      <c r="L147" s="269"/>
      <c r="M147" s="269"/>
      <c r="N147" s="270"/>
      <c r="P147" s="308"/>
      <c r="Q147" s="309"/>
      <c r="R147" s="309"/>
      <c r="S147" s="309"/>
      <c r="T147" s="309"/>
      <c r="U147" s="272"/>
    </row>
    <row r="148" spans="1:21" x14ac:dyDescent="0.25">
      <c r="A148" s="54"/>
      <c r="B148" s="44"/>
      <c r="C148" s="45"/>
      <c r="D148" s="56"/>
      <c r="E148" s="55"/>
      <c r="F148" s="56"/>
      <c r="G148" s="56"/>
      <c r="H148" s="56"/>
      <c r="I148" s="57"/>
      <c r="J148" s="57"/>
      <c r="K148" s="57"/>
      <c r="L148" s="269"/>
      <c r="M148" s="269"/>
      <c r="N148" s="270"/>
      <c r="P148" s="308"/>
      <c r="Q148" s="309"/>
      <c r="R148" s="309"/>
      <c r="S148" s="309"/>
      <c r="T148" s="309"/>
      <c r="U148" s="272"/>
    </row>
    <row r="149" spans="1:21" x14ac:dyDescent="0.25">
      <c r="A149" s="54"/>
      <c r="B149" s="44"/>
      <c r="C149" s="45"/>
      <c r="D149" s="56"/>
      <c r="E149" s="55"/>
      <c r="F149" s="56"/>
      <c r="G149" s="56"/>
      <c r="H149" s="56"/>
      <c r="I149" s="57"/>
      <c r="J149" s="57"/>
      <c r="K149" s="57"/>
      <c r="P149" s="273"/>
      <c r="Q149" s="256"/>
      <c r="R149" s="256"/>
      <c r="S149" s="256"/>
      <c r="T149" s="256"/>
      <c r="U149" s="274"/>
    </row>
    <row r="150" spans="1:21" x14ac:dyDescent="0.25">
      <c r="A150" s="54"/>
      <c r="B150" s="44"/>
      <c r="C150" s="45"/>
      <c r="D150" s="56"/>
      <c r="E150" s="55"/>
      <c r="F150" s="56"/>
      <c r="G150" s="56"/>
      <c r="H150" s="56"/>
      <c r="I150" s="57"/>
      <c r="J150" s="57"/>
      <c r="K150" s="57"/>
    </row>
    <row r="151" spans="1:21" x14ac:dyDescent="0.25">
      <c r="A151" s="54"/>
      <c r="B151" s="44"/>
      <c r="C151" s="45"/>
      <c r="D151" s="56"/>
      <c r="E151" s="55"/>
      <c r="F151" s="56"/>
      <c r="G151" s="56"/>
      <c r="H151" s="56"/>
      <c r="I151" s="57"/>
      <c r="J151" s="57"/>
      <c r="K151" s="57"/>
    </row>
    <row r="152" spans="1:21" x14ac:dyDescent="0.25">
      <c r="A152" s="54"/>
      <c r="B152" s="44"/>
      <c r="C152" s="45"/>
      <c r="D152" s="56"/>
      <c r="E152" s="55"/>
      <c r="F152" s="56"/>
      <c r="G152" s="56"/>
      <c r="H152" s="56"/>
      <c r="I152" s="57"/>
      <c r="J152" s="57"/>
      <c r="K152" s="57"/>
    </row>
    <row r="153" spans="1:21" x14ac:dyDescent="0.25">
      <c r="A153" s="54"/>
      <c r="B153" s="44"/>
      <c r="C153" s="45"/>
      <c r="D153" s="56"/>
      <c r="E153" s="55"/>
      <c r="F153" s="56"/>
      <c r="G153" s="56"/>
      <c r="H153" s="56"/>
      <c r="I153" s="57"/>
      <c r="J153" s="57"/>
      <c r="K153" s="57"/>
    </row>
    <row r="154" spans="1:21" x14ac:dyDescent="0.25">
      <c r="A154" s="54"/>
      <c r="B154" s="44"/>
      <c r="C154" s="45"/>
      <c r="D154" s="56"/>
      <c r="E154" s="55"/>
      <c r="F154" s="56"/>
      <c r="G154" s="56"/>
      <c r="H154" s="56"/>
      <c r="I154" s="57"/>
      <c r="J154" s="57"/>
      <c r="K154" s="57"/>
    </row>
    <row r="155" spans="1:21" x14ac:dyDescent="0.25">
      <c r="A155" s="54"/>
      <c r="B155" s="44"/>
      <c r="C155" s="45"/>
      <c r="D155" s="56"/>
      <c r="E155" s="55"/>
      <c r="F155" s="56"/>
      <c r="G155" s="56"/>
      <c r="H155" s="56"/>
      <c r="I155" s="57"/>
      <c r="J155" s="57"/>
      <c r="K155" s="57"/>
    </row>
    <row r="156" spans="1:21" x14ac:dyDescent="0.25">
      <c r="A156" s="54"/>
      <c r="B156" s="44"/>
      <c r="C156" s="45"/>
      <c r="D156" s="56"/>
      <c r="E156" s="55"/>
      <c r="F156" s="56"/>
      <c r="G156" s="56"/>
      <c r="H156" s="56"/>
      <c r="I156" s="57"/>
      <c r="J156" s="57"/>
      <c r="K156" s="57"/>
    </row>
    <row r="157" spans="1:21" x14ac:dyDescent="0.25">
      <c r="A157" s="54"/>
      <c r="B157" s="44"/>
      <c r="C157" s="45"/>
      <c r="D157" s="56"/>
      <c r="E157" s="55"/>
      <c r="F157" s="56"/>
      <c r="G157" s="56"/>
      <c r="H157" s="56"/>
      <c r="I157" s="57"/>
      <c r="J157" s="57"/>
      <c r="K157" s="57"/>
    </row>
    <row r="158" spans="1:21" x14ac:dyDescent="0.25">
      <c r="A158" s="54"/>
      <c r="B158" s="44"/>
      <c r="C158" s="45"/>
      <c r="D158" s="56"/>
      <c r="E158" s="55"/>
      <c r="F158" s="56"/>
      <c r="G158" s="56"/>
      <c r="H158" s="56"/>
      <c r="I158" s="57"/>
      <c r="J158" s="57"/>
      <c r="K158" s="57"/>
    </row>
    <row r="159" spans="1:21" x14ac:dyDescent="0.25">
      <c r="A159" s="54"/>
      <c r="B159" s="56"/>
      <c r="C159" s="54"/>
      <c r="D159" s="56"/>
      <c r="E159" s="55"/>
      <c r="F159" s="56"/>
      <c r="G159" s="56"/>
      <c r="H159" s="56"/>
      <c r="I159" s="57"/>
      <c r="J159" s="57"/>
      <c r="K159" s="57"/>
    </row>
    <row r="160" spans="1:21" x14ac:dyDescent="0.25">
      <c r="A160" s="54"/>
      <c r="B160" s="56"/>
      <c r="C160" s="54"/>
      <c r="D160" s="56"/>
      <c r="E160" s="55"/>
      <c r="F160" s="56"/>
      <c r="G160" s="56"/>
      <c r="H160" s="56"/>
      <c r="I160" s="57"/>
      <c r="J160" s="57"/>
      <c r="K160" s="57"/>
    </row>
    <row r="161" spans="1:11" x14ac:dyDescent="0.25">
      <c r="A161" s="54"/>
      <c r="B161" s="56"/>
      <c r="C161" s="54"/>
      <c r="D161" s="56"/>
      <c r="E161" s="55"/>
      <c r="F161" s="56"/>
      <c r="G161" s="56"/>
      <c r="H161" s="56"/>
      <c r="I161" s="57"/>
      <c r="J161" s="57"/>
      <c r="K161" s="57"/>
    </row>
    <row r="162" spans="1:11" x14ac:dyDescent="0.25">
      <c r="A162" s="54"/>
      <c r="B162" s="56"/>
      <c r="C162" s="54"/>
      <c r="D162" s="56"/>
      <c r="E162" s="55"/>
      <c r="F162" s="56"/>
      <c r="G162" s="56"/>
      <c r="H162" s="56"/>
      <c r="I162" s="57"/>
      <c r="J162" s="57"/>
      <c r="K162" s="57"/>
    </row>
    <row r="163" spans="1:11" x14ac:dyDescent="0.25">
      <c r="A163" s="54"/>
      <c r="B163" s="56"/>
      <c r="C163" s="54"/>
      <c r="D163" s="56"/>
      <c r="E163" s="55"/>
      <c r="F163" s="56"/>
      <c r="G163" s="56"/>
      <c r="H163" s="56"/>
      <c r="I163" s="57"/>
      <c r="J163" s="57"/>
      <c r="K163" s="57"/>
    </row>
    <row r="164" spans="1:11" x14ac:dyDescent="0.25">
      <c r="A164" s="54"/>
      <c r="B164" s="56"/>
      <c r="C164" s="54"/>
      <c r="D164" s="56"/>
      <c r="E164" s="55"/>
      <c r="F164" s="56"/>
      <c r="G164" s="56"/>
      <c r="H164" s="56"/>
      <c r="I164" s="57"/>
      <c r="J164" s="57"/>
      <c r="K164" s="57"/>
    </row>
    <row r="165" spans="1:11" x14ac:dyDescent="0.25">
      <c r="A165" s="54"/>
      <c r="B165" s="56"/>
      <c r="C165" s="54"/>
      <c r="D165" s="56"/>
      <c r="E165" s="55"/>
      <c r="F165" s="56"/>
      <c r="G165" s="56"/>
      <c r="H165" s="56"/>
      <c r="I165" s="57"/>
      <c r="J165" s="57"/>
      <c r="K165" s="57"/>
    </row>
    <row r="166" spans="1:11" x14ac:dyDescent="0.25">
      <c r="A166" s="54"/>
      <c r="B166" s="56"/>
      <c r="C166" s="54"/>
      <c r="D166" s="56"/>
      <c r="E166" s="55"/>
      <c r="F166" s="56"/>
      <c r="G166" s="56"/>
      <c r="H166" s="56"/>
      <c r="I166" s="57"/>
      <c r="J166" s="57"/>
      <c r="K166" s="57"/>
    </row>
    <row r="167" spans="1:11" x14ac:dyDescent="0.25">
      <c r="A167" s="54"/>
      <c r="B167" s="56"/>
      <c r="C167" s="54"/>
      <c r="D167" s="56"/>
      <c r="E167" s="55"/>
      <c r="F167" s="56"/>
      <c r="G167" s="56"/>
      <c r="H167" s="56"/>
      <c r="I167" s="57"/>
      <c r="J167" s="57"/>
      <c r="K167" s="57"/>
    </row>
    <row r="168" spans="1:11" x14ac:dyDescent="0.25">
      <c r="A168" s="54"/>
      <c r="B168" s="56"/>
      <c r="C168" s="54"/>
      <c r="D168" s="56"/>
      <c r="E168" s="55"/>
      <c r="F168" s="56"/>
      <c r="G168" s="56"/>
      <c r="H168" s="56"/>
      <c r="I168" s="57"/>
      <c r="J168" s="57"/>
      <c r="K168" s="57"/>
    </row>
    <row r="169" spans="1:11" x14ac:dyDescent="0.25">
      <c r="A169" s="54"/>
      <c r="B169" s="56"/>
      <c r="C169" s="54"/>
      <c r="D169" s="56"/>
      <c r="E169" s="55"/>
      <c r="F169" s="56"/>
      <c r="G169" s="56"/>
      <c r="H169" s="56"/>
      <c r="I169" s="57"/>
      <c r="J169" s="57"/>
      <c r="K169" s="57"/>
    </row>
    <row r="170" spans="1:11" x14ac:dyDescent="0.25">
      <c r="A170" s="54"/>
      <c r="B170" s="56"/>
      <c r="C170" s="54"/>
      <c r="D170" s="56"/>
      <c r="E170" s="55"/>
      <c r="F170" s="56"/>
      <c r="G170" s="56"/>
      <c r="H170" s="56"/>
      <c r="I170" s="57"/>
      <c r="J170" s="57"/>
      <c r="K170" s="57"/>
    </row>
    <row r="171" spans="1:11" x14ac:dyDescent="0.25">
      <c r="A171" s="54"/>
      <c r="B171" s="56"/>
      <c r="C171" s="54"/>
      <c r="D171" s="56"/>
      <c r="E171" s="55"/>
      <c r="F171" s="56"/>
      <c r="G171" s="56"/>
      <c r="H171" s="56"/>
      <c r="I171" s="57"/>
      <c r="J171" s="57"/>
      <c r="K171" s="57"/>
    </row>
    <row r="172" spans="1:11" x14ac:dyDescent="0.25">
      <c r="A172" s="54"/>
      <c r="B172" s="56"/>
      <c r="C172" s="54"/>
      <c r="D172" s="56"/>
      <c r="E172" s="55"/>
      <c r="F172" s="56"/>
      <c r="G172" s="56"/>
      <c r="H172" s="56"/>
      <c r="I172" s="57"/>
      <c r="J172" s="57"/>
      <c r="K172" s="57"/>
    </row>
    <row r="173" spans="1:11" x14ac:dyDescent="0.25">
      <c r="A173" s="54"/>
      <c r="B173" s="56"/>
      <c r="C173" s="54"/>
      <c r="D173" s="56"/>
      <c r="E173" s="55"/>
      <c r="F173" s="56"/>
      <c r="G173" s="56"/>
      <c r="H173" s="56"/>
      <c r="I173" s="57"/>
      <c r="J173" s="57"/>
      <c r="K173" s="57"/>
    </row>
    <row r="174" spans="1:11" x14ac:dyDescent="0.25">
      <c r="A174" s="54"/>
      <c r="B174" s="56"/>
      <c r="C174" s="54"/>
      <c r="D174" s="56"/>
      <c r="E174" s="55"/>
      <c r="F174" s="56"/>
      <c r="G174" s="56"/>
      <c r="H174" s="56"/>
      <c r="I174" s="57"/>
      <c r="J174" s="57"/>
      <c r="K174" s="57"/>
    </row>
    <row r="175" spans="1:11" x14ac:dyDescent="0.25">
      <c r="A175" s="54"/>
      <c r="B175" s="56"/>
      <c r="C175" s="54"/>
      <c r="D175" s="56"/>
      <c r="E175" s="55"/>
      <c r="F175" s="56"/>
      <c r="G175" s="56"/>
      <c r="H175" s="56"/>
      <c r="I175" s="57"/>
      <c r="J175" s="57"/>
      <c r="K175" s="57"/>
    </row>
    <row r="176" spans="1:11" x14ac:dyDescent="0.25">
      <c r="A176" s="54"/>
      <c r="B176" s="56"/>
      <c r="C176" s="54"/>
      <c r="D176" s="56"/>
      <c r="E176" s="55"/>
      <c r="F176" s="56"/>
      <c r="G176" s="56"/>
      <c r="H176" s="56"/>
      <c r="I176" s="57"/>
      <c r="J176" s="57"/>
      <c r="K176" s="57"/>
    </row>
    <row r="177" spans="1:11" x14ac:dyDescent="0.25">
      <c r="A177" s="54"/>
      <c r="B177" s="56"/>
      <c r="C177" s="54"/>
      <c r="D177" s="56"/>
      <c r="E177" s="55"/>
      <c r="F177" s="56"/>
      <c r="G177" s="56"/>
      <c r="H177" s="56"/>
      <c r="I177" s="57"/>
      <c r="J177" s="57"/>
      <c r="K177" s="57"/>
    </row>
    <row r="178" spans="1:11" x14ac:dyDescent="0.25">
      <c r="A178" s="54"/>
      <c r="B178" s="56"/>
      <c r="C178" s="54"/>
      <c r="D178" s="56"/>
      <c r="E178" s="55"/>
      <c r="F178" s="56"/>
      <c r="G178" s="56"/>
      <c r="H178" s="56"/>
      <c r="I178" s="57"/>
      <c r="J178" s="57"/>
      <c r="K178" s="57"/>
    </row>
    <row r="179" spans="1:11" x14ac:dyDescent="0.25">
      <c r="A179" s="54"/>
      <c r="B179" s="56"/>
      <c r="C179" s="54"/>
      <c r="D179" s="56"/>
      <c r="E179" s="55"/>
      <c r="F179" s="56"/>
      <c r="G179" s="56"/>
      <c r="H179" s="56"/>
      <c r="I179" s="57"/>
      <c r="J179" s="57"/>
      <c r="K179" s="57"/>
    </row>
    <row r="180" spans="1:11" x14ac:dyDescent="0.25">
      <c r="A180" s="54"/>
      <c r="B180" s="56"/>
      <c r="C180" s="54"/>
      <c r="D180" s="56"/>
      <c r="E180" s="55"/>
      <c r="F180" s="56"/>
      <c r="G180" s="56"/>
      <c r="H180" s="56"/>
      <c r="I180" s="57"/>
      <c r="J180" s="57"/>
      <c r="K180" s="57"/>
    </row>
    <row r="181" spans="1:11" x14ac:dyDescent="0.25">
      <c r="A181" s="54"/>
      <c r="B181" s="56"/>
      <c r="C181" s="54"/>
      <c r="D181" s="56"/>
      <c r="E181" s="55"/>
      <c r="F181" s="56"/>
      <c r="G181" s="56"/>
      <c r="H181" s="56"/>
      <c r="I181" s="57"/>
      <c r="J181" s="57"/>
      <c r="K181" s="57"/>
    </row>
    <row r="182" spans="1:11" x14ac:dyDescent="0.25">
      <c r="A182" s="54"/>
      <c r="B182" s="56"/>
      <c r="C182" s="54"/>
      <c r="D182" s="56"/>
      <c r="E182" s="55"/>
      <c r="F182" s="56"/>
      <c r="G182" s="56"/>
      <c r="H182" s="56"/>
      <c r="I182" s="57"/>
      <c r="J182" s="57"/>
      <c r="K182" s="57"/>
    </row>
    <row r="183" spans="1:11" x14ac:dyDescent="0.25">
      <c r="A183" s="54"/>
      <c r="B183" s="56"/>
      <c r="C183" s="54"/>
      <c r="D183" s="56"/>
      <c r="E183" s="55"/>
      <c r="F183" s="56"/>
      <c r="G183" s="56"/>
      <c r="H183" s="56"/>
      <c r="I183" s="57"/>
      <c r="J183" s="57"/>
      <c r="K183" s="57"/>
    </row>
    <row r="184" spans="1:11" x14ac:dyDescent="0.25">
      <c r="A184" s="54"/>
      <c r="B184" s="56"/>
      <c r="C184" s="54"/>
      <c r="D184" s="56"/>
      <c r="E184" s="55"/>
      <c r="F184" s="56"/>
      <c r="G184" s="56"/>
      <c r="H184" s="56"/>
      <c r="I184" s="57"/>
      <c r="J184" s="57"/>
      <c r="K184" s="57"/>
    </row>
    <row r="185" spans="1:11" x14ac:dyDescent="0.25">
      <c r="A185" s="54"/>
      <c r="B185" s="56"/>
      <c r="C185" s="54"/>
      <c r="D185" s="56"/>
      <c r="E185" s="55"/>
      <c r="F185" s="56"/>
      <c r="G185" s="56"/>
      <c r="H185" s="56"/>
      <c r="I185" s="57"/>
      <c r="J185" s="57"/>
      <c r="K185" s="57"/>
    </row>
    <row r="186" spans="1:11" x14ac:dyDescent="0.25">
      <c r="A186" s="54"/>
      <c r="B186" s="56"/>
      <c r="C186" s="54"/>
      <c r="D186" s="56"/>
      <c r="E186" s="55"/>
      <c r="F186" s="56"/>
      <c r="G186" s="56"/>
      <c r="H186" s="56"/>
      <c r="I186" s="57"/>
      <c r="J186" s="57"/>
      <c r="K186" s="57"/>
    </row>
    <row r="187" spans="1:11" x14ac:dyDescent="0.25">
      <c r="A187" s="54"/>
      <c r="B187" s="56"/>
      <c r="C187" s="54"/>
      <c r="D187" s="56"/>
      <c r="E187" s="55"/>
      <c r="F187" s="56"/>
      <c r="G187" s="56"/>
      <c r="H187" s="56"/>
      <c r="I187" s="57"/>
      <c r="J187" s="57"/>
      <c r="K187" s="57"/>
    </row>
    <row r="188" spans="1:11" x14ac:dyDescent="0.25">
      <c r="A188" s="54"/>
      <c r="B188" s="56"/>
      <c r="C188" s="54"/>
      <c r="D188" s="56"/>
      <c r="E188" s="55"/>
      <c r="F188" s="56"/>
      <c r="G188" s="56"/>
      <c r="H188" s="56"/>
      <c r="I188" s="57"/>
      <c r="J188" s="57"/>
      <c r="K188" s="57"/>
    </row>
    <row r="189" spans="1:11" x14ac:dyDescent="0.25">
      <c r="A189" s="54"/>
      <c r="B189" s="56"/>
      <c r="C189" s="54"/>
      <c r="D189" s="56"/>
      <c r="E189" s="55"/>
      <c r="F189" s="56"/>
      <c r="G189" s="56"/>
      <c r="H189" s="56"/>
      <c r="I189" s="57"/>
      <c r="J189" s="57"/>
      <c r="K189" s="57"/>
    </row>
    <row r="190" spans="1:11" x14ac:dyDescent="0.25">
      <c r="A190" s="54"/>
      <c r="B190" s="56"/>
      <c r="C190" s="54"/>
      <c r="D190" s="56"/>
      <c r="E190" s="55"/>
      <c r="F190" s="56"/>
      <c r="G190" s="56"/>
      <c r="H190" s="56"/>
      <c r="I190" s="57"/>
      <c r="J190" s="57"/>
      <c r="K190" s="57"/>
    </row>
    <row r="191" spans="1:11" x14ac:dyDescent="0.25">
      <c r="A191" s="54"/>
      <c r="B191" s="56"/>
      <c r="C191" s="54"/>
      <c r="D191" s="56"/>
      <c r="E191" s="55"/>
      <c r="F191" s="56"/>
      <c r="G191" s="56"/>
      <c r="H191" s="56"/>
      <c r="I191" s="57"/>
      <c r="J191" s="57"/>
      <c r="K191" s="57"/>
    </row>
    <row r="192" spans="1:11" x14ac:dyDescent="0.25">
      <c r="A192" s="54"/>
      <c r="B192" s="56"/>
      <c r="C192" s="54"/>
      <c r="D192" s="56"/>
      <c r="E192" s="55"/>
      <c r="F192" s="56"/>
      <c r="G192" s="56"/>
      <c r="H192" s="56"/>
      <c r="I192" s="57"/>
      <c r="J192" s="57"/>
      <c r="K192" s="57"/>
    </row>
    <row r="193" spans="1:11" x14ac:dyDescent="0.25">
      <c r="A193" s="54"/>
      <c r="B193" s="56"/>
      <c r="C193" s="54"/>
      <c r="D193" s="56"/>
      <c r="E193" s="55"/>
      <c r="F193" s="56"/>
      <c r="G193" s="56"/>
      <c r="H193" s="56"/>
      <c r="I193" s="57"/>
      <c r="J193" s="57"/>
      <c r="K193" s="57"/>
    </row>
    <row r="194" spans="1:11" x14ac:dyDescent="0.25">
      <c r="A194" s="54"/>
      <c r="B194" s="56"/>
      <c r="C194" s="54"/>
      <c r="D194" s="56"/>
      <c r="E194" s="55"/>
      <c r="F194" s="56"/>
      <c r="G194" s="56"/>
      <c r="H194" s="56"/>
      <c r="I194" s="57"/>
      <c r="J194" s="57"/>
      <c r="K194" s="57"/>
    </row>
    <row r="195" spans="1:11" x14ac:dyDescent="0.25">
      <c r="A195" s="54"/>
      <c r="B195" s="56"/>
      <c r="C195" s="54"/>
      <c r="D195" s="56"/>
      <c r="E195" s="55"/>
      <c r="F195" s="56"/>
      <c r="G195" s="56"/>
      <c r="H195" s="56"/>
      <c r="I195" s="57"/>
      <c r="J195" s="57"/>
      <c r="K195" s="57"/>
    </row>
    <row r="196" spans="1:11" x14ac:dyDescent="0.25">
      <c r="A196" s="54"/>
      <c r="B196" s="56"/>
      <c r="C196" s="54"/>
      <c r="D196" s="56"/>
      <c r="E196" s="55"/>
      <c r="F196" s="56"/>
      <c r="G196" s="56"/>
      <c r="H196" s="56"/>
      <c r="I196" s="57"/>
      <c r="J196" s="57"/>
      <c r="K196" s="57"/>
    </row>
    <row r="197" spans="1:11" x14ac:dyDescent="0.25">
      <c r="A197" s="54"/>
      <c r="B197" s="56"/>
      <c r="C197" s="54"/>
      <c r="D197" s="56"/>
      <c r="E197" s="55"/>
      <c r="F197" s="56"/>
      <c r="G197" s="56"/>
      <c r="H197" s="56"/>
      <c r="I197" s="57"/>
      <c r="J197" s="57"/>
      <c r="K197" s="57"/>
    </row>
    <row r="198" spans="1:11" x14ac:dyDescent="0.25">
      <c r="A198" s="54"/>
      <c r="B198" s="56"/>
      <c r="C198" s="54"/>
      <c r="D198" s="56"/>
      <c r="E198" s="55"/>
      <c r="F198" s="56"/>
      <c r="G198" s="56"/>
      <c r="H198" s="56"/>
      <c r="I198" s="57"/>
      <c r="J198" s="57"/>
      <c r="K198" s="57"/>
    </row>
    <row r="199" spans="1:11" x14ac:dyDescent="0.25">
      <c r="A199" s="54"/>
      <c r="B199" s="56"/>
      <c r="C199" s="54"/>
      <c r="D199" s="56"/>
      <c r="E199" s="55"/>
      <c r="F199" s="56"/>
      <c r="G199" s="56"/>
      <c r="H199" s="56"/>
      <c r="I199" s="57"/>
      <c r="J199" s="57"/>
      <c r="K199" s="57"/>
    </row>
    <row r="200" spans="1:11" x14ac:dyDescent="0.25">
      <c r="A200" s="54"/>
      <c r="B200" s="56"/>
      <c r="C200" s="54"/>
      <c r="D200" s="56"/>
      <c r="E200" s="55"/>
      <c r="F200" s="56"/>
      <c r="G200" s="56"/>
      <c r="H200" s="56"/>
      <c r="I200" s="57"/>
      <c r="J200" s="57"/>
      <c r="K200" s="57"/>
    </row>
    <row r="201" spans="1:11" x14ac:dyDescent="0.25">
      <c r="A201" s="54"/>
      <c r="B201" s="56"/>
      <c r="C201" s="54"/>
      <c r="D201" s="56"/>
      <c r="E201" s="55"/>
      <c r="F201" s="56"/>
      <c r="G201" s="56"/>
      <c r="H201" s="56"/>
      <c r="I201" s="57"/>
      <c r="J201" s="57"/>
      <c r="K201" s="57"/>
    </row>
    <row r="202" spans="1:11" x14ac:dyDescent="0.25">
      <c r="A202" s="54"/>
      <c r="B202" s="56"/>
      <c r="C202" s="54"/>
      <c r="D202" s="56"/>
      <c r="E202" s="55"/>
      <c r="F202" s="56"/>
      <c r="G202" s="56"/>
      <c r="H202" s="56"/>
      <c r="I202" s="57"/>
      <c r="J202" s="57"/>
      <c r="K202" s="57"/>
    </row>
    <row r="203" spans="1:11" x14ac:dyDescent="0.25">
      <c r="A203" s="54"/>
      <c r="B203" s="56"/>
      <c r="C203" s="54"/>
      <c r="D203" s="56"/>
      <c r="E203" s="55"/>
      <c r="F203" s="56"/>
      <c r="G203" s="56"/>
      <c r="H203" s="56"/>
      <c r="I203" s="57"/>
      <c r="J203" s="57"/>
      <c r="K203" s="57"/>
    </row>
    <row r="204" spans="1:11" x14ac:dyDescent="0.25">
      <c r="A204" s="54"/>
      <c r="B204" s="56"/>
      <c r="C204" s="54"/>
      <c r="D204" s="56"/>
      <c r="E204" s="55"/>
      <c r="F204" s="56"/>
      <c r="G204" s="56"/>
      <c r="H204" s="56"/>
      <c r="I204" s="57"/>
      <c r="J204" s="57"/>
      <c r="K204" s="57"/>
    </row>
    <row r="205" spans="1:11" x14ac:dyDescent="0.25">
      <c r="A205" s="54"/>
      <c r="B205" s="56"/>
      <c r="C205" s="54"/>
      <c r="D205" s="56"/>
      <c r="E205" s="55"/>
      <c r="F205" s="56"/>
      <c r="G205" s="56"/>
      <c r="H205" s="56"/>
      <c r="I205" s="57"/>
      <c r="J205" s="57"/>
      <c r="K205" s="57"/>
    </row>
    <row r="206" spans="1:11" x14ac:dyDescent="0.25">
      <c r="A206" s="54"/>
      <c r="B206" s="56"/>
      <c r="C206" s="54"/>
      <c r="D206" s="56"/>
      <c r="E206" s="55"/>
      <c r="F206" s="56"/>
      <c r="G206" s="56"/>
      <c r="H206" s="56"/>
      <c r="I206" s="57"/>
      <c r="J206" s="57"/>
      <c r="K206" s="57"/>
    </row>
    <row r="207" spans="1:11" x14ac:dyDescent="0.25">
      <c r="A207" s="54"/>
      <c r="B207" s="56"/>
      <c r="C207" s="54"/>
      <c r="D207" s="56"/>
      <c r="E207" s="55"/>
      <c r="F207" s="56"/>
      <c r="G207" s="56"/>
      <c r="H207" s="56"/>
      <c r="I207" s="57"/>
      <c r="J207" s="57"/>
      <c r="K207" s="57"/>
    </row>
    <row r="208" spans="1:11" x14ac:dyDescent="0.25">
      <c r="A208" s="54"/>
      <c r="B208" s="56"/>
      <c r="C208" s="54"/>
      <c r="D208" s="56"/>
      <c r="E208" s="55"/>
      <c r="F208" s="56"/>
      <c r="G208" s="56"/>
      <c r="H208" s="56"/>
      <c r="I208" s="57"/>
      <c r="J208" s="57"/>
      <c r="K208" s="57"/>
    </row>
    <row r="209" spans="1:11" x14ac:dyDescent="0.25">
      <c r="A209" s="54"/>
      <c r="B209" s="56"/>
      <c r="C209" s="54"/>
      <c r="D209" s="56"/>
      <c r="E209" s="55"/>
      <c r="F209" s="56"/>
      <c r="G209" s="56"/>
      <c r="H209" s="56"/>
      <c r="I209" s="57"/>
      <c r="J209" s="57"/>
      <c r="K209" s="57"/>
    </row>
    <row r="210" spans="1:11" x14ac:dyDescent="0.25">
      <c r="A210" s="54"/>
      <c r="B210" s="56"/>
      <c r="C210" s="54"/>
      <c r="D210" s="56"/>
      <c r="E210" s="55"/>
      <c r="F210" s="56"/>
      <c r="G210" s="56"/>
      <c r="H210" s="56"/>
      <c r="I210" s="57"/>
      <c r="J210" s="57"/>
      <c r="K210" s="57"/>
    </row>
    <row r="211" spans="1:11" x14ac:dyDescent="0.25">
      <c r="A211" s="54"/>
      <c r="B211" s="56"/>
      <c r="C211" s="54"/>
      <c r="D211" s="56"/>
      <c r="E211" s="55"/>
      <c r="F211" s="56"/>
      <c r="G211" s="56"/>
      <c r="H211" s="56"/>
      <c r="I211" s="57"/>
      <c r="J211" s="57"/>
      <c r="K211" s="57"/>
    </row>
    <row r="212" spans="1:11" x14ac:dyDescent="0.25">
      <c r="A212" s="54"/>
      <c r="B212" s="56"/>
      <c r="C212" s="54"/>
      <c r="D212" s="56"/>
      <c r="E212" s="55"/>
      <c r="F212" s="56"/>
      <c r="G212" s="56"/>
      <c r="H212" s="56"/>
      <c r="I212" s="57"/>
      <c r="J212" s="57"/>
      <c r="K212" s="57"/>
    </row>
    <row r="213" spans="1:11" x14ac:dyDescent="0.25">
      <c r="A213" s="54"/>
      <c r="B213" s="56"/>
      <c r="C213" s="54"/>
      <c r="D213" s="56"/>
      <c r="E213" s="55"/>
      <c r="F213" s="56"/>
      <c r="G213" s="56"/>
      <c r="H213" s="56"/>
      <c r="I213" s="57"/>
      <c r="J213" s="57"/>
      <c r="K213" s="57"/>
    </row>
    <row r="214" spans="1:11" x14ac:dyDescent="0.25">
      <c r="A214" s="54"/>
      <c r="B214" s="56"/>
      <c r="C214" s="54"/>
      <c r="D214" s="56"/>
      <c r="E214" s="55"/>
      <c r="F214" s="56"/>
      <c r="G214" s="56"/>
      <c r="H214" s="56"/>
      <c r="I214" s="57"/>
      <c r="J214" s="57"/>
      <c r="K214" s="57"/>
    </row>
    <row r="215" spans="1:11" x14ac:dyDescent="0.25">
      <c r="A215" s="54"/>
      <c r="B215" s="56"/>
      <c r="C215" s="54"/>
      <c r="D215" s="56"/>
      <c r="E215" s="55"/>
      <c r="F215" s="56"/>
      <c r="G215" s="56"/>
      <c r="H215" s="56"/>
      <c r="I215" s="57"/>
      <c r="J215" s="57"/>
      <c r="K215" s="57"/>
    </row>
    <row r="216" spans="1:11" x14ac:dyDescent="0.25">
      <c r="A216" s="54"/>
      <c r="B216" s="56"/>
      <c r="C216" s="54"/>
      <c r="D216" s="56"/>
      <c r="E216" s="55"/>
      <c r="F216" s="56"/>
      <c r="G216" s="56"/>
      <c r="H216" s="56"/>
      <c r="I216" s="57"/>
      <c r="J216" s="57"/>
      <c r="K216" s="57"/>
    </row>
    <row r="217" spans="1:11" x14ac:dyDescent="0.25">
      <c r="A217" s="54"/>
      <c r="B217" s="56"/>
      <c r="C217" s="54"/>
      <c r="D217" s="56"/>
      <c r="E217" s="55"/>
      <c r="F217" s="56"/>
      <c r="G217" s="56"/>
      <c r="H217" s="56"/>
      <c r="I217" s="57"/>
      <c r="J217" s="57"/>
      <c r="K217" s="57"/>
    </row>
    <row r="218" spans="1:11" x14ac:dyDescent="0.25">
      <c r="A218" s="54"/>
      <c r="B218" s="56"/>
      <c r="C218" s="54"/>
      <c r="D218" s="56"/>
      <c r="E218" s="55"/>
      <c r="F218" s="56"/>
      <c r="G218" s="56"/>
      <c r="H218" s="56"/>
      <c r="I218" s="57"/>
      <c r="J218" s="57"/>
      <c r="K218" s="57"/>
    </row>
    <row r="219" spans="1:11" x14ac:dyDescent="0.25">
      <c r="A219" s="54"/>
      <c r="B219" s="56"/>
      <c r="C219" s="54"/>
      <c r="D219" s="56"/>
      <c r="E219" s="55"/>
      <c r="F219" s="56"/>
      <c r="G219" s="56"/>
      <c r="H219" s="56"/>
      <c r="I219" s="57"/>
      <c r="J219" s="57"/>
      <c r="K219" s="57"/>
    </row>
    <row r="220" spans="1:11" x14ac:dyDescent="0.25">
      <c r="A220" s="54"/>
      <c r="B220" s="56"/>
      <c r="C220" s="54"/>
      <c r="D220" s="56"/>
      <c r="E220" s="55"/>
      <c r="F220" s="56"/>
      <c r="G220" s="56"/>
      <c r="H220" s="56"/>
      <c r="I220" s="57"/>
      <c r="J220" s="57"/>
      <c r="K220" s="57"/>
    </row>
    <row r="221" spans="1:11" x14ac:dyDescent="0.25">
      <c r="A221" s="54"/>
      <c r="B221" s="56"/>
      <c r="C221" s="54"/>
      <c r="D221" s="56"/>
      <c r="E221" s="55"/>
      <c r="F221" s="56"/>
      <c r="G221" s="56"/>
      <c r="H221" s="56"/>
      <c r="I221" s="57"/>
      <c r="J221" s="57"/>
      <c r="K221" s="57"/>
    </row>
    <row r="222" spans="1:11" x14ac:dyDescent="0.25">
      <c r="A222" s="54"/>
      <c r="B222" s="56"/>
      <c r="C222" s="54"/>
      <c r="D222" s="56"/>
      <c r="E222" s="55"/>
      <c r="F222" s="56"/>
      <c r="G222" s="56"/>
      <c r="H222" s="56"/>
      <c r="I222" s="57"/>
      <c r="J222" s="57"/>
      <c r="K222" s="57"/>
    </row>
    <row r="223" spans="1:11" x14ac:dyDescent="0.25">
      <c r="A223" s="54"/>
      <c r="B223" s="56"/>
      <c r="C223" s="54"/>
      <c r="D223" s="56"/>
      <c r="E223" s="55"/>
      <c r="F223" s="56"/>
      <c r="G223" s="56"/>
      <c r="H223" s="56"/>
      <c r="I223" s="57"/>
      <c r="J223" s="57"/>
      <c r="K223" s="57"/>
    </row>
    <row r="224" spans="1:11" x14ac:dyDescent="0.25">
      <c r="A224" s="54"/>
      <c r="B224" s="56"/>
      <c r="C224" s="54"/>
      <c r="D224" s="56"/>
      <c r="E224" s="55"/>
      <c r="F224" s="56"/>
      <c r="G224" s="56"/>
      <c r="H224" s="56"/>
      <c r="I224" s="57"/>
      <c r="J224" s="57"/>
      <c r="K224" s="57"/>
    </row>
    <row r="225" spans="1:11" x14ac:dyDescent="0.25">
      <c r="A225" s="54"/>
      <c r="B225" s="56"/>
      <c r="C225" s="54"/>
      <c r="D225" s="56"/>
      <c r="E225" s="55"/>
      <c r="F225" s="56"/>
      <c r="G225" s="56"/>
      <c r="H225" s="56"/>
      <c r="I225" s="57"/>
      <c r="J225" s="57"/>
      <c r="K225" s="57"/>
    </row>
    <row r="226" spans="1:11" x14ac:dyDescent="0.25">
      <c r="A226" s="54"/>
      <c r="B226" s="56"/>
      <c r="C226" s="54"/>
      <c r="D226" s="56"/>
      <c r="E226" s="55"/>
      <c r="F226" s="56"/>
      <c r="G226" s="56"/>
      <c r="H226" s="56"/>
      <c r="I226" s="57"/>
      <c r="J226" s="57"/>
      <c r="K226" s="57"/>
    </row>
    <row r="227" spans="1:11" x14ac:dyDescent="0.25">
      <c r="A227" s="54"/>
      <c r="B227" s="56"/>
      <c r="C227" s="54"/>
      <c r="D227" s="56"/>
      <c r="E227" s="55"/>
      <c r="F227" s="56"/>
      <c r="G227" s="56"/>
      <c r="H227" s="56"/>
      <c r="I227" s="57"/>
      <c r="J227" s="57"/>
      <c r="K227" s="57"/>
    </row>
    <row r="228" spans="1:11" x14ac:dyDescent="0.25">
      <c r="A228" s="54"/>
      <c r="B228" s="56"/>
      <c r="C228" s="54"/>
      <c r="D228" s="56"/>
      <c r="E228" s="55"/>
      <c r="F228" s="56"/>
      <c r="G228" s="56"/>
      <c r="H228" s="56"/>
      <c r="I228" s="57"/>
      <c r="J228" s="57"/>
      <c r="K228" s="57"/>
    </row>
    <row r="229" spans="1:11" x14ac:dyDescent="0.25">
      <c r="A229" s="54"/>
      <c r="B229" s="56"/>
      <c r="C229" s="54"/>
      <c r="D229" s="56"/>
      <c r="E229" s="55"/>
      <c r="F229" s="56"/>
      <c r="G229" s="56"/>
      <c r="H229" s="56"/>
      <c r="I229" s="57"/>
      <c r="J229" s="57"/>
      <c r="K229" s="57"/>
    </row>
    <row r="230" spans="1:11" x14ac:dyDescent="0.25">
      <c r="A230" s="54"/>
      <c r="B230" s="56"/>
      <c r="C230" s="54"/>
      <c r="D230" s="56"/>
      <c r="E230" s="55"/>
      <c r="F230" s="56"/>
      <c r="G230" s="56"/>
      <c r="H230" s="56"/>
      <c r="I230" s="57"/>
      <c r="J230" s="57"/>
      <c r="K230" s="57"/>
    </row>
    <row r="231" spans="1:11" x14ac:dyDescent="0.25">
      <c r="A231" s="54"/>
      <c r="B231" s="56"/>
      <c r="C231" s="54"/>
      <c r="D231" s="56"/>
      <c r="E231" s="55"/>
      <c r="F231" s="56"/>
      <c r="G231" s="56"/>
      <c r="H231" s="56"/>
      <c r="I231" s="57"/>
      <c r="J231" s="57"/>
      <c r="K231" s="57"/>
    </row>
    <row r="232" spans="1:11" x14ac:dyDescent="0.25">
      <c r="A232" s="54"/>
      <c r="B232" s="56"/>
      <c r="C232" s="54"/>
      <c r="D232" s="56"/>
      <c r="E232" s="55"/>
      <c r="F232" s="56"/>
      <c r="G232" s="56"/>
      <c r="H232" s="56"/>
      <c r="I232" s="57"/>
      <c r="J232" s="57"/>
      <c r="K232" s="57"/>
    </row>
    <row r="233" spans="1:11" x14ac:dyDescent="0.25">
      <c r="A233" s="54"/>
      <c r="B233" s="56"/>
      <c r="C233" s="54"/>
      <c r="D233" s="56"/>
      <c r="E233" s="55"/>
      <c r="F233" s="56"/>
      <c r="G233" s="56"/>
      <c r="H233" s="56"/>
      <c r="I233" s="57"/>
      <c r="J233" s="57"/>
      <c r="K233" s="57"/>
    </row>
    <row r="234" spans="1:11" x14ac:dyDescent="0.25">
      <c r="A234" s="54"/>
      <c r="B234" s="56"/>
      <c r="C234" s="54"/>
      <c r="D234" s="56"/>
      <c r="E234" s="55"/>
      <c r="F234" s="56"/>
      <c r="G234" s="56"/>
      <c r="H234" s="56"/>
      <c r="I234" s="57"/>
      <c r="J234" s="57"/>
      <c r="K234" s="57"/>
    </row>
    <row r="235" spans="1:11" x14ac:dyDescent="0.25">
      <c r="A235" s="54"/>
      <c r="B235" s="56"/>
      <c r="C235" s="54"/>
      <c r="D235" s="56"/>
      <c r="E235" s="55"/>
      <c r="F235" s="56"/>
      <c r="G235" s="56"/>
      <c r="H235" s="56"/>
      <c r="I235" s="57"/>
      <c r="J235" s="57"/>
      <c r="K235" s="57"/>
    </row>
    <row r="236" spans="1:11" x14ac:dyDescent="0.25">
      <c r="A236" s="54"/>
      <c r="B236" s="56"/>
      <c r="C236" s="54"/>
      <c r="D236" s="56"/>
      <c r="E236" s="55"/>
      <c r="F236" s="56"/>
      <c r="G236" s="56"/>
      <c r="H236" s="56"/>
      <c r="I236" s="57"/>
      <c r="J236" s="57"/>
      <c r="K236" s="57"/>
    </row>
    <row r="237" spans="1:11" x14ac:dyDescent="0.25">
      <c r="A237" s="54"/>
      <c r="B237" s="56"/>
      <c r="C237" s="54"/>
      <c r="D237" s="56"/>
      <c r="E237" s="55"/>
      <c r="F237" s="56"/>
      <c r="G237" s="56"/>
      <c r="H237" s="56"/>
      <c r="I237" s="57"/>
      <c r="J237" s="57"/>
      <c r="K237" s="57"/>
    </row>
    <row r="238" spans="1:11" x14ac:dyDescent="0.25">
      <c r="A238" s="54"/>
      <c r="B238" s="56"/>
      <c r="C238" s="54"/>
      <c r="D238" s="56"/>
      <c r="E238" s="55"/>
      <c r="F238" s="56"/>
      <c r="G238" s="56"/>
      <c r="H238" s="56"/>
      <c r="I238" s="57"/>
      <c r="J238" s="57"/>
      <c r="K238" s="57"/>
    </row>
    <row r="239" spans="1:11" x14ac:dyDescent="0.25">
      <c r="A239" s="54"/>
      <c r="B239" s="56"/>
      <c r="C239" s="54"/>
      <c r="D239" s="56"/>
      <c r="E239" s="55"/>
      <c r="F239" s="56"/>
      <c r="G239" s="56"/>
      <c r="H239" s="56"/>
      <c r="I239" s="57"/>
      <c r="J239" s="57"/>
      <c r="K239" s="57"/>
    </row>
    <row r="240" spans="1:11" x14ac:dyDescent="0.25">
      <c r="A240" s="54"/>
      <c r="B240" s="56"/>
      <c r="C240" s="54"/>
      <c r="D240" s="56"/>
      <c r="E240" s="55"/>
      <c r="F240" s="56"/>
      <c r="G240" s="56"/>
      <c r="H240" s="56"/>
      <c r="I240" s="57"/>
      <c r="J240" s="57"/>
      <c r="K240" s="57"/>
    </row>
    <row r="241" spans="1:11" x14ac:dyDescent="0.25">
      <c r="A241" s="54"/>
      <c r="B241" s="56"/>
      <c r="C241" s="54"/>
      <c r="D241" s="56"/>
      <c r="E241" s="55"/>
      <c r="F241" s="56"/>
      <c r="G241" s="56"/>
      <c r="H241" s="56"/>
      <c r="I241" s="57"/>
      <c r="J241" s="57"/>
      <c r="K241" s="57"/>
    </row>
    <row r="242" spans="1:11" x14ac:dyDescent="0.25">
      <c r="A242" s="54"/>
      <c r="B242" s="56"/>
      <c r="C242" s="54"/>
      <c r="D242" s="56"/>
      <c r="E242" s="55"/>
      <c r="F242" s="56"/>
      <c r="G242" s="56"/>
      <c r="H242" s="56"/>
      <c r="I242" s="57"/>
      <c r="J242" s="57"/>
      <c r="K242" s="57"/>
    </row>
    <row r="243" spans="1:11" x14ac:dyDescent="0.25">
      <c r="A243" s="54"/>
      <c r="B243" s="56"/>
      <c r="C243" s="54"/>
      <c r="D243" s="56"/>
      <c r="E243" s="55"/>
      <c r="F243" s="56"/>
      <c r="G243" s="56"/>
      <c r="H243" s="56"/>
      <c r="I243" s="57"/>
      <c r="J243" s="57"/>
      <c r="K243" s="57"/>
    </row>
    <row r="244" spans="1:11" x14ac:dyDescent="0.25">
      <c r="A244" s="54"/>
      <c r="B244" s="56"/>
      <c r="C244" s="54"/>
      <c r="D244" s="56"/>
      <c r="E244" s="55"/>
      <c r="F244" s="56"/>
      <c r="G244" s="56"/>
      <c r="H244" s="56"/>
      <c r="I244" s="57"/>
      <c r="J244" s="57"/>
      <c r="K244" s="57"/>
    </row>
    <row r="245" spans="1:11" x14ac:dyDescent="0.25">
      <c r="A245" s="54"/>
      <c r="B245" s="56"/>
      <c r="C245" s="54"/>
      <c r="D245" s="56"/>
      <c r="E245" s="55"/>
      <c r="F245" s="56"/>
      <c r="G245" s="56"/>
      <c r="H245" s="56"/>
      <c r="I245" s="57"/>
      <c r="J245" s="57"/>
      <c r="K245" s="57"/>
    </row>
    <row r="246" spans="1:11" x14ac:dyDescent="0.25">
      <c r="A246" s="54"/>
      <c r="B246" s="56"/>
      <c r="C246" s="54"/>
      <c r="D246" s="56"/>
      <c r="E246" s="55"/>
      <c r="F246" s="56"/>
      <c r="G246" s="56"/>
      <c r="H246" s="56"/>
      <c r="I246" s="57"/>
      <c r="J246" s="57"/>
      <c r="K246" s="57"/>
    </row>
    <row r="247" spans="1:11" x14ac:dyDescent="0.25">
      <c r="A247" s="54"/>
      <c r="B247" s="56"/>
      <c r="C247" s="54"/>
      <c r="D247" s="56"/>
      <c r="E247" s="55"/>
      <c r="F247" s="56"/>
      <c r="G247" s="56"/>
      <c r="H247" s="56"/>
      <c r="I247" s="57"/>
      <c r="J247" s="57"/>
      <c r="K247" s="57"/>
    </row>
    <row r="248" spans="1:11" x14ac:dyDescent="0.25">
      <c r="A248" s="54"/>
      <c r="B248" s="56"/>
      <c r="C248" s="54"/>
      <c r="D248" s="56"/>
      <c r="E248" s="55"/>
      <c r="F248" s="56"/>
      <c r="G248" s="56"/>
      <c r="H248" s="56"/>
      <c r="I248" s="57"/>
      <c r="J248" s="57"/>
      <c r="K248" s="57"/>
    </row>
    <row r="249" spans="1:11" x14ac:dyDescent="0.25">
      <c r="A249" s="54"/>
      <c r="B249" s="56"/>
      <c r="C249" s="54"/>
      <c r="D249" s="56"/>
      <c r="E249" s="55"/>
      <c r="F249" s="56"/>
      <c r="G249" s="56"/>
      <c r="H249" s="56"/>
      <c r="I249" s="57"/>
      <c r="J249" s="57"/>
      <c r="K249" s="57"/>
    </row>
    <row r="250" spans="1:11" x14ac:dyDescent="0.25">
      <c r="A250" s="54"/>
      <c r="B250" s="56"/>
      <c r="C250" s="54"/>
      <c r="D250" s="56"/>
      <c r="E250" s="55"/>
      <c r="F250" s="56"/>
      <c r="G250" s="56"/>
      <c r="H250" s="56"/>
      <c r="I250" s="57"/>
      <c r="J250" s="57"/>
      <c r="K250" s="57"/>
    </row>
    <row r="251" spans="1:11" x14ac:dyDescent="0.25">
      <c r="A251" s="54"/>
      <c r="B251" s="56"/>
      <c r="C251" s="54"/>
      <c r="D251" s="56"/>
      <c r="E251" s="55"/>
      <c r="F251" s="56"/>
      <c r="G251" s="56"/>
      <c r="H251" s="56"/>
      <c r="I251" s="57"/>
      <c r="J251" s="57"/>
      <c r="K251" s="57"/>
    </row>
    <row r="252" spans="1:11" x14ac:dyDescent="0.25">
      <c r="A252" s="54"/>
      <c r="B252" s="56"/>
      <c r="C252" s="54"/>
      <c r="D252" s="56"/>
      <c r="E252" s="55"/>
      <c r="F252" s="56"/>
      <c r="G252" s="56"/>
      <c r="H252" s="56"/>
      <c r="I252" s="57"/>
      <c r="J252" s="57"/>
      <c r="K252" s="57"/>
    </row>
    <row r="253" spans="1:11" x14ac:dyDescent="0.25">
      <c r="A253" s="54"/>
      <c r="B253" s="56"/>
      <c r="C253" s="54"/>
      <c r="D253" s="56"/>
      <c r="E253" s="55"/>
      <c r="F253" s="56"/>
      <c r="G253" s="56"/>
      <c r="H253" s="56"/>
      <c r="I253" s="57"/>
      <c r="J253" s="57"/>
      <c r="K253" s="57"/>
    </row>
    <row r="254" spans="1:11" x14ac:dyDescent="0.25">
      <c r="A254" s="54"/>
      <c r="B254" s="56"/>
      <c r="C254" s="54"/>
      <c r="D254" s="56"/>
      <c r="E254" s="55"/>
      <c r="F254" s="56"/>
      <c r="G254" s="56"/>
      <c r="H254" s="56"/>
      <c r="I254" s="57"/>
      <c r="J254" s="57"/>
      <c r="K254" s="57"/>
    </row>
    <row r="255" spans="1:11" x14ac:dyDescent="0.25">
      <c r="A255" s="54"/>
      <c r="B255" s="56"/>
      <c r="C255" s="54"/>
      <c r="D255" s="56"/>
      <c r="E255" s="55"/>
      <c r="F255" s="56"/>
      <c r="G255" s="56"/>
      <c r="H255" s="56"/>
      <c r="I255" s="57"/>
      <c r="J255" s="57"/>
      <c r="K255" s="57"/>
    </row>
    <row r="256" spans="1:11" x14ac:dyDescent="0.25">
      <c r="A256" s="54"/>
      <c r="B256" s="56"/>
      <c r="C256" s="54"/>
      <c r="D256" s="56"/>
      <c r="E256" s="55"/>
      <c r="F256" s="56"/>
      <c r="G256" s="56"/>
      <c r="H256" s="56"/>
      <c r="I256" s="57"/>
      <c r="J256" s="57"/>
      <c r="K256" s="57"/>
    </row>
    <row r="257" spans="1:11" x14ac:dyDescent="0.25">
      <c r="A257" s="54"/>
      <c r="B257" s="56"/>
      <c r="C257" s="54"/>
      <c r="D257" s="56"/>
      <c r="E257" s="55"/>
      <c r="F257" s="56"/>
      <c r="G257" s="56"/>
      <c r="H257" s="56"/>
      <c r="I257" s="57"/>
      <c r="J257" s="57"/>
      <c r="K257" s="57"/>
    </row>
    <row r="258" spans="1:11" x14ac:dyDescent="0.25">
      <c r="A258" s="54"/>
      <c r="B258" s="56"/>
      <c r="C258" s="54"/>
      <c r="D258" s="56"/>
      <c r="E258" s="55"/>
      <c r="F258" s="56"/>
      <c r="G258" s="56"/>
      <c r="H258" s="56"/>
      <c r="I258" s="57"/>
      <c r="J258" s="57"/>
      <c r="K258" s="57"/>
    </row>
    <row r="259" spans="1:11" x14ac:dyDescent="0.25">
      <c r="A259" s="54"/>
      <c r="B259" s="56"/>
      <c r="C259" s="54"/>
      <c r="D259" s="56"/>
      <c r="E259" s="55"/>
      <c r="F259" s="56"/>
      <c r="G259" s="56"/>
      <c r="H259" s="56"/>
      <c r="I259" s="57"/>
      <c r="J259" s="57"/>
      <c r="K259" s="57"/>
    </row>
    <row r="260" spans="1:11" x14ac:dyDescent="0.25">
      <c r="A260" s="54"/>
      <c r="B260" s="56"/>
      <c r="C260" s="54"/>
      <c r="D260" s="56"/>
      <c r="E260" s="55"/>
      <c r="F260" s="56"/>
      <c r="G260" s="56"/>
      <c r="H260" s="56"/>
      <c r="I260" s="57"/>
      <c r="J260" s="57"/>
      <c r="K260" s="57"/>
    </row>
    <row r="261" spans="1:11" x14ac:dyDescent="0.25">
      <c r="A261" s="54"/>
      <c r="B261" s="56"/>
      <c r="C261" s="54"/>
      <c r="D261" s="56"/>
      <c r="E261" s="55"/>
      <c r="F261" s="56"/>
      <c r="G261" s="56"/>
      <c r="H261" s="56"/>
      <c r="I261" s="57"/>
      <c r="J261" s="57"/>
      <c r="K261" s="57"/>
    </row>
    <row r="262" spans="1:11" x14ac:dyDescent="0.25">
      <c r="A262" s="54"/>
      <c r="B262" s="56"/>
      <c r="C262" s="54"/>
      <c r="D262" s="56"/>
      <c r="E262" s="55"/>
      <c r="F262" s="56"/>
      <c r="G262" s="56"/>
      <c r="H262" s="56"/>
      <c r="I262" s="57"/>
      <c r="J262" s="57"/>
      <c r="K262" s="57"/>
    </row>
    <row r="263" spans="1:11" x14ac:dyDescent="0.25">
      <c r="A263" s="54"/>
      <c r="B263" s="56"/>
      <c r="C263" s="54"/>
      <c r="D263" s="56"/>
      <c r="E263" s="55"/>
      <c r="F263" s="56"/>
      <c r="G263" s="56"/>
      <c r="H263" s="56"/>
      <c r="I263" s="57"/>
      <c r="J263" s="57"/>
      <c r="K263" s="57"/>
    </row>
    <row r="264" spans="1:11" x14ac:dyDescent="0.25">
      <c r="A264" s="54"/>
      <c r="B264" s="56"/>
      <c r="C264" s="54"/>
      <c r="D264" s="56"/>
      <c r="E264" s="55"/>
      <c r="F264" s="56"/>
      <c r="G264" s="56"/>
      <c r="H264" s="56"/>
      <c r="I264" s="57"/>
      <c r="J264" s="57"/>
      <c r="K264" s="57"/>
    </row>
    <row r="265" spans="1:11" x14ac:dyDescent="0.25">
      <c r="A265" s="54"/>
      <c r="B265" s="56"/>
      <c r="C265" s="54"/>
      <c r="D265" s="56"/>
      <c r="E265" s="55"/>
      <c r="F265" s="56"/>
      <c r="G265" s="56"/>
      <c r="H265" s="56"/>
      <c r="I265" s="57"/>
      <c r="J265" s="57"/>
      <c r="K265" s="57"/>
    </row>
    <row r="266" spans="1:11" x14ac:dyDescent="0.25">
      <c r="A266" s="54"/>
      <c r="B266" s="56"/>
      <c r="C266" s="54"/>
      <c r="D266" s="56"/>
      <c r="E266" s="55"/>
      <c r="F266" s="56"/>
      <c r="G266" s="56"/>
      <c r="H266" s="56"/>
      <c r="I266" s="57"/>
      <c r="J266" s="57"/>
      <c r="K266" s="57"/>
    </row>
    <row r="267" spans="1:11" x14ac:dyDescent="0.25">
      <c r="A267" s="54"/>
      <c r="B267" s="56"/>
      <c r="C267" s="54"/>
      <c r="D267" s="56"/>
      <c r="E267" s="55"/>
      <c r="F267" s="56"/>
      <c r="G267" s="56"/>
      <c r="H267" s="56"/>
      <c r="I267" s="57"/>
      <c r="J267" s="57"/>
      <c r="K267" s="57"/>
    </row>
    <row r="268" spans="1:11" x14ac:dyDescent="0.25">
      <c r="A268" s="54"/>
      <c r="B268" s="56"/>
      <c r="C268" s="54"/>
      <c r="D268" s="56"/>
      <c r="E268" s="55"/>
      <c r="F268" s="56"/>
      <c r="G268" s="56"/>
      <c r="H268" s="56"/>
      <c r="I268" s="57"/>
      <c r="J268" s="57"/>
      <c r="K268" s="57"/>
    </row>
    <row r="269" spans="1:11" x14ac:dyDescent="0.25">
      <c r="A269" s="54"/>
      <c r="B269" s="56"/>
      <c r="C269" s="54"/>
      <c r="D269" s="56"/>
      <c r="E269" s="55"/>
      <c r="F269" s="56"/>
      <c r="G269" s="56"/>
      <c r="H269" s="56"/>
      <c r="I269" s="57"/>
      <c r="J269" s="57"/>
      <c r="K269" s="57"/>
    </row>
    <row r="270" spans="1:11" x14ac:dyDescent="0.25">
      <c r="A270" s="54"/>
      <c r="B270" s="56"/>
      <c r="C270" s="54"/>
      <c r="D270" s="56"/>
      <c r="E270" s="55"/>
      <c r="F270" s="56"/>
      <c r="G270" s="56"/>
      <c r="H270" s="56"/>
      <c r="I270" s="57"/>
      <c r="J270" s="57"/>
      <c r="K270" s="57"/>
    </row>
    <row r="271" spans="1:11" x14ac:dyDescent="0.25">
      <c r="A271" s="54"/>
      <c r="B271" s="56"/>
      <c r="C271" s="54"/>
      <c r="D271" s="56"/>
      <c r="E271" s="55"/>
      <c r="F271" s="56"/>
      <c r="G271" s="56"/>
      <c r="H271" s="56"/>
      <c r="I271" s="57"/>
      <c r="J271" s="57"/>
      <c r="K271" s="57"/>
    </row>
    <row r="272" spans="1:11" x14ac:dyDescent="0.25">
      <c r="A272" s="54"/>
      <c r="B272" s="56"/>
      <c r="C272" s="54"/>
      <c r="D272" s="56"/>
      <c r="E272" s="55"/>
      <c r="F272" s="56"/>
      <c r="G272" s="56"/>
      <c r="H272" s="56"/>
      <c r="I272" s="57"/>
      <c r="J272" s="57"/>
      <c r="K272" s="57"/>
    </row>
    <row r="273" spans="1:11" x14ac:dyDescent="0.25">
      <c r="A273" s="54"/>
      <c r="B273" s="56"/>
      <c r="C273" s="54"/>
      <c r="D273" s="56"/>
      <c r="E273" s="55"/>
      <c r="F273" s="56"/>
      <c r="G273" s="56"/>
      <c r="H273" s="56"/>
      <c r="I273" s="57"/>
      <c r="J273" s="57"/>
      <c r="K273" s="57"/>
    </row>
    <row r="274" spans="1:11" x14ac:dyDescent="0.25">
      <c r="A274" s="54"/>
      <c r="B274" s="56"/>
      <c r="C274" s="54"/>
      <c r="D274" s="56"/>
      <c r="E274" s="55"/>
      <c r="F274" s="56"/>
      <c r="G274" s="56"/>
      <c r="H274" s="56"/>
      <c r="I274" s="57"/>
      <c r="J274" s="57"/>
      <c r="K274" s="57"/>
    </row>
    <row r="275" spans="1:11" x14ac:dyDescent="0.25">
      <c r="A275" s="54"/>
      <c r="B275" s="56"/>
      <c r="C275" s="54"/>
      <c r="D275" s="56"/>
      <c r="E275" s="55"/>
      <c r="F275" s="56"/>
      <c r="G275" s="56"/>
      <c r="H275" s="56"/>
      <c r="I275" s="57"/>
      <c r="J275" s="57"/>
      <c r="K275" s="57"/>
    </row>
    <row r="276" spans="1:11" x14ac:dyDescent="0.25">
      <c r="A276" s="54"/>
      <c r="B276" s="56"/>
      <c r="C276" s="54"/>
      <c r="D276" s="56"/>
      <c r="E276" s="55"/>
      <c r="F276" s="56"/>
      <c r="G276" s="56"/>
      <c r="H276" s="56"/>
      <c r="I276" s="57"/>
      <c r="J276" s="57"/>
      <c r="K276" s="57"/>
    </row>
    <row r="277" spans="1:11" x14ac:dyDescent="0.25">
      <c r="A277" s="54"/>
      <c r="B277" s="56"/>
      <c r="C277" s="54"/>
      <c r="D277" s="56"/>
      <c r="E277" s="55"/>
      <c r="F277" s="56"/>
      <c r="G277" s="56"/>
      <c r="H277" s="56"/>
      <c r="I277" s="57"/>
      <c r="J277" s="57"/>
      <c r="K277" s="57"/>
    </row>
    <row r="278" spans="1:11" x14ac:dyDescent="0.25">
      <c r="A278" s="54"/>
      <c r="B278" s="56"/>
      <c r="C278" s="54"/>
      <c r="D278" s="56"/>
      <c r="E278" s="55"/>
      <c r="F278" s="56"/>
      <c r="G278" s="56"/>
      <c r="H278" s="56"/>
      <c r="I278" s="57"/>
      <c r="J278" s="57"/>
      <c r="K278" s="57"/>
    </row>
    <row r="279" spans="1:11" x14ac:dyDescent="0.25">
      <c r="A279" s="54"/>
      <c r="B279" s="56"/>
      <c r="C279" s="54"/>
      <c r="D279" s="56"/>
      <c r="E279" s="55"/>
      <c r="F279" s="56"/>
      <c r="G279" s="56"/>
      <c r="H279" s="56"/>
      <c r="I279" s="57"/>
      <c r="J279" s="57"/>
      <c r="K279" s="57"/>
    </row>
    <row r="280" spans="1:11" x14ac:dyDescent="0.25">
      <c r="A280" s="54"/>
      <c r="B280" s="56"/>
      <c r="C280" s="54"/>
      <c r="D280" s="56"/>
      <c r="E280" s="55"/>
      <c r="F280" s="56"/>
      <c r="G280" s="56"/>
      <c r="H280" s="56"/>
      <c r="I280" s="57"/>
      <c r="J280" s="57"/>
      <c r="K280" s="57"/>
    </row>
    <row r="281" spans="1:11" x14ac:dyDescent="0.25">
      <c r="A281" s="54"/>
      <c r="B281" s="56"/>
      <c r="C281" s="54"/>
      <c r="D281" s="56"/>
      <c r="E281" s="55"/>
      <c r="F281" s="56"/>
      <c r="G281" s="56"/>
      <c r="H281" s="56"/>
      <c r="I281" s="57"/>
      <c r="J281" s="57"/>
      <c r="K281" s="57"/>
    </row>
    <row r="282" spans="1:11" x14ac:dyDescent="0.25">
      <c r="A282" s="54"/>
      <c r="B282" s="56"/>
      <c r="C282" s="54"/>
      <c r="D282" s="56"/>
      <c r="E282" s="55"/>
      <c r="F282" s="56"/>
      <c r="G282" s="56"/>
      <c r="H282" s="56"/>
      <c r="I282" s="57"/>
      <c r="J282" s="57"/>
      <c r="K282" s="57"/>
    </row>
    <row r="283" spans="1:11" x14ac:dyDescent="0.25">
      <c r="A283" s="54"/>
      <c r="B283" s="56"/>
      <c r="C283" s="54"/>
      <c r="D283" s="56"/>
      <c r="E283" s="55"/>
      <c r="F283" s="56"/>
      <c r="G283" s="56"/>
      <c r="H283" s="56"/>
      <c r="I283" s="57"/>
      <c r="J283" s="57"/>
      <c r="K283" s="57"/>
    </row>
    <row r="284" spans="1:11" x14ac:dyDescent="0.25">
      <c r="A284" s="54"/>
      <c r="B284" s="56"/>
      <c r="C284" s="54"/>
      <c r="D284" s="56"/>
      <c r="E284" s="55"/>
      <c r="F284" s="56"/>
      <c r="G284" s="56"/>
      <c r="H284" s="56"/>
      <c r="I284" s="57"/>
      <c r="J284" s="57"/>
      <c r="K284" s="57"/>
    </row>
    <row r="285" spans="1:11" x14ac:dyDescent="0.25">
      <c r="A285" s="54"/>
      <c r="B285" s="56"/>
      <c r="C285" s="54"/>
      <c r="D285" s="56"/>
      <c r="E285" s="55"/>
      <c r="F285" s="56"/>
      <c r="G285" s="56"/>
      <c r="H285" s="56"/>
      <c r="I285" s="57"/>
      <c r="J285" s="57"/>
      <c r="K285" s="57"/>
    </row>
    <row r="286" spans="1:11" x14ac:dyDescent="0.25">
      <c r="A286" s="54"/>
      <c r="B286" s="56"/>
      <c r="C286" s="54"/>
      <c r="D286" s="56"/>
      <c r="E286" s="55"/>
      <c r="F286" s="56"/>
      <c r="G286" s="56"/>
      <c r="H286" s="56"/>
      <c r="I286" s="57"/>
      <c r="J286" s="57"/>
      <c r="K286" s="57"/>
    </row>
    <row r="287" spans="1:11" x14ac:dyDescent="0.25">
      <c r="A287" s="54"/>
      <c r="B287" s="56"/>
      <c r="C287" s="54"/>
      <c r="D287" s="56"/>
      <c r="E287" s="55"/>
      <c r="F287" s="56"/>
      <c r="G287" s="56"/>
      <c r="H287" s="56"/>
      <c r="I287" s="57"/>
      <c r="J287" s="57"/>
      <c r="K287" s="57"/>
    </row>
    <row r="288" spans="1:11" x14ac:dyDescent="0.25">
      <c r="A288" s="54"/>
      <c r="B288" s="56"/>
      <c r="C288" s="54"/>
      <c r="D288" s="56"/>
      <c r="E288" s="55"/>
      <c r="F288" s="56"/>
      <c r="G288" s="56"/>
      <c r="H288" s="56"/>
      <c r="I288" s="57"/>
      <c r="J288" s="57"/>
      <c r="K288" s="57"/>
    </row>
    <row r="289" spans="1:11" x14ac:dyDescent="0.25">
      <c r="A289" s="54"/>
      <c r="B289" s="56"/>
      <c r="C289" s="54"/>
      <c r="D289" s="56"/>
      <c r="E289" s="55"/>
      <c r="F289" s="56"/>
      <c r="G289" s="56"/>
      <c r="H289" s="56"/>
      <c r="I289" s="57"/>
      <c r="J289" s="57"/>
      <c r="K289" s="57"/>
    </row>
    <row r="290" spans="1:11" x14ac:dyDescent="0.25">
      <c r="A290" s="54"/>
      <c r="B290" s="56"/>
      <c r="C290" s="54"/>
      <c r="D290" s="56"/>
      <c r="E290" s="55"/>
      <c r="F290" s="56"/>
      <c r="G290" s="56"/>
      <c r="H290" s="56"/>
      <c r="I290" s="57"/>
      <c r="J290" s="57"/>
      <c r="K290" s="57"/>
    </row>
    <row r="291" spans="1:11" x14ac:dyDescent="0.25">
      <c r="A291" s="54"/>
      <c r="B291" s="56"/>
      <c r="C291" s="54"/>
      <c r="D291" s="56"/>
      <c r="E291" s="55"/>
      <c r="F291" s="56"/>
      <c r="G291" s="56"/>
      <c r="H291" s="56"/>
      <c r="I291" s="57"/>
      <c r="J291" s="57"/>
      <c r="K291" s="57"/>
    </row>
    <row r="292" spans="1:11" x14ac:dyDescent="0.25">
      <c r="A292" s="54"/>
      <c r="B292" s="56"/>
      <c r="C292" s="54"/>
      <c r="D292" s="56"/>
      <c r="E292" s="55"/>
      <c r="F292" s="56"/>
      <c r="G292" s="56"/>
      <c r="H292" s="56"/>
      <c r="I292" s="57"/>
      <c r="J292" s="57"/>
      <c r="K292" s="57"/>
    </row>
    <row r="293" spans="1:11" x14ac:dyDescent="0.25">
      <c r="A293" s="54"/>
      <c r="B293" s="56"/>
      <c r="C293" s="54"/>
      <c r="D293" s="56"/>
      <c r="E293" s="55"/>
      <c r="F293" s="56"/>
      <c r="G293" s="56"/>
      <c r="H293" s="56"/>
      <c r="I293" s="57"/>
      <c r="J293" s="57"/>
      <c r="K293" s="57"/>
    </row>
    <row r="294" spans="1:11" x14ac:dyDescent="0.25">
      <c r="A294" s="54"/>
      <c r="B294" s="56"/>
      <c r="C294" s="54"/>
      <c r="D294" s="56"/>
      <c r="E294" s="55"/>
      <c r="F294" s="56"/>
      <c r="G294" s="56"/>
      <c r="H294" s="56"/>
      <c r="I294" s="57"/>
      <c r="J294" s="57"/>
      <c r="K294" s="57"/>
    </row>
    <row r="295" spans="1:11" x14ac:dyDescent="0.25">
      <c r="A295" s="54"/>
      <c r="B295" s="56"/>
      <c r="C295" s="54"/>
      <c r="D295" s="56"/>
      <c r="E295" s="55"/>
      <c r="F295" s="56"/>
      <c r="G295" s="56"/>
      <c r="H295" s="56"/>
      <c r="I295" s="57"/>
      <c r="J295" s="57"/>
      <c r="K295" s="57"/>
    </row>
    <row r="296" spans="1:11" x14ac:dyDescent="0.25">
      <c r="A296" s="54"/>
      <c r="B296" s="56"/>
      <c r="C296" s="54"/>
      <c r="D296" s="56"/>
      <c r="E296" s="55"/>
      <c r="F296" s="56"/>
      <c r="G296" s="56"/>
      <c r="H296" s="56"/>
      <c r="I296" s="57"/>
      <c r="J296" s="57"/>
      <c r="K296" s="57"/>
    </row>
    <row r="297" spans="1:11" x14ac:dyDescent="0.25">
      <c r="A297" s="54"/>
      <c r="B297" s="56"/>
      <c r="C297" s="54"/>
      <c r="D297" s="56"/>
      <c r="E297" s="55"/>
      <c r="F297" s="56"/>
      <c r="G297" s="56"/>
      <c r="H297" s="56"/>
      <c r="I297" s="57"/>
      <c r="J297" s="57"/>
      <c r="K297" s="57"/>
    </row>
    <row r="298" spans="1:11" x14ac:dyDescent="0.25">
      <c r="A298" s="54"/>
      <c r="B298" s="56"/>
      <c r="C298" s="54"/>
      <c r="D298" s="56"/>
      <c r="E298" s="55"/>
      <c r="F298" s="56"/>
      <c r="G298" s="56"/>
      <c r="H298" s="56"/>
      <c r="I298" s="57"/>
      <c r="J298" s="57"/>
      <c r="K298" s="57"/>
    </row>
    <row r="299" spans="1:11" x14ac:dyDescent="0.25">
      <c r="A299" s="54"/>
      <c r="B299" s="56"/>
      <c r="C299" s="54"/>
      <c r="D299" s="56"/>
      <c r="E299" s="55"/>
      <c r="F299" s="56"/>
      <c r="G299" s="56"/>
      <c r="H299" s="56"/>
      <c r="I299" s="57"/>
      <c r="J299" s="57"/>
      <c r="K299" s="57"/>
    </row>
    <row r="300" spans="1:11" x14ac:dyDescent="0.25">
      <c r="A300" s="54"/>
      <c r="B300" s="56"/>
      <c r="C300" s="54"/>
      <c r="D300" s="56"/>
      <c r="E300" s="55"/>
      <c r="F300" s="56"/>
      <c r="G300" s="56"/>
      <c r="H300" s="56"/>
      <c r="I300" s="57"/>
      <c r="J300" s="57"/>
      <c r="K300" s="57"/>
    </row>
    <row r="301" spans="1:11" x14ac:dyDescent="0.25">
      <c r="A301" s="54"/>
      <c r="B301" s="56"/>
      <c r="C301" s="54"/>
      <c r="D301" s="56"/>
      <c r="E301" s="55"/>
      <c r="F301" s="56"/>
      <c r="G301" s="56"/>
      <c r="H301" s="56"/>
      <c r="I301" s="57"/>
      <c r="J301" s="57"/>
      <c r="K301" s="57"/>
    </row>
    <row r="302" spans="1:11" x14ac:dyDescent="0.25">
      <c r="A302" s="54"/>
      <c r="B302" s="56"/>
      <c r="C302" s="54"/>
      <c r="D302" s="56"/>
      <c r="E302" s="55"/>
      <c r="F302" s="56"/>
      <c r="G302" s="56"/>
      <c r="H302" s="56"/>
      <c r="I302" s="57"/>
      <c r="J302" s="57"/>
      <c r="K302" s="57"/>
    </row>
    <row r="303" spans="1:11" x14ac:dyDescent="0.25">
      <c r="A303" s="54"/>
      <c r="B303" s="56"/>
      <c r="C303" s="54"/>
      <c r="D303" s="56"/>
      <c r="E303" s="55"/>
      <c r="F303" s="56"/>
      <c r="G303" s="56"/>
      <c r="H303" s="56"/>
      <c r="I303" s="57"/>
      <c r="J303" s="57"/>
      <c r="K303" s="57"/>
    </row>
    <row r="304" spans="1:11" x14ac:dyDescent="0.25">
      <c r="A304" s="54"/>
      <c r="B304" s="56"/>
      <c r="C304" s="54"/>
      <c r="D304" s="56"/>
      <c r="E304" s="55"/>
      <c r="F304" s="56"/>
      <c r="G304" s="56"/>
      <c r="H304" s="56"/>
      <c r="I304" s="57"/>
      <c r="J304" s="57"/>
      <c r="K304" s="57"/>
    </row>
    <row r="305" spans="1:11" x14ac:dyDescent="0.25">
      <c r="A305" s="54"/>
      <c r="B305" s="56"/>
      <c r="C305" s="54"/>
      <c r="D305" s="56"/>
      <c r="E305" s="55"/>
      <c r="F305" s="56"/>
      <c r="G305" s="56"/>
      <c r="H305" s="56"/>
      <c r="I305" s="57"/>
      <c r="J305" s="57"/>
      <c r="K305" s="57"/>
    </row>
    <row r="306" spans="1:11" x14ac:dyDescent="0.25">
      <c r="A306" s="54"/>
      <c r="B306" s="56"/>
      <c r="C306" s="54"/>
      <c r="D306" s="56"/>
      <c r="E306" s="55"/>
      <c r="F306" s="56"/>
      <c r="G306" s="56"/>
      <c r="H306" s="56"/>
      <c r="I306" s="57"/>
      <c r="J306" s="57"/>
      <c r="K306" s="57"/>
    </row>
    <row r="307" spans="1:11" x14ac:dyDescent="0.25">
      <c r="A307" s="54"/>
      <c r="B307" s="56"/>
      <c r="C307" s="54"/>
      <c r="D307" s="56"/>
      <c r="E307" s="55"/>
      <c r="F307" s="56"/>
      <c r="G307" s="56"/>
      <c r="H307" s="56"/>
      <c r="I307" s="57"/>
      <c r="J307" s="57"/>
      <c r="K307" s="57"/>
    </row>
    <row r="308" spans="1:11" x14ac:dyDescent="0.25">
      <c r="A308" s="54"/>
      <c r="B308" s="56"/>
      <c r="C308" s="54"/>
      <c r="D308" s="56"/>
      <c r="E308" s="55"/>
      <c r="F308" s="56"/>
      <c r="G308" s="56"/>
      <c r="H308" s="56"/>
      <c r="I308" s="57"/>
      <c r="J308" s="57"/>
      <c r="K308" s="57"/>
    </row>
    <row r="309" spans="1:11" x14ac:dyDescent="0.25">
      <c r="A309" s="54"/>
      <c r="B309" s="56"/>
      <c r="C309" s="54"/>
      <c r="D309" s="56"/>
      <c r="E309" s="55"/>
      <c r="F309" s="56"/>
      <c r="G309" s="56"/>
      <c r="H309" s="56"/>
      <c r="I309" s="57"/>
      <c r="J309" s="57"/>
      <c r="K309" s="57"/>
    </row>
    <row r="310" spans="1:11" x14ac:dyDescent="0.25">
      <c r="A310" s="54"/>
      <c r="B310" s="56"/>
      <c r="C310" s="54"/>
      <c r="D310" s="56"/>
      <c r="E310" s="55"/>
      <c r="F310" s="56"/>
      <c r="G310" s="56"/>
      <c r="H310" s="56"/>
      <c r="I310" s="57"/>
      <c r="J310" s="57"/>
      <c r="K310" s="57"/>
    </row>
    <row r="311" spans="1:11" x14ac:dyDescent="0.25">
      <c r="A311" s="54"/>
      <c r="B311" s="56"/>
      <c r="C311" s="54"/>
      <c r="D311" s="56"/>
      <c r="E311" s="55"/>
      <c r="F311" s="56"/>
      <c r="G311" s="56"/>
      <c r="H311" s="56"/>
      <c r="I311" s="57"/>
      <c r="J311" s="57"/>
      <c r="K311" s="57"/>
    </row>
    <row r="312" spans="1:11" x14ac:dyDescent="0.25">
      <c r="A312" s="54"/>
      <c r="B312" s="56"/>
      <c r="C312" s="54"/>
      <c r="D312" s="56"/>
      <c r="E312" s="55"/>
      <c r="F312" s="56"/>
      <c r="G312" s="56"/>
      <c r="H312" s="56"/>
      <c r="I312" s="57"/>
      <c r="J312" s="57"/>
      <c r="K312" s="57"/>
    </row>
    <row r="313" spans="1:11" x14ac:dyDescent="0.25">
      <c r="A313" s="54"/>
      <c r="B313" s="56"/>
      <c r="C313" s="54"/>
      <c r="D313" s="56"/>
      <c r="E313" s="55"/>
      <c r="F313" s="56"/>
      <c r="G313" s="56"/>
      <c r="H313" s="56"/>
      <c r="I313" s="57"/>
      <c r="J313" s="57"/>
      <c r="K313" s="57"/>
    </row>
    <row r="314" spans="1:11" x14ac:dyDescent="0.25">
      <c r="A314" s="54"/>
      <c r="B314" s="56"/>
      <c r="C314" s="54"/>
      <c r="D314" s="56"/>
      <c r="E314" s="55"/>
      <c r="F314" s="56"/>
      <c r="G314" s="56"/>
      <c r="H314" s="56"/>
      <c r="I314" s="57"/>
      <c r="J314" s="57"/>
      <c r="K314" s="57"/>
    </row>
    <row r="315" spans="1:11" x14ac:dyDescent="0.25">
      <c r="A315" s="54"/>
      <c r="B315" s="56"/>
      <c r="C315" s="54"/>
      <c r="D315" s="56"/>
      <c r="E315" s="55"/>
      <c r="F315" s="56"/>
      <c r="G315" s="56"/>
      <c r="H315" s="56"/>
      <c r="I315" s="57"/>
      <c r="J315" s="57"/>
      <c r="K315" s="57"/>
    </row>
    <row r="316" spans="1:11" x14ac:dyDescent="0.25">
      <c r="A316" s="54"/>
      <c r="B316" s="56"/>
      <c r="C316" s="54"/>
      <c r="D316" s="56"/>
      <c r="E316" s="55"/>
      <c r="F316" s="56"/>
      <c r="G316" s="56"/>
      <c r="H316" s="56"/>
      <c r="I316" s="57"/>
      <c r="J316" s="57"/>
      <c r="K316" s="57"/>
    </row>
    <row r="317" spans="1:11" x14ac:dyDescent="0.25">
      <c r="A317" s="54"/>
      <c r="B317" s="56"/>
      <c r="C317" s="54"/>
      <c r="D317" s="56"/>
      <c r="E317" s="55"/>
      <c r="F317" s="56"/>
      <c r="G317" s="56"/>
      <c r="H317" s="56"/>
      <c r="I317" s="57"/>
      <c r="J317" s="57"/>
      <c r="K317" s="57"/>
    </row>
    <row r="318" spans="1:11" x14ac:dyDescent="0.25">
      <c r="A318" s="54"/>
      <c r="B318" s="56"/>
      <c r="C318" s="54"/>
      <c r="D318" s="56"/>
      <c r="E318" s="55"/>
      <c r="F318" s="56"/>
      <c r="G318" s="56"/>
      <c r="H318" s="56"/>
      <c r="I318" s="57"/>
      <c r="J318" s="57"/>
      <c r="K318" s="57"/>
    </row>
    <row r="319" spans="1:11" x14ac:dyDescent="0.25">
      <c r="A319" s="54"/>
      <c r="B319" s="56"/>
      <c r="C319" s="54"/>
      <c r="D319" s="56"/>
      <c r="E319" s="55"/>
      <c r="F319" s="56"/>
      <c r="G319" s="56"/>
      <c r="H319" s="56"/>
      <c r="I319" s="57"/>
      <c r="J319" s="57"/>
      <c r="K319" s="57"/>
    </row>
    <row r="320" spans="1:11" x14ac:dyDescent="0.25">
      <c r="A320" s="54"/>
      <c r="B320" s="56"/>
      <c r="C320" s="54"/>
      <c r="D320" s="56"/>
      <c r="E320" s="55"/>
      <c r="F320" s="56"/>
      <c r="G320" s="56"/>
      <c r="H320" s="56"/>
      <c r="I320" s="57"/>
      <c r="J320" s="57"/>
      <c r="K320" s="57"/>
    </row>
    <row r="321" spans="1:11" x14ac:dyDescent="0.25">
      <c r="A321" s="54"/>
      <c r="B321" s="56"/>
      <c r="C321" s="54"/>
      <c r="D321" s="56"/>
      <c r="E321" s="55"/>
      <c r="F321" s="56"/>
      <c r="G321" s="56"/>
      <c r="H321" s="56"/>
      <c r="I321" s="57"/>
      <c r="J321" s="57"/>
      <c r="K321" s="57"/>
    </row>
    <row r="322" spans="1:11" x14ac:dyDescent="0.25">
      <c r="A322" s="54"/>
      <c r="B322" s="56"/>
      <c r="C322" s="54"/>
      <c r="D322" s="56"/>
      <c r="E322" s="55"/>
      <c r="F322" s="56"/>
      <c r="G322" s="56"/>
      <c r="H322" s="56"/>
      <c r="I322" s="57"/>
      <c r="J322" s="57"/>
      <c r="K322" s="57"/>
    </row>
    <row r="323" spans="1:11" x14ac:dyDescent="0.25">
      <c r="A323" s="54"/>
      <c r="B323" s="56"/>
      <c r="C323" s="54"/>
      <c r="D323" s="56"/>
      <c r="E323" s="55"/>
      <c r="F323" s="56"/>
      <c r="G323" s="56"/>
      <c r="H323" s="56"/>
      <c r="I323" s="57"/>
      <c r="J323" s="57"/>
      <c r="K323" s="57"/>
    </row>
    <row r="324" spans="1:11" x14ac:dyDescent="0.25">
      <c r="A324" s="54"/>
      <c r="B324" s="56"/>
      <c r="C324" s="54"/>
      <c r="D324" s="56"/>
      <c r="E324" s="55"/>
      <c r="F324" s="56"/>
      <c r="G324" s="56"/>
      <c r="H324" s="56"/>
      <c r="I324" s="57"/>
      <c r="J324" s="57"/>
      <c r="K324" s="57"/>
    </row>
    <row r="325" spans="1:11" x14ac:dyDescent="0.25">
      <c r="A325" s="54"/>
      <c r="B325" s="56"/>
      <c r="C325" s="54"/>
      <c r="D325" s="56"/>
      <c r="E325" s="55"/>
      <c r="F325" s="56"/>
      <c r="G325" s="56"/>
      <c r="H325" s="56"/>
      <c r="I325" s="57"/>
      <c r="J325" s="57"/>
      <c r="K325" s="57"/>
    </row>
    <row r="326" spans="1:11" x14ac:dyDescent="0.25">
      <c r="A326" s="54"/>
      <c r="B326" s="56"/>
      <c r="C326" s="54"/>
      <c r="D326" s="56"/>
      <c r="E326" s="55"/>
      <c r="F326" s="56"/>
      <c r="G326" s="56"/>
      <c r="H326" s="56"/>
      <c r="I326" s="57"/>
      <c r="J326" s="57"/>
      <c r="K326" s="57"/>
    </row>
    <row r="327" spans="1:11" x14ac:dyDescent="0.25">
      <c r="A327" s="54"/>
      <c r="B327" s="56"/>
      <c r="C327" s="54"/>
      <c r="D327" s="56"/>
      <c r="E327" s="55"/>
      <c r="F327" s="56"/>
      <c r="G327" s="56"/>
      <c r="H327" s="56"/>
      <c r="I327" s="57"/>
      <c r="J327" s="57"/>
      <c r="K327" s="57"/>
    </row>
    <row r="328" spans="1:11" x14ac:dyDescent="0.25">
      <c r="A328" s="54"/>
      <c r="B328" s="56"/>
      <c r="C328" s="54"/>
      <c r="D328" s="56"/>
      <c r="E328" s="55"/>
      <c r="F328" s="56"/>
      <c r="G328" s="56"/>
      <c r="H328" s="56"/>
      <c r="I328" s="57"/>
      <c r="J328" s="57"/>
      <c r="K328" s="57"/>
    </row>
    <row r="329" spans="1:11" x14ac:dyDescent="0.25">
      <c r="A329" s="54"/>
      <c r="B329" s="56"/>
      <c r="C329" s="54"/>
      <c r="D329" s="56"/>
      <c r="E329" s="55"/>
      <c r="F329" s="56"/>
      <c r="G329" s="56"/>
      <c r="H329" s="56"/>
      <c r="I329" s="57"/>
      <c r="J329" s="57"/>
      <c r="K329" s="57"/>
    </row>
    <row r="330" spans="1:11" x14ac:dyDescent="0.25">
      <c r="A330" s="54"/>
      <c r="B330" s="56"/>
      <c r="C330" s="54"/>
      <c r="D330" s="56"/>
      <c r="E330" s="55"/>
      <c r="F330" s="56"/>
      <c r="G330" s="56"/>
      <c r="H330" s="56"/>
      <c r="I330" s="57"/>
      <c r="J330" s="57"/>
      <c r="K330" s="57"/>
    </row>
    <row r="331" spans="1:11" x14ac:dyDescent="0.25">
      <c r="A331" s="54"/>
      <c r="B331" s="56"/>
      <c r="C331" s="54"/>
      <c r="D331" s="56"/>
      <c r="E331" s="55"/>
      <c r="F331" s="56"/>
      <c r="G331" s="56"/>
      <c r="H331" s="56"/>
      <c r="I331" s="57"/>
      <c r="J331" s="57"/>
      <c r="K331" s="57"/>
    </row>
    <row r="332" spans="1:11" x14ac:dyDescent="0.25">
      <c r="A332" s="54"/>
      <c r="B332" s="56"/>
      <c r="C332" s="54"/>
      <c r="D332" s="56"/>
      <c r="E332" s="55"/>
      <c r="F332" s="56"/>
      <c r="G332" s="56"/>
      <c r="H332" s="56"/>
      <c r="I332" s="57"/>
      <c r="J332" s="57"/>
      <c r="K332" s="57"/>
    </row>
    <row r="333" spans="1:11" x14ac:dyDescent="0.25">
      <c r="A333" s="54"/>
      <c r="B333" s="56"/>
      <c r="C333" s="54"/>
      <c r="D333" s="56"/>
      <c r="E333" s="55"/>
      <c r="F333" s="56"/>
      <c r="G333" s="56"/>
      <c r="H333" s="56"/>
      <c r="I333" s="57"/>
      <c r="J333" s="57"/>
      <c r="K333" s="57"/>
    </row>
    <row r="334" spans="1:11" x14ac:dyDescent="0.25">
      <c r="A334" s="54"/>
      <c r="B334" s="56"/>
      <c r="C334" s="54"/>
      <c r="D334" s="56"/>
      <c r="E334" s="55"/>
      <c r="F334" s="56"/>
      <c r="G334" s="56"/>
      <c r="H334" s="56"/>
      <c r="I334" s="57"/>
      <c r="J334" s="57"/>
      <c r="K334" s="57"/>
    </row>
  </sheetData>
  <mergeCells count="15">
    <mergeCell ref="S4:T4"/>
    <mergeCell ref="U4:U5"/>
    <mergeCell ref="A1:K1"/>
    <mergeCell ref="F5:H5"/>
    <mergeCell ref="D5:E6"/>
    <mergeCell ref="I5:I6"/>
    <mergeCell ref="J5:J6"/>
    <mergeCell ref="K5:K6"/>
    <mergeCell ref="A5:C6"/>
    <mergeCell ref="L3:N3"/>
    <mergeCell ref="L4:L5"/>
    <mergeCell ref="M4:M5"/>
    <mergeCell ref="N4:N5"/>
    <mergeCell ref="P4:P5"/>
    <mergeCell ref="Q4:R4"/>
  </mergeCells>
  <phoneticPr fontId="76" type="noConversion"/>
  <conditionalFormatting sqref="U115:U148 U8:U113">
    <cfRule type="dataBar" priority="1">
      <dataBar>
        <cfvo type="percent" val="0"/>
        <cfvo type="percent" val="100"/>
        <color rgb="FF00B050"/>
      </dataBar>
      <extLst>
        <ext xmlns:x14="http://schemas.microsoft.com/office/spreadsheetml/2009/9/main" uri="{B025F937-C7B1-47D3-B67F-A62EFF666E3E}">
          <x14:id>{640E5265-FF99-4FAF-A032-B7BB86552B3F}</x14:id>
        </ext>
      </extLst>
    </cfRule>
  </conditionalFormatting>
  <printOptions horizontalCentered="1"/>
  <pageMargins left="0.7" right="0.7" top="0.65441176470588203" bottom="0.66352941176470592" header="0.3" footer="0.3"/>
  <pageSetup paperSize="9" scale="72" fitToHeight="0" orientation="portrait" r:id="rId1"/>
  <headerFooter>
    <oddHeader>&amp;L&amp;"FreesiaUPC,Regular"&amp;14TP-PM-DSN-006
7-MAY-2026&amp;C&amp;"FreesiaUPC,Regular"&amp;14Drawing List&amp;R&amp;"FreesiaUPC,Regular"&amp;14R01
&amp;P of &amp;N</oddHeader>
    <oddFooter>&amp;C&amp;"FreesiaUPC,Regular"&amp;14&amp;K01+005Hard copies of this document are for REFERENCE ONLY and should not be considered the latest revision beyond the date of printing.</oddFooter>
  </headerFooter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40E5265-FF99-4FAF-A032-B7BB86552B3F}">
            <x14:dataBar minLength="0" maxLength="100">
              <x14:cfvo type="percent">
                <xm:f>0</xm:f>
              </x14:cfvo>
              <x14:cfvo type="percent">
                <xm:f>100</xm:f>
              </x14:cfvo>
              <x14:negativeFillColor rgb="FF00B050"/>
              <x14:axisColor theme="0"/>
            </x14:dataBar>
          </x14:cfRule>
          <xm:sqref>U115:U148 U8:U113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9737F5-D66C-40C8-88FC-3F3862F3E8B9}">
  <sheetPr>
    <tabColor rgb="FF92D050"/>
  </sheetPr>
  <dimension ref="A1:W324"/>
  <sheetViews>
    <sheetView zoomScaleNormal="100" workbookViewId="0">
      <selection activeCell="I14" sqref="I14"/>
    </sheetView>
  </sheetViews>
  <sheetFormatPr defaultColWidth="9.140625" defaultRowHeight="15" outlineLevelRow="1" outlineLevelCol="1" x14ac:dyDescent="0.25"/>
  <cols>
    <col min="1" max="1" width="21.5703125" style="58" customWidth="1"/>
    <col min="2" max="2" width="2.42578125" style="60" customWidth="1"/>
    <col min="3" max="3" width="5.5703125" style="58" customWidth="1"/>
    <col min="4" max="4" width="2.42578125" style="60" customWidth="1"/>
    <col min="5" max="5" width="65.42578125" style="59" customWidth="1"/>
    <col min="6" max="8" width="4.5703125" style="60" customWidth="1" outlineLevel="1"/>
    <col min="9" max="10" width="9.140625" style="61" customWidth="1"/>
    <col min="11" max="11" width="20.42578125" style="61" customWidth="1"/>
    <col min="12" max="12" width="9.140625" style="52" customWidth="1" outlineLevel="1"/>
    <col min="13" max="14" width="11.5703125" style="52" customWidth="1" outlineLevel="1"/>
    <col min="15" max="15" width="9.42578125" style="257" customWidth="1"/>
    <col min="16" max="16" width="9.5703125" style="257" customWidth="1"/>
    <col min="17" max="20" width="8.5703125" style="257" customWidth="1"/>
    <col min="21" max="21" width="9.42578125" style="258" customWidth="1"/>
    <col min="22" max="22" width="9.140625" style="53" customWidth="1"/>
    <col min="23" max="23" width="57.85546875" style="53" customWidth="1"/>
    <col min="24" max="16384" width="9.140625" style="53"/>
  </cols>
  <sheetData>
    <row r="1" spans="1:23" s="48" customFormat="1" ht="45" customHeight="1" x14ac:dyDescent="0.25">
      <c r="A1" s="365" t="str">
        <f>'Cover(2)'!A1</f>
        <v>PROJECT NAME
LOCATION, PROVINCE, THAILAND</v>
      </c>
      <c r="B1" s="366"/>
      <c r="C1" s="366"/>
      <c r="D1" s="366"/>
      <c r="E1" s="366"/>
      <c r="F1" s="366"/>
      <c r="G1" s="366"/>
      <c r="H1" s="366"/>
      <c r="I1" s="366"/>
      <c r="J1" s="366"/>
      <c r="K1" s="367"/>
      <c r="L1" s="47"/>
      <c r="M1" s="47"/>
      <c r="N1" s="47"/>
      <c r="O1" s="223"/>
      <c r="P1" s="223"/>
      <c r="Q1" s="223"/>
      <c r="R1" s="223"/>
      <c r="S1" s="223"/>
      <c r="T1" s="223"/>
      <c r="U1" s="224"/>
      <c r="V1" s="37"/>
      <c r="W1" s="37"/>
    </row>
    <row r="2" spans="1:23" s="48" customFormat="1" ht="15" customHeight="1" x14ac:dyDescent="0.25">
      <c r="A2" s="133"/>
      <c r="B2" s="133"/>
      <c r="C2" s="133"/>
      <c r="D2" s="133"/>
      <c r="E2" s="133"/>
      <c r="F2" s="133"/>
      <c r="G2" s="133"/>
      <c r="H2" s="133"/>
      <c r="I2" s="133"/>
      <c r="J2" s="133"/>
      <c r="K2" s="122"/>
      <c r="L2" s="49"/>
      <c r="M2" s="49"/>
      <c r="N2" s="225"/>
      <c r="O2" s="226"/>
      <c r="P2" s="227"/>
      <c r="Q2" s="227"/>
      <c r="R2" s="227"/>
      <c r="S2" s="227"/>
      <c r="T2" s="227"/>
      <c r="U2" s="227"/>
      <c r="V2" s="37"/>
      <c r="W2" s="37"/>
    </row>
    <row r="3" spans="1:23" s="48" customFormat="1" ht="18" customHeight="1" thickBot="1" x14ac:dyDescent="0.3">
      <c r="A3" s="132" t="str" cm="1">
        <f t="array" aca="1" ref="A3" ca="1">MID(CELL("filename", A1), FIND("]", CELL("filename", A1)) + 1, LEN(CELL("filename", A1)))</f>
        <v>5. ELECTRICAL</v>
      </c>
      <c r="B3" s="35"/>
      <c r="C3" s="132"/>
      <c r="D3" s="35"/>
      <c r="E3" s="35"/>
      <c r="F3" s="35"/>
      <c r="G3" s="35"/>
      <c r="H3" s="35"/>
      <c r="I3" s="36"/>
      <c r="J3" s="36"/>
      <c r="K3" s="123"/>
      <c r="L3" s="379" t="s">
        <v>48</v>
      </c>
      <c r="M3" s="379"/>
      <c r="N3" s="380"/>
      <c r="O3" s="228"/>
      <c r="P3" s="228"/>
      <c r="Q3" s="228"/>
      <c r="R3" s="228"/>
      <c r="S3" s="228"/>
      <c r="T3" s="228"/>
      <c r="U3" s="229"/>
      <c r="V3" s="37"/>
      <c r="W3" s="37"/>
    </row>
    <row r="4" spans="1:23" s="48" customFormat="1" ht="18" customHeight="1" x14ac:dyDescent="0.25">
      <c r="A4" s="33"/>
      <c r="B4" s="34" t="s">
        <v>8</v>
      </c>
      <c r="C4" s="33"/>
      <c r="D4" s="34"/>
      <c r="E4" s="35"/>
      <c r="F4" s="34"/>
      <c r="G4" s="34"/>
      <c r="H4" s="34"/>
      <c r="I4" s="36"/>
      <c r="J4" s="36"/>
      <c r="K4" s="36"/>
      <c r="L4" s="381" t="s">
        <v>49</v>
      </c>
      <c r="M4" s="381" t="s">
        <v>50</v>
      </c>
      <c r="N4" s="381" t="s">
        <v>51</v>
      </c>
      <c r="O4" s="230"/>
      <c r="P4" s="382" t="s">
        <v>52</v>
      </c>
      <c r="Q4" s="362" t="s">
        <v>53</v>
      </c>
      <c r="R4" s="362"/>
      <c r="S4" s="362" t="s">
        <v>54</v>
      </c>
      <c r="T4" s="362"/>
      <c r="U4" s="363" t="s">
        <v>55</v>
      </c>
      <c r="V4" s="37"/>
      <c r="W4" s="37"/>
    </row>
    <row r="5" spans="1:23" s="48" customFormat="1" ht="18" customHeight="1" thickBot="1" x14ac:dyDescent="0.3">
      <c r="A5" s="368" t="s">
        <v>56</v>
      </c>
      <c r="B5" s="369"/>
      <c r="C5" s="370"/>
      <c r="D5" s="374" t="s">
        <v>57</v>
      </c>
      <c r="E5" s="374"/>
      <c r="F5" s="375" t="s">
        <v>58</v>
      </c>
      <c r="G5" s="376"/>
      <c r="H5" s="377"/>
      <c r="I5" s="374" t="s">
        <v>59</v>
      </c>
      <c r="J5" s="374" t="s">
        <v>60</v>
      </c>
      <c r="K5" s="374" t="s">
        <v>15</v>
      </c>
      <c r="L5" s="381"/>
      <c r="M5" s="381"/>
      <c r="N5" s="381"/>
      <c r="O5" s="230"/>
      <c r="P5" s="383"/>
      <c r="Q5" s="265" t="s">
        <v>61</v>
      </c>
      <c r="R5" s="265" t="s">
        <v>62</v>
      </c>
      <c r="S5" s="265" t="s">
        <v>61</v>
      </c>
      <c r="T5" s="265" t="s">
        <v>62</v>
      </c>
      <c r="U5" s="364"/>
      <c r="V5" s="37"/>
      <c r="W5" s="37"/>
    </row>
    <row r="6" spans="1:23" s="48" customFormat="1" ht="28.5" customHeight="1" x14ac:dyDescent="0.2">
      <c r="A6" s="371"/>
      <c r="B6" s="372"/>
      <c r="C6" s="373"/>
      <c r="D6" s="374"/>
      <c r="E6" s="374"/>
      <c r="F6" s="201" t="s">
        <v>63</v>
      </c>
      <c r="G6" s="201" t="s">
        <v>63</v>
      </c>
      <c r="H6" s="201" t="s">
        <v>63</v>
      </c>
      <c r="I6" s="374"/>
      <c r="J6" s="374"/>
      <c r="K6" s="374"/>
      <c r="L6" s="231"/>
      <c r="M6" s="232"/>
      <c r="N6" s="233"/>
      <c r="O6" s="234"/>
      <c r="P6" s="262"/>
      <c r="Q6" s="235"/>
      <c r="R6" s="235"/>
      <c r="S6" s="235"/>
      <c r="T6" s="235"/>
      <c r="U6" s="236"/>
      <c r="V6" s="37"/>
      <c r="W6" s="37"/>
    </row>
    <row r="7" spans="1:23" s="48" customFormat="1" ht="18" customHeight="1" x14ac:dyDescent="0.2">
      <c r="A7" s="32" t="s">
        <v>64</v>
      </c>
      <c r="B7" s="11"/>
      <c r="C7" s="32"/>
      <c r="D7" s="11"/>
      <c r="E7" s="11"/>
      <c r="F7" s="11"/>
      <c r="G7" s="11"/>
      <c r="H7" s="11"/>
      <c r="I7" s="11"/>
      <c r="J7" s="11"/>
      <c r="K7" s="11"/>
      <c r="L7" s="237"/>
      <c r="M7" s="238"/>
      <c r="N7" s="239"/>
      <c r="O7" s="234"/>
      <c r="P7" s="262"/>
      <c r="Q7" s="235"/>
      <c r="R7" s="235"/>
      <c r="S7" s="235"/>
      <c r="T7" s="235"/>
      <c r="U7" s="236"/>
      <c r="V7" s="37"/>
      <c r="W7" s="37"/>
    </row>
    <row r="8" spans="1:23" s="48" customFormat="1" ht="15" customHeight="1" x14ac:dyDescent="0.25">
      <c r="A8" s="37"/>
      <c r="B8" s="38"/>
      <c r="C8" s="41"/>
      <c r="D8" s="38"/>
      <c r="E8" s="39"/>
      <c r="F8" s="38"/>
      <c r="G8" s="38"/>
      <c r="H8" s="38"/>
      <c r="I8" s="38"/>
      <c r="J8" s="40"/>
      <c r="K8" s="40"/>
      <c r="L8" s="240"/>
      <c r="M8" s="241"/>
      <c r="N8" s="242"/>
      <c r="O8" s="234"/>
      <c r="P8" s="306"/>
      <c r="Q8" s="307"/>
      <c r="R8" s="307"/>
      <c r="S8" s="307"/>
      <c r="T8" s="307"/>
      <c r="U8" s="266"/>
      <c r="V8" s="37"/>
      <c r="W8" s="37"/>
    </row>
    <row r="9" spans="1:23" s="48" customFormat="1" ht="15" customHeight="1" outlineLevel="1" x14ac:dyDescent="0.25">
      <c r="A9" s="41" t="str">
        <f t="shared" ref="A9" si="0">"18043-"&amp;LEFT(W9,11)</f>
        <v>18043-LMBMS 09017</v>
      </c>
      <c r="B9" s="38" t="s">
        <v>66</v>
      </c>
      <c r="C9" s="41" t="s">
        <v>67</v>
      </c>
      <c r="D9" s="38"/>
      <c r="E9" s="37" t="str">
        <f t="shared" ref="E9" si="1">MID(W9,FIND(" ",W9,15)+1,100)</f>
        <v>Electrical Legend and Symbols</v>
      </c>
      <c r="F9" s="38" t="s">
        <v>69</v>
      </c>
      <c r="G9" s="38"/>
      <c r="H9" s="38"/>
      <c r="I9" s="38"/>
      <c r="J9" s="40"/>
      <c r="K9" s="40"/>
      <c r="L9" s="240" t="s">
        <v>70</v>
      </c>
      <c r="M9" s="241" t="s">
        <v>70</v>
      </c>
      <c r="N9" s="242" t="s">
        <v>71</v>
      </c>
      <c r="O9" s="234"/>
      <c r="P9" s="306">
        <v>1</v>
      </c>
      <c r="Q9" s="307">
        <v>0.8</v>
      </c>
      <c r="R9" s="307">
        <v>0.8</v>
      </c>
      <c r="S9" s="307">
        <v>1</v>
      </c>
      <c r="T9" s="307">
        <v>0.95</v>
      </c>
      <c r="U9" s="266">
        <f>MAX(R9,T9)</f>
        <v>0.95</v>
      </c>
      <c r="V9" s="37"/>
      <c r="W9" s="37" t="s">
        <v>468</v>
      </c>
    </row>
    <row r="10" spans="1:23" s="48" customFormat="1" ht="15" customHeight="1" outlineLevel="1" x14ac:dyDescent="0.25">
      <c r="A10" s="41" t="str">
        <f t="shared" ref="A10:A13" si="2">"18043-"&amp;LEFT(W10,11)</f>
        <v>18043-LMBMS 09026</v>
      </c>
      <c r="B10" s="38" t="s">
        <v>66</v>
      </c>
      <c r="C10" s="41" t="s">
        <v>67</v>
      </c>
      <c r="D10" s="38"/>
      <c r="E10" s="191" t="str">
        <f t="shared" ref="E10:E13" si="3">MID(W10,FIND(" ",W10,15)+1,100)</f>
        <v>Electrical Typical Details Sheet 1</v>
      </c>
      <c r="F10" s="38" t="s">
        <v>69</v>
      </c>
      <c r="G10" s="38"/>
      <c r="H10" s="38"/>
      <c r="I10" s="38"/>
      <c r="J10" s="40"/>
      <c r="K10" s="40"/>
      <c r="L10" s="240" t="s">
        <v>70</v>
      </c>
      <c r="M10" s="241" t="s">
        <v>70</v>
      </c>
      <c r="N10" s="242" t="s">
        <v>71</v>
      </c>
      <c r="O10" s="234"/>
      <c r="P10" s="306">
        <v>1.5</v>
      </c>
      <c r="Q10" s="307">
        <v>0.6</v>
      </c>
      <c r="R10" s="307">
        <v>0.6</v>
      </c>
      <c r="S10" s="307">
        <v>1</v>
      </c>
      <c r="T10" s="307">
        <v>0.9</v>
      </c>
      <c r="U10" s="266">
        <f t="shared" ref="U10:U73" si="4">MAX(R10,T10)</f>
        <v>0.9</v>
      </c>
      <c r="V10" s="37"/>
      <c r="W10" s="37" t="s">
        <v>469</v>
      </c>
    </row>
    <row r="11" spans="1:23" s="48" customFormat="1" ht="15" customHeight="1" outlineLevel="1" x14ac:dyDescent="0.25">
      <c r="A11" s="41" t="str">
        <f t="shared" si="2"/>
        <v>18043-LMBMS 09027</v>
      </c>
      <c r="B11" s="38" t="s">
        <v>66</v>
      </c>
      <c r="C11" s="41" t="s">
        <v>67</v>
      </c>
      <c r="D11" s="38"/>
      <c r="E11" s="191" t="str">
        <f t="shared" si="3"/>
        <v>Electrical Typical Details Sheet 2</v>
      </c>
      <c r="F11" s="38" t="s">
        <v>69</v>
      </c>
      <c r="G11" s="38"/>
      <c r="H11" s="38"/>
      <c r="I11" s="38"/>
      <c r="J11" s="40"/>
      <c r="K11" s="40"/>
      <c r="L11" s="240" t="s">
        <v>70</v>
      </c>
      <c r="M11" s="241" t="s">
        <v>70</v>
      </c>
      <c r="N11" s="242" t="s">
        <v>71</v>
      </c>
      <c r="O11" s="234"/>
      <c r="P11" s="306">
        <v>1.5</v>
      </c>
      <c r="Q11" s="307">
        <v>0.6</v>
      </c>
      <c r="R11" s="307">
        <v>0.6</v>
      </c>
      <c r="S11" s="307">
        <v>1</v>
      </c>
      <c r="T11" s="307">
        <v>0.9</v>
      </c>
      <c r="U11" s="266">
        <f t="shared" si="4"/>
        <v>0.9</v>
      </c>
      <c r="V11" s="37"/>
      <c r="W11" s="37" t="s">
        <v>470</v>
      </c>
    </row>
    <row r="12" spans="1:23" s="48" customFormat="1" ht="15" customHeight="1" outlineLevel="1" x14ac:dyDescent="0.2">
      <c r="A12" s="41" t="str">
        <f t="shared" si="2"/>
        <v>18043-LMBMS 09028</v>
      </c>
      <c r="B12" s="38" t="s">
        <v>66</v>
      </c>
      <c r="C12" s="41" t="s">
        <v>67</v>
      </c>
      <c r="D12" s="38"/>
      <c r="E12" s="191" t="str">
        <f t="shared" si="3"/>
        <v>Electrical Typical Details Sheet 3</v>
      </c>
      <c r="F12" s="38" t="s">
        <v>69</v>
      </c>
      <c r="G12" s="38"/>
      <c r="H12" s="38"/>
      <c r="I12" s="38"/>
      <c r="J12" s="40"/>
      <c r="K12" s="40"/>
      <c r="L12" s="243" t="s">
        <v>70</v>
      </c>
      <c r="M12" s="241" t="s">
        <v>70</v>
      </c>
      <c r="N12" s="242" t="s">
        <v>71</v>
      </c>
      <c r="O12" s="234"/>
      <c r="P12" s="306">
        <v>1.5</v>
      </c>
      <c r="Q12" s="307">
        <v>0.6</v>
      </c>
      <c r="R12" s="307">
        <v>0.2</v>
      </c>
      <c r="S12" s="307">
        <v>1</v>
      </c>
      <c r="T12" s="307">
        <v>0.9</v>
      </c>
      <c r="U12" s="266">
        <f t="shared" si="4"/>
        <v>0.9</v>
      </c>
      <c r="V12" s="37"/>
      <c r="W12" s="37" t="s">
        <v>471</v>
      </c>
    </row>
    <row r="13" spans="1:23" s="48" customFormat="1" ht="15" customHeight="1" outlineLevel="1" x14ac:dyDescent="0.2">
      <c r="A13" s="41" t="str">
        <f t="shared" si="2"/>
        <v>18043-LMBMS 09029</v>
      </c>
      <c r="B13" s="38" t="s">
        <v>66</v>
      </c>
      <c r="C13" s="41" t="s">
        <v>67</v>
      </c>
      <c r="D13" s="38"/>
      <c r="E13" s="191" t="str">
        <f t="shared" si="3"/>
        <v>Electrical Typical Details Sheet 4</v>
      </c>
      <c r="F13" s="38" t="s">
        <v>69</v>
      </c>
      <c r="G13" s="38"/>
      <c r="H13" s="38"/>
      <c r="I13" s="38"/>
      <c r="J13" s="40"/>
      <c r="K13" s="40"/>
      <c r="L13" s="243" t="s">
        <v>70</v>
      </c>
      <c r="M13" s="241" t="s">
        <v>70</v>
      </c>
      <c r="N13" s="242" t="s">
        <v>71</v>
      </c>
      <c r="O13" s="234"/>
      <c r="P13" s="306">
        <v>2.5</v>
      </c>
      <c r="Q13" s="307">
        <v>0.6</v>
      </c>
      <c r="R13" s="307">
        <v>0.2</v>
      </c>
      <c r="S13" s="307">
        <v>1</v>
      </c>
      <c r="T13" s="307">
        <v>0.9</v>
      </c>
      <c r="U13" s="266">
        <f t="shared" ref="U13" si="5">MAX(R13,T13)</f>
        <v>0.9</v>
      </c>
      <c r="V13" s="37"/>
      <c r="W13" s="37" t="s">
        <v>472</v>
      </c>
    </row>
    <row r="14" spans="1:23" s="48" customFormat="1" ht="15" customHeight="1" outlineLevel="1" x14ac:dyDescent="0.2">
      <c r="A14" s="41" t="str">
        <f>"18043-"&amp;LEFT(W14,11)</f>
        <v>18043-LMBMS 09030</v>
      </c>
      <c r="B14" s="38" t="s">
        <v>66</v>
      </c>
      <c r="C14" s="41" t="s">
        <v>67</v>
      </c>
      <c r="D14" s="38"/>
      <c r="E14" s="191" t="str">
        <f>MID(W14,FIND(" ",W14,15)+1,100)</f>
        <v>Electrical Typical Details Sheet 5</v>
      </c>
      <c r="F14" s="38" t="s">
        <v>69</v>
      </c>
      <c r="G14" s="38"/>
      <c r="H14" s="38"/>
      <c r="I14" s="38"/>
      <c r="J14" s="40"/>
      <c r="K14" s="40"/>
      <c r="L14" s="243" t="s">
        <v>70</v>
      </c>
      <c r="M14" s="241" t="s">
        <v>70</v>
      </c>
      <c r="N14" s="242" t="s">
        <v>71</v>
      </c>
      <c r="O14" s="234"/>
      <c r="P14" s="306">
        <v>3.5</v>
      </c>
      <c r="Q14" s="307">
        <v>0.6</v>
      </c>
      <c r="R14" s="307">
        <v>0.2</v>
      </c>
      <c r="S14" s="307">
        <v>1</v>
      </c>
      <c r="T14" s="307">
        <v>0.9</v>
      </c>
      <c r="U14" s="266">
        <f t="shared" ref="U14" si="6">MAX(R14,T14)</f>
        <v>0.9</v>
      </c>
      <c r="V14" s="37"/>
      <c r="W14" s="194" t="s">
        <v>473</v>
      </c>
    </row>
    <row r="15" spans="1:23" s="48" customFormat="1" ht="15" customHeight="1" outlineLevel="1" x14ac:dyDescent="0.25">
      <c r="A15" s="41" t="str">
        <f>"18043-"&amp;LEFT(W15,11)</f>
        <v>18043-LMBMS 09031</v>
      </c>
      <c r="B15" s="38" t="s">
        <v>66</v>
      </c>
      <c r="C15" s="41" t="s">
        <v>67</v>
      </c>
      <c r="D15" s="38"/>
      <c r="E15" s="191" t="str">
        <f>MID(W15,FIND(" ",W15,15)+1,100)</f>
        <v>Lighting Specification</v>
      </c>
      <c r="F15" s="38" t="s">
        <v>69</v>
      </c>
      <c r="G15" s="38"/>
      <c r="H15" s="38"/>
      <c r="I15" s="38"/>
      <c r="J15" s="40"/>
      <c r="K15" s="40"/>
      <c r="L15" s="240" t="s">
        <v>70</v>
      </c>
      <c r="M15" s="248" t="s">
        <v>79</v>
      </c>
      <c r="N15" s="242" t="s">
        <v>71</v>
      </c>
      <c r="O15" s="234"/>
      <c r="P15" s="306">
        <v>2.5</v>
      </c>
      <c r="Q15" s="307">
        <v>0.8</v>
      </c>
      <c r="R15" s="307">
        <v>0.6</v>
      </c>
      <c r="S15" s="307">
        <v>1</v>
      </c>
      <c r="T15" s="307">
        <v>0.9</v>
      </c>
      <c r="U15" s="266">
        <f t="shared" si="4"/>
        <v>0.9</v>
      </c>
      <c r="V15" s="37"/>
      <c r="W15" s="194" t="s">
        <v>474</v>
      </c>
    </row>
    <row r="16" spans="1:23" s="48" customFormat="1" ht="15" customHeight="1" outlineLevel="1" x14ac:dyDescent="0.2">
      <c r="A16" s="43"/>
      <c r="B16" s="38"/>
      <c r="C16" s="41"/>
      <c r="D16" s="38"/>
      <c r="E16" s="42"/>
      <c r="F16" s="38"/>
      <c r="G16" s="38"/>
      <c r="H16" s="38"/>
      <c r="I16" s="38"/>
      <c r="J16" s="40"/>
      <c r="K16" s="40"/>
      <c r="L16" s="240"/>
      <c r="M16" s="248"/>
      <c r="N16" s="242"/>
      <c r="O16" s="234"/>
      <c r="P16" s="306"/>
      <c r="Q16" s="307"/>
      <c r="R16" s="307"/>
      <c r="S16" s="307"/>
      <c r="T16" s="307"/>
      <c r="U16" s="266"/>
      <c r="V16" s="37"/>
      <c r="W16" s="37"/>
    </row>
    <row r="17" spans="1:23" s="48" customFormat="1" ht="15" customHeight="1" outlineLevel="1" x14ac:dyDescent="0.25">
      <c r="A17" s="41" t="str">
        <f>"18043-"&amp;LEFT(W17,11)</f>
        <v>18043-LM000 09558</v>
      </c>
      <c r="B17" s="38" t="s">
        <v>66</v>
      </c>
      <c r="C17" s="41" t="s">
        <v>67</v>
      </c>
      <c r="D17" s="38"/>
      <c r="E17" s="37" t="str">
        <f>MID(W17,FIND(" ",W17,15)+1,100)</f>
        <v>General Electrical Work - Cable Tray Layout For B.191 (Modification)</v>
      </c>
      <c r="F17" s="38" t="s">
        <v>69</v>
      </c>
      <c r="G17" s="38"/>
      <c r="H17" s="38"/>
      <c r="I17" s="38"/>
      <c r="J17" s="40"/>
      <c r="K17" s="40"/>
      <c r="L17" s="240" t="s">
        <v>70</v>
      </c>
      <c r="M17" s="248" t="s">
        <v>79</v>
      </c>
      <c r="N17" s="242" t="s">
        <v>71</v>
      </c>
      <c r="O17" s="234"/>
      <c r="P17" s="306">
        <v>2.5</v>
      </c>
      <c r="Q17" s="307">
        <v>0.8</v>
      </c>
      <c r="R17" s="307">
        <v>0.7</v>
      </c>
      <c r="S17" s="307">
        <v>1</v>
      </c>
      <c r="T17" s="307">
        <v>0.8</v>
      </c>
      <c r="U17" s="266">
        <f t="shared" si="4"/>
        <v>0.8</v>
      </c>
      <c r="V17" s="37"/>
      <c r="W17" s="37" t="s">
        <v>475</v>
      </c>
    </row>
    <row r="18" spans="1:23" s="48" customFormat="1" ht="15" customHeight="1" outlineLevel="1" x14ac:dyDescent="0.25">
      <c r="A18" s="41" t="str">
        <f>"18043-"&amp;LEFT(W18,11)</f>
        <v>18043-LM000 09577</v>
      </c>
      <c r="B18" s="38" t="s">
        <v>66</v>
      </c>
      <c r="C18" s="41" t="s">
        <v>67</v>
      </c>
      <c r="D18" s="38"/>
      <c r="E18" s="191" t="str">
        <f>MID(W18,FIND(" ",W18,15)+1,100)</f>
        <v>Main feeder layout plan 646 Building</v>
      </c>
      <c r="F18" s="38" t="s">
        <v>69</v>
      </c>
      <c r="G18" s="38"/>
      <c r="H18" s="38"/>
      <c r="I18" s="38"/>
      <c r="J18" s="40"/>
      <c r="K18" s="40"/>
      <c r="L18" s="240" t="s">
        <v>70</v>
      </c>
      <c r="M18" s="248" t="s">
        <v>79</v>
      </c>
      <c r="N18" s="242" t="s">
        <v>71</v>
      </c>
      <c r="O18" s="234"/>
      <c r="P18" s="306">
        <v>3.5</v>
      </c>
      <c r="Q18" s="307">
        <v>0.8</v>
      </c>
      <c r="R18" s="307">
        <v>0.7</v>
      </c>
      <c r="S18" s="307">
        <v>1</v>
      </c>
      <c r="T18" s="307">
        <v>0.8</v>
      </c>
      <c r="U18" s="266">
        <f t="shared" si="4"/>
        <v>0.8</v>
      </c>
      <c r="V18" s="37"/>
      <c r="W18" s="37" t="s">
        <v>476</v>
      </c>
    </row>
    <row r="19" spans="1:23" s="48" customFormat="1" ht="15" customHeight="1" outlineLevel="1" x14ac:dyDescent="0.25">
      <c r="A19" s="41" t="str">
        <f>"18043-"&amp;LEFT(W19,11)</f>
        <v>18043-LM000 09578</v>
      </c>
      <c r="B19" s="38" t="s">
        <v>66</v>
      </c>
      <c r="C19" s="41" t="s">
        <v>67</v>
      </c>
      <c r="D19" s="38"/>
      <c r="E19" s="191" t="str">
        <f>MID(W19,FIND(" ",W19,15)+1,100)</f>
        <v>Main feeder layout plan 191-1 Building</v>
      </c>
      <c r="F19" s="38" t="s">
        <v>69</v>
      </c>
      <c r="G19" s="38"/>
      <c r="H19" s="38"/>
      <c r="I19" s="38"/>
      <c r="J19" s="40"/>
      <c r="K19" s="40"/>
      <c r="L19" s="240" t="s">
        <v>70</v>
      </c>
      <c r="M19" s="248" t="s">
        <v>79</v>
      </c>
      <c r="N19" s="242" t="s">
        <v>71</v>
      </c>
      <c r="O19" s="234"/>
      <c r="P19" s="306">
        <v>4.5</v>
      </c>
      <c r="Q19" s="307">
        <v>0.8</v>
      </c>
      <c r="R19" s="307">
        <v>0.7</v>
      </c>
      <c r="S19" s="307">
        <v>1</v>
      </c>
      <c r="T19" s="307">
        <v>0.8</v>
      </c>
      <c r="U19" s="266">
        <f t="shared" ref="U19:U20" si="7">MAX(R19,T19)</f>
        <v>0.8</v>
      </c>
      <c r="V19" s="37"/>
      <c r="W19" s="37" t="s">
        <v>477</v>
      </c>
    </row>
    <row r="20" spans="1:23" s="48" customFormat="1" ht="15" customHeight="1" outlineLevel="1" x14ac:dyDescent="0.25">
      <c r="A20" s="195" t="str">
        <f>"18043-"&amp;LEFT(W20,11)</f>
        <v>18043-LM000 09579</v>
      </c>
      <c r="B20" s="196" t="s">
        <v>66</v>
      </c>
      <c r="C20" s="195" t="s">
        <v>67</v>
      </c>
      <c r="D20" s="196"/>
      <c r="E20" s="197" t="str">
        <f>MID(W20,FIND(" ",W20,15)+1,100)</f>
        <v>Main feeder layout plan 190 D xxx</v>
      </c>
      <c r="F20" s="196" t="s">
        <v>69</v>
      </c>
      <c r="G20" s="196"/>
      <c r="H20" s="196"/>
      <c r="I20" s="196"/>
      <c r="J20" s="198"/>
      <c r="K20" s="198"/>
      <c r="L20" s="240" t="s">
        <v>70</v>
      </c>
      <c r="M20" s="248" t="s">
        <v>79</v>
      </c>
      <c r="N20" s="242" t="s">
        <v>71</v>
      </c>
      <c r="O20" s="234"/>
      <c r="P20" s="306">
        <v>5.5</v>
      </c>
      <c r="Q20" s="307">
        <v>0.8</v>
      </c>
      <c r="R20" s="307">
        <v>0.7</v>
      </c>
      <c r="S20" s="307">
        <v>1</v>
      </c>
      <c r="T20" s="307">
        <v>0.8</v>
      </c>
      <c r="U20" s="266">
        <f t="shared" si="7"/>
        <v>0.8</v>
      </c>
      <c r="V20" s="199"/>
      <c r="W20" s="199" t="s">
        <v>478</v>
      </c>
    </row>
    <row r="21" spans="1:23" s="193" customFormat="1" ht="15" customHeight="1" outlineLevel="1" x14ac:dyDescent="0.25">
      <c r="A21" s="41"/>
      <c r="B21" s="38"/>
      <c r="C21" s="41"/>
      <c r="D21" s="38"/>
      <c r="E21" s="191"/>
      <c r="F21" s="38"/>
      <c r="G21" s="38"/>
      <c r="H21" s="38"/>
      <c r="I21" s="38"/>
      <c r="J21" s="38"/>
      <c r="K21" s="38"/>
      <c r="L21" s="240"/>
      <c r="M21" s="248"/>
      <c r="N21" s="242"/>
      <c r="O21" s="234"/>
      <c r="P21" s="306"/>
      <c r="Q21" s="307"/>
      <c r="R21" s="307"/>
      <c r="S21" s="307"/>
      <c r="T21" s="307"/>
      <c r="U21" s="266"/>
      <c r="V21" s="37"/>
      <c r="W21" s="37"/>
    </row>
    <row r="22" spans="1:23" s="48" customFormat="1" ht="15" customHeight="1" outlineLevel="1" x14ac:dyDescent="0.25">
      <c r="A22" s="41"/>
      <c r="B22" s="38"/>
      <c r="C22" s="41"/>
      <c r="D22" s="38"/>
      <c r="E22" s="37"/>
      <c r="F22" s="38"/>
      <c r="G22" s="38"/>
      <c r="H22" s="38"/>
      <c r="I22" s="38"/>
      <c r="J22" s="40"/>
      <c r="K22" s="40"/>
      <c r="L22" s="240"/>
      <c r="M22" s="241"/>
      <c r="N22" s="242"/>
      <c r="O22" s="234"/>
      <c r="P22" s="306"/>
      <c r="Q22" s="307"/>
      <c r="R22" s="307"/>
      <c r="S22" s="307"/>
      <c r="T22" s="307"/>
      <c r="U22" s="266"/>
      <c r="V22" s="37"/>
      <c r="W22" s="37"/>
    </row>
    <row r="23" spans="1:23" s="48" customFormat="1" ht="15" customHeight="1" thickBot="1" x14ac:dyDescent="0.3">
      <c r="A23" s="41"/>
      <c r="B23" s="38"/>
      <c r="C23" s="41"/>
      <c r="D23" s="38"/>
      <c r="E23" s="43" t="str">
        <f>"SUB-TOTAL "&amp;UPPER(A7)&amp;" DRAWINGS"</f>
        <v>SUB-TOTAL GENERAL DRAWING DRAWINGS</v>
      </c>
      <c r="F23" s="38"/>
      <c r="G23" s="38"/>
      <c r="H23" s="38"/>
      <c r="I23" s="115">
        <f>COUNTA(F9:F21)</f>
        <v>11</v>
      </c>
      <c r="J23" s="36"/>
      <c r="K23" s="36"/>
      <c r="L23" s="240"/>
      <c r="M23" s="241"/>
      <c r="N23" s="242"/>
      <c r="O23" s="234"/>
      <c r="P23" s="306"/>
      <c r="Q23" s="307"/>
      <c r="R23" s="307"/>
      <c r="S23" s="307"/>
      <c r="T23" s="307"/>
      <c r="U23" s="266"/>
      <c r="V23" s="37"/>
      <c r="W23" s="37"/>
    </row>
    <row r="24" spans="1:23" s="62" customFormat="1" ht="15.75" thickTop="1" x14ac:dyDescent="0.2">
      <c r="A24" s="33"/>
      <c r="B24" s="36"/>
      <c r="C24" s="41"/>
      <c r="D24" s="36"/>
      <c r="E24" s="63"/>
      <c r="F24" s="36"/>
      <c r="G24" s="36"/>
      <c r="H24" s="36"/>
      <c r="I24" s="36"/>
      <c r="J24" s="36"/>
      <c r="K24" s="36"/>
      <c r="L24" s="240"/>
      <c r="M24" s="241"/>
      <c r="N24" s="242"/>
      <c r="O24" s="234"/>
      <c r="P24" s="306"/>
      <c r="Q24" s="307"/>
      <c r="R24" s="307"/>
      <c r="S24" s="307"/>
      <c r="T24" s="307"/>
      <c r="U24" s="266"/>
      <c r="V24" s="53"/>
      <c r="W24" s="53"/>
    </row>
    <row r="25" spans="1:23" s="48" customFormat="1" ht="18" customHeight="1" x14ac:dyDescent="0.25">
      <c r="A25" s="32" t="str">
        <f>'1. CIVIL'!A33</f>
        <v>Building Name or Area Name 1</v>
      </c>
      <c r="B25" s="11"/>
      <c r="C25" s="32"/>
      <c r="D25" s="11"/>
      <c r="E25" s="11"/>
      <c r="F25" s="11"/>
      <c r="G25" s="11"/>
      <c r="H25" s="11"/>
      <c r="I25" s="11"/>
      <c r="J25" s="11"/>
      <c r="K25" s="11"/>
      <c r="L25" s="240"/>
      <c r="M25" s="241"/>
      <c r="N25" s="242"/>
      <c r="O25" s="234"/>
      <c r="P25" s="306"/>
      <c r="Q25" s="307"/>
      <c r="R25" s="307"/>
      <c r="S25" s="307"/>
      <c r="T25" s="307"/>
      <c r="U25" s="266"/>
      <c r="V25" s="37"/>
      <c r="W25" s="37"/>
    </row>
    <row r="26" spans="1:23" s="48" customFormat="1" ht="15" customHeight="1" x14ac:dyDescent="0.25">
      <c r="A26" s="37"/>
      <c r="B26" s="38"/>
      <c r="C26" s="41"/>
      <c r="D26" s="38"/>
      <c r="E26" s="39"/>
      <c r="F26" s="38"/>
      <c r="G26" s="38"/>
      <c r="H26" s="38"/>
      <c r="I26" s="38"/>
      <c r="J26" s="40"/>
      <c r="K26" s="40"/>
      <c r="L26" s="240"/>
      <c r="M26" s="241"/>
      <c r="N26" s="242"/>
      <c r="O26" s="234"/>
      <c r="P26" s="306"/>
      <c r="Q26" s="307"/>
      <c r="R26" s="307"/>
      <c r="S26" s="307"/>
      <c r="T26" s="307"/>
      <c r="U26" s="266"/>
      <c r="V26" s="37"/>
      <c r="W26" s="37"/>
    </row>
    <row r="27" spans="1:23" s="48" customFormat="1" ht="15" customHeight="1" outlineLevel="1" x14ac:dyDescent="0.25">
      <c r="A27" s="41" t="str">
        <f>"18043-"&amp;LEFT(W27,11)</f>
        <v>18043-LM646 09101</v>
      </c>
      <c r="B27" s="38" t="s">
        <v>66</v>
      </c>
      <c r="C27" s="41" t="s">
        <v>67</v>
      </c>
      <c r="D27" s="38"/>
      <c r="E27" s="191" t="str">
        <f t="shared" ref="E27" si="8">MID(W27,FIND(" ",W27,15)+1,100)</f>
        <v>List of Lighting Requirement</v>
      </c>
      <c r="F27" s="38" t="s">
        <v>69</v>
      </c>
      <c r="G27" s="38"/>
      <c r="H27" s="38"/>
      <c r="I27" s="38"/>
      <c r="J27" s="40"/>
      <c r="K27" s="40"/>
      <c r="L27" s="240" t="s">
        <v>70</v>
      </c>
      <c r="M27" s="241" t="s">
        <v>79</v>
      </c>
      <c r="N27" s="242" t="s">
        <v>71</v>
      </c>
      <c r="O27" s="234"/>
      <c r="P27" s="306">
        <v>1.5</v>
      </c>
      <c r="Q27" s="307">
        <v>0</v>
      </c>
      <c r="R27" s="307">
        <v>0</v>
      </c>
      <c r="S27" s="307">
        <v>1</v>
      </c>
      <c r="T27" s="307">
        <v>0.3</v>
      </c>
      <c r="U27" s="266">
        <f t="shared" ref="U27" si="9">MAX(R27,T27)</f>
        <v>0.3</v>
      </c>
      <c r="V27" s="37"/>
      <c r="W27" s="37" t="s">
        <v>479</v>
      </c>
    </row>
    <row r="28" spans="1:23" s="48" customFormat="1" ht="15" customHeight="1" outlineLevel="1" x14ac:dyDescent="0.25">
      <c r="A28" s="41" t="str">
        <f t="shared" ref="A28:A41" si="10">"18043-"&amp;LEFT(W28,11)</f>
        <v>18043-LM646 09102</v>
      </c>
      <c r="B28" s="38"/>
      <c r="C28" s="41" t="s">
        <v>67</v>
      </c>
      <c r="D28" s="38"/>
      <c r="E28" s="191" t="str">
        <f>MID(W28,FIND(" ",W28,15)+1,100)</f>
        <v>1st Floor Lighting Plan</v>
      </c>
      <c r="F28" s="38" t="s">
        <v>69</v>
      </c>
      <c r="G28" s="38"/>
      <c r="H28" s="38"/>
      <c r="I28" s="38"/>
      <c r="J28" s="40"/>
      <c r="K28" s="40"/>
      <c r="L28" s="240" t="s">
        <v>70</v>
      </c>
      <c r="M28" s="241" t="s">
        <v>79</v>
      </c>
      <c r="N28" s="242" t="s">
        <v>71</v>
      </c>
      <c r="O28" s="234"/>
      <c r="P28" s="306">
        <v>0.5</v>
      </c>
      <c r="Q28" s="307">
        <v>0</v>
      </c>
      <c r="R28" s="307">
        <v>0</v>
      </c>
      <c r="S28" s="307">
        <v>1</v>
      </c>
      <c r="T28" s="307">
        <v>0.3</v>
      </c>
      <c r="U28" s="266">
        <f t="shared" si="4"/>
        <v>0.3</v>
      </c>
      <c r="V28" s="37"/>
      <c r="W28" s="37" t="s">
        <v>480</v>
      </c>
    </row>
    <row r="29" spans="1:23" s="48" customFormat="1" ht="15" customHeight="1" outlineLevel="1" x14ac:dyDescent="0.25">
      <c r="A29" s="41" t="str">
        <f t="shared" si="10"/>
        <v>18043-LM646 09103</v>
      </c>
      <c r="B29" s="38"/>
      <c r="C29" s="41" t="s">
        <v>67</v>
      </c>
      <c r="D29" s="38"/>
      <c r="E29" s="191" t="str">
        <f t="shared" ref="E29:E41" si="11">MID(W29,FIND(" ",W29,15)+1,100)</f>
        <v>1st Floor Mezzanine Lighting Plan</v>
      </c>
      <c r="F29" s="38" t="s">
        <v>69</v>
      </c>
      <c r="G29" s="38"/>
      <c r="H29" s="38"/>
      <c r="I29" s="38"/>
      <c r="J29" s="40"/>
      <c r="K29" s="40"/>
      <c r="L29" s="240" t="s">
        <v>70</v>
      </c>
      <c r="M29" s="241" t="s">
        <v>79</v>
      </c>
      <c r="N29" s="242" t="s">
        <v>71</v>
      </c>
      <c r="O29" s="234"/>
      <c r="P29" s="306">
        <v>1.5</v>
      </c>
      <c r="Q29" s="307">
        <v>0</v>
      </c>
      <c r="R29" s="307">
        <v>0</v>
      </c>
      <c r="S29" s="307">
        <v>1</v>
      </c>
      <c r="T29" s="307">
        <v>0.3</v>
      </c>
      <c r="U29" s="266">
        <f t="shared" ref="U29" si="12">MAX(R29,T29)</f>
        <v>0.3</v>
      </c>
      <c r="V29" s="37"/>
      <c r="W29" s="37" t="s">
        <v>481</v>
      </c>
    </row>
    <row r="30" spans="1:23" s="48" customFormat="1" ht="15" customHeight="1" outlineLevel="1" x14ac:dyDescent="0.25">
      <c r="A30" s="41" t="str">
        <f t="shared" si="10"/>
        <v>18043-LM646 09104</v>
      </c>
      <c r="B30" s="38"/>
      <c r="C30" s="41" t="s">
        <v>67</v>
      </c>
      <c r="D30" s="38"/>
      <c r="E30" s="191" t="str">
        <f t="shared" si="11"/>
        <v>2nd Floor Lighting Plan</v>
      </c>
      <c r="F30" s="38" t="s">
        <v>69</v>
      </c>
      <c r="G30" s="38"/>
      <c r="H30" s="38"/>
      <c r="I30" s="38"/>
      <c r="J30" s="40"/>
      <c r="K30" s="40"/>
      <c r="L30" s="240" t="s">
        <v>70</v>
      </c>
      <c r="M30" s="245" t="s">
        <v>98</v>
      </c>
      <c r="N30" s="242" t="s">
        <v>99</v>
      </c>
      <c r="O30" s="234"/>
      <c r="P30" s="306">
        <v>1</v>
      </c>
      <c r="Q30" s="307">
        <v>0.3</v>
      </c>
      <c r="R30" s="307">
        <v>0.3</v>
      </c>
      <c r="S30" s="307">
        <v>1</v>
      </c>
      <c r="T30" s="307">
        <v>0.8</v>
      </c>
      <c r="U30" s="266">
        <f t="shared" si="4"/>
        <v>0.8</v>
      </c>
      <c r="V30" s="37"/>
      <c r="W30" s="37" t="s">
        <v>482</v>
      </c>
    </row>
    <row r="31" spans="1:23" s="48" customFormat="1" ht="15" customHeight="1" outlineLevel="1" x14ac:dyDescent="0.25">
      <c r="A31" s="41" t="str">
        <f t="shared" si="10"/>
        <v>18043-LM646 09105</v>
      </c>
      <c r="B31" s="38"/>
      <c r="C31" s="41" t="s">
        <v>67</v>
      </c>
      <c r="D31" s="38"/>
      <c r="E31" s="191" t="str">
        <f t="shared" si="11"/>
        <v>2nd Floor Mezzanine Lighting Plan</v>
      </c>
      <c r="F31" s="38" t="s">
        <v>69</v>
      </c>
      <c r="G31" s="38"/>
      <c r="H31" s="38"/>
      <c r="I31" s="38"/>
      <c r="J31" s="40"/>
      <c r="K31" s="40"/>
      <c r="L31" s="240" t="s">
        <v>70</v>
      </c>
      <c r="M31" s="245" t="s">
        <v>98</v>
      </c>
      <c r="N31" s="242" t="s">
        <v>99</v>
      </c>
      <c r="O31" s="234"/>
      <c r="P31" s="306">
        <v>2</v>
      </c>
      <c r="Q31" s="307">
        <v>0.3</v>
      </c>
      <c r="R31" s="307">
        <v>0.3</v>
      </c>
      <c r="S31" s="307">
        <v>1</v>
      </c>
      <c r="T31" s="307">
        <v>0.8</v>
      </c>
      <c r="U31" s="266">
        <f t="shared" ref="U31:U36" si="13">MAX(R31,T31)</f>
        <v>0.8</v>
      </c>
      <c r="V31" s="37"/>
      <c r="W31" s="37" t="s">
        <v>483</v>
      </c>
    </row>
    <row r="32" spans="1:23" s="48" customFormat="1" ht="15" customHeight="1" outlineLevel="1" x14ac:dyDescent="0.25">
      <c r="A32" s="41" t="str">
        <f t="shared" ref="A32:A35" si="14">"18043-"&amp;LEFT(W32,11)</f>
        <v>18043-LM646 09106</v>
      </c>
      <c r="B32" s="38"/>
      <c r="C32" s="41" t="s">
        <v>67</v>
      </c>
      <c r="D32" s="38"/>
      <c r="E32" s="191" t="str">
        <f>MID(W32,FIND(" ",W32,15)+1,100)</f>
        <v>1st Floor Emergency Light and Exit Light Plan</v>
      </c>
      <c r="F32" s="38" t="s">
        <v>69</v>
      </c>
      <c r="G32" s="38"/>
      <c r="H32" s="38"/>
      <c r="I32" s="38"/>
      <c r="J32" s="40"/>
      <c r="K32" s="40"/>
      <c r="L32" s="240" t="s">
        <v>70</v>
      </c>
      <c r="M32" s="245" t="s">
        <v>98</v>
      </c>
      <c r="N32" s="242" t="s">
        <v>99</v>
      </c>
      <c r="O32" s="234"/>
      <c r="P32" s="306">
        <v>3</v>
      </c>
      <c r="Q32" s="307">
        <v>0.3</v>
      </c>
      <c r="R32" s="307">
        <v>0.3</v>
      </c>
      <c r="S32" s="307">
        <v>1</v>
      </c>
      <c r="T32" s="307">
        <v>0.8</v>
      </c>
      <c r="U32" s="266">
        <f t="shared" si="13"/>
        <v>0.8</v>
      </c>
      <c r="V32" s="37"/>
      <c r="W32" s="37" t="s">
        <v>484</v>
      </c>
    </row>
    <row r="33" spans="1:23" s="48" customFormat="1" ht="15" customHeight="1" outlineLevel="1" x14ac:dyDescent="0.25">
      <c r="A33" s="41" t="str">
        <f t="shared" si="14"/>
        <v>18043-LM646 09107</v>
      </c>
      <c r="B33" s="38"/>
      <c r="C33" s="41" t="s">
        <v>67</v>
      </c>
      <c r="D33" s="38"/>
      <c r="E33" s="191" t="str">
        <f t="shared" ref="E33:E35" si="15">MID(W33,FIND(" ",W33,15)+1,100)</f>
        <v>1st Floor Mezzanine Emergency Light and Exit Light Plan</v>
      </c>
      <c r="F33" s="38" t="s">
        <v>69</v>
      </c>
      <c r="G33" s="38"/>
      <c r="H33" s="38"/>
      <c r="I33" s="38"/>
      <c r="J33" s="40"/>
      <c r="K33" s="40"/>
      <c r="L33" s="240" t="s">
        <v>70</v>
      </c>
      <c r="M33" s="245" t="s">
        <v>98</v>
      </c>
      <c r="N33" s="242" t="s">
        <v>99</v>
      </c>
      <c r="O33" s="234"/>
      <c r="P33" s="306">
        <v>4</v>
      </c>
      <c r="Q33" s="307">
        <v>0.3</v>
      </c>
      <c r="R33" s="307">
        <v>0.3</v>
      </c>
      <c r="S33" s="307">
        <v>1</v>
      </c>
      <c r="T33" s="307">
        <v>0.8</v>
      </c>
      <c r="U33" s="266">
        <f t="shared" si="13"/>
        <v>0.8</v>
      </c>
      <c r="V33" s="37"/>
      <c r="W33" s="37" t="s">
        <v>485</v>
      </c>
    </row>
    <row r="34" spans="1:23" s="48" customFormat="1" ht="15" customHeight="1" outlineLevel="1" x14ac:dyDescent="0.25">
      <c r="A34" s="41" t="str">
        <f t="shared" si="14"/>
        <v>18043-LM646 09108</v>
      </c>
      <c r="B34" s="38"/>
      <c r="C34" s="41" t="s">
        <v>67</v>
      </c>
      <c r="D34" s="38"/>
      <c r="E34" s="191" t="str">
        <f t="shared" si="15"/>
        <v>2nd Floor Emergency Light and Exit Light Plan</v>
      </c>
      <c r="F34" s="38" t="s">
        <v>69</v>
      </c>
      <c r="G34" s="38"/>
      <c r="H34" s="38"/>
      <c r="I34" s="38"/>
      <c r="J34" s="40"/>
      <c r="K34" s="40"/>
      <c r="L34" s="240" t="s">
        <v>70</v>
      </c>
      <c r="M34" s="245" t="s">
        <v>98</v>
      </c>
      <c r="N34" s="242" t="s">
        <v>99</v>
      </c>
      <c r="O34" s="234"/>
      <c r="P34" s="306">
        <v>5</v>
      </c>
      <c r="Q34" s="307">
        <v>0.3</v>
      </c>
      <c r="R34" s="307">
        <v>0.3</v>
      </c>
      <c r="S34" s="307">
        <v>1</v>
      </c>
      <c r="T34" s="307">
        <v>0.8</v>
      </c>
      <c r="U34" s="266">
        <f t="shared" si="13"/>
        <v>0.8</v>
      </c>
      <c r="V34" s="37"/>
      <c r="W34" s="37" t="s">
        <v>486</v>
      </c>
    </row>
    <row r="35" spans="1:23" s="48" customFormat="1" ht="15" customHeight="1" outlineLevel="1" x14ac:dyDescent="0.25">
      <c r="A35" s="41" t="str">
        <f t="shared" si="14"/>
        <v>18043-LM646 09109</v>
      </c>
      <c r="B35" s="38"/>
      <c r="C35" s="41" t="s">
        <v>67</v>
      </c>
      <c r="D35" s="38"/>
      <c r="E35" s="191" t="str">
        <f t="shared" si="15"/>
        <v>2nd Floor Mezzanine Emergency Light and Exit Light Plan</v>
      </c>
      <c r="F35" s="38" t="s">
        <v>69</v>
      </c>
      <c r="G35" s="38"/>
      <c r="H35" s="38"/>
      <c r="I35" s="38"/>
      <c r="J35" s="40"/>
      <c r="K35" s="40"/>
      <c r="L35" s="240" t="s">
        <v>70</v>
      </c>
      <c r="M35" s="245" t="s">
        <v>98</v>
      </c>
      <c r="N35" s="242" t="s">
        <v>99</v>
      </c>
      <c r="O35" s="234"/>
      <c r="P35" s="306">
        <v>6</v>
      </c>
      <c r="Q35" s="307">
        <v>0.3</v>
      </c>
      <c r="R35" s="307">
        <v>0.3</v>
      </c>
      <c r="S35" s="307">
        <v>1</v>
      </c>
      <c r="T35" s="307">
        <v>0.8</v>
      </c>
      <c r="U35" s="266">
        <f t="shared" si="13"/>
        <v>0.8</v>
      </c>
      <c r="V35" s="37"/>
      <c r="W35" s="37" t="s">
        <v>487</v>
      </c>
    </row>
    <row r="36" spans="1:23" s="48" customFormat="1" ht="15" customHeight="1" outlineLevel="1" x14ac:dyDescent="0.25">
      <c r="A36" s="41" t="str">
        <f t="shared" ref="A36:A39" si="16">"18043-"&amp;LEFT(W36,11)</f>
        <v>18043-LM646 09110</v>
      </c>
      <c r="B36" s="38"/>
      <c r="C36" s="41" t="s">
        <v>67</v>
      </c>
      <c r="D36" s="38"/>
      <c r="E36" s="191" t="str">
        <f>MID(W36,FIND(" ",W36,15)+1,100)</f>
        <v>1st Floor Receptacle and Power Supply Plan</v>
      </c>
      <c r="F36" s="38" t="s">
        <v>69</v>
      </c>
      <c r="G36" s="38"/>
      <c r="H36" s="38"/>
      <c r="I36" s="38"/>
      <c r="J36" s="40"/>
      <c r="K36" s="40"/>
      <c r="L36" s="240" t="s">
        <v>70</v>
      </c>
      <c r="M36" s="245" t="s">
        <v>98</v>
      </c>
      <c r="N36" s="242" t="s">
        <v>99</v>
      </c>
      <c r="O36" s="234"/>
      <c r="P36" s="306">
        <v>7</v>
      </c>
      <c r="Q36" s="307">
        <v>0.3</v>
      </c>
      <c r="R36" s="307">
        <v>0.3</v>
      </c>
      <c r="S36" s="307">
        <v>1</v>
      </c>
      <c r="T36" s="307">
        <v>0.8</v>
      </c>
      <c r="U36" s="266">
        <f t="shared" si="13"/>
        <v>0.8</v>
      </c>
      <c r="V36" s="37"/>
      <c r="W36" s="37" t="s">
        <v>488</v>
      </c>
    </row>
    <row r="37" spans="1:23" s="48" customFormat="1" ht="15" customHeight="1" outlineLevel="1" x14ac:dyDescent="0.25">
      <c r="A37" s="41" t="str">
        <f t="shared" si="16"/>
        <v>18043-LM646 09111</v>
      </c>
      <c r="B37" s="38"/>
      <c r="C37" s="41" t="s">
        <v>67</v>
      </c>
      <c r="D37" s="38"/>
      <c r="E37" s="191" t="str">
        <f t="shared" ref="E37:E39" si="17">MID(W37,FIND(" ",W37,15)+1,100)</f>
        <v>1st Floor Mezzanine Receptacle and Power Supply Plan</v>
      </c>
      <c r="F37" s="38" t="s">
        <v>69</v>
      </c>
      <c r="G37" s="38"/>
      <c r="H37" s="38"/>
      <c r="I37" s="38"/>
      <c r="J37" s="40"/>
      <c r="K37" s="40"/>
      <c r="L37" s="240" t="s">
        <v>70</v>
      </c>
      <c r="M37" s="248" t="s">
        <v>79</v>
      </c>
      <c r="N37" s="242" t="s">
        <v>71</v>
      </c>
      <c r="O37" s="234"/>
      <c r="P37" s="306">
        <v>1.5</v>
      </c>
      <c r="Q37" s="307">
        <v>0.6</v>
      </c>
      <c r="R37" s="307">
        <v>0.6</v>
      </c>
      <c r="S37" s="307">
        <v>1</v>
      </c>
      <c r="T37" s="307">
        <v>0.8</v>
      </c>
      <c r="U37" s="266">
        <f t="shared" si="4"/>
        <v>0.8</v>
      </c>
      <c r="V37" s="37"/>
      <c r="W37" s="37" t="s">
        <v>489</v>
      </c>
    </row>
    <row r="38" spans="1:23" s="48" customFormat="1" ht="15" customHeight="1" outlineLevel="1" x14ac:dyDescent="0.25">
      <c r="A38" s="41" t="str">
        <f t="shared" si="16"/>
        <v>18043-LM646 09112</v>
      </c>
      <c r="B38" s="38"/>
      <c r="C38" s="41" t="s">
        <v>67</v>
      </c>
      <c r="D38" s="38"/>
      <c r="E38" s="191" t="str">
        <f t="shared" si="17"/>
        <v>2nd Floor Receptacle and Power Supply Plan</v>
      </c>
      <c r="F38" s="38" t="s">
        <v>69</v>
      </c>
      <c r="G38" s="38"/>
      <c r="H38" s="38"/>
      <c r="I38" s="38"/>
      <c r="J38" s="40"/>
      <c r="K38" s="40"/>
      <c r="L38" s="240" t="s">
        <v>70</v>
      </c>
      <c r="M38" s="248" t="s">
        <v>79</v>
      </c>
      <c r="N38" s="242" t="s">
        <v>71</v>
      </c>
      <c r="O38" s="234"/>
      <c r="P38" s="306">
        <v>2.5</v>
      </c>
      <c r="Q38" s="307">
        <v>0.6</v>
      </c>
      <c r="R38" s="307">
        <v>0.6</v>
      </c>
      <c r="S38" s="307">
        <v>1</v>
      </c>
      <c r="T38" s="307">
        <v>0.8</v>
      </c>
      <c r="U38" s="266">
        <f t="shared" si="4"/>
        <v>0.8</v>
      </c>
      <c r="V38" s="37"/>
      <c r="W38" s="37" t="s">
        <v>490</v>
      </c>
    </row>
    <row r="39" spans="1:23" s="48" customFormat="1" ht="15" customHeight="1" outlineLevel="1" x14ac:dyDescent="0.25">
      <c r="A39" s="41" t="str">
        <f t="shared" si="16"/>
        <v>18043-LM646 09113</v>
      </c>
      <c r="B39" s="38"/>
      <c r="C39" s="41" t="s">
        <v>67</v>
      </c>
      <c r="D39" s="38"/>
      <c r="E39" s="191" t="str">
        <f t="shared" si="17"/>
        <v>2nd Floor Mezzanine Receptacle and Power Supply Plan</v>
      </c>
      <c r="F39" s="38" t="s">
        <v>69</v>
      </c>
      <c r="G39" s="38"/>
      <c r="H39" s="38"/>
      <c r="I39" s="38"/>
      <c r="J39" s="40"/>
      <c r="K39" s="40"/>
      <c r="L39" s="240" t="s">
        <v>70</v>
      </c>
      <c r="M39" s="248" t="s">
        <v>79</v>
      </c>
      <c r="N39" s="242" t="s">
        <v>71</v>
      </c>
      <c r="O39" s="234"/>
      <c r="P39" s="306">
        <v>3.5</v>
      </c>
      <c r="Q39" s="307">
        <v>0.6</v>
      </c>
      <c r="R39" s="307">
        <v>0.6</v>
      </c>
      <c r="S39" s="307">
        <v>1</v>
      </c>
      <c r="T39" s="307">
        <v>0.8</v>
      </c>
      <c r="U39" s="266">
        <f t="shared" si="4"/>
        <v>0.8</v>
      </c>
      <c r="V39" s="37"/>
      <c r="W39" s="37" t="s">
        <v>491</v>
      </c>
    </row>
    <row r="40" spans="1:23" s="48" customFormat="1" ht="15" customHeight="1" outlineLevel="1" x14ac:dyDescent="0.25">
      <c r="A40" s="41" t="str">
        <f t="shared" si="10"/>
        <v>18043-LM646 09201</v>
      </c>
      <c r="B40" s="38"/>
      <c r="C40" s="41" t="s">
        <v>67</v>
      </c>
      <c r="D40" s="38"/>
      <c r="E40" s="191" t="str">
        <f t="shared" si="11"/>
        <v>1st Floor Fire Alarm Plan</v>
      </c>
      <c r="F40" s="38" t="s">
        <v>69</v>
      </c>
      <c r="G40" s="38"/>
      <c r="H40" s="38"/>
      <c r="I40" s="38"/>
      <c r="J40" s="40"/>
      <c r="K40" s="40"/>
      <c r="L40" s="240" t="s">
        <v>70</v>
      </c>
      <c r="M40" s="248" t="s">
        <v>79</v>
      </c>
      <c r="N40" s="242" t="s">
        <v>71</v>
      </c>
      <c r="O40" s="234"/>
      <c r="P40" s="306">
        <v>4.5</v>
      </c>
      <c r="Q40" s="307">
        <v>0.6</v>
      </c>
      <c r="R40" s="307">
        <v>0.6</v>
      </c>
      <c r="S40" s="307">
        <v>1</v>
      </c>
      <c r="T40" s="307">
        <v>0.8</v>
      </c>
      <c r="U40" s="266">
        <f t="shared" ref="U40" si="18">MAX(R40,T40)</f>
        <v>0.8</v>
      </c>
      <c r="V40" s="37"/>
      <c r="W40" s="37" t="s">
        <v>492</v>
      </c>
    </row>
    <row r="41" spans="1:23" s="48" customFormat="1" ht="15" customHeight="1" outlineLevel="1" x14ac:dyDescent="0.25">
      <c r="A41" s="41" t="str">
        <f t="shared" si="10"/>
        <v>18043-LM646 09202</v>
      </c>
      <c r="B41" s="38"/>
      <c r="C41" s="41" t="s">
        <v>67</v>
      </c>
      <c r="D41" s="38"/>
      <c r="E41" s="191" t="str">
        <f t="shared" si="11"/>
        <v>1st Floor Mezzanine Fire Alarm Plan</v>
      </c>
      <c r="F41" s="38" t="s">
        <v>69</v>
      </c>
      <c r="G41" s="38"/>
      <c r="H41" s="38"/>
      <c r="I41" s="38"/>
      <c r="J41" s="40"/>
      <c r="K41" s="40"/>
      <c r="L41" s="240" t="s">
        <v>70</v>
      </c>
      <c r="M41" s="248" t="s">
        <v>79</v>
      </c>
      <c r="N41" s="242" t="s">
        <v>71</v>
      </c>
      <c r="O41" s="234"/>
      <c r="P41" s="306">
        <v>1.5</v>
      </c>
      <c r="Q41" s="307">
        <v>0.6</v>
      </c>
      <c r="R41" s="307">
        <v>0</v>
      </c>
      <c r="S41" s="307">
        <v>1</v>
      </c>
      <c r="T41" s="307">
        <v>0.9</v>
      </c>
      <c r="U41" s="266">
        <f t="shared" si="4"/>
        <v>0.9</v>
      </c>
      <c r="V41" s="37"/>
      <c r="W41" s="37" t="s">
        <v>493</v>
      </c>
    </row>
    <row r="42" spans="1:23" s="48" customFormat="1" ht="15" customHeight="1" outlineLevel="1" x14ac:dyDescent="0.25">
      <c r="A42" s="41" t="str">
        <f t="shared" ref="A42:A62" si="19">"18043-"&amp;LEFT(W42,11)</f>
        <v>18043-LM646 09203</v>
      </c>
      <c r="B42" s="38"/>
      <c r="C42" s="41" t="s">
        <v>67</v>
      </c>
      <c r="D42" s="38"/>
      <c r="E42" s="191" t="str">
        <f t="shared" ref="E42:E62" si="20">MID(W42,FIND(" ",W42,15)+1,100)</f>
        <v>2nd Floor Fire Alarm Plan</v>
      </c>
      <c r="F42" s="38" t="s">
        <v>69</v>
      </c>
      <c r="G42" s="38"/>
      <c r="H42" s="38"/>
      <c r="I42" s="38"/>
      <c r="J42" s="40"/>
      <c r="K42" s="40"/>
      <c r="L42" s="240" t="s">
        <v>70</v>
      </c>
      <c r="M42" s="248" t="s">
        <v>79</v>
      </c>
      <c r="N42" s="242" t="s">
        <v>71</v>
      </c>
      <c r="O42" s="234"/>
      <c r="P42" s="306">
        <v>1</v>
      </c>
      <c r="Q42" s="307">
        <v>0</v>
      </c>
      <c r="R42" s="307">
        <v>0</v>
      </c>
      <c r="S42" s="307">
        <v>1</v>
      </c>
      <c r="T42" s="307">
        <v>0.3</v>
      </c>
      <c r="U42" s="266">
        <f t="shared" si="4"/>
        <v>0.3</v>
      </c>
      <c r="V42" s="37"/>
      <c r="W42" s="37" t="s">
        <v>494</v>
      </c>
    </row>
    <row r="43" spans="1:23" s="48" customFormat="1" ht="15" customHeight="1" outlineLevel="1" x14ac:dyDescent="0.25">
      <c r="A43" s="41" t="str">
        <f t="shared" si="19"/>
        <v>18043-LM646 09204</v>
      </c>
      <c r="B43" s="38"/>
      <c r="C43" s="41" t="s">
        <v>67</v>
      </c>
      <c r="D43" s="38"/>
      <c r="E43" s="191" t="str">
        <f t="shared" si="20"/>
        <v>2nd Floor Mezzanine Fire Alarm Plan</v>
      </c>
      <c r="F43" s="38" t="s">
        <v>69</v>
      </c>
      <c r="G43" s="38"/>
      <c r="H43" s="38"/>
      <c r="I43" s="38"/>
      <c r="J43" s="40"/>
      <c r="K43" s="40"/>
      <c r="L43" s="240" t="s">
        <v>70</v>
      </c>
      <c r="M43" s="248" t="s">
        <v>79</v>
      </c>
      <c r="N43" s="242" t="s">
        <v>71</v>
      </c>
      <c r="O43" s="234"/>
      <c r="P43" s="306">
        <v>2</v>
      </c>
      <c r="Q43" s="307">
        <v>0</v>
      </c>
      <c r="R43" s="307">
        <v>0</v>
      </c>
      <c r="S43" s="307">
        <v>1</v>
      </c>
      <c r="T43" s="307">
        <v>0.3</v>
      </c>
      <c r="U43" s="266">
        <f t="shared" si="4"/>
        <v>0.3</v>
      </c>
      <c r="V43" s="37"/>
      <c r="W43" s="37" t="s">
        <v>495</v>
      </c>
    </row>
    <row r="44" spans="1:23" s="48" customFormat="1" ht="15" customHeight="1" outlineLevel="1" x14ac:dyDescent="0.25">
      <c r="A44" s="41" t="str">
        <f t="shared" ref="A44:A46" si="21">"18043-"&amp;LEFT(W44,11)</f>
        <v>18043-LM646 09401</v>
      </c>
      <c r="B44" s="38"/>
      <c r="C44" s="41" t="s">
        <v>67</v>
      </c>
      <c r="D44" s="38"/>
      <c r="E44" s="191" t="str">
        <f t="shared" ref="E44:E46" si="22">MID(W44,FIND(" ",W44,15)+1,100)</f>
        <v>1st Floor Telephone, and Data Network Plan</v>
      </c>
      <c r="F44" s="38" t="s">
        <v>69</v>
      </c>
      <c r="G44" s="38"/>
      <c r="H44" s="38"/>
      <c r="I44" s="38"/>
      <c r="J44" s="40"/>
      <c r="K44" s="40"/>
      <c r="L44" s="240" t="s">
        <v>70</v>
      </c>
      <c r="M44" s="248" t="s">
        <v>79</v>
      </c>
      <c r="N44" s="242" t="s">
        <v>71</v>
      </c>
      <c r="O44" s="234"/>
      <c r="P44" s="306">
        <v>3</v>
      </c>
      <c r="Q44" s="307">
        <v>0</v>
      </c>
      <c r="R44" s="307">
        <v>0</v>
      </c>
      <c r="S44" s="307">
        <v>1</v>
      </c>
      <c r="T44" s="307">
        <v>0.3</v>
      </c>
      <c r="U44" s="266">
        <f t="shared" si="4"/>
        <v>0.3</v>
      </c>
      <c r="V44" s="37"/>
      <c r="W44" s="37" t="s">
        <v>496</v>
      </c>
    </row>
    <row r="45" spans="1:23" s="48" customFormat="1" ht="15" customHeight="1" outlineLevel="1" x14ac:dyDescent="0.2">
      <c r="A45" s="41" t="str">
        <f t="shared" si="21"/>
        <v>18043-LM646 09402</v>
      </c>
      <c r="B45" s="38"/>
      <c r="C45" s="41" t="s">
        <v>67</v>
      </c>
      <c r="D45" s="38"/>
      <c r="E45" s="191" t="str">
        <f t="shared" si="22"/>
        <v>1st Floor Mezzanine Telephone, and Data Network Plan</v>
      </c>
      <c r="F45" s="38" t="s">
        <v>69</v>
      </c>
      <c r="G45" s="38"/>
      <c r="H45" s="38"/>
      <c r="I45" s="38"/>
      <c r="J45" s="40"/>
      <c r="K45" s="40"/>
      <c r="L45" s="240" t="s">
        <v>70</v>
      </c>
      <c r="M45" s="241" t="s">
        <v>70</v>
      </c>
      <c r="N45" s="252" t="s">
        <v>71</v>
      </c>
      <c r="O45" s="234"/>
      <c r="P45" s="306">
        <v>1</v>
      </c>
      <c r="Q45" s="307">
        <v>0.6</v>
      </c>
      <c r="R45" s="307">
        <v>0.6</v>
      </c>
      <c r="S45" s="307">
        <v>1</v>
      </c>
      <c r="T45" s="307">
        <v>0.95</v>
      </c>
      <c r="U45" s="266">
        <f t="shared" si="4"/>
        <v>0.95</v>
      </c>
      <c r="V45" s="37"/>
      <c r="W45" s="37" t="s">
        <v>497</v>
      </c>
    </row>
    <row r="46" spans="1:23" s="48" customFormat="1" ht="15" customHeight="1" outlineLevel="1" x14ac:dyDescent="0.2">
      <c r="A46" s="41" t="str">
        <f t="shared" si="21"/>
        <v>18043-LM646 09403</v>
      </c>
      <c r="B46" s="38"/>
      <c r="C46" s="41" t="s">
        <v>67</v>
      </c>
      <c r="D46" s="38"/>
      <c r="E46" s="191" t="str">
        <f t="shared" si="22"/>
        <v>2nd Floor Telephone, and Data Network Plan</v>
      </c>
      <c r="F46" s="38" t="s">
        <v>69</v>
      </c>
      <c r="G46" s="38"/>
      <c r="H46" s="38"/>
      <c r="I46" s="38"/>
      <c r="J46" s="40"/>
      <c r="K46" s="40"/>
      <c r="L46" s="240" t="s">
        <v>70</v>
      </c>
      <c r="M46" s="241" t="s">
        <v>70</v>
      </c>
      <c r="N46" s="252" t="s">
        <v>71</v>
      </c>
      <c r="O46" s="234"/>
      <c r="P46" s="306">
        <v>2</v>
      </c>
      <c r="Q46" s="307">
        <v>0.6</v>
      </c>
      <c r="R46" s="307">
        <v>0.6</v>
      </c>
      <c r="S46" s="307">
        <v>1</v>
      </c>
      <c r="T46" s="307">
        <v>0.95</v>
      </c>
      <c r="U46" s="266">
        <f t="shared" ref="U46" si="23">MAX(R46,T46)</f>
        <v>0.95</v>
      </c>
      <c r="V46" s="37"/>
      <c r="W46" s="37" t="s">
        <v>498</v>
      </c>
    </row>
    <row r="47" spans="1:23" s="48" customFormat="1" ht="15" customHeight="1" outlineLevel="1" x14ac:dyDescent="0.2">
      <c r="A47" s="41" t="str">
        <f t="shared" si="19"/>
        <v>18043-LM646 09404</v>
      </c>
      <c r="B47" s="38"/>
      <c r="C47" s="41" t="s">
        <v>67</v>
      </c>
      <c r="D47" s="38"/>
      <c r="E47" s="191" t="str">
        <f t="shared" si="20"/>
        <v>2nd Floor Mezzanine Telephone, and Data Network Plan</v>
      </c>
      <c r="F47" s="38" t="s">
        <v>69</v>
      </c>
      <c r="G47" s="38"/>
      <c r="H47" s="38"/>
      <c r="I47" s="38"/>
      <c r="J47" s="40"/>
      <c r="K47" s="40"/>
      <c r="L47" s="240" t="s">
        <v>70</v>
      </c>
      <c r="M47" s="241" t="s">
        <v>70</v>
      </c>
      <c r="N47" s="252" t="s">
        <v>71</v>
      </c>
      <c r="O47" s="234"/>
      <c r="P47" s="306">
        <v>1</v>
      </c>
      <c r="Q47" s="307">
        <v>0.3</v>
      </c>
      <c r="R47" s="307">
        <v>0.3</v>
      </c>
      <c r="S47" s="307">
        <v>1</v>
      </c>
      <c r="T47" s="307">
        <v>0.95</v>
      </c>
      <c r="U47" s="266">
        <f t="shared" si="4"/>
        <v>0.95</v>
      </c>
      <c r="V47" s="37"/>
      <c r="W47" s="37" t="s">
        <v>499</v>
      </c>
    </row>
    <row r="48" spans="1:23" s="48" customFormat="1" ht="15" customHeight="1" outlineLevel="1" x14ac:dyDescent="0.2">
      <c r="A48" s="41" t="str">
        <f t="shared" ref="A48:A55" si="24">"18043-"&amp;LEFT(W48,11)</f>
        <v>18043-LM646 09405</v>
      </c>
      <c r="B48" s="38"/>
      <c r="C48" s="41" t="s">
        <v>67</v>
      </c>
      <c r="D48" s="38"/>
      <c r="E48" s="191" t="str">
        <f t="shared" ref="E48:E55" si="25">MID(W48,FIND(" ",W48,15)+1,100)</f>
        <v>1st Floor Access Control, CCTV Plan</v>
      </c>
      <c r="F48" s="38" t="s">
        <v>69</v>
      </c>
      <c r="G48" s="38"/>
      <c r="H48" s="38"/>
      <c r="I48" s="38"/>
      <c r="J48" s="40"/>
      <c r="K48" s="40"/>
      <c r="L48" s="240" t="s">
        <v>70</v>
      </c>
      <c r="M48" s="241" t="s">
        <v>70</v>
      </c>
      <c r="N48" s="252" t="s">
        <v>71</v>
      </c>
      <c r="O48" s="234"/>
      <c r="P48" s="306">
        <v>2</v>
      </c>
      <c r="Q48" s="307">
        <v>0.3</v>
      </c>
      <c r="R48" s="307">
        <v>0.3</v>
      </c>
      <c r="S48" s="307">
        <v>1</v>
      </c>
      <c r="T48" s="307">
        <v>0.95</v>
      </c>
      <c r="U48" s="266">
        <f t="shared" si="4"/>
        <v>0.95</v>
      </c>
      <c r="V48" s="37"/>
      <c r="W48" s="37" t="s">
        <v>500</v>
      </c>
    </row>
    <row r="49" spans="1:23" s="48" customFormat="1" ht="15" customHeight="1" outlineLevel="1" x14ac:dyDescent="0.2">
      <c r="A49" s="41" t="str">
        <f t="shared" si="24"/>
        <v>18043-LM646 09406</v>
      </c>
      <c r="B49" s="38"/>
      <c r="C49" s="41" t="s">
        <v>67</v>
      </c>
      <c r="D49" s="38"/>
      <c r="E49" s="191" t="str">
        <f t="shared" si="25"/>
        <v>1st Floor Mezzanine Access Control, CCTV Plan</v>
      </c>
      <c r="F49" s="38" t="s">
        <v>69</v>
      </c>
      <c r="G49" s="38"/>
      <c r="H49" s="38"/>
      <c r="I49" s="38"/>
      <c r="J49" s="40"/>
      <c r="K49" s="40"/>
      <c r="L49" s="240" t="s">
        <v>70</v>
      </c>
      <c r="M49" s="241" t="s">
        <v>70</v>
      </c>
      <c r="N49" s="252" t="s">
        <v>71</v>
      </c>
      <c r="O49" s="234"/>
      <c r="P49" s="306">
        <v>3</v>
      </c>
      <c r="Q49" s="307">
        <v>0.3</v>
      </c>
      <c r="R49" s="307">
        <v>0.3</v>
      </c>
      <c r="S49" s="307">
        <v>1</v>
      </c>
      <c r="T49" s="307">
        <v>0.95</v>
      </c>
      <c r="U49" s="266">
        <f t="shared" ref="U49" si="26">MAX(R49,T49)</f>
        <v>0.95</v>
      </c>
      <c r="V49" s="37"/>
      <c r="W49" s="37" t="s">
        <v>501</v>
      </c>
    </row>
    <row r="50" spans="1:23" s="48" customFormat="1" ht="15" customHeight="1" outlineLevel="1" x14ac:dyDescent="0.2">
      <c r="A50" s="41" t="str">
        <f t="shared" si="24"/>
        <v>18043-LM646 09407</v>
      </c>
      <c r="B50" s="38"/>
      <c r="C50" s="41" t="s">
        <v>67</v>
      </c>
      <c r="D50" s="38"/>
      <c r="E50" s="191" t="str">
        <f t="shared" si="25"/>
        <v>2nd Floor Access Control, CCTV Plan</v>
      </c>
      <c r="F50" s="38" t="s">
        <v>69</v>
      </c>
      <c r="G50" s="38"/>
      <c r="H50" s="38"/>
      <c r="I50" s="38"/>
      <c r="J50" s="40"/>
      <c r="K50" s="40"/>
      <c r="L50" s="240" t="s">
        <v>70</v>
      </c>
      <c r="M50" s="241" t="s">
        <v>70</v>
      </c>
      <c r="N50" s="252" t="s">
        <v>71</v>
      </c>
      <c r="O50" s="234"/>
      <c r="P50" s="306">
        <v>1</v>
      </c>
      <c r="Q50" s="307">
        <v>0.6</v>
      </c>
      <c r="R50" s="307">
        <v>0.6</v>
      </c>
      <c r="S50" s="307">
        <v>1</v>
      </c>
      <c r="T50" s="307">
        <v>0.95</v>
      </c>
      <c r="U50" s="266">
        <f t="shared" si="4"/>
        <v>0.95</v>
      </c>
      <c r="V50" s="37"/>
      <c r="W50" s="37" t="s">
        <v>502</v>
      </c>
    </row>
    <row r="51" spans="1:23" s="48" customFormat="1" ht="15" customHeight="1" outlineLevel="1" x14ac:dyDescent="0.2">
      <c r="A51" s="41" t="str">
        <f t="shared" si="24"/>
        <v>18043-LM646 09408</v>
      </c>
      <c r="B51" s="38"/>
      <c r="C51" s="41" t="s">
        <v>67</v>
      </c>
      <c r="D51" s="38"/>
      <c r="E51" s="191" t="str">
        <f t="shared" si="25"/>
        <v>2nd Floor Mezzanine Access Control, CCTV Plan</v>
      </c>
      <c r="F51" s="38" t="s">
        <v>69</v>
      </c>
      <c r="G51" s="38"/>
      <c r="H51" s="38"/>
      <c r="I51" s="38"/>
      <c r="J51" s="40"/>
      <c r="K51" s="40"/>
      <c r="L51" s="240" t="s">
        <v>70</v>
      </c>
      <c r="M51" s="241" t="s">
        <v>70</v>
      </c>
      <c r="N51" s="252" t="s">
        <v>71</v>
      </c>
      <c r="O51" s="234"/>
      <c r="P51" s="306">
        <v>1</v>
      </c>
      <c r="Q51" s="307">
        <v>0.3</v>
      </c>
      <c r="R51" s="307">
        <v>0.6</v>
      </c>
      <c r="S51" s="307">
        <v>1</v>
      </c>
      <c r="T51" s="307">
        <v>0.95</v>
      </c>
      <c r="U51" s="266">
        <f t="shared" si="4"/>
        <v>0.95</v>
      </c>
      <c r="V51" s="37"/>
      <c r="W51" s="37" t="s">
        <v>503</v>
      </c>
    </row>
    <row r="52" spans="1:23" s="48" customFormat="1" ht="15" customHeight="1" outlineLevel="1" x14ac:dyDescent="0.2">
      <c r="A52" s="41" t="str">
        <f t="shared" si="24"/>
        <v>18043-LM646 09409</v>
      </c>
      <c r="B52" s="38"/>
      <c r="C52" s="41" t="s">
        <v>67</v>
      </c>
      <c r="D52" s="38"/>
      <c r="E52" s="191" t="str">
        <f t="shared" si="25"/>
        <v>1st Floor Monitoring Plan</v>
      </c>
      <c r="F52" s="38" t="s">
        <v>69</v>
      </c>
      <c r="G52" s="38"/>
      <c r="H52" s="38"/>
      <c r="I52" s="38"/>
      <c r="J52" s="40"/>
      <c r="K52" s="40"/>
      <c r="L52" s="240" t="s">
        <v>70</v>
      </c>
      <c r="M52" s="241" t="s">
        <v>70</v>
      </c>
      <c r="N52" s="252" t="s">
        <v>71</v>
      </c>
      <c r="O52" s="234"/>
      <c r="P52" s="306">
        <v>2</v>
      </c>
      <c r="Q52" s="307">
        <v>0.3</v>
      </c>
      <c r="R52" s="307">
        <v>0.6</v>
      </c>
      <c r="S52" s="307">
        <v>1</v>
      </c>
      <c r="T52" s="307">
        <v>0.95</v>
      </c>
      <c r="U52" s="266">
        <f t="shared" ref="U52" si="27">MAX(R52,T52)</f>
        <v>0.95</v>
      </c>
      <c r="V52" s="37"/>
      <c r="W52" s="37" t="s">
        <v>504</v>
      </c>
    </row>
    <row r="53" spans="1:23" s="48" customFormat="1" ht="15" customHeight="1" outlineLevel="1" x14ac:dyDescent="0.2">
      <c r="A53" s="41" t="str">
        <f t="shared" si="24"/>
        <v>18043-LM646 09410</v>
      </c>
      <c r="B53" s="38"/>
      <c r="C53" s="41" t="s">
        <v>67</v>
      </c>
      <c r="D53" s="38"/>
      <c r="E53" s="191" t="str">
        <f t="shared" si="25"/>
        <v>1st Floor Mezzanine Monitoring Plan</v>
      </c>
      <c r="F53" s="38" t="s">
        <v>69</v>
      </c>
      <c r="G53" s="38"/>
      <c r="H53" s="38"/>
      <c r="I53" s="38"/>
      <c r="J53" s="40"/>
      <c r="K53" s="40"/>
      <c r="L53" s="240" t="s">
        <v>70</v>
      </c>
      <c r="M53" s="241" t="s">
        <v>70</v>
      </c>
      <c r="N53" s="252" t="s">
        <v>71</v>
      </c>
      <c r="O53" s="234"/>
      <c r="P53" s="306">
        <v>3</v>
      </c>
      <c r="Q53" s="307">
        <v>0.3</v>
      </c>
      <c r="R53" s="307">
        <v>0.6</v>
      </c>
      <c r="S53" s="307">
        <v>1</v>
      </c>
      <c r="T53" s="307">
        <v>0.95</v>
      </c>
      <c r="U53" s="266">
        <f t="shared" si="4"/>
        <v>0.95</v>
      </c>
      <c r="V53" s="37"/>
      <c r="W53" s="37" t="s">
        <v>505</v>
      </c>
    </row>
    <row r="54" spans="1:23" s="48" customFormat="1" ht="15" customHeight="1" outlineLevel="1" x14ac:dyDescent="0.2">
      <c r="A54" s="41" t="str">
        <f t="shared" si="24"/>
        <v>18043-LM646 09411</v>
      </c>
      <c r="B54" s="38"/>
      <c r="C54" s="41" t="s">
        <v>67</v>
      </c>
      <c r="D54" s="38"/>
      <c r="E54" s="191" t="str">
        <f t="shared" si="25"/>
        <v>2nd Floor Monitoring Plan</v>
      </c>
      <c r="F54" s="38" t="s">
        <v>69</v>
      </c>
      <c r="G54" s="38"/>
      <c r="H54" s="38"/>
      <c r="I54" s="38"/>
      <c r="J54" s="40"/>
      <c r="K54" s="40"/>
      <c r="L54" s="240" t="s">
        <v>70</v>
      </c>
      <c r="M54" s="241" t="s">
        <v>70</v>
      </c>
      <c r="N54" s="252" t="s">
        <v>71</v>
      </c>
      <c r="O54" s="234"/>
      <c r="P54" s="306">
        <v>1</v>
      </c>
      <c r="Q54" s="307">
        <v>0.3</v>
      </c>
      <c r="R54" s="307">
        <v>0</v>
      </c>
      <c r="S54" s="307">
        <v>1</v>
      </c>
      <c r="T54" s="307">
        <v>0.3</v>
      </c>
      <c r="U54" s="266">
        <f t="shared" si="4"/>
        <v>0.3</v>
      </c>
      <c r="V54" s="37"/>
      <c r="W54" s="37" t="s">
        <v>506</v>
      </c>
    </row>
    <row r="55" spans="1:23" s="48" customFormat="1" ht="15" customHeight="1" outlineLevel="1" x14ac:dyDescent="0.2">
      <c r="A55" s="41" t="str">
        <f t="shared" si="24"/>
        <v>18043-LM646 09412</v>
      </c>
      <c r="B55" s="38"/>
      <c r="C55" s="41" t="s">
        <v>67</v>
      </c>
      <c r="D55" s="38"/>
      <c r="E55" s="191" t="str">
        <f t="shared" si="25"/>
        <v>2nd Floor Mezzanine Monitoring Plan</v>
      </c>
      <c r="F55" s="38" t="s">
        <v>69</v>
      </c>
      <c r="G55" s="38"/>
      <c r="H55" s="38"/>
      <c r="I55" s="38"/>
      <c r="J55" s="40"/>
      <c r="K55" s="40"/>
      <c r="L55" s="240" t="s">
        <v>70</v>
      </c>
      <c r="M55" s="241" t="s">
        <v>70</v>
      </c>
      <c r="N55" s="252" t="s">
        <v>71</v>
      </c>
      <c r="O55" s="234"/>
      <c r="P55" s="306">
        <v>2</v>
      </c>
      <c r="Q55" s="307">
        <v>0.3</v>
      </c>
      <c r="R55" s="307">
        <v>0</v>
      </c>
      <c r="S55" s="307">
        <v>1</v>
      </c>
      <c r="T55" s="307">
        <v>0.3</v>
      </c>
      <c r="U55" s="266">
        <f t="shared" ref="U55" si="28">MAX(R55,T55)</f>
        <v>0.3</v>
      </c>
      <c r="V55" s="37"/>
      <c r="W55" s="37" t="s">
        <v>507</v>
      </c>
    </row>
    <row r="56" spans="1:23" s="48" customFormat="1" ht="15" customHeight="1" outlineLevel="1" x14ac:dyDescent="0.2">
      <c r="A56" s="41" t="str">
        <f t="shared" si="19"/>
        <v>18043-LM646 09501</v>
      </c>
      <c r="B56" s="38"/>
      <c r="C56" s="41" t="s">
        <v>67</v>
      </c>
      <c r="D56" s="38"/>
      <c r="E56" s="191" t="str">
        <f t="shared" si="20"/>
        <v>Single Line, and Sub Single Line Diagram</v>
      </c>
      <c r="F56" s="38" t="s">
        <v>69</v>
      </c>
      <c r="G56" s="38"/>
      <c r="H56" s="38"/>
      <c r="I56" s="38"/>
      <c r="J56" s="40"/>
      <c r="K56" s="40"/>
      <c r="L56" s="240" t="s">
        <v>70</v>
      </c>
      <c r="M56" s="241" t="s">
        <v>70</v>
      </c>
      <c r="N56" s="252" t="s">
        <v>71</v>
      </c>
      <c r="O56" s="234"/>
      <c r="P56" s="306">
        <v>1</v>
      </c>
      <c r="Q56" s="307">
        <v>0.6</v>
      </c>
      <c r="R56" s="307">
        <v>0.6</v>
      </c>
      <c r="S56" s="307">
        <v>1</v>
      </c>
      <c r="T56" s="307">
        <v>0.95</v>
      </c>
      <c r="U56" s="266">
        <f t="shared" si="4"/>
        <v>0.95</v>
      </c>
      <c r="V56" s="37"/>
      <c r="W56" s="37" t="s">
        <v>508</v>
      </c>
    </row>
    <row r="57" spans="1:23" s="48" customFormat="1" ht="15" customHeight="1" outlineLevel="1" x14ac:dyDescent="0.2">
      <c r="A57" s="41" t="str">
        <f t="shared" si="19"/>
        <v>18043-LM646 09502</v>
      </c>
      <c r="B57" s="38"/>
      <c r="C57" s="41" t="s">
        <v>67</v>
      </c>
      <c r="D57" s="38"/>
      <c r="E57" s="191" t="str">
        <f t="shared" si="20"/>
        <v>1st Floor Power Distribution Plan</v>
      </c>
      <c r="F57" s="38" t="s">
        <v>69</v>
      </c>
      <c r="G57" s="38"/>
      <c r="H57" s="38"/>
      <c r="I57" s="38"/>
      <c r="J57" s="40"/>
      <c r="K57" s="40"/>
      <c r="L57" s="240" t="s">
        <v>70</v>
      </c>
      <c r="M57" s="241" t="s">
        <v>70</v>
      </c>
      <c r="N57" s="252" t="s">
        <v>71</v>
      </c>
      <c r="O57" s="234"/>
      <c r="P57" s="306">
        <v>2</v>
      </c>
      <c r="Q57" s="307">
        <v>0.6</v>
      </c>
      <c r="R57" s="307">
        <v>0.6</v>
      </c>
      <c r="S57" s="307">
        <v>1</v>
      </c>
      <c r="T57" s="307">
        <v>0.95</v>
      </c>
      <c r="U57" s="266">
        <f t="shared" si="4"/>
        <v>0.95</v>
      </c>
      <c r="V57" s="37"/>
      <c r="W57" s="37" t="s">
        <v>509</v>
      </c>
    </row>
    <row r="58" spans="1:23" s="48" customFormat="1" ht="15" customHeight="1" outlineLevel="1" x14ac:dyDescent="0.2">
      <c r="A58" s="41" t="str">
        <f t="shared" ref="A58:A59" si="29">"18043-"&amp;LEFT(W58,11)</f>
        <v>18043-LM646 09503</v>
      </c>
      <c r="B58" s="38"/>
      <c r="C58" s="41" t="s">
        <v>67</v>
      </c>
      <c r="D58" s="38"/>
      <c r="E58" s="191" t="str">
        <f t="shared" ref="E58:E59" si="30">MID(W58,FIND(" ",W58,15)+1,100)</f>
        <v>1st Floor Mezzanine Power Distribution Plan</v>
      </c>
      <c r="F58" s="38" t="s">
        <v>69</v>
      </c>
      <c r="G58" s="38"/>
      <c r="H58" s="38"/>
      <c r="I58" s="38"/>
      <c r="J58" s="40"/>
      <c r="K58" s="40"/>
      <c r="L58" s="240" t="s">
        <v>70</v>
      </c>
      <c r="M58" s="241" t="s">
        <v>70</v>
      </c>
      <c r="N58" s="252" t="s">
        <v>71</v>
      </c>
      <c r="O58" s="234"/>
      <c r="P58" s="306">
        <v>1</v>
      </c>
      <c r="Q58" s="307">
        <v>0.6</v>
      </c>
      <c r="R58" s="307">
        <v>0.6</v>
      </c>
      <c r="S58" s="307">
        <v>1</v>
      </c>
      <c r="T58" s="307">
        <v>0.3</v>
      </c>
      <c r="U58" s="266">
        <f t="shared" si="4"/>
        <v>0.6</v>
      </c>
      <c r="V58" s="37"/>
      <c r="W58" s="37" t="s">
        <v>510</v>
      </c>
    </row>
    <row r="59" spans="1:23" s="48" customFormat="1" ht="15" customHeight="1" outlineLevel="1" x14ac:dyDescent="0.2">
      <c r="A59" s="41" t="str">
        <f t="shared" si="29"/>
        <v>18043-LM646 09504</v>
      </c>
      <c r="B59" s="38"/>
      <c r="C59" s="41" t="s">
        <v>67</v>
      </c>
      <c r="D59" s="38"/>
      <c r="E59" s="191" t="str">
        <f t="shared" si="30"/>
        <v>2nd Floor Power Distribution Plan</v>
      </c>
      <c r="F59" s="38" t="s">
        <v>69</v>
      </c>
      <c r="G59" s="38"/>
      <c r="H59" s="38"/>
      <c r="I59" s="38"/>
      <c r="J59" s="40"/>
      <c r="K59" s="40"/>
      <c r="L59" s="240" t="s">
        <v>70</v>
      </c>
      <c r="M59" s="241" t="s">
        <v>70</v>
      </c>
      <c r="N59" s="252" t="s">
        <v>71</v>
      </c>
      <c r="O59" s="234"/>
      <c r="P59" s="306">
        <v>2</v>
      </c>
      <c r="Q59" s="307">
        <v>0.6</v>
      </c>
      <c r="R59" s="307">
        <v>0.6</v>
      </c>
      <c r="S59" s="307">
        <v>1</v>
      </c>
      <c r="T59" s="307">
        <v>0.3</v>
      </c>
      <c r="U59" s="266">
        <f t="shared" si="4"/>
        <v>0.6</v>
      </c>
      <c r="V59" s="37"/>
      <c r="W59" s="37" t="s">
        <v>511</v>
      </c>
    </row>
    <row r="60" spans="1:23" s="48" customFormat="1" ht="15" customHeight="1" outlineLevel="1" x14ac:dyDescent="0.2">
      <c r="A60" s="41" t="str">
        <f t="shared" ref="A60:A61" si="31">"18043-"&amp;LEFT(W60,11)</f>
        <v>18043-LM646 09505</v>
      </c>
      <c r="B60" s="38"/>
      <c r="C60" s="41" t="s">
        <v>67</v>
      </c>
      <c r="D60" s="38"/>
      <c r="E60" s="191" t="str">
        <f t="shared" ref="E60:E61" si="32">MID(W60,FIND(" ",W60,15)+1,100)</f>
        <v>2nd Floor Mezzanine Power Distribution Plan</v>
      </c>
      <c r="F60" s="38" t="s">
        <v>69</v>
      </c>
      <c r="G60" s="38"/>
      <c r="H60" s="38"/>
      <c r="I60" s="38"/>
      <c r="J60" s="40"/>
      <c r="K60" s="40"/>
      <c r="L60" s="240" t="s">
        <v>70</v>
      </c>
      <c r="M60" s="241" t="s">
        <v>70</v>
      </c>
      <c r="N60" s="252" t="s">
        <v>71</v>
      </c>
      <c r="O60" s="234"/>
      <c r="P60" s="306">
        <v>3</v>
      </c>
      <c r="Q60" s="307">
        <v>0.6</v>
      </c>
      <c r="R60" s="307">
        <v>0.6</v>
      </c>
      <c r="S60" s="307">
        <v>1</v>
      </c>
      <c r="T60" s="307">
        <v>0.3</v>
      </c>
      <c r="U60" s="266">
        <f t="shared" si="4"/>
        <v>0.6</v>
      </c>
      <c r="V60" s="37"/>
      <c r="W60" s="37" t="s">
        <v>512</v>
      </c>
    </row>
    <row r="61" spans="1:23" s="48" customFormat="1" ht="15" customHeight="1" outlineLevel="1" x14ac:dyDescent="0.25">
      <c r="A61" s="41" t="str">
        <f t="shared" si="31"/>
        <v>18043-LM646 09701</v>
      </c>
      <c r="B61" s="38"/>
      <c r="C61" s="41" t="s">
        <v>67</v>
      </c>
      <c r="D61" s="38"/>
      <c r="E61" s="191" t="str">
        <f t="shared" si="32"/>
        <v>Lightning Protection System Plan</v>
      </c>
      <c r="F61" s="38" t="s">
        <v>69</v>
      </c>
      <c r="G61" s="38"/>
      <c r="H61" s="38"/>
      <c r="I61" s="38"/>
      <c r="J61" s="40"/>
      <c r="K61" s="40"/>
      <c r="L61" s="240" t="s">
        <v>70</v>
      </c>
      <c r="M61" s="241" t="s">
        <v>70</v>
      </c>
      <c r="N61" s="252" t="s">
        <v>71</v>
      </c>
      <c r="O61" s="257"/>
      <c r="P61" s="306">
        <v>4</v>
      </c>
      <c r="Q61" s="307">
        <v>0.6</v>
      </c>
      <c r="R61" s="307">
        <v>0.6</v>
      </c>
      <c r="S61" s="307">
        <v>1</v>
      </c>
      <c r="T61" s="307">
        <v>0.3</v>
      </c>
      <c r="U61" s="266">
        <f t="shared" si="4"/>
        <v>0.6</v>
      </c>
      <c r="V61" s="37"/>
      <c r="W61" s="37" t="s">
        <v>513</v>
      </c>
    </row>
    <row r="62" spans="1:23" s="48" customFormat="1" ht="15" customHeight="1" outlineLevel="1" x14ac:dyDescent="0.25">
      <c r="A62" s="41" t="str">
        <f t="shared" si="19"/>
        <v>18043-LM646 09702</v>
      </c>
      <c r="B62" s="38"/>
      <c r="C62" s="41" t="s">
        <v>67</v>
      </c>
      <c r="D62" s="38"/>
      <c r="E62" s="191" t="str">
        <f t="shared" si="20"/>
        <v>Grounding System Plan</v>
      </c>
      <c r="F62" s="38" t="s">
        <v>69</v>
      </c>
      <c r="G62" s="38"/>
      <c r="H62" s="38"/>
      <c r="I62" s="38"/>
      <c r="J62" s="40"/>
      <c r="K62" s="40"/>
      <c r="L62" s="240" t="s">
        <v>70</v>
      </c>
      <c r="M62" s="241" t="s">
        <v>70</v>
      </c>
      <c r="N62" s="252" t="s">
        <v>71</v>
      </c>
      <c r="O62" s="257"/>
      <c r="P62" s="306">
        <v>5</v>
      </c>
      <c r="Q62" s="307">
        <v>0.6</v>
      </c>
      <c r="R62" s="307">
        <v>0.6</v>
      </c>
      <c r="S62" s="307">
        <v>1</v>
      </c>
      <c r="T62" s="307">
        <v>0.3</v>
      </c>
      <c r="U62" s="266">
        <f t="shared" si="4"/>
        <v>0.6</v>
      </c>
      <c r="V62" s="37"/>
      <c r="W62" s="37" t="s">
        <v>514</v>
      </c>
    </row>
    <row r="63" spans="1:23" s="48" customFormat="1" ht="15" customHeight="1" outlineLevel="1" x14ac:dyDescent="0.25">
      <c r="A63" s="41"/>
      <c r="B63" s="38"/>
      <c r="C63" s="41"/>
      <c r="D63" s="38"/>
      <c r="E63" s="37"/>
      <c r="F63" s="38"/>
      <c r="G63" s="38"/>
      <c r="H63" s="38"/>
      <c r="I63" s="38"/>
      <c r="J63" s="40"/>
      <c r="K63" s="40"/>
      <c r="L63" s="240"/>
      <c r="M63" s="241"/>
      <c r="N63" s="252"/>
      <c r="O63" s="257"/>
      <c r="P63" s="306"/>
      <c r="Q63" s="307"/>
      <c r="R63" s="307"/>
      <c r="S63" s="307"/>
      <c r="T63" s="307"/>
      <c r="U63" s="266"/>
      <c r="V63" s="37"/>
      <c r="W63" s="37"/>
    </row>
    <row r="64" spans="1:23" s="48" customFormat="1" ht="15" customHeight="1" thickBot="1" x14ac:dyDescent="0.3">
      <c r="A64" s="41"/>
      <c r="B64" s="38"/>
      <c r="C64" s="41"/>
      <c r="D64" s="38"/>
      <c r="E64" s="43" t="str">
        <f>"SUB-TOTAL "&amp;UPPER(A25)&amp;" DRAWINGS"</f>
        <v>SUB-TOTAL BUILDING NAME OR AREA NAME 1 DRAWINGS</v>
      </c>
      <c r="F64" s="38"/>
      <c r="G64" s="38"/>
      <c r="H64" s="38"/>
      <c r="I64" s="115">
        <f>COUNTA(F27:F62)</f>
        <v>36</v>
      </c>
      <c r="J64" s="36"/>
      <c r="K64" s="36"/>
      <c r="L64" s="240"/>
      <c r="M64" s="241"/>
      <c r="N64" s="252"/>
      <c r="O64" s="257"/>
      <c r="P64" s="306"/>
      <c r="Q64" s="307"/>
      <c r="R64" s="307"/>
      <c r="S64" s="307"/>
      <c r="T64" s="307"/>
      <c r="U64" s="266"/>
      <c r="V64" s="37"/>
      <c r="W64" s="37"/>
    </row>
    <row r="65" spans="1:23" s="62" customFormat="1" ht="15.75" thickTop="1" x14ac:dyDescent="0.25">
      <c r="A65" s="33"/>
      <c r="B65" s="36"/>
      <c r="C65" s="41"/>
      <c r="D65" s="36"/>
      <c r="E65" s="63"/>
      <c r="F65" s="36"/>
      <c r="G65" s="36"/>
      <c r="H65" s="36"/>
      <c r="I65" s="36"/>
      <c r="J65" s="36"/>
      <c r="K65" s="36"/>
      <c r="L65" s="240"/>
      <c r="M65" s="241"/>
      <c r="N65" s="252"/>
      <c r="O65" s="257"/>
      <c r="P65" s="306"/>
      <c r="Q65" s="307"/>
      <c r="R65" s="307"/>
      <c r="S65" s="307"/>
      <c r="T65" s="307"/>
      <c r="U65" s="266"/>
      <c r="V65" s="53"/>
      <c r="W65" s="53"/>
    </row>
    <row r="66" spans="1:23" s="48" customFormat="1" ht="18" customHeight="1" x14ac:dyDescent="0.25">
      <c r="A66" s="32" t="str">
        <f>'1. CIVIL'!A61</f>
        <v>Building Name or Area Name 2</v>
      </c>
      <c r="B66" s="11"/>
      <c r="C66" s="32"/>
      <c r="D66" s="11"/>
      <c r="E66" s="11"/>
      <c r="F66" s="11"/>
      <c r="G66" s="11"/>
      <c r="H66" s="11"/>
      <c r="I66" s="11"/>
      <c r="J66" s="11"/>
      <c r="K66" s="11"/>
      <c r="L66" s="240"/>
      <c r="M66" s="241"/>
      <c r="N66" s="252"/>
      <c r="O66" s="257"/>
      <c r="P66" s="306"/>
      <c r="Q66" s="307"/>
      <c r="R66" s="307"/>
      <c r="S66" s="307"/>
      <c r="T66" s="307"/>
      <c r="U66" s="266"/>
      <c r="V66" s="37"/>
      <c r="W66" s="37"/>
    </row>
    <row r="67" spans="1:23" s="48" customFormat="1" ht="15" customHeight="1" x14ac:dyDescent="0.25">
      <c r="A67" s="37"/>
      <c r="B67" s="38"/>
      <c r="C67" s="185"/>
      <c r="D67" s="38"/>
      <c r="E67" s="39"/>
      <c r="F67" s="38"/>
      <c r="G67" s="38"/>
      <c r="H67" s="38"/>
      <c r="I67" s="38"/>
      <c r="J67" s="40"/>
      <c r="K67" s="40"/>
      <c r="L67" s="240"/>
      <c r="M67" s="241"/>
      <c r="N67" s="252"/>
      <c r="O67" s="257"/>
      <c r="P67" s="306"/>
      <c r="Q67" s="307"/>
      <c r="R67" s="307"/>
      <c r="S67" s="307"/>
      <c r="T67" s="307"/>
      <c r="U67" s="266"/>
      <c r="V67" s="37"/>
      <c r="W67" s="37"/>
    </row>
    <row r="68" spans="1:23" s="48" customFormat="1" ht="15" customHeight="1" outlineLevel="1" x14ac:dyDescent="0.25">
      <c r="A68" s="41" t="str">
        <f>"18043-"&amp;LEFT(W68,13)</f>
        <v>18043-LM191-1 09101</v>
      </c>
      <c r="B68" s="38" t="s">
        <v>66</v>
      </c>
      <c r="C68" s="41" t="s">
        <v>67</v>
      </c>
      <c r="D68" s="38"/>
      <c r="E68" s="191" t="str">
        <f t="shared" ref="E68" si="33">MID(W68,FIND(" ",W68,15)+1,100)</f>
        <v>List of Lighting Requirement</v>
      </c>
      <c r="F68" s="38" t="s">
        <v>69</v>
      </c>
      <c r="G68" s="38"/>
      <c r="H68" s="38"/>
      <c r="I68" s="38"/>
      <c r="J68" s="40"/>
      <c r="K68" s="40"/>
      <c r="L68" s="240" t="s">
        <v>70</v>
      </c>
      <c r="M68" s="241" t="s">
        <v>70</v>
      </c>
      <c r="N68" s="252" t="s">
        <v>71</v>
      </c>
      <c r="O68" s="257"/>
      <c r="P68" s="306">
        <v>11</v>
      </c>
      <c r="Q68" s="307">
        <v>0.6</v>
      </c>
      <c r="R68" s="307">
        <v>0.6</v>
      </c>
      <c r="S68" s="307">
        <v>1</v>
      </c>
      <c r="T68" s="307">
        <v>0.3</v>
      </c>
      <c r="U68" s="266">
        <f t="shared" si="4"/>
        <v>0.6</v>
      </c>
      <c r="V68" s="37"/>
      <c r="W68" s="37" t="s">
        <v>515</v>
      </c>
    </row>
    <row r="69" spans="1:23" s="48" customFormat="1" ht="15" customHeight="1" outlineLevel="1" x14ac:dyDescent="0.25">
      <c r="A69" s="41" t="str">
        <f>"18043-"&amp;LEFT(W69,13)</f>
        <v>18043-LM191-1 09102</v>
      </c>
      <c r="B69" s="38" t="s">
        <v>66</v>
      </c>
      <c r="C69" s="41" t="s">
        <v>67</v>
      </c>
      <c r="D69" s="38"/>
      <c r="E69" s="191" t="str">
        <f t="shared" ref="E69:E76" si="34">MID(W69,FIND(" ",W69,15)+1,100)</f>
        <v>Ground and 2nd Floor Lighting, Emergency Light and Exit Light Plans</v>
      </c>
      <c r="F69" s="38" t="s">
        <v>69</v>
      </c>
      <c r="G69" s="38"/>
      <c r="H69" s="38"/>
      <c r="I69" s="38"/>
      <c r="J69" s="40"/>
      <c r="K69" s="40"/>
      <c r="L69" s="240" t="s">
        <v>70</v>
      </c>
      <c r="M69" s="241" t="s">
        <v>70</v>
      </c>
      <c r="N69" s="252" t="s">
        <v>71</v>
      </c>
      <c r="O69" s="257"/>
      <c r="P69" s="306">
        <v>12</v>
      </c>
      <c r="Q69" s="307">
        <v>0.6</v>
      </c>
      <c r="R69" s="307">
        <v>0.6</v>
      </c>
      <c r="S69" s="307">
        <v>1</v>
      </c>
      <c r="T69" s="307">
        <v>0.3</v>
      </c>
      <c r="U69" s="266">
        <f t="shared" si="4"/>
        <v>0.6</v>
      </c>
      <c r="V69" s="37"/>
      <c r="W69" s="37" t="s">
        <v>516</v>
      </c>
    </row>
    <row r="70" spans="1:23" s="48" customFormat="1" ht="15" customHeight="1" outlineLevel="1" x14ac:dyDescent="0.25">
      <c r="A70" s="41" t="str">
        <f t="shared" ref="A70:A76" si="35">"18043-"&amp;LEFT(W70,13)</f>
        <v>18043-LM191-1 09103</v>
      </c>
      <c r="B70" s="38" t="s">
        <v>66</v>
      </c>
      <c r="C70" s="41" t="s">
        <v>67</v>
      </c>
      <c r="D70" s="38"/>
      <c r="E70" s="191" t="str">
        <f t="shared" si="34"/>
        <v>3rd and Roof Floor Lighting, Emergency Light and Exit Light Plans</v>
      </c>
      <c r="F70" s="38" t="s">
        <v>69</v>
      </c>
      <c r="G70" s="38"/>
      <c r="H70" s="38"/>
      <c r="I70" s="38"/>
      <c r="J70" s="40"/>
      <c r="K70" s="40"/>
      <c r="L70" s="240" t="s">
        <v>70</v>
      </c>
      <c r="M70" s="241" t="s">
        <v>70</v>
      </c>
      <c r="N70" s="252" t="s">
        <v>71</v>
      </c>
      <c r="O70" s="257"/>
      <c r="P70" s="306">
        <v>13</v>
      </c>
      <c r="Q70" s="307">
        <v>0.6</v>
      </c>
      <c r="R70" s="307">
        <v>0.6</v>
      </c>
      <c r="S70" s="307">
        <v>1</v>
      </c>
      <c r="T70" s="307">
        <v>0.3</v>
      </c>
      <c r="U70" s="266">
        <f t="shared" ref="U70" si="36">MAX(R70,T70)</f>
        <v>0.6</v>
      </c>
      <c r="V70" s="37"/>
      <c r="W70" s="37" t="s">
        <v>517</v>
      </c>
    </row>
    <row r="71" spans="1:23" s="48" customFormat="1" ht="15" customHeight="1" outlineLevel="1" x14ac:dyDescent="0.25">
      <c r="A71" s="41" t="str">
        <f t="shared" si="35"/>
        <v>18043-LM191-1 09201</v>
      </c>
      <c r="B71" s="38" t="s">
        <v>66</v>
      </c>
      <c r="C71" s="41" t="s">
        <v>67</v>
      </c>
      <c r="D71" s="38"/>
      <c r="E71" s="191" t="str">
        <f t="shared" si="34"/>
        <v>Fire Alarm System Diagram, Ground and 2nd Floor Fire Alarm Plans</v>
      </c>
      <c r="F71" s="38" t="s">
        <v>69</v>
      </c>
      <c r="G71" s="38"/>
      <c r="H71" s="38"/>
      <c r="I71" s="38"/>
      <c r="J71" s="40"/>
      <c r="K71" s="40"/>
      <c r="L71" s="240" t="s">
        <v>70</v>
      </c>
      <c r="M71" s="241" t="s">
        <v>70</v>
      </c>
      <c r="N71" s="252" t="s">
        <v>71</v>
      </c>
      <c r="O71" s="257"/>
      <c r="P71" s="306">
        <v>14</v>
      </c>
      <c r="Q71" s="307">
        <v>0.6</v>
      </c>
      <c r="R71" s="307">
        <v>0.6</v>
      </c>
      <c r="S71" s="307">
        <v>1</v>
      </c>
      <c r="T71" s="307">
        <v>0.3</v>
      </c>
      <c r="U71" s="266">
        <f t="shared" ref="U71" si="37">MAX(R71,T71)</f>
        <v>0.6</v>
      </c>
      <c r="V71" s="37"/>
      <c r="W71" s="37" t="s">
        <v>518</v>
      </c>
    </row>
    <row r="72" spans="1:23" s="48" customFormat="1" ht="15" customHeight="1" outlineLevel="1" x14ac:dyDescent="0.25">
      <c r="A72" s="41" t="str">
        <f t="shared" si="35"/>
        <v>18043-LM191-1 09202</v>
      </c>
      <c r="B72" s="38" t="s">
        <v>66</v>
      </c>
      <c r="C72" s="41" t="s">
        <v>67</v>
      </c>
      <c r="D72" s="38"/>
      <c r="E72" s="191" t="str">
        <f t="shared" si="34"/>
        <v>3rd and Roof Floor Fire Alarm Plans</v>
      </c>
      <c r="F72" s="38" t="s">
        <v>69</v>
      </c>
      <c r="G72" s="38"/>
      <c r="H72" s="38"/>
      <c r="I72" s="38"/>
      <c r="J72" s="40"/>
      <c r="K72" s="40"/>
      <c r="L72" s="240" t="s">
        <v>70</v>
      </c>
      <c r="M72" s="241" t="s">
        <v>70</v>
      </c>
      <c r="N72" s="252" t="s">
        <v>71</v>
      </c>
      <c r="O72" s="257"/>
      <c r="P72" s="306">
        <v>15</v>
      </c>
      <c r="Q72" s="307">
        <v>0.6</v>
      </c>
      <c r="R72" s="307">
        <v>0.6</v>
      </c>
      <c r="S72" s="307">
        <v>1</v>
      </c>
      <c r="T72" s="307">
        <v>0.3</v>
      </c>
      <c r="U72" s="266">
        <f t="shared" ref="U72" si="38">MAX(R72,T72)</f>
        <v>0.6</v>
      </c>
      <c r="V72" s="37"/>
      <c r="W72" s="37" t="s">
        <v>519</v>
      </c>
    </row>
    <row r="73" spans="1:23" s="48" customFormat="1" ht="15" customHeight="1" outlineLevel="1" x14ac:dyDescent="0.25">
      <c r="A73" s="41" t="str">
        <f t="shared" si="35"/>
        <v>18043-LM191-1 09401</v>
      </c>
      <c r="B73" s="38" t="s">
        <v>66</v>
      </c>
      <c r="C73" s="41" t="s">
        <v>67</v>
      </c>
      <c r="D73" s="38"/>
      <c r="E73" s="191" t="str">
        <f t="shared" si="34"/>
        <v>Telephone, and Data Network Plan</v>
      </c>
      <c r="F73" s="38" t="s">
        <v>69</v>
      </c>
      <c r="G73" s="38"/>
      <c r="H73" s="38"/>
      <c r="I73" s="38"/>
      <c r="J73" s="40"/>
      <c r="K73" s="40"/>
      <c r="L73" s="240" t="s">
        <v>70</v>
      </c>
      <c r="M73" s="241" t="s">
        <v>70</v>
      </c>
      <c r="N73" s="252" t="s">
        <v>71</v>
      </c>
      <c r="O73" s="257"/>
      <c r="P73" s="306">
        <v>16</v>
      </c>
      <c r="Q73" s="307">
        <v>0.6</v>
      </c>
      <c r="R73" s="307">
        <v>0.6</v>
      </c>
      <c r="S73" s="307">
        <v>1</v>
      </c>
      <c r="T73" s="307">
        <v>0.3</v>
      </c>
      <c r="U73" s="266">
        <f t="shared" si="4"/>
        <v>0.6</v>
      </c>
      <c r="V73" s="37"/>
      <c r="W73" s="37" t="s">
        <v>520</v>
      </c>
    </row>
    <row r="74" spans="1:23" s="48" customFormat="1" ht="15" customHeight="1" outlineLevel="1" x14ac:dyDescent="0.25">
      <c r="A74" s="41" t="str">
        <f t="shared" si="35"/>
        <v>18043-LM191-1 09402</v>
      </c>
      <c r="B74" s="38" t="s">
        <v>66</v>
      </c>
      <c r="C74" s="41" t="s">
        <v>67</v>
      </c>
      <c r="D74" s="38"/>
      <c r="E74" s="191" t="str">
        <f t="shared" si="34"/>
        <v>Access Control, Monitoring and CCTV Plan</v>
      </c>
      <c r="F74" s="38" t="s">
        <v>69</v>
      </c>
      <c r="G74" s="38"/>
      <c r="H74" s="38"/>
      <c r="I74" s="38"/>
      <c r="J74" s="40"/>
      <c r="K74" s="40"/>
      <c r="L74" s="240" t="s">
        <v>70</v>
      </c>
      <c r="M74" s="241" t="s">
        <v>70</v>
      </c>
      <c r="N74" s="252" t="s">
        <v>71</v>
      </c>
      <c r="O74" s="257"/>
      <c r="P74" s="306">
        <v>17</v>
      </c>
      <c r="Q74" s="307">
        <v>0.6</v>
      </c>
      <c r="R74" s="307">
        <v>0.6</v>
      </c>
      <c r="S74" s="307">
        <v>1</v>
      </c>
      <c r="T74" s="307">
        <v>0.3</v>
      </c>
      <c r="U74" s="266">
        <f t="shared" ref="U74" si="39">MAX(R74,T74)</f>
        <v>0.6</v>
      </c>
      <c r="V74" s="37"/>
      <c r="W74" s="37" t="s">
        <v>521</v>
      </c>
    </row>
    <row r="75" spans="1:23" s="48" customFormat="1" ht="15" customHeight="1" outlineLevel="1" x14ac:dyDescent="0.25">
      <c r="A75" s="41" t="str">
        <f t="shared" si="35"/>
        <v>18043-LM191-1 09501</v>
      </c>
      <c r="B75" s="38" t="s">
        <v>66</v>
      </c>
      <c r="C75" s="41" t="s">
        <v>67</v>
      </c>
      <c r="D75" s="38"/>
      <c r="E75" s="191" t="str">
        <f t="shared" si="34"/>
        <v>Single Line Diagram, Ground and 2nd Floor Receptacle and Power Supply Plans</v>
      </c>
      <c r="F75" s="38" t="s">
        <v>69</v>
      </c>
      <c r="G75" s="38"/>
      <c r="H75" s="38"/>
      <c r="I75" s="38"/>
      <c r="J75" s="40"/>
      <c r="K75" s="40"/>
      <c r="L75" s="240" t="s">
        <v>70</v>
      </c>
      <c r="M75" s="241" t="s">
        <v>70</v>
      </c>
      <c r="N75" s="252" t="s">
        <v>71</v>
      </c>
      <c r="O75" s="257"/>
      <c r="P75" s="306">
        <v>18</v>
      </c>
      <c r="Q75" s="307">
        <v>0.6</v>
      </c>
      <c r="R75" s="307">
        <v>0.6</v>
      </c>
      <c r="S75" s="307">
        <v>1</v>
      </c>
      <c r="T75" s="307">
        <v>0.3</v>
      </c>
      <c r="U75" s="266">
        <f t="shared" ref="U75:U77" si="40">MAX(R75,T75)</f>
        <v>0.6</v>
      </c>
      <c r="V75" s="37"/>
      <c r="W75" s="37" t="s">
        <v>522</v>
      </c>
    </row>
    <row r="76" spans="1:23" s="48" customFormat="1" ht="15" customHeight="1" outlineLevel="1" x14ac:dyDescent="0.25">
      <c r="A76" s="41" t="str">
        <f t="shared" si="35"/>
        <v>18043-LM191-1 09502</v>
      </c>
      <c r="B76" s="38" t="s">
        <v>66</v>
      </c>
      <c r="C76" s="41" t="s">
        <v>67</v>
      </c>
      <c r="D76" s="38"/>
      <c r="E76" s="191" t="str">
        <f t="shared" si="34"/>
        <v>3rd and Roof Floor Receptacle and Power Supply Plans</v>
      </c>
      <c r="F76" s="38" t="s">
        <v>69</v>
      </c>
      <c r="G76" s="38"/>
      <c r="H76" s="38"/>
      <c r="I76" s="38"/>
      <c r="J76" s="40"/>
      <c r="K76" s="40"/>
      <c r="L76" s="240" t="s">
        <v>70</v>
      </c>
      <c r="M76" s="241" t="s">
        <v>70</v>
      </c>
      <c r="N76" s="252" t="s">
        <v>71</v>
      </c>
      <c r="O76" s="257"/>
      <c r="P76" s="306">
        <v>19</v>
      </c>
      <c r="Q76" s="307">
        <v>0.6</v>
      </c>
      <c r="R76" s="307">
        <v>0.6</v>
      </c>
      <c r="S76" s="307">
        <v>1</v>
      </c>
      <c r="T76" s="307">
        <v>0.3</v>
      </c>
      <c r="U76" s="266">
        <f t="shared" si="40"/>
        <v>0.6</v>
      </c>
      <c r="V76" s="37"/>
      <c r="W76" s="37" t="s">
        <v>523</v>
      </c>
    </row>
    <row r="77" spans="1:23" s="48" customFormat="1" ht="15" customHeight="1" outlineLevel="1" x14ac:dyDescent="0.25">
      <c r="A77" s="41" t="str">
        <f t="shared" ref="A77" si="41">"18043-"&amp;LEFT(W77,13)</f>
        <v>18043-LM191-1 09701</v>
      </c>
      <c r="B77" s="38" t="s">
        <v>66</v>
      </c>
      <c r="C77" s="41" t="s">
        <v>67</v>
      </c>
      <c r="D77" s="38"/>
      <c r="E77" s="191" t="str">
        <f t="shared" ref="E77" si="42">MID(W77,FIND(" ",W77,15)+1,100)</f>
        <v>Lightning Protection System and Grounding System Plans</v>
      </c>
      <c r="F77" s="38" t="s">
        <v>69</v>
      </c>
      <c r="G77" s="38"/>
      <c r="H77" s="38"/>
      <c r="I77" s="38"/>
      <c r="J77" s="40"/>
      <c r="K77" s="40"/>
      <c r="L77" s="240" t="s">
        <v>70</v>
      </c>
      <c r="M77" s="241" t="s">
        <v>70</v>
      </c>
      <c r="N77" s="252" t="s">
        <v>71</v>
      </c>
      <c r="O77" s="257"/>
      <c r="P77" s="306">
        <v>20</v>
      </c>
      <c r="Q77" s="307">
        <v>0.6</v>
      </c>
      <c r="R77" s="307">
        <v>0.6</v>
      </c>
      <c r="S77" s="307">
        <v>1</v>
      </c>
      <c r="T77" s="307">
        <v>0.3</v>
      </c>
      <c r="U77" s="266">
        <f t="shared" si="40"/>
        <v>0.6</v>
      </c>
      <c r="V77" s="37"/>
      <c r="W77" s="37" t="s">
        <v>524</v>
      </c>
    </row>
    <row r="78" spans="1:23" s="48" customFormat="1" ht="15" customHeight="1" outlineLevel="1" x14ac:dyDescent="0.25">
      <c r="A78" s="43"/>
      <c r="B78" s="38"/>
      <c r="C78" s="185"/>
      <c r="D78" s="38"/>
      <c r="E78" s="42"/>
      <c r="F78" s="38"/>
      <c r="G78" s="38"/>
      <c r="H78" s="38"/>
      <c r="I78" s="38"/>
      <c r="J78" s="40"/>
      <c r="K78" s="40"/>
      <c r="L78" s="240"/>
      <c r="M78" s="240"/>
      <c r="N78" s="268"/>
      <c r="O78" s="257"/>
      <c r="P78" s="306"/>
      <c r="Q78" s="307"/>
      <c r="R78" s="307"/>
      <c r="S78" s="307"/>
      <c r="T78" s="307"/>
      <c r="U78" s="266"/>
      <c r="V78" s="37"/>
      <c r="W78" s="37"/>
    </row>
    <row r="79" spans="1:23" s="48" customFormat="1" ht="15" customHeight="1" thickBot="1" x14ac:dyDescent="0.3">
      <c r="A79" s="41"/>
      <c r="B79" s="38"/>
      <c r="C79" s="185"/>
      <c r="D79" s="38"/>
      <c r="E79" s="43" t="str">
        <f>"SUB-TOTAL "&amp;UPPER(A66)&amp;" DRAWINGS"</f>
        <v>SUB-TOTAL BUILDING NAME OR AREA NAME 2 DRAWINGS</v>
      </c>
      <c r="F79" s="38"/>
      <c r="G79" s="38"/>
      <c r="H79" s="38"/>
      <c r="I79" s="115">
        <f>COUNTA(F68:F77)</f>
        <v>10</v>
      </c>
      <c r="J79" s="36"/>
      <c r="K79" s="36"/>
      <c r="L79" s="240"/>
      <c r="M79" s="240"/>
      <c r="N79" s="268"/>
      <c r="O79" s="257"/>
      <c r="P79" s="306"/>
      <c r="Q79" s="307"/>
      <c r="R79" s="307"/>
      <c r="S79" s="307"/>
      <c r="T79" s="307"/>
      <c r="U79" s="266"/>
      <c r="V79" s="37"/>
      <c r="W79" s="37"/>
    </row>
    <row r="80" spans="1:23" s="48" customFormat="1" ht="15" customHeight="1" thickTop="1" x14ac:dyDescent="0.25">
      <c r="A80" s="41"/>
      <c r="B80" s="38"/>
      <c r="C80" s="185"/>
      <c r="D80" s="38"/>
      <c r="E80" s="43"/>
      <c r="F80" s="38"/>
      <c r="G80" s="38"/>
      <c r="H80" s="38"/>
      <c r="I80" s="38"/>
      <c r="J80" s="36"/>
      <c r="K80" s="36"/>
      <c r="L80" s="240"/>
      <c r="M80" s="240"/>
      <c r="N80" s="268"/>
      <c r="O80" s="257"/>
      <c r="P80" s="306"/>
      <c r="Q80" s="307"/>
      <c r="R80" s="307"/>
      <c r="S80" s="307"/>
      <c r="T80" s="307"/>
      <c r="U80" s="266"/>
      <c r="V80" s="37"/>
      <c r="W80" s="37"/>
    </row>
    <row r="81" spans="1:23" s="48" customFormat="1" ht="18" customHeight="1" x14ac:dyDescent="0.25">
      <c r="A81" s="32" t="str">
        <f>'1. CIVIL'!A67</f>
        <v>Building Name or Area Name 3</v>
      </c>
      <c r="B81" s="11"/>
      <c r="C81" s="32"/>
      <c r="D81" s="11"/>
      <c r="E81" s="11"/>
      <c r="F81" s="11"/>
      <c r="G81" s="11"/>
      <c r="H81" s="11"/>
      <c r="I81" s="11"/>
      <c r="J81" s="11"/>
      <c r="K81" s="11"/>
      <c r="L81" s="240"/>
      <c r="M81" s="240"/>
      <c r="N81" s="268"/>
      <c r="O81" s="257"/>
      <c r="P81" s="306"/>
      <c r="Q81" s="307"/>
      <c r="R81" s="307"/>
      <c r="S81" s="307"/>
      <c r="T81" s="307"/>
      <c r="U81" s="266"/>
      <c r="V81" s="37"/>
      <c r="W81" s="37"/>
    </row>
    <row r="82" spans="1:23" s="48" customFormat="1" ht="15" customHeight="1" x14ac:dyDescent="0.25">
      <c r="A82" s="37"/>
      <c r="B82" s="38"/>
      <c r="C82" s="185"/>
      <c r="D82" s="38"/>
      <c r="E82" s="39"/>
      <c r="F82" s="38"/>
      <c r="G82" s="38"/>
      <c r="H82" s="38"/>
      <c r="I82" s="38"/>
      <c r="J82" s="40"/>
      <c r="K82" s="40"/>
      <c r="L82" s="240"/>
      <c r="M82" s="240"/>
      <c r="N82" s="268"/>
      <c r="O82" s="257"/>
      <c r="P82" s="306"/>
      <c r="Q82" s="307"/>
      <c r="R82" s="307"/>
      <c r="S82" s="307"/>
      <c r="T82" s="307"/>
      <c r="U82" s="266"/>
      <c r="V82" s="37"/>
      <c r="W82" s="37"/>
    </row>
    <row r="83" spans="1:23" s="48" customFormat="1" ht="15" customHeight="1" outlineLevel="1" x14ac:dyDescent="0.25">
      <c r="A83" s="41" t="str">
        <f>"18043-"&amp;LEFT(W83,11)</f>
        <v>18043-LM520 09103</v>
      </c>
      <c r="B83" s="38" t="s">
        <v>66</v>
      </c>
      <c r="C83" s="185" t="s">
        <v>67</v>
      </c>
      <c r="D83" s="38"/>
      <c r="E83" s="37" t="str">
        <f t="shared" ref="E83" si="43">MID(W83,FIND(" ",W83,15)+1,100)</f>
        <v>Lighting Plan (Modification)</v>
      </c>
      <c r="F83" s="38" t="s">
        <v>69</v>
      </c>
      <c r="G83" s="38"/>
      <c r="H83" s="38"/>
      <c r="I83" s="38"/>
      <c r="J83" s="40"/>
      <c r="K83" s="40"/>
      <c r="L83" s="240" t="s">
        <v>70</v>
      </c>
      <c r="M83" s="240" t="s">
        <v>70</v>
      </c>
      <c r="N83" s="268" t="s">
        <v>71</v>
      </c>
      <c r="O83" s="257"/>
      <c r="P83" s="306">
        <v>26</v>
      </c>
      <c r="Q83" s="307">
        <v>0.6</v>
      </c>
      <c r="R83" s="307">
        <v>0.6</v>
      </c>
      <c r="S83" s="307">
        <v>1</v>
      </c>
      <c r="T83" s="307">
        <v>0.3</v>
      </c>
      <c r="U83" s="266">
        <f t="shared" ref="U83:U85" si="44">MAX(R83,T83)</f>
        <v>0.6</v>
      </c>
      <c r="V83" s="37"/>
      <c r="W83" s="37" t="s">
        <v>525</v>
      </c>
    </row>
    <row r="84" spans="1:23" s="48" customFormat="1" ht="15" customHeight="1" outlineLevel="1" x14ac:dyDescent="0.25">
      <c r="A84" s="41" t="str">
        <f>"18043-"&amp;LEFT(W84,11)</f>
        <v>18043-LM520 09201</v>
      </c>
      <c r="B84" s="38" t="s">
        <v>66</v>
      </c>
      <c r="C84" s="185" t="s">
        <v>67</v>
      </c>
      <c r="D84" s="38"/>
      <c r="E84" s="37" t="str">
        <f t="shared" ref="E84" si="45">MID(W84,FIND(" ",W84,15)+1,100)</f>
        <v>Fire Alarm Plans</v>
      </c>
      <c r="F84" s="38" t="s">
        <v>69</v>
      </c>
      <c r="G84" s="38"/>
      <c r="H84" s="38"/>
      <c r="I84" s="38"/>
      <c r="J84" s="40"/>
      <c r="K84" s="40"/>
      <c r="L84" s="240" t="s">
        <v>70</v>
      </c>
      <c r="M84" s="240" t="s">
        <v>70</v>
      </c>
      <c r="N84" s="268" t="s">
        <v>71</v>
      </c>
      <c r="O84" s="257"/>
      <c r="P84" s="306">
        <v>27</v>
      </c>
      <c r="Q84" s="307">
        <v>0.6</v>
      </c>
      <c r="R84" s="307">
        <v>0.6</v>
      </c>
      <c r="S84" s="307">
        <v>1</v>
      </c>
      <c r="T84" s="307">
        <v>0.3</v>
      </c>
      <c r="U84" s="266">
        <f t="shared" si="44"/>
        <v>0.6</v>
      </c>
      <c r="V84" s="37"/>
      <c r="W84" s="37" t="s">
        <v>526</v>
      </c>
    </row>
    <row r="85" spans="1:23" s="48" customFormat="1" ht="15" customHeight="1" outlineLevel="1" x14ac:dyDescent="0.25">
      <c r="A85" s="41" t="str">
        <f>"18043-"&amp;LEFT(W85,11)</f>
        <v>18043-LM520 09505</v>
      </c>
      <c r="B85" s="38" t="s">
        <v>66</v>
      </c>
      <c r="C85" s="185" t="s">
        <v>67</v>
      </c>
      <c r="D85" s="38"/>
      <c r="E85" s="191" t="str">
        <f t="shared" ref="E85" si="46">MID(W85,FIND(" ",W85,15)+1,100)</f>
        <v>Modification Cable Tray and Conduit Plan</v>
      </c>
      <c r="F85" s="38" t="s">
        <v>69</v>
      </c>
      <c r="G85" s="38"/>
      <c r="H85" s="38"/>
      <c r="I85" s="38"/>
      <c r="J85" s="40"/>
      <c r="K85" s="40"/>
      <c r="L85" s="240" t="s">
        <v>70</v>
      </c>
      <c r="M85" s="240" t="s">
        <v>70</v>
      </c>
      <c r="N85" s="268" t="s">
        <v>71</v>
      </c>
      <c r="O85" s="257"/>
      <c r="P85" s="306">
        <v>28</v>
      </c>
      <c r="Q85" s="307">
        <v>0.6</v>
      </c>
      <c r="R85" s="307">
        <v>0.6</v>
      </c>
      <c r="S85" s="307">
        <v>1</v>
      </c>
      <c r="T85" s="307">
        <v>0.3</v>
      </c>
      <c r="U85" s="266">
        <f t="shared" si="44"/>
        <v>0.6</v>
      </c>
      <c r="V85" s="37"/>
      <c r="W85" s="37" t="s">
        <v>527</v>
      </c>
    </row>
    <row r="86" spans="1:23" s="48" customFormat="1" ht="15" customHeight="1" outlineLevel="1" x14ac:dyDescent="0.25">
      <c r="A86" s="43"/>
      <c r="B86" s="38"/>
      <c r="C86" s="185"/>
      <c r="D86" s="38"/>
      <c r="E86" s="42"/>
      <c r="F86" s="38"/>
      <c r="G86" s="38"/>
      <c r="H86" s="38"/>
      <c r="I86" s="38"/>
      <c r="J86" s="40"/>
      <c r="K86" s="40"/>
      <c r="L86" s="240"/>
      <c r="M86" s="240"/>
      <c r="N86" s="268"/>
      <c r="O86" s="257"/>
      <c r="P86" s="306"/>
      <c r="Q86" s="307"/>
      <c r="R86" s="307"/>
      <c r="S86" s="307"/>
      <c r="T86" s="307"/>
      <c r="U86" s="266"/>
      <c r="V86" s="37"/>
      <c r="W86" s="37"/>
    </row>
    <row r="87" spans="1:23" s="48" customFormat="1" ht="15" customHeight="1" thickBot="1" x14ac:dyDescent="0.3">
      <c r="A87" s="41"/>
      <c r="B87" s="38"/>
      <c r="C87" s="185"/>
      <c r="D87" s="38"/>
      <c r="E87" s="43" t="str">
        <f>"SUB-TOTAL "&amp;UPPER(A81)&amp;" DRAWINGS"</f>
        <v>SUB-TOTAL BUILDING NAME OR AREA NAME 3 DRAWINGS</v>
      </c>
      <c r="F87" s="38"/>
      <c r="G87" s="38"/>
      <c r="H87" s="38"/>
      <c r="I87" s="115">
        <f>COUNTA(F83:F86)</f>
        <v>3</v>
      </c>
      <c r="J87" s="36"/>
      <c r="K87" s="36"/>
      <c r="L87" s="240"/>
      <c r="M87" s="240"/>
      <c r="N87" s="268"/>
      <c r="O87" s="257"/>
      <c r="P87" s="306"/>
      <c r="Q87" s="307"/>
      <c r="R87" s="307"/>
      <c r="S87" s="307"/>
      <c r="T87" s="307"/>
      <c r="U87" s="266"/>
      <c r="V87" s="37"/>
      <c r="W87" s="37"/>
    </row>
    <row r="88" spans="1:23" s="62" customFormat="1" ht="15.75" thickTop="1" x14ac:dyDescent="0.25">
      <c r="A88" s="33"/>
      <c r="B88" s="36"/>
      <c r="C88" s="185"/>
      <c r="D88" s="36"/>
      <c r="E88" s="63"/>
      <c r="F88" s="36"/>
      <c r="G88" s="36"/>
      <c r="H88" s="36"/>
      <c r="I88" s="36"/>
      <c r="J88" s="36"/>
      <c r="K88" s="36"/>
      <c r="L88" s="240"/>
      <c r="M88" s="240"/>
      <c r="N88" s="268"/>
      <c r="O88" s="257"/>
      <c r="P88" s="306"/>
      <c r="Q88" s="307"/>
      <c r="R88" s="307"/>
      <c r="S88" s="307"/>
      <c r="T88" s="307"/>
      <c r="U88" s="266"/>
      <c r="V88" s="53"/>
      <c r="W88" s="53"/>
    </row>
    <row r="89" spans="1:23" s="51" customFormat="1" ht="15.75" thickBot="1" x14ac:dyDescent="0.3">
      <c r="A89" s="41"/>
      <c r="B89" s="38"/>
      <c r="C89" s="185"/>
      <c r="D89" s="38"/>
      <c r="E89" s="43" t="s">
        <v>528</v>
      </c>
      <c r="F89" s="38"/>
      <c r="G89" s="38"/>
      <c r="H89" s="38"/>
      <c r="I89" s="115">
        <f>SUMIF(E7:E87,"*SUB-TOTAL*",I7:I87)</f>
        <v>60</v>
      </c>
      <c r="J89" s="36"/>
      <c r="K89" s="36"/>
      <c r="L89" s="259"/>
      <c r="M89" s="259"/>
      <c r="N89" s="271"/>
      <c r="O89" s="257"/>
      <c r="P89" s="306"/>
      <c r="Q89" s="307"/>
      <c r="R89" s="307"/>
      <c r="S89" s="307"/>
      <c r="T89" s="307"/>
      <c r="U89" s="266"/>
      <c r="V89" s="50"/>
      <c r="W89" s="50"/>
    </row>
    <row r="90" spans="1:23" ht="16.5" thickTop="1" thickBot="1" x14ac:dyDescent="0.3">
      <c r="A90" s="45"/>
      <c r="B90" s="44"/>
      <c r="C90" s="185"/>
      <c r="D90" s="44"/>
      <c r="E90" s="42"/>
      <c r="F90" s="44"/>
      <c r="G90" s="44"/>
      <c r="H90" s="44"/>
      <c r="I90" s="46"/>
      <c r="J90" s="46"/>
      <c r="K90" s="46"/>
      <c r="L90" s="269"/>
      <c r="M90" s="269"/>
      <c r="N90" s="270"/>
      <c r="P90" s="275">
        <f>SUM(P6:P89)</f>
        <v>354</v>
      </c>
      <c r="Q90" s="276">
        <f>SUMPRODUCT($P6:$P89,Q6:Q89)/$P90</f>
        <v>0.55847457627118646</v>
      </c>
      <c r="R90" s="276">
        <f>SUMPRODUCT($P44:$P89,R44:R89)/$P90</f>
        <v>0.4525423728813559</v>
      </c>
      <c r="S90" s="276">
        <f>SUMPRODUCT($P44:$P89,S44:S89)/$P90</f>
        <v>0.77966101694915257</v>
      </c>
      <c r="T90" s="276">
        <f>SUMPRODUCT($P44:$P89,T44:T89)/$P90</f>
        <v>0.26878531073446327</v>
      </c>
      <c r="U90" s="277">
        <f>SUMPRODUCT($P6:$P89,U6:U89)/$P90</f>
        <v>0.65310734463276843</v>
      </c>
    </row>
    <row r="91" spans="1:23" x14ac:dyDescent="0.25">
      <c r="A91" s="45"/>
      <c r="B91" s="44"/>
      <c r="C91" s="185"/>
      <c r="D91" s="44"/>
      <c r="E91" s="42"/>
      <c r="F91" s="44"/>
      <c r="G91" s="44"/>
      <c r="H91" s="44"/>
      <c r="I91" s="46"/>
      <c r="J91" s="46"/>
      <c r="K91" s="46"/>
      <c r="L91" s="269"/>
      <c r="M91" s="269"/>
      <c r="N91" s="270"/>
      <c r="P91" s="308"/>
      <c r="Q91" s="309"/>
      <c r="R91" s="309"/>
      <c r="S91" s="309"/>
      <c r="T91" s="309"/>
      <c r="U91" s="272"/>
    </row>
    <row r="92" spans="1:23" x14ac:dyDescent="0.25">
      <c r="A92" s="45"/>
      <c r="B92" s="44"/>
      <c r="C92" s="185"/>
      <c r="D92" s="44"/>
      <c r="E92" s="42"/>
      <c r="F92" s="44"/>
      <c r="G92" s="44"/>
      <c r="H92" s="44"/>
      <c r="I92" s="46"/>
      <c r="J92" s="46"/>
      <c r="K92" s="46"/>
      <c r="L92" s="269"/>
      <c r="M92" s="269"/>
      <c r="N92" s="270"/>
      <c r="P92" s="308"/>
      <c r="Q92" s="309"/>
      <c r="R92" s="309"/>
      <c r="S92" s="309"/>
      <c r="T92" s="309"/>
      <c r="U92" s="272"/>
    </row>
    <row r="93" spans="1:23" x14ac:dyDescent="0.25">
      <c r="A93" s="45"/>
      <c r="B93" s="44"/>
      <c r="C93" s="185"/>
      <c r="D93" s="44"/>
      <c r="E93" s="42"/>
      <c r="F93" s="44"/>
      <c r="G93" s="44"/>
      <c r="H93" s="44"/>
      <c r="I93" s="46"/>
      <c r="J93" s="46"/>
      <c r="K93" s="46"/>
      <c r="L93" s="269"/>
      <c r="M93" s="269"/>
      <c r="N93" s="270"/>
      <c r="P93" s="308"/>
      <c r="Q93" s="309"/>
      <c r="R93" s="309"/>
      <c r="S93" s="309"/>
      <c r="T93" s="309"/>
      <c r="U93" s="272"/>
    </row>
    <row r="94" spans="1:23" x14ac:dyDescent="0.25">
      <c r="A94" s="54"/>
      <c r="B94" s="56"/>
      <c r="C94" s="185"/>
      <c r="D94" s="56"/>
      <c r="E94" s="55"/>
      <c r="F94" s="56"/>
      <c r="G94" s="56"/>
      <c r="H94" s="56"/>
      <c r="I94" s="57"/>
      <c r="J94" s="57"/>
      <c r="K94" s="57"/>
      <c r="L94" s="269"/>
      <c r="M94" s="269"/>
      <c r="N94" s="270"/>
      <c r="P94" s="308"/>
      <c r="Q94" s="309"/>
      <c r="R94" s="309"/>
      <c r="S94" s="309"/>
      <c r="T94" s="309"/>
      <c r="U94" s="272"/>
    </row>
    <row r="95" spans="1:23" x14ac:dyDescent="0.25">
      <c r="A95" s="54"/>
      <c r="B95" s="56"/>
      <c r="C95" s="33"/>
      <c r="D95" s="56"/>
      <c r="E95" s="55"/>
      <c r="F95" s="56"/>
      <c r="G95" s="56"/>
      <c r="H95" s="56"/>
      <c r="I95" s="57"/>
      <c r="J95" s="57"/>
      <c r="K95" s="57"/>
      <c r="L95" s="269"/>
      <c r="M95" s="269"/>
      <c r="N95" s="270"/>
      <c r="P95" s="308"/>
      <c r="Q95" s="309"/>
      <c r="R95" s="309"/>
      <c r="S95" s="309"/>
      <c r="T95" s="309"/>
      <c r="U95" s="272"/>
    </row>
    <row r="96" spans="1:23" x14ac:dyDescent="0.25">
      <c r="A96" s="54"/>
      <c r="B96" s="56"/>
      <c r="C96" s="185"/>
      <c r="D96" s="56"/>
      <c r="E96" s="55"/>
      <c r="F96" s="56"/>
      <c r="G96" s="56"/>
      <c r="H96" s="56"/>
      <c r="I96" s="57"/>
      <c r="J96" s="57"/>
      <c r="K96" s="57"/>
      <c r="L96" s="269"/>
      <c r="M96" s="269"/>
      <c r="N96" s="270"/>
      <c r="P96" s="308"/>
      <c r="Q96" s="309"/>
      <c r="R96" s="309"/>
      <c r="S96" s="309"/>
      <c r="T96" s="309"/>
      <c r="U96" s="272"/>
    </row>
    <row r="97" spans="1:21" x14ac:dyDescent="0.25">
      <c r="A97" s="54"/>
      <c r="B97" s="56"/>
      <c r="C97" s="185"/>
      <c r="D97" s="56"/>
      <c r="E97" s="55"/>
      <c r="F97" s="56"/>
      <c r="G97" s="56"/>
      <c r="H97" s="56"/>
      <c r="I97" s="57"/>
      <c r="J97" s="57"/>
      <c r="K97" s="57"/>
      <c r="L97" s="269"/>
      <c r="M97" s="269"/>
      <c r="N97" s="270"/>
      <c r="P97" s="308"/>
      <c r="Q97" s="309"/>
      <c r="R97" s="309"/>
      <c r="S97" s="309"/>
      <c r="T97" s="309"/>
      <c r="U97" s="272"/>
    </row>
    <row r="98" spans="1:21" x14ac:dyDescent="0.25">
      <c r="A98" s="54"/>
      <c r="B98" s="56"/>
      <c r="C98" s="185"/>
      <c r="D98" s="56"/>
      <c r="E98" s="55"/>
      <c r="F98" s="56"/>
      <c r="G98" s="56"/>
      <c r="H98" s="56"/>
      <c r="I98" s="57"/>
      <c r="J98" s="57"/>
      <c r="K98" s="57"/>
      <c r="L98" s="269"/>
      <c r="M98" s="269"/>
      <c r="N98" s="270"/>
      <c r="P98" s="308"/>
      <c r="Q98" s="309"/>
      <c r="R98" s="309"/>
      <c r="S98" s="309"/>
      <c r="T98" s="309"/>
      <c r="U98" s="272"/>
    </row>
    <row r="99" spans="1:21" x14ac:dyDescent="0.25">
      <c r="A99" s="54"/>
      <c r="B99" s="56"/>
      <c r="C99" s="185"/>
      <c r="D99" s="56"/>
      <c r="E99" s="55"/>
      <c r="F99" s="56"/>
      <c r="G99" s="56"/>
      <c r="H99" s="56"/>
      <c r="I99" s="57"/>
      <c r="J99" s="57"/>
      <c r="K99" s="57"/>
      <c r="L99" s="269"/>
      <c r="M99" s="269"/>
      <c r="N99" s="270"/>
      <c r="P99" s="308"/>
      <c r="Q99" s="309"/>
      <c r="R99" s="309"/>
      <c r="S99" s="309"/>
      <c r="T99" s="309"/>
      <c r="U99" s="272"/>
    </row>
    <row r="100" spans="1:21" x14ac:dyDescent="0.25">
      <c r="A100" s="54"/>
      <c r="B100" s="56"/>
      <c r="C100" s="185"/>
      <c r="D100" s="56"/>
      <c r="E100" s="55"/>
      <c r="F100" s="56"/>
      <c r="G100" s="56"/>
      <c r="H100" s="56"/>
      <c r="I100" s="57"/>
      <c r="J100" s="57"/>
      <c r="K100" s="57"/>
      <c r="L100" s="269"/>
      <c r="M100" s="269"/>
      <c r="N100" s="270"/>
      <c r="P100" s="308"/>
      <c r="Q100" s="309"/>
      <c r="R100" s="309"/>
      <c r="S100" s="309"/>
      <c r="T100" s="309"/>
      <c r="U100" s="272"/>
    </row>
    <row r="101" spans="1:21" x14ac:dyDescent="0.25">
      <c r="A101" s="54"/>
      <c r="B101" s="56"/>
      <c r="C101" s="185"/>
      <c r="D101" s="56"/>
      <c r="E101" s="55"/>
      <c r="F101" s="56"/>
      <c r="G101" s="56"/>
      <c r="H101" s="56"/>
      <c r="I101" s="57"/>
      <c r="J101" s="57"/>
      <c r="K101" s="57"/>
      <c r="L101" s="269"/>
      <c r="M101" s="269"/>
      <c r="N101" s="270"/>
      <c r="P101" s="308"/>
      <c r="Q101" s="309"/>
      <c r="R101" s="309"/>
      <c r="S101" s="309"/>
      <c r="T101" s="309"/>
      <c r="U101" s="272"/>
    </row>
    <row r="102" spans="1:21" x14ac:dyDescent="0.25">
      <c r="A102" s="54"/>
      <c r="B102" s="56"/>
      <c r="C102" s="185"/>
      <c r="D102" s="56"/>
      <c r="E102" s="55"/>
      <c r="F102" s="56"/>
      <c r="G102" s="56"/>
      <c r="H102" s="56"/>
      <c r="I102" s="57"/>
      <c r="J102" s="57"/>
      <c r="K102" s="57"/>
      <c r="L102" s="269"/>
      <c r="M102" s="269"/>
      <c r="N102" s="270"/>
      <c r="P102" s="308"/>
      <c r="Q102" s="309"/>
      <c r="R102" s="309"/>
      <c r="S102" s="309"/>
      <c r="T102" s="309"/>
      <c r="U102" s="272"/>
    </row>
    <row r="103" spans="1:21" x14ac:dyDescent="0.25">
      <c r="A103" s="54"/>
      <c r="B103" s="56"/>
      <c r="C103" s="185"/>
      <c r="D103" s="56"/>
      <c r="E103" s="55"/>
      <c r="F103" s="56"/>
      <c r="G103" s="56"/>
      <c r="H103" s="56"/>
      <c r="I103" s="57"/>
      <c r="J103" s="57"/>
      <c r="K103" s="57"/>
      <c r="L103" s="269"/>
      <c r="M103" s="269"/>
      <c r="N103" s="270"/>
      <c r="P103" s="308"/>
      <c r="Q103" s="309"/>
      <c r="R103" s="309"/>
      <c r="S103" s="309"/>
      <c r="T103" s="309"/>
      <c r="U103" s="272"/>
    </row>
    <row r="104" spans="1:21" x14ac:dyDescent="0.25">
      <c r="A104" s="54"/>
      <c r="B104" s="56"/>
      <c r="C104" s="185"/>
      <c r="D104" s="56"/>
      <c r="E104" s="55"/>
      <c r="F104" s="56"/>
      <c r="G104" s="56"/>
      <c r="H104" s="56"/>
      <c r="I104" s="57"/>
      <c r="J104" s="57"/>
      <c r="K104" s="57"/>
      <c r="L104" s="269"/>
      <c r="M104" s="269"/>
      <c r="N104" s="270"/>
      <c r="P104" s="308"/>
      <c r="Q104" s="309"/>
      <c r="R104" s="309"/>
      <c r="S104" s="309"/>
      <c r="T104" s="309"/>
      <c r="U104" s="272"/>
    </row>
    <row r="105" spans="1:21" x14ac:dyDescent="0.25">
      <c r="A105" s="54"/>
      <c r="B105" s="56"/>
      <c r="C105" s="185"/>
      <c r="D105" s="56"/>
      <c r="E105" s="55"/>
      <c r="F105" s="56"/>
      <c r="G105" s="56"/>
      <c r="H105" s="56"/>
      <c r="I105" s="57"/>
      <c r="J105" s="57"/>
      <c r="K105" s="57"/>
      <c r="L105" s="269"/>
      <c r="M105" s="269"/>
      <c r="N105" s="270"/>
      <c r="P105" s="308"/>
      <c r="Q105" s="309"/>
      <c r="R105" s="309"/>
      <c r="S105" s="309"/>
      <c r="T105" s="309"/>
      <c r="U105" s="272"/>
    </row>
    <row r="106" spans="1:21" x14ac:dyDescent="0.25">
      <c r="A106" s="54"/>
      <c r="B106" s="56"/>
      <c r="C106" s="185"/>
      <c r="D106" s="56"/>
      <c r="E106" s="55"/>
      <c r="F106" s="56"/>
      <c r="G106" s="56"/>
      <c r="H106" s="56"/>
      <c r="I106" s="57"/>
      <c r="J106" s="57"/>
      <c r="K106" s="57"/>
      <c r="L106" s="269"/>
      <c r="M106" s="269"/>
      <c r="N106" s="270"/>
      <c r="P106" s="308"/>
      <c r="Q106" s="309"/>
      <c r="R106" s="309"/>
      <c r="S106" s="309"/>
      <c r="T106" s="309"/>
      <c r="U106" s="272"/>
    </row>
    <row r="107" spans="1:21" x14ac:dyDescent="0.25">
      <c r="A107" s="54"/>
      <c r="B107" s="56"/>
      <c r="C107" s="185"/>
      <c r="D107" s="56"/>
      <c r="E107" s="55"/>
      <c r="F107" s="56"/>
      <c r="G107" s="56"/>
      <c r="H107" s="56"/>
      <c r="I107" s="57"/>
      <c r="J107" s="57"/>
      <c r="K107" s="57"/>
      <c r="L107" s="269"/>
      <c r="M107" s="269"/>
      <c r="N107" s="270"/>
      <c r="P107" s="308"/>
      <c r="Q107" s="309"/>
      <c r="R107" s="309"/>
      <c r="S107" s="309"/>
      <c r="T107" s="309"/>
      <c r="U107" s="272"/>
    </row>
    <row r="108" spans="1:21" x14ac:dyDescent="0.25">
      <c r="A108" s="54"/>
      <c r="B108" s="56"/>
      <c r="C108" s="185"/>
      <c r="D108" s="56"/>
      <c r="E108" s="55"/>
      <c r="F108" s="56"/>
      <c r="G108" s="56"/>
      <c r="H108" s="56"/>
      <c r="I108" s="57"/>
      <c r="J108" s="57"/>
      <c r="K108" s="57"/>
      <c r="L108" s="269"/>
      <c r="M108" s="269"/>
      <c r="N108" s="270"/>
      <c r="P108" s="308"/>
      <c r="Q108" s="309"/>
      <c r="R108" s="309"/>
      <c r="S108" s="309"/>
      <c r="T108" s="309"/>
      <c r="U108" s="272"/>
    </row>
    <row r="109" spans="1:21" x14ac:dyDescent="0.25">
      <c r="A109" s="54"/>
      <c r="B109" s="56"/>
      <c r="C109" s="185"/>
      <c r="D109" s="56"/>
      <c r="E109" s="55"/>
      <c r="F109" s="56"/>
      <c r="G109" s="56"/>
      <c r="H109" s="56"/>
      <c r="I109" s="57"/>
      <c r="J109" s="57"/>
      <c r="K109" s="57"/>
      <c r="L109" s="269"/>
      <c r="M109" s="269"/>
      <c r="N109" s="270"/>
      <c r="P109" s="308"/>
      <c r="Q109" s="309"/>
      <c r="R109" s="309"/>
      <c r="S109" s="309"/>
      <c r="T109" s="309"/>
      <c r="U109" s="272"/>
    </row>
    <row r="110" spans="1:21" x14ac:dyDescent="0.25">
      <c r="A110" s="54"/>
      <c r="B110" s="56"/>
      <c r="C110" s="185"/>
      <c r="D110" s="56"/>
      <c r="E110" s="55"/>
      <c r="F110" s="56"/>
      <c r="G110" s="56"/>
      <c r="H110" s="56"/>
      <c r="I110" s="57"/>
      <c r="J110" s="57"/>
      <c r="K110" s="57"/>
      <c r="L110" s="269"/>
      <c r="M110" s="269"/>
      <c r="N110" s="270"/>
      <c r="P110" s="308"/>
      <c r="Q110" s="309"/>
      <c r="R110" s="309"/>
      <c r="S110" s="309"/>
      <c r="T110" s="309"/>
      <c r="U110" s="272"/>
    </row>
    <row r="111" spans="1:21" x14ac:dyDescent="0.25">
      <c r="A111" s="54"/>
      <c r="B111" s="56"/>
      <c r="C111" s="185"/>
      <c r="D111" s="56"/>
      <c r="E111" s="55"/>
      <c r="F111" s="56"/>
      <c r="G111" s="56"/>
      <c r="H111" s="56"/>
      <c r="I111" s="57"/>
      <c r="J111" s="57"/>
      <c r="K111" s="57"/>
      <c r="L111" s="269"/>
      <c r="M111" s="269"/>
      <c r="N111" s="270"/>
      <c r="P111" s="308"/>
      <c r="Q111" s="309"/>
      <c r="R111" s="309"/>
      <c r="S111" s="309"/>
      <c r="T111" s="309"/>
      <c r="U111" s="272"/>
    </row>
    <row r="112" spans="1:21" x14ac:dyDescent="0.25">
      <c r="A112" s="54"/>
      <c r="B112" s="56"/>
      <c r="C112" s="185"/>
      <c r="D112" s="56"/>
      <c r="E112" s="55"/>
      <c r="F112" s="56"/>
      <c r="G112" s="56"/>
      <c r="H112" s="56"/>
      <c r="I112" s="57"/>
      <c r="J112" s="57"/>
      <c r="K112" s="57"/>
      <c r="L112" s="269"/>
      <c r="M112" s="269"/>
      <c r="N112" s="270"/>
      <c r="P112" s="308"/>
      <c r="Q112" s="309"/>
      <c r="R112" s="309"/>
      <c r="S112" s="309"/>
      <c r="T112" s="309"/>
      <c r="U112" s="272"/>
    </row>
    <row r="113" spans="1:21" x14ac:dyDescent="0.25">
      <c r="A113" s="54"/>
      <c r="B113" s="56"/>
      <c r="C113" s="185"/>
      <c r="D113" s="56"/>
      <c r="E113" s="55"/>
      <c r="F113" s="56"/>
      <c r="G113" s="56"/>
      <c r="H113" s="56"/>
      <c r="I113" s="57"/>
      <c r="J113" s="57"/>
      <c r="K113" s="57"/>
      <c r="L113" s="269"/>
      <c r="M113" s="269"/>
      <c r="N113" s="270"/>
      <c r="P113" s="308"/>
      <c r="Q113" s="309"/>
      <c r="R113" s="309"/>
      <c r="S113" s="309"/>
      <c r="T113" s="309"/>
      <c r="U113" s="272"/>
    </row>
    <row r="114" spans="1:21" x14ac:dyDescent="0.25">
      <c r="A114" s="54"/>
      <c r="B114" s="56"/>
      <c r="C114" s="185"/>
      <c r="D114" s="56"/>
      <c r="E114" s="55"/>
      <c r="F114" s="56"/>
      <c r="G114" s="56"/>
      <c r="H114" s="56"/>
      <c r="I114" s="57"/>
      <c r="J114" s="57"/>
      <c r="K114" s="57"/>
      <c r="L114" s="269"/>
      <c r="M114" s="269"/>
      <c r="N114" s="270"/>
      <c r="P114" s="308"/>
      <c r="Q114" s="309"/>
      <c r="R114" s="309"/>
      <c r="S114" s="309"/>
      <c r="T114" s="309"/>
      <c r="U114" s="272"/>
    </row>
    <row r="115" spans="1:21" x14ac:dyDescent="0.25">
      <c r="A115" s="54"/>
      <c r="B115" s="56"/>
      <c r="C115" s="185"/>
      <c r="D115" s="56"/>
      <c r="E115" s="55"/>
      <c r="F115" s="56"/>
      <c r="G115" s="56"/>
      <c r="H115" s="56"/>
      <c r="I115" s="57"/>
      <c r="J115" s="57"/>
      <c r="K115" s="57"/>
      <c r="L115" s="269"/>
      <c r="M115" s="269"/>
      <c r="N115" s="270"/>
      <c r="P115" s="308"/>
      <c r="Q115" s="309"/>
      <c r="R115" s="309"/>
      <c r="S115" s="309"/>
      <c r="T115" s="309"/>
      <c r="U115" s="272"/>
    </row>
    <row r="116" spans="1:21" x14ac:dyDescent="0.25">
      <c r="A116" s="54"/>
      <c r="B116" s="56"/>
      <c r="C116" s="41"/>
      <c r="D116" s="56"/>
      <c r="E116" s="55"/>
      <c r="F116" s="56"/>
      <c r="G116" s="56"/>
      <c r="H116" s="56"/>
      <c r="I116" s="57"/>
      <c r="J116" s="57"/>
      <c r="K116" s="57"/>
      <c r="L116" s="269"/>
      <c r="M116" s="269"/>
      <c r="N116" s="270"/>
      <c r="P116" s="308"/>
      <c r="Q116" s="309"/>
      <c r="R116" s="309"/>
      <c r="S116" s="309"/>
      <c r="T116" s="309"/>
      <c r="U116" s="272"/>
    </row>
    <row r="117" spans="1:21" x14ac:dyDescent="0.25">
      <c r="A117" s="54"/>
      <c r="B117" s="56"/>
      <c r="C117" s="37"/>
      <c r="D117" s="56"/>
      <c r="E117" s="55"/>
      <c r="F117" s="56"/>
      <c r="G117" s="56"/>
      <c r="H117" s="56"/>
      <c r="I117" s="57"/>
      <c r="J117" s="57"/>
      <c r="K117" s="57"/>
      <c r="L117" s="269"/>
      <c r="M117" s="269"/>
      <c r="N117" s="270"/>
      <c r="P117" s="308"/>
      <c r="Q117" s="309"/>
      <c r="R117" s="309"/>
      <c r="S117" s="309"/>
      <c r="T117" s="309"/>
      <c r="U117" s="272"/>
    </row>
    <row r="118" spans="1:21" x14ac:dyDescent="0.25">
      <c r="A118" s="54"/>
      <c r="B118" s="56"/>
      <c r="C118" s="43"/>
      <c r="D118" s="56"/>
      <c r="E118" s="55"/>
      <c r="F118" s="56"/>
      <c r="G118" s="56"/>
      <c r="H118" s="56"/>
      <c r="I118" s="57"/>
      <c r="J118" s="57"/>
      <c r="K118" s="57"/>
      <c r="L118" s="269"/>
      <c r="M118" s="269"/>
      <c r="N118" s="270"/>
      <c r="P118" s="308"/>
      <c r="Q118" s="309"/>
      <c r="R118" s="309"/>
      <c r="S118" s="309"/>
      <c r="T118" s="309"/>
      <c r="U118" s="272"/>
    </row>
    <row r="119" spans="1:21" x14ac:dyDescent="0.25">
      <c r="A119" s="54"/>
      <c r="B119" s="56"/>
      <c r="C119" s="43"/>
      <c r="D119" s="56"/>
      <c r="E119" s="55"/>
      <c r="F119" s="56"/>
      <c r="G119" s="56"/>
      <c r="H119" s="56"/>
      <c r="I119" s="57"/>
      <c r="J119" s="57"/>
      <c r="K119" s="57"/>
      <c r="L119" s="269"/>
      <c r="M119" s="269"/>
      <c r="N119" s="270"/>
      <c r="P119" s="308"/>
      <c r="Q119" s="309"/>
      <c r="R119" s="309"/>
      <c r="S119" s="309"/>
      <c r="T119" s="309"/>
      <c r="U119" s="272"/>
    </row>
    <row r="120" spans="1:21" x14ac:dyDescent="0.25">
      <c r="A120" s="54"/>
      <c r="B120" s="56"/>
      <c r="C120" s="41"/>
      <c r="D120" s="56"/>
      <c r="E120" s="55"/>
      <c r="F120" s="56"/>
      <c r="G120" s="56"/>
      <c r="H120" s="56"/>
      <c r="I120" s="57"/>
      <c r="J120" s="57"/>
      <c r="K120" s="57"/>
      <c r="L120" s="269"/>
      <c r="M120" s="269"/>
      <c r="N120" s="270"/>
      <c r="P120" s="308"/>
      <c r="Q120" s="309"/>
      <c r="R120" s="309"/>
      <c r="S120" s="309"/>
      <c r="T120" s="309"/>
      <c r="U120" s="272"/>
    </row>
    <row r="121" spans="1:21" x14ac:dyDescent="0.25">
      <c r="A121" s="54"/>
      <c r="B121" s="56"/>
      <c r="C121" s="41"/>
      <c r="D121" s="56"/>
      <c r="E121" s="55"/>
      <c r="F121" s="56"/>
      <c r="G121" s="56"/>
      <c r="H121" s="56"/>
      <c r="I121" s="57"/>
      <c r="J121" s="57"/>
      <c r="K121" s="57"/>
      <c r="L121" s="269"/>
      <c r="M121" s="269"/>
      <c r="N121" s="270"/>
      <c r="P121" s="308"/>
      <c r="Q121" s="309"/>
      <c r="R121" s="309"/>
      <c r="S121" s="309"/>
      <c r="T121" s="309"/>
      <c r="U121" s="272"/>
    </row>
    <row r="122" spans="1:21" x14ac:dyDescent="0.25">
      <c r="A122" s="54"/>
      <c r="B122" s="56"/>
      <c r="C122" s="41"/>
      <c r="D122" s="56"/>
      <c r="E122" s="55"/>
      <c r="F122" s="56"/>
      <c r="G122" s="56"/>
      <c r="H122" s="56"/>
      <c r="I122" s="57"/>
      <c r="J122" s="57"/>
      <c r="K122" s="57"/>
      <c r="L122" s="269"/>
      <c r="M122" s="269"/>
      <c r="N122" s="270"/>
      <c r="P122" s="308"/>
      <c r="Q122" s="309"/>
      <c r="R122" s="309"/>
      <c r="S122" s="309"/>
      <c r="T122" s="309"/>
      <c r="U122" s="272"/>
    </row>
    <row r="123" spans="1:21" x14ac:dyDescent="0.25">
      <c r="A123" s="54"/>
      <c r="B123" s="56"/>
      <c r="C123" s="37"/>
      <c r="D123" s="56"/>
      <c r="E123" s="55"/>
      <c r="F123" s="56"/>
      <c r="G123" s="56"/>
      <c r="H123" s="56"/>
      <c r="I123" s="57"/>
      <c r="J123" s="57"/>
      <c r="K123" s="57"/>
      <c r="L123" s="269"/>
      <c r="M123" s="269"/>
      <c r="N123" s="270"/>
      <c r="P123" s="308"/>
      <c r="Q123" s="309"/>
      <c r="R123" s="309"/>
      <c r="S123" s="309"/>
      <c r="T123" s="309"/>
      <c r="U123" s="272"/>
    </row>
    <row r="124" spans="1:21" x14ac:dyDescent="0.25">
      <c r="A124" s="54"/>
      <c r="B124" s="56"/>
      <c r="C124" s="43"/>
      <c r="D124" s="56"/>
      <c r="E124" s="55"/>
      <c r="F124" s="56"/>
      <c r="G124" s="56"/>
      <c r="H124" s="56"/>
      <c r="I124" s="57"/>
      <c r="J124" s="57"/>
      <c r="K124" s="57"/>
      <c r="L124" s="269"/>
      <c r="M124" s="269"/>
      <c r="N124" s="270"/>
      <c r="P124" s="308"/>
      <c r="Q124" s="309"/>
      <c r="R124" s="309"/>
      <c r="S124" s="309"/>
      <c r="T124" s="309"/>
      <c r="U124" s="272"/>
    </row>
    <row r="125" spans="1:21" x14ac:dyDescent="0.25">
      <c r="A125" s="54"/>
      <c r="B125" s="56"/>
      <c r="C125" s="43"/>
      <c r="D125" s="56"/>
      <c r="E125" s="55"/>
      <c r="F125" s="56"/>
      <c r="G125" s="56"/>
      <c r="H125" s="56"/>
      <c r="I125" s="57"/>
      <c r="J125" s="57"/>
      <c r="K125" s="57"/>
      <c r="P125" s="273"/>
      <c r="Q125" s="256"/>
      <c r="R125" s="256"/>
      <c r="S125" s="256"/>
      <c r="T125" s="256"/>
      <c r="U125" s="274"/>
    </row>
    <row r="126" spans="1:21" x14ac:dyDescent="0.25">
      <c r="A126" s="54"/>
      <c r="B126" s="56"/>
      <c r="C126" s="41"/>
      <c r="D126" s="56"/>
      <c r="E126" s="55"/>
      <c r="F126" s="56"/>
      <c r="G126" s="56"/>
      <c r="H126" s="56"/>
      <c r="I126" s="57"/>
      <c r="J126" s="57"/>
      <c r="K126" s="57"/>
    </row>
    <row r="127" spans="1:21" x14ac:dyDescent="0.25">
      <c r="A127" s="54"/>
      <c r="B127" s="56"/>
      <c r="C127" s="54"/>
      <c r="D127" s="56"/>
      <c r="E127" s="55"/>
      <c r="F127" s="56"/>
      <c r="G127" s="56"/>
      <c r="H127" s="56"/>
      <c r="I127" s="57"/>
      <c r="J127" s="57"/>
      <c r="K127" s="57"/>
    </row>
    <row r="128" spans="1:21" x14ac:dyDescent="0.25">
      <c r="A128" s="54"/>
      <c r="B128" s="56"/>
      <c r="C128" s="41"/>
      <c r="D128" s="56"/>
      <c r="E128" s="55"/>
      <c r="F128" s="56"/>
      <c r="G128" s="56"/>
      <c r="H128" s="56"/>
      <c r="I128" s="57"/>
      <c r="J128" s="57"/>
      <c r="K128" s="57"/>
    </row>
    <row r="129" spans="1:11" x14ac:dyDescent="0.25">
      <c r="A129" s="54"/>
      <c r="B129" s="56"/>
      <c r="C129" s="37"/>
      <c r="D129" s="56"/>
      <c r="E129" s="55"/>
      <c r="F129" s="56"/>
      <c r="G129" s="56"/>
      <c r="H129" s="56"/>
      <c r="I129" s="57"/>
      <c r="J129" s="57"/>
      <c r="K129" s="57"/>
    </row>
    <row r="130" spans="1:11" x14ac:dyDescent="0.25">
      <c r="A130" s="54"/>
      <c r="B130" s="56"/>
      <c r="C130" s="43"/>
      <c r="D130" s="56"/>
      <c r="E130" s="55"/>
      <c r="F130" s="56"/>
      <c r="G130" s="56"/>
      <c r="H130" s="56"/>
      <c r="I130" s="57"/>
      <c r="J130" s="57"/>
      <c r="K130" s="57"/>
    </row>
    <row r="131" spans="1:11" x14ac:dyDescent="0.25">
      <c r="A131" s="54"/>
      <c r="B131" s="56"/>
      <c r="C131" s="43"/>
      <c r="D131" s="56"/>
      <c r="E131" s="55"/>
      <c r="F131" s="56"/>
      <c r="G131" s="56"/>
      <c r="H131" s="56"/>
      <c r="I131" s="57"/>
      <c r="J131" s="57"/>
      <c r="K131" s="57"/>
    </row>
    <row r="132" spans="1:11" x14ac:dyDescent="0.25">
      <c r="A132" s="54"/>
      <c r="B132" s="56"/>
      <c r="C132" s="41"/>
      <c r="D132" s="56"/>
      <c r="E132" s="55"/>
      <c r="F132" s="56"/>
      <c r="G132" s="56"/>
      <c r="H132" s="56"/>
      <c r="I132" s="57"/>
      <c r="J132" s="57"/>
      <c r="K132" s="57"/>
    </row>
    <row r="133" spans="1:11" x14ac:dyDescent="0.25">
      <c r="A133" s="54"/>
      <c r="B133" s="56"/>
      <c r="C133" s="33"/>
      <c r="D133" s="56"/>
      <c r="E133" s="55"/>
      <c r="F133" s="56"/>
      <c r="G133" s="56"/>
      <c r="H133" s="56"/>
      <c r="I133" s="57"/>
      <c r="J133" s="57"/>
      <c r="K133" s="57"/>
    </row>
    <row r="134" spans="1:11" x14ac:dyDescent="0.25">
      <c r="A134" s="54"/>
      <c r="B134" s="56"/>
      <c r="C134" s="41"/>
      <c r="D134" s="56"/>
      <c r="E134" s="55"/>
      <c r="F134" s="56"/>
      <c r="G134" s="56"/>
      <c r="H134" s="56"/>
      <c r="I134" s="57"/>
      <c r="J134" s="57"/>
      <c r="K134" s="57"/>
    </row>
    <row r="135" spans="1:11" x14ac:dyDescent="0.25">
      <c r="A135" s="54"/>
      <c r="B135" s="56"/>
      <c r="C135" s="45"/>
      <c r="D135" s="56"/>
      <c r="E135" s="55"/>
      <c r="F135" s="56"/>
      <c r="G135" s="56"/>
      <c r="H135" s="56"/>
      <c r="I135" s="57"/>
      <c r="J135" s="57"/>
      <c r="K135" s="57"/>
    </row>
    <row r="136" spans="1:11" x14ac:dyDescent="0.25">
      <c r="A136" s="54"/>
      <c r="B136" s="56"/>
      <c r="C136" s="45"/>
      <c r="D136" s="56"/>
      <c r="E136" s="55"/>
      <c r="F136" s="56"/>
      <c r="G136" s="56"/>
      <c r="H136" s="56"/>
      <c r="I136" s="57"/>
      <c r="J136" s="57"/>
      <c r="K136" s="57"/>
    </row>
    <row r="137" spans="1:11" x14ac:dyDescent="0.25">
      <c r="A137" s="54"/>
      <c r="B137" s="56"/>
      <c r="C137" s="45"/>
      <c r="D137" s="56"/>
      <c r="E137" s="55"/>
      <c r="F137" s="56"/>
      <c r="G137" s="56"/>
      <c r="H137" s="56"/>
      <c r="I137" s="57"/>
      <c r="J137" s="57"/>
      <c r="K137" s="57"/>
    </row>
    <row r="138" spans="1:11" x14ac:dyDescent="0.25">
      <c r="A138" s="54"/>
      <c r="B138" s="56"/>
      <c r="C138" s="45"/>
      <c r="D138" s="56"/>
      <c r="E138" s="55"/>
      <c r="F138" s="56"/>
      <c r="G138" s="56"/>
      <c r="H138" s="56"/>
      <c r="I138" s="57"/>
      <c r="J138" s="57"/>
      <c r="K138" s="57"/>
    </row>
    <row r="139" spans="1:11" x14ac:dyDescent="0.25">
      <c r="A139" s="54"/>
      <c r="B139" s="56"/>
      <c r="C139" s="45"/>
      <c r="D139" s="56"/>
      <c r="E139" s="55"/>
      <c r="F139" s="56"/>
      <c r="G139" s="56"/>
      <c r="H139" s="56"/>
      <c r="I139" s="57"/>
      <c r="J139" s="57"/>
      <c r="K139" s="57"/>
    </row>
    <row r="140" spans="1:11" x14ac:dyDescent="0.25">
      <c r="A140" s="54"/>
      <c r="B140" s="56"/>
      <c r="C140" s="45"/>
      <c r="D140" s="56"/>
      <c r="E140" s="55"/>
      <c r="F140" s="56"/>
      <c r="G140" s="56"/>
      <c r="H140" s="56"/>
      <c r="I140" s="57"/>
      <c r="J140" s="57"/>
      <c r="K140" s="57"/>
    </row>
    <row r="141" spans="1:11" x14ac:dyDescent="0.25">
      <c r="A141" s="54"/>
      <c r="B141" s="56"/>
      <c r="C141" s="45"/>
      <c r="D141" s="56"/>
      <c r="E141" s="55"/>
      <c r="F141" s="56"/>
      <c r="G141" s="56"/>
      <c r="H141" s="56"/>
      <c r="I141" s="57"/>
      <c r="J141" s="57"/>
      <c r="K141" s="57"/>
    </row>
    <row r="142" spans="1:11" x14ac:dyDescent="0.25">
      <c r="A142" s="54"/>
      <c r="B142" s="56"/>
      <c r="C142" s="45"/>
      <c r="D142" s="56"/>
      <c r="E142" s="55"/>
      <c r="F142" s="56"/>
      <c r="G142" s="56"/>
      <c r="H142" s="56"/>
      <c r="I142" s="57"/>
      <c r="J142" s="57"/>
      <c r="K142" s="57"/>
    </row>
    <row r="143" spans="1:11" x14ac:dyDescent="0.25">
      <c r="A143" s="54"/>
      <c r="B143" s="56"/>
      <c r="C143" s="45"/>
      <c r="D143" s="56"/>
      <c r="E143" s="55"/>
      <c r="F143" s="56"/>
      <c r="G143" s="56"/>
      <c r="H143" s="56"/>
      <c r="I143" s="57"/>
      <c r="J143" s="57"/>
      <c r="K143" s="57"/>
    </row>
    <row r="144" spans="1:11" x14ac:dyDescent="0.25">
      <c r="A144" s="54"/>
      <c r="B144" s="56"/>
      <c r="C144" s="45"/>
      <c r="D144" s="56"/>
      <c r="E144" s="55"/>
      <c r="F144" s="56"/>
      <c r="G144" s="56"/>
      <c r="H144" s="56"/>
      <c r="I144" s="57"/>
      <c r="J144" s="57"/>
      <c r="K144" s="57"/>
    </row>
    <row r="145" spans="1:11" x14ac:dyDescent="0.25">
      <c r="A145" s="54"/>
      <c r="B145" s="56"/>
      <c r="C145" s="45"/>
      <c r="D145" s="56"/>
      <c r="E145" s="55"/>
      <c r="F145" s="56"/>
      <c r="G145" s="56"/>
      <c r="H145" s="56"/>
      <c r="I145" s="57"/>
      <c r="J145" s="57"/>
      <c r="K145" s="57"/>
    </row>
    <row r="146" spans="1:11" x14ac:dyDescent="0.25">
      <c r="A146" s="54"/>
      <c r="B146" s="56"/>
      <c r="C146" s="45"/>
      <c r="D146" s="56"/>
      <c r="E146" s="55"/>
      <c r="F146" s="56"/>
      <c r="G146" s="56"/>
      <c r="H146" s="56"/>
      <c r="I146" s="57"/>
      <c r="J146" s="57"/>
      <c r="K146" s="57"/>
    </row>
    <row r="147" spans="1:11" x14ac:dyDescent="0.25">
      <c r="A147" s="54"/>
      <c r="B147" s="56"/>
      <c r="C147" s="45"/>
      <c r="D147" s="56"/>
      <c r="E147" s="55"/>
      <c r="F147" s="56"/>
      <c r="G147" s="56"/>
      <c r="H147" s="56"/>
      <c r="I147" s="57"/>
      <c r="J147" s="57"/>
      <c r="K147" s="57"/>
    </row>
    <row r="148" spans="1:11" x14ac:dyDescent="0.25">
      <c r="A148" s="54"/>
      <c r="B148" s="56"/>
      <c r="C148" s="45"/>
      <c r="D148" s="56"/>
      <c r="E148" s="55"/>
      <c r="F148" s="56"/>
      <c r="G148" s="56"/>
      <c r="H148" s="56"/>
      <c r="I148" s="57"/>
      <c r="J148" s="57"/>
      <c r="K148" s="57"/>
    </row>
    <row r="149" spans="1:11" x14ac:dyDescent="0.25">
      <c r="A149" s="54"/>
      <c r="B149" s="56"/>
      <c r="C149" s="45"/>
      <c r="D149" s="56"/>
      <c r="E149" s="55"/>
      <c r="F149" s="56"/>
      <c r="G149" s="56"/>
      <c r="H149" s="56"/>
      <c r="I149" s="57"/>
      <c r="J149" s="57"/>
      <c r="K149" s="57"/>
    </row>
    <row r="150" spans="1:11" x14ac:dyDescent="0.25">
      <c r="A150" s="54"/>
      <c r="B150" s="56"/>
      <c r="C150" s="45"/>
      <c r="D150" s="56"/>
      <c r="E150" s="55"/>
      <c r="F150" s="56"/>
      <c r="G150" s="56"/>
      <c r="H150" s="56"/>
      <c r="I150" s="57"/>
      <c r="J150" s="57"/>
      <c r="K150" s="57"/>
    </row>
    <row r="151" spans="1:11" x14ac:dyDescent="0.25">
      <c r="A151" s="54"/>
      <c r="B151" s="56"/>
      <c r="C151" s="45"/>
      <c r="D151" s="56"/>
      <c r="E151" s="55"/>
      <c r="F151" s="56"/>
      <c r="G151" s="56"/>
      <c r="H151" s="56"/>
      <c r="I151" s="57"/>
      <c r="J151" s="57"/>
      <c r="K151" s="57"/>
    </row>
    <row r="152" spans="1:11" x14ac:dyDescent="0.25">
      <c r="A152" s="54"/>
      <c r="B152" s="56"/>
      <c r="C152" s="45"/>
      <c r="D152" s="56"/>
      <c r="E152" s="55"/>
      <c r="F152" s="56"/>
      <c r="G152" s="56"/>
      <c r="H152" s="56"/>
      <c r="I152" s="57"/>
      <c r="J152" s="57"/>
      <c r="K152" s="57"/>
    </row>
    <row r="153" spans="1:11" x14ac:dyDescent="0.25">
      <c r="A153" s="54"/>
      <c r="B153" s="56"/>
      <c r="C153" s="45"/>
      <c r="D153" s="56"/>
      <c r="E153" s="55"/>
      <c r="F153" s="56"/>
      <c r="G153" s="56"/>
      <c r="H153" s="56"/>
      <c r="I153" s="57"/>
      <c r="J153" s="57"/>
      <c r="K153" s="57"/>
    </row>
    <row r="154" spans="1:11" x14ac:dyDescent="0.25">
      <c r="A154" s="54"/>
      <c r="B154" s="56"/>
      <c r="C154" s="45"/>
      <c r="D154" s="56"/>
      <c r="E154" s="55"/>
      <c r="F154" s="56"/>
      <c r="G154" s="56"/>
      <c r="H154" s="56"/>
      <c r="I154" s="57"/>
      <c r="J154" s="57"/>
      <c r="K154" s="57"/>
    </row>
    <row r="155" spans="1:11" x14ac:dyDescent="0.25">
      <c r="A155" s="54"/>
      <c r="B155" s="56"/>
      <c r="C155" s="45"/>
      <c r="D155" s="56"/>
      <c r="E155" s="55"/>
      <c r="F155" s="56"/>
      <c r="G155" s="56"/>
      <c r="H155" s="56"/>
      <c r="I155" s="57"/>
      <c r="J155" s="57"/>
      <c r="K155" s="57"/>
    </row>
    <row r="156" spans="1:11" x14ac:dyDescent="0.25">
      <c r="A156" s="54"/>
      <c r="B156" s="56"/>
      <c r="C156" s="45"/>
      <c r="D156" s="56"/>
      <c r="E156" s="55"/>
      <c r="F156" s="56"/>
      <c r="G156" s="56"/>
      <c r="H156" s="56"/>
      <c r="I156" s="57"/>
      <c r="J156" s="57"/>
      <c r="K156" s="57"/>
    </row>
    <row r="157" spans="1:11" x14ac:dyDescent="0.25">
      <c r="A157" s="54"/>
      <c r="B157" s="56"/>
      <c r="C157" s="45"/>
      <c r="D157" s="56"/>
      <c r="E157" s="55"/>
      <c r="F157" s="56"/>
      <c r="G157" s="56"/>
      <c r="H157" s="56"/>
      <c r="I157" s="57"/>
      <c r="J157" s="57"/>
      <c r="K157" s="57"/>
    </row>
    <row r="158" spans="1:11" x14ac:dyDescent="0.25">
      <c r="A158" s="54"/>
      <c r="B158" s="56"/>
      <c r="C158" s="45"/>
      <c r="D158" s="56"/>
      <c r="E158" s="55"/>
      <c r="F158" s="56"/>
      <c r="G158" s="56"/>
      <c r="H158" s="56"/>
      <c r="I158" s="57"/>
      <c r="J158" s="57"/>
      <c r="K158" s="57"/>
    </row>
    <row r="159" spans="1:11" x14ac:dyDescent="0.25">
      <c r="A159" s="54"/>
      <c r="B159" s="56"/>
      <c r="C159" s="45"/>
      <c r="D159" s="56"/>
      <c r="E159" s="55"/>
      <c r="F159" s="56"/>
      <c r="G159" s="56"/>
      <c r="H159" s="56"/>
      <c r="I159" s="57"/>
      <c r="J159" s="57"/>
      <c r="K159" s="57"/>
    </row>
    <row r="160" spans="1:11" x14ac:dyDescent="0.25">
      <c r="A160" s="54"/>
      <c r="B160" s="56"/>
      <c r="C160" s="45"/>
      <c r="D160" s="56"/>
      <c r="E160" s="55"/>
      <c r="F160" s="56"/>
      <c r="G160" s="56"/>
      <c r="H160" s="56"/>
      <c r="I160" s="57"/>
      <c r="J160" s="57"/>
      <c r="K160" s="57"/>
    </row>
    <row r="161" spans="1:11" x14ac:dyDescent="0.25">
      <c r="A161" s="54"/>
      <c r="B161" s="56"/>
      <c r="C161" s="45"/>
      <c r="D161" s="56"/>
      <c r="E161" s="55"/>
      <c r="F161" s="56"/>
      <c r="G161" s="56"/>
      <c r="H161" s="56"/>
      <c r="I161" s="57"/>
      <c r="J161" s="57"/>
      <c r="K161" s="57"/>
    </row>
    <row r="162" spans="1:11" x14ac:dyDescent="0.25">
      <c r="A162" s="54"/>
      <c r="B162" s="56"/>
      <c r="C162" s="45"/>
      <c r="D162" s="56"/>
      <c r="E162" s="55"/>
      <c r="F162" s="56"/>
      <c r="G162" s="56"/>
      <c r="H162" s="56"/>
      <c r="I162" s="57"/>
      <c r="J162" s="57"/>
      <c r="K162" s="57"/>
    </row>
    <row r="163" spans="1:11" x14ac:dyDescent="0.25">
      <c r="A163" s="54"/>
      <c r="B163" s="56"/>
      <c r="C163" s="54"/>
      <c r="D163" s="56"/>
      <c r="E163" s="55"/>
      <c r="F163" s="56"/>
      <c r="G163" s="56"/>
      <c r="H163" s="56"/>
      <c r="I163" s="57"/>
      <c r="J163" s="57"/>
      <c r="K163" s="57"/>
    </row>
    <row r="164" spans="1:11" x14ac:dyDescent="0.25">
      <c r="A164" s="54"/>
      <c r="B164" s="56"/>
      <c r="C164" s="54"/>
      <c r="D164" s="56"/>
      <c r="E164" s="55"/>
      <c r="F164" s="56"/>
      <c r="G164" s="56"/>
      <c r="H164" s="56"/>
      <c r="I164" s="57"/>
      <c r="J164" s="57"/>
      <c r="K164" s="57"/>
    </row>
    <row r="165" spans="1:11" x14ac:dyDescent="0.25">
      <c r="A165" s="54"/>
      <c r="B165" s="56"/>
      <c r="C165" s="54"/>
      <c r="D165" s="56"/>
      <c r="E165" s="55"/>
      <c r="F165" s="56"/>
      <c r="G165" s="56"/>
      <c r="H165" s="56"/>
      <c r="I165" s="57"/>
      <c r="J165" s="57"/>
      <c r="K165" s="57"/>
    </row>
    <row r="166" spans="1:11" x14ac:dyDescent="0.25">
      <c r="A166" s="54"/>
      <c r="B166" s="56"/>
      <c r="C166" s="54"/>
      <c r="D166" s="56"/>
      <c r="E166" s="55"/>
      <c r="F166" s="56"/>
      <c r="G166" s="56"/>
      <c r="H166" s="56"/>
      <c r="I166" s="57"/>
      <c r="J166" s="57"/>
      <c r="K166" s="57"/>
    </row>
    <row r="167" spans="1:11" x14ac:dyDescent="0.25">
      <c r="A167" s="54"/>
      <c r="B167" s="56"/>
      <c r="C167" s="54"/>
      <c r="D167" s="56"/>
      <c r="E167" s="55"/>
      <c r="F167" s="56"/>
      <c r="G167" s="56"/>
      <c r="H167" s="56"/>
      <c r="I167" s="57"/>
      <c r="J167" s="57"/>
      <c r="K167" s="57"/>
    </row>
    <row r="168" spans="1:11" x14ac:dyDescent="0.25">
      <c r="A168" s="54"/>
      <c r="B168" s="56"/>
      <c r="C168" s="54"/>
      <c r="D168" s="56"/>
      <c r="E168" s="55"/>
      <c r="F168" s="56"/>
      <c r="G168" s="56"/>
      <c r="H168" s="56"/>
      <c r="I168" s="57"/>
      <c r="J168" s="57"/>
      <c r="K168" s="57"/>
    </row>
    <row r="169" spans="1:11" x14ac:dyDescent="0.25">
      <c r="A169" s="54"/>
      <c r="B169" s="56"/>
      <c r="C169" s="54"/>
      <c r="D169" s="56"/>
      <c r="E169" s="55"/>
      <c r="F169" s="56"/>
      <c r="G169" s="56"/>
      <c r="H169" s="56"/>
      <c r="I169" s="57"/>
      <c r="J169" s="57"/>
      <c r="K169" s="57"/>
    </row>
    <row r="170" spans="1:11" x14ac:dyDescent="0.25">
      <c r="A170" s="54"/>
      <c r="B170" s="56"/>
      <c r="C170" s="54"/>
      <c r="D170" s="56"/>
      <c r="E170" s="55"/>
      <c r="F170" s="56"/>
      <c r="G170" s="56"/>
      <c r="H170" s="56"/>
      <c r="I170" s="57"/>
      <c r="J170" s="57"/>
      <c r="K170" s="57"/>
    </row>
    <row r="171" spans="1:11" x14ac:dyDescent="0.25">
      <c r="A171" s="54"/>
      <c r="B171" s="56"/>
      <c r="C171" s="54"/>
      <c r="D171" s="56"/>
      <c r="E171" s="55"/>
      <c r="F171" s="56"/>
      <c r="G171" s="56"/>
      <c r="H171" s="56"/>
      <c r="I171" s="57"/>
      <c r="J171" s="57"/>
      <c r="K171" s="57"/>
    </row>
    <row r="172" spans="1:11" x14ac:dyDescent="0.25">
      <c r="A172" s="54"/>
      <c r="B172" s="56"/>
      <c r="C172" s="54"/>
      <c r="D172" s="56"/>
      <c r="E172" s="55"/>
      <c r="F172" s="56"/>
      <c r="G172" s="56"/>
      <c r="H172" s="56"/>
      <c r="I172" s="57"/>
      <c r="J172" s="57"/>
      <c r="K172" s="57"/>
    </row>
    <row r="173" spans="1:11" x14ac:dyDescent="0.25">
      <c r="A173" s="54"/>
      <c r="B173" s="56"/>
      <c r="C173" s="54"/>
      <c r="D173" s="56"/>
      <c r="E173" s="55"/>
      <c r="F173" s="56"/>
      <c r="G173" s="56"/>
      <c r="H173" s="56"/>
      <c r="I173" s="57"/>
      <c r="J173" s="57"/>
      <c r="K173" s="57"/>
    </row>
    <row r="174" spans="1:11" x14ac:dyDescent="0.25">
      <c r="A174" s="54"/>
      <c r="B174" s="56"/>
      <c r="C174" s="54"/>
      <c r="D174" s="56"/>
      <c r="E174" s="55"/>
      <c r="F174" s="56"/>
      <c r="G174" s="56"/>
      <c r="H174" s="56"/>
      <c r="I174" s="57"/>
      <c r="J174" s="57"/>
      <c r="K174" s="57"/>
    </row>
    <row r="175" spans="1:11" x14ac:dyDescent="0.25">
      <c r="A175" s="54"/>
      <c r="B175" s="56"/>
      <c r="C175" s="54"/>
      <c r="D175" s="56"/>
      <c r="E175" s="55"/>
      <c r="F175" s="56"/>
      <c r="G175" s="56"/>
      <c r="H175" s="56"/>
      <c r="I175" s="57"/>
      <c r="J175" s="57"/>
      <c r="K175" s="57"/>
    </row>
    <row r="176" spans="1:11" x14ac:dyDescent="0.25">
      <c r="A176" s="54"/>
      <c r="B176" s="56"/>
      <c r="C176" s="54"/>
      <c r="D176" s="56"/>
      <c r="E176" s="55"/>
      <c r="F176" s="56"/>
      <c r="G176" s="56"/>
      <c r="H176" s="56"/>
      <c r="I176" s="57"/>
      <c r="J176" s="57"/>
      <c r="K176" s="57"/>
    </row>
    <row r="177" spans="1:11" x14ac:dyDescent="0.25">
      <c r="A177" s="54"/>
      <c r="B177" s="56"/>
      <c r="C177" s="54"/>
      <c r="D177" s="56"/>
      <c r="E177" s="55"/>
      <c r="F177" s="56"/>
      <c r="G177" s="56"/>
      <c r="H177" s="56"/>
      <c r="I177" s="57"/>
      <c r="J177" s="57"/>
      <c r="K177" s="57"/>
    </row>
    <row r="178" spans="1:11" x14ac:dyDescent="0.25">
      <c r="A178" s="54"/>
      <c r="B178" s="56"/>
      <c r="C178" s="54"/>
      <c r="D178" s="56"/>
      <c r="E178" s="55"/>
      <c r="F178" s="56"/>
      <c r="G178" s="56"/>
      <c r="H178" s="56"/>
      <c r="I178" s="57"/>
      <c r="J178" s="57"/>
      <c r="K178" s="57"/>
    </row>
    <row r="179" spans="1:11" x14ac:dyDescent="0.25">
      <c r="A179" s="54"/>
      <c r="B179" s="56"/>
      <c r="C179" s="54"/>
      <c r="D179" s="56"/>
      <c r="E179" s="55"/>
      <c r="F179" s="56"/>
      <c r="G179" s="56"/>
      <c r="H179" s="56"/>
      <c r="I179" s="57"/>
      <c r="J179" s="57"/>
      <c r="K179" s="57"/>
    </row>
    <row r="180" spans="1:11" x14ac:dyDescent="0.25">
      <c r="A180" s="54"/>
      <c r="B180" s="56"/>
      <c r="C180" s="54"/>
      <c r="D180" s="56"/>
      <c r="E180" s="55"/>
      <c r="F180" s="56"/>
      <c r="G180" s="56"/>
      <c r="H180" s="56"/>
      <c r="I180" s="57"/>
      <c r="J180" s="57"/>
      <c r="K180" s="57"/>
    </row>
    <row r="181" spans="1:11" x14ac:dyDescent="0.25">
      <c r="A181" s="54"/>
      <c r="B181" s="56"/>
      <c r="C181" s="54"/>
      <c r="D181" s="56"/>
      <c r="E181" s="55"/>
      <c r="F181" s="56"/>
      <c r="G181" s="56"/>
      <c r="H181" s="56"/>
      <c r="I181" s="57"/>
      <c r="J181" s="57"/>
      <c r="K181" s="57"/>
    </row>
    <row r="182" spans="1:11" x14ac:dyDescent="0.25">
      <c r="A182" s="54"/>
      <c r="B182" s="56"/>
      <c r="C182" s="54"/>
      <c r="D182" s="56"/>
      <c r="E182" s="55"/>
      <c r="F182" s="56"/>
      <c r="G182" s="56"/>
      <c r="H182" s="56"/>
      <c r="I182" s="57"/>
      <c r="J182" s="57"/>
      <c r="K182" s="57"/>
    </row>
    <row r="183" spans="1:11" x14ac:dyDescent="0.25">
      <c r="A183" s="54"/>
      <c r="B183" s="56"/>
      <c r="C183" s="54"/>
      <c r="D183" s="56"/>
      <c r="E183" s="55"/>
      <c r="F183" s="56"/>
      <c r="G183" s="56"/>
      <c r="H183" s="56"/>
      <c r="I183" s="57"/>
      <c r="J183" s="57"/>
      <c r="K183" s="57"/>
    </row>
    <row r="184" spans="1:11" x14ac:dyDescent="0.25">
      <c r="A184" s="54"/>
      <c r="B184" s="56"/>
      <c r="C184" s="54"/>
      <c r="D184" s="56"/>
      <c r="E184" s="55"/>
      <c r="F184" s="56"/>
      <c r="G184" s="56"/>
      <c r="H184" s="56"/>
      <c r="I184" s="57"/>
      <c r="J184" s="57"/>
      <c r="K184" s="57"/>
    </row>
    <row r="185" spans="1:11" x14ac:dyDescent="0.25">
      <c r="A185" s="54"/>
      <c r="B185" s="56"/>
      <c r="C185" s="54"/>
      <c r="D185" s="56"/>
      <c r="E185" s="55"/>
      <c r="F185" s="56"/>
      <c r="G185" s="56"/>
      <c r="H185" s="56"/>
      <c r="I185" s="57"/>
      <c r="J185" s="57"/>
      <c r="K185" s="57"/>
    </row>
    <row r="186" spans="1:11" x14ac:dyDescent="0.25">
      <c r="A186" s="54"/>
      <c r="B186" s="56"/>
      <c r="C186" s="54"/>
      <c r="D186" s="56"/>
      <c r="E186" s="55"/>
      <c r="F186" s="56"/>
      <c r="G186" s="56"/>
      <c r="H186" s="56"/>
      <c r="I186" s="57"/>
      <c r="J186" s="57"/>
      <c r="K186" s="57"/>
    </row>
    <row r="187" spans="1:11" x14ac:dyDescent="0.25">
      <c r="A187" s="54"/>
      <c r="B187" s="56"/>
      <c r="C187" s="54"/>
      <c r="D187" s="56"/>
      <c r="E187" s="55"/>
      <c r="F187" s="56"/>
      <c r="G187" s="56"/>
      <c r="H187" s="56"/>
      <c r="I187" s="57"/>
      <c r="J187" s="57"/>
      <c r="K187" s="57"/>
    </row>
    <row r="188" spans="1:11" x14ac:dyDescent="0.25">
      <c r="A188" s="54"/>
      <c r="B188" s="56"/>
      <c r="C188" s="54"/>
      <c r="D188" s="56"/>
      <c r="E188" s="55"/>
      <c r="F188" s="56"/>
      <c r="G188" s="56"/>
      <c r="H188" s="56"/>
      <c r="I188" s="57"/>
      <c r="J188" s="57"/>
      <c r="K188" s="57"/>
    </row>
    <row r="189" spans="1:11" x14ac:dyDescent="0.25">
      <c r="A189" s="54"/>
      <c r="B189" s="56"/>
      <c r="C189" s="54"/>
      <c r="D189" s="56"/>
      <c r="E189" s="55"/>
      <c r="F189" s="56"/>
      <c r="G189" s="56"/>
      <c r="H189" s="56"/>
      <c r="I189" s="57"/>
      <c r="J189" s="57"/>
      <c r="K189" s="57"/>
    </row>
    <row r="190" spans="1:11" x14ac:dyDescent="0.25">
      <c r="A190" s="54"/>
      <c r="B190" s="56"/>
      <c r="C190" s="54"/>
      <c r="D190" s="56"/>
      <c r="E190" s="55"/>
      <c r="F190" s="56"/>
      <c r="G190" s="56"/>
      <c r="H190" s="56"/>
      <c r="I190" s="57"/>
      <c r="J190" s="57"/>
      <c r="K190" s="57"/>
    </row>
    <row r="191" spans="1:11" x14ac:dyDescent="0.25">
      <c r="A191" s="54"/>
      <c r="B191" s="56"/>
      <c r="C191" s="54"/>
      <c r="D191" s="56"/>
      <c r="E191" s="55"/>
      <c r="F191" s="56"/>
      <c r="G191" s="56"/>
      <c r="H191" s="56"/>
      <c r="I191" s="57"/>
      <c r="J191" s="57"/>
      <c r="K191" s="57"/>
    </row>
    <row r="192" spans="1:11" x14ac:dyDescent="0.25">
      <c r="A192" s="54"/>
      <c r="B192" s="56"/>
      <c r="C192" s="54"/>
      <c r="D192" s="56"/>
      <c r="E192" s="55"/>
      <c r="F192" s="56"/>
      <c r="G192" s="56"/>
      <c r="H192" s="56"/>
      <c r="I192" s="57"/>
      <c r="J192" s="57"/>
      <c r="K192" s="57"/>
    </row>
    <row r="193" spans="1:11" x14ac:dyDescent="0.25">
      <c r="A193" s="54"/>
      <c r="B193" s="56"/>
      <c r="C193" s="54"/>
      <c r="D193" s="56"/>
      <c r="E193" s="55"/>
      <c r="F193" s="56"/>
      <c r="G193" s="56"/>
      <c r="H193" s="56"/>
      <c r="I193" s="57"/>
      <c r="J193" s="57"/>
      <c r="K193" s="57"/>
    </row>
    <row r="194" spans="1:11" x14ac:dyDescent="0.25">
      <c r="A194" s="54"/>
      <c r="B194" s="56"/>
      <c r="C194" s="54"/>
      <c r="D194" s="56"/>
      <c r="E194" s="55"/>
      <c r="F194" s="56"/>
      <c r="G194" s="56"/>
      <c r="H194" s="56"/>
      <c r="I194" s="57"/>
      <c r="J194" s="57"/>
      <c r="K194" s="57"/>
    </row>
    <row r="195" spans="1:11" x14ac:dyDescent="0.25">
      <c r="A195" s="54"/>
      <c r="B195" s="56"/>
      <c r="C195" s="54"/>
      <c r="D195" s="56"/>
      <c r="E195" s="55"/>
      <c r="F195" s="56"/>
      <c r="G195" s="56"/>
      <c r="H195" s="56"/>
      <c r="I195" s="57"/>
      <c r="J195" s="57"/>
      <c r="K195" s="57"/>
    </row>
    <row r="196" spans="1:11" x14ac:dyDescent="0.25">
      <c r="A196" s="54"/>
      <c r="B196" s="56"/>
      <c r="C196" s="54"/>
      <c r="D196" s="56"/>
      <c r="E196" s="55"/>
      <c r="F196" s="56"/>
      <c r="G196" s="56"/>
      <c r="H196" s="56"/>
      <c r="I196" s="57"/>
      <c r="J196" s="57"/>
      <c r="K196" s="57"/>
    </row>
    <row r="197" spans="1:11" x14ac:dyDescent="0.25">
      <c r="A197" s="54"/>
      <c r="B197" s="56"/>
      <c r="C197" s="54"/>
      <c r="D197" s="56"/>
      <c r="E197" s="55"/>
      <c r="F197" s="56"/>
      <c r="G197" s="56"/>
      <c r="H197" s="56"/>
      <c r="I197" s="57"/>
      <c r="J197" s="57"/>
      <c r="K197" s="57"/>
    </row>
    <row r="198" spans="1:11" x14ac:dyDescent="0.25">
      <c r="A198" s="54"/>
      <c r="B198" s="56"/>
      <c r="C198" s="54"/>
      <c r="D198" s="56"/>
      <c r="E198" s="55"/>
      <c r="F198" s="56"/>
      <c r="G198" s="56"/>
      <c r="H198" s="56"/>
      <c r="I198" s="57"/>
      <c r="J198" s="57"/>
      <c r="K198" s="57"/>
    </row>
    <row r="199" spans="1:11" x14ac:dyDescent="0.25">
      <c r="A199" s="54"/>
      <c r="B199" s="56"/>
      <c r="C199" s="54"/>
      <c r="D199" s="56"/>
      <c r="E199" s="55"/>
      <c r="F199" s="56"/>
      <c r="G199" s="56"/>
      <c r="H199" s="56"/>
      <c r="I199" s="57"/>
      <c r="J199" s="57"/>
      <c r="K199" s="57"/>
    </row>
    <row r="200" spans="1:11" x14ac:dyDescent="0.25">
      <c r="A200" s="54"/>
      <c r="B200" s="56"/>
      <c r="C200" s="54"/>
      <c r="D200" s="56"/>
      <c r="E200" s="55"/>
      <c r="F200" s="56"/>
      <c r="G200" s="56"/>
      <c r="H200" s="56"/>
      <c r="I200" s="57"/>
      <c r="J200" s="57"/>
      <c r="K200" s="57"/>
    </row>
    <row r="201" spans="1:11" x14ac:dyDescent="0.25">
      <c r="A201" s="54"/>
      <c r="B201" s="56"/>
      <c r="C201" s="54"/>
      <c r="D201" s="56"/>
      <c r="E201" s="55"/>
      <c r="F201" s="56"/>
      <c r="G201" s="56"/>
      <c r="H201" s="56"/>
      <c r="I201" s="57"/>
      <c r="J201" s="57"/>
      <c r="K201" s="57"/>
    </row>
    <row r="202" spans="1:11" x14ac:dyDescent="0.25">
      <c r="A202" s="54"/>
      <c r="B202" s="56"/>
      <c r="C202" s="54"/>
      <c r="D202" s="56"/>
      <c r="E202" s="55"/>
      <c r="F202" s="56"/>
      <c r="G202" s="56"/>
      <c r="H202" s="56"/>
      <c r="I202" s="57"/>
      <c r="J202" s="57"/>
      <c r="K202" s="57"/>
    </row>
    <row r="203" spans="1:11" x14ac:dyDescent="0.25">
      <c r="A203" s="54"/>
      <c r="B203" s="56"/>
      <c r="C203" s="54"/>
      <c r="D203" s="56"/>
      <c r="E203" s="55"/>
      <c r="F203" s="56"/>
      <c r="G203" s="56"/>
      <c r="H203" s="56"/>
      <c r="I203" s="57"/>
      <c r="J203" s="57"/>
      <c r="K203" s="57"/>
    </row>
    <row r="204" spans="1:11" x14ac:dyDescent="0.25">
      <c r="A204" s="54"/>
      <c r="B204" s="56"/>
      <c r="C204" s="54"/>
      <c r="D204" s="56"/>
      <c r="E204" s="55"/>
      <c r="F204" s="56"/>
      <c r="G204" s="56"/>
      <c r="H204" s="56"/>
      <c r="I204" s="57"/>
      <c r="J204" s="57"/>
      <c r="K204" s="57"/>
    </row>
    <row r="205" spans="1:11" x14ac:dyDescent="0.25">
      <c r="A205" s="54"/>
      <c r="B205" s="56"/>
      <c r="C205" s="54"/>
      <c r="D205" s="56"/>
      <c r="E205" s="55"/>
      <c r="F205" s="56"/>
      <c r="G205" s="56"/>
      <c r="H205" s="56"/>
      <c r="I205" s="57"/>
      <c r="J205" s="57"/>
      <c r="K205" s="57"/>
    </row>
    <row r="206" spans="1:11" x14ac:dyDescent="0.25">
      <c r="A206" s="54"/>
      <c r="B206" s="56"/>
      <c r="C206" s="54"/>
      <c r="D206" s="56"/>
      <c r="E206" s="55"/>
      <c r="F206" s="56"/>
      <c r="G206" s="56"/>
      <c r="H206" s="56"/>
      <c r="I206" s="57"/>
      <c r="J206" s="57"/>
      <c r="K206" s="57"/>
    </row>
    <row r="207" spans="1:11" x14ac:dyDescent="0.25">
      <c r="A207" s="54"/>
      <c r="B207" s="56"/>
      <c r="C207" s="54"/>
      <c r="D207" s="56"/>
      <c r="E207" s="55"/>
      <c r="F207" s="56"/>
      <c r="G207" s="56"/>
      <c r="H207" s="56"/>
      <c r="I207" s="57"/>
      <c r="J207" s="57"/>
      <c r="K207" s="57"/>
    </row>
    <row r="208" spans="1:11" x14ac:dyDescent="0.25">
      <c r="A208" s="54"/>
      <c r="B208" s="56"/>
      <c r="C208" s="54"/>
      <c r="D208" s="56"/>
      <c r="E208" s="55"/>
      <c r="F208" s="56"/>
      <c r="G208" s="56"/>
      <c r="H208" s="56"/>
      <c r="I208" s="57"/>
      <c r="J208" s="57"/>
      <c r="K208" s="57"/>
    </row>
    <row r="209" spans="1:11" x14ac:dyDescent="0.25">
      <c r="A209" s="54"/>
      <c r="B209" s="56"/>
      <c r="C209" s="54"/>
      <c r="D209" s="56"/>
      <c r="E209" s="55"/>
      <c r="F209" s="56"/>
      <c r="G209" s="56"/>
      <c r="H209" s="56"/>
      <c r="I209" s="57"/>
      <c r="J209" s="57"/>
      <c r="K209" s="57"/>
    </row>
    <row r="210" spans="1:11" x14ac:dyDescent="0.25">
      <c r="A210" s="54"/>
      <c r="B210" s="56"/>
      <c r="C210" s="54"/>
      <c r="D210" s="56"/>
      <c r="E210" s="55"/>
      <c r="F210" s="56"/>
      <c r="G210" s="56"/>
      <c r="H210" s="56"/>
      <c r="I210" s="57"/>
      <c r="J210" s="57"/>
      <c r="K210" s="57"/>
    </row>
    <row r="211" spans="1:11" x14ac:dyDescent="0.25">
      <c r="A211" s="54"/>
      <c r="B211" s="56"/>
      <c r="C211" s="54"/>
      <c r="D211" s="56"/>
      <c r="E211" s="55"/>
      <c r="F211" s="56"/>
      <c r="G211" s="56"/>
      <c r="H211" s="56"/>
      <c r="I211" s="57"/>
      <c r="J211" s="57"/>
      <c r="K211" s="57"/>
    </row>
    <row r="212" spans="1:11" x14ac:dyDescent="0.25">
      <c r="A212" s="54"/>
      <c r="B212" s="56"/>
      <c r="C212" s="54"/>
      <c r="D212" s="56"/>
      <c r="E212" s="55"/>
      <c r="F212" s="56"/>
      <c r="G212" s="56"/>
      <c r="H212" s="56"/>
      <c r="I212" s="57"/>
      <c r="J212" s="57"/>
      <c r="K212" s="57"/>
    </row>
    <row r="213" spans="1:11" x14ac:dyDescent="0.25">
      <c r="A213" s="54"/>
      <c r="B213" s="56"/>
      <c r="C213" s="54"/>
      <c r="D213" s="56"/>
      <c r="E213" s="55"/>
      <c r="F213" s="56"/>
      <c r="G213" s="56"/>
      <c r="H213" s="56"/>
      <c r="I213" s="57"/>
      <c r="J213" s="57"/>
      <c r="K213" s="57"/>
    </row>
    <row r="214" spans="1:11" x14ac:dyDescent="0.25">
      <c r="A214" s="54"/>
      <c r="B214" s="56"/>
      <c r="C214" s="54"/>
      <c r="D214" s="56"/>
      <c r="E214" s="55"/>
      <c r="F214" s="56"/>
      <c r="G214" s="56"/>
      <c r="H214" s="56"/>
      <c r="I214" s="57"/>
      <c r="J214" s="57"/>
      <c r="K214" s="57"/>
    </row>
    <row r="215" spans="1:11" x14ac:dyDescent="0.25">
      <c r="A215" s="54"/>
      <c r="B215" s="56"/>
      <c r="C215" s="54"/>
      <c r="D215" s="56"/>
      <c r="E215" s="55"/>
      <c r="F215" s="56"/>
      <c r="G215" s="56"/>
      <c r="H215" s="56"/>
      <c r="I215" s="57"/>
      <c r="J215" s="57"/>
      <c r="K215" s="57"/>
    </row>
    <row r="216" spans="1:11" x14ac:dyDescent="0.25">
      <c r="A216" s="54"/>
      <c r="B216" s="56"/>
      <c r="C216" s="54"/>
      <c r="D216" s="56"/>
      <c r="E216" s="55"/>
      <c r="F216" s="56"/>
      <c r="G216" s="56"/>
      <c r="H216" s="56"/>
      <c r="I216" s="57"/>
      <c r="J216" s="57"/>
      <c r="K216" s="57"/>
    </row>
    <row r="217" spans="1:11" x14ac:dyDescent="0.25">
      <c r="A217" s="54"/>
      <c r="B217" s="56"/>
      <c r="C217" s="54"/>
      <c r="D217" s="56"/>
      <c r="E217" s="55"/>
      <c r="F217" s="56"/>
      <c r="G217" s="56"/>
      <c r="H217" s="56"/>
      <c r="I217" s="57"/>
      <c r="J217" s="57"/>
      <c r="K217" s="57"/>
    </row>
    <row r="218" spans="1:11" x14ac:dyDescent="0.25">
      <c r="A218" s="54"/>
      <c r="B218" s="56"/>
      <c r="C218" s="54"/>
      <c r="D218" s="56"/>
      <c r="E218" s="55"/>
      <c r="F218" s="56"/>
      <c r="G218" s="56"/>
      <c r="H218" s="56"/>
      <c r="I218" s="57"/>
      <c r="J218" s="57"/>
      <c r="K218" s="57"/>
    </row>
    <row r="219" spans="1:11" x14ac:dyDescent="0.25">
      <c r="A219" s="54"/>
      <c r="B219" s="56"/>
      <c r="C219" s="54"/>
      <c r="D219" s="56"/>
      <c r="E219" s="55"/>
      <c r="F219" s="56"/>
      <c r="G219" s="56"/>
      <c r="H219" s="56"/>
      <c r="I219" s="57"/>
      <c r="J219" s="57"/>
      <c r="K219" s="57"/>
    </row>
    <row r="220" spans="1:11" x14ac:dyDescent="0.25">
      <c r="A220" s="54"/>
      <c r="B220" s="56"/>
      <c r="C220" s="54"/>
      <c r="D220" s="56"/>
      <c r="E220" s="55"/>
      <c r="F220" s="56"/>
      <c r="G220" s="56"/>
      <c r="H220" s="56"/>
      <c r="I220" s="57"/>
      <c r="J220" s="57"/>
      <c r="K220" s="57"/>
    </row>
    <row r="221" spans="1:11" x14ac:dyDescent="0.25">
      <c r="A221" s="54"/>
      <c r="B221" s="56"/>
      <c r="C221" s="54"/>
      <c r="D221" s="56"/>
      <c r="E221" s="55"/>
      <c r="F221" s="56"/>
      <c r="G221" s="56"/>
      <c r="H221" s="56"/>
      <c r="I221" s="57"/>
      <c r="J221" s="57"/>
      <c r="K221" s="57"/>
    </row>
    <row r="222" spans="1:11" x14ac:dyDescent="0.25">
      <c r="A222" s="54"/>
      <c r="B222" s="56"/>
      <c r="C222" s="54"/>
      <c r="D222" s="56"/>
      <c r="E222" s="55"/>
      <c r="F222" s="56"/>
      <c r="G222" s="56"/>
      <c r="H222" s="56"/>
      <c r="I222" s="57"/>
      <c r="J222" s="57"/>
      <c r="K222" s="57"/>
    </row>
    <row r="223" spans="1:11" x14ac:dyDescent="0.25">
      <c r="A223" s="54"/>
      <c r="B223" s="56"/>
      <c r="C223" s="54"/>
      <c r="D223" s="56"/>
      <c r="E223" s="55"/>
      <c r="F223" s="56"/>
      <c r="G223" s="56"/>
      <c r="H223" s="56"/>
      <c r="I223" s="57"/>
      <c r="J223" s="57"/>
      <c r="K223" s="57"/>
    </row>
    <row r="224" spans="1:11" x14ac:dyDescent="0.25">
      <c r="A224" s="54"/>
      <c r="B224" s="56"/>
      <c r="C224" s="54"/>
      <c r="D224" s="56"/>
      <c r="E224" s="55"/>
      <c r="F224" s="56"/>
      <c r="G224" s="56"/>
      <c r="H224" s="56"/>
      <c r="I224" s="57"/>
      <c r="J224" s="57"/>
      <c r="K224" s="57"/>
    </row>
    <row r="225" spans="1:11" x14ac:dyDescent="0.25">
      <c r="A225" s="54"/>
      <c r="B225" s="56"/>
      <c r="C225" s="54"/>
      <c r="D225" s="56"/>
      <c r="E225" s="55"/>
      <c r="F225" s="56"/>
      <c r="G225" s="56"/>
      <c r="H225" s="56"/>
      <c r="I225" s="57"/>
      <c r="J225" s="57"/>
      <c r="K225" s="57"/>
    </row>
    <row r="226" spans="1:11" x14ac:dyDescent="0.25">
      <c r="A226" s="54"/>
      <c r="B226" s="56"/>
      <c r="C226" s="54"/>
      <c r="D226" s="56"/>
      <c r="E226" s="55"/>
      <c r="F226" s="56"/>
      <c r="G226" s="56"/>
      <c r="H226" s="56"/>
      <c r="I226" s="57"/>
      <c r="J226" s="57"/>
      <c r="K226" s="57"/>
    </row>
    <row r="227" spans="1:11" x14ac:dyDescent="0.25">
      <c r="A227" s="54"/>
      <c r="B227" s="56"/>
      <c r="C227" s="54"/>
      <c r="D227" s="56"/>
      <c r="E227" s="55"/>
      <c r="F227" s="56"/>
      <c r="G227" s="56"/>
      <c r="H227" s="56"/>
      <c r="I227" s="57"/>
      <c r="J227" s="57"/>
      <c r="K227" s="57"/>
    </row>
    <row r="228" spans="1:11" x14ac:dyDescent="0.25">
      <c r="A228" s="54"/>
      <c r="B228" s="56"/>
      <c r="C228" s="54"/>
      <c r="D228" s="56"/>
      <c r="E228" s="55"/>
      <c r="F228" s="56"/>
      <c r="G228" s="56"/>
      <c r="H228" s="56"/>
      <c r="I228" s="57"/>
      <c r="J228" s="57"/>
      <c r="K228" s="57"/>
    </row>
    <row r="229" spans="1:11" x14ac:dyDescent="0.25">
      <c r="A229" s="54"/>
      <c r="B229" s="56"/>
      <c r="C229" s="54"/>
      <c r="D229" s="56"/>
      <c r="E229" s="55"/>
      <c r="F229" s="56"/>
      <c r="G229" s="56"/>
      <c r="H229" s="56"/>
      <c r="I229" s="57"/>
      <c r="J229" s="57"/>
      <c r="K229" s="57"/>
    </row>
    <row r="230" spans="1:11" x14ac:dyDescent="0.25">
      <c r="A230" s="54"/>
      <c r="B230" s="56"/>
      <c r="C230" s="54"/>
      <c r="D230" s="56"/>
      <c r="E230" s="55"/>
      <c r="F230" s="56"/>
      <c r="G230" s="56"/>
      <c r="H230" s="56"/>
      <c r="I230" s="57"/>
      <c r="J230" s="57"/>
      <c r="K230" s="57"/>
    </row>
    <row r="231" spans="1:11" x14ac:dyDescent="0.25">
      <c r="A231" s="54"/>
      <c r="B231" s="56"/>
      <c r="C231" s="54"/>
      <c r="D231" s="56"/>
      <c r="E231" s="55"/>
      <c r="F231" s="56"/>
      <c r="G231" s="56"/>
      <c r="H231" s="56"/>
      <c r="I231" s="57"/>
      <c r="J231" s="57"/>
      <c r="K231" s="57"/>
    </row>
    <row r="232" spans="1:11" x14ac:dyDescent="0.25">
      <c r="A232" s="54"/>
      <c r="B232" s="56"/>
      <c r="C232" s="54"/>
      <c r="D232" s="56"/>
      <c r="E232" s="55"/>
      <c r="F232" s="56"/>
      <c r="G232" s="56"/>
      <c r="H232" s="56"/>
      <c r="I232" s="57"/>
      <c r="J232" s="57"/>
      <c r="K232" s="57"/>
    </row>
    <row r="233" spans="1:11" x14ac:dyDescent="0.25">
      <c r="A233" s="54"/>
      <c r="B233" s="56"/>
      <c r="C233" s="54"/>
      <c r="D233" s="56"/>
      <c r="E233" s="55"/>
      <c r="F233" s="56"/>
      <c r="G233" s="56"/>
      <c r="H233" s="56"/>
      <c r="I233" s="57"/>
      <c r="J233" s="57"/>
      <c r="K233" s="57"/>
    </row>
    <row r="234" spans="1:11" x14ac:dyDescent="0.25">
      <c r="A234" s="54"/>
      <c r="B234" s="56"/>
      <c r="C234" s="54"/>
      <c r="D234" s="56"/>
      <c r="E234" s="55"/>
      <c r="F234" s="56"/>
      <c r="G234" s="56"/>
      <c r="H234" s="56"/>
      <c r="I234" s="57"/>
      <c r="J234" s="57"/>
      <c r="K234" s="57"/>
    </row>
    <row r="235" spans="1:11" x14ac:dyDescent="0.25">
      <c r="A235" s="54"/>
      <c r="B235" s="56"/>
      <c r="C235" s="54"/>
      <c r="D235" s="56"/>
      <c r="E235" s="55"/>
      <c r="F235" s="56"/>
      <c r="G235" s="56"/>
      <c r="H235" s="56"/>
      <c r="I235" s="57"/>
      <c r="J235" s="57"/>
      <c r="K235" s="57"/>
    </row>
    <row r="236" spans="1:11" x14ac:dyDescent="0.25">
      <c r="A236" s="54"/>
      <c r="B236" s="56"/>
      <c r="C236" s="54"/>
      <c r="D236" s="56"/>
      <c r="E236" s="55"/>
      <c r="F236" s="56"/>
      <c r="G236" s="56"/>
      <c r="H236" s="56"/>
      <c r="I236" s="57"/>
      <c r="J236" s="57"/>
      <c r="K236" s="57"/>
    </row>
    <row r="237" spans="1:11" x14ac:dyDescent="0.25">
      <c r="A237" s="54"/>
      <c r="B237" s="56"/>
      <c r="C237" s="54"/>
      <c r="D237" s="56"/>
      <c r="E237" s="55"/>
      <c r="F237" s="56"/>
      <c r="G237" s="56"/>
      <c r="H237" s="56"/>
      <c r="I237" s="57"/>
      <c r="J237" s="57"/>
      <c r="K237" s="57"/>
    </row>
    <row r="238" spans="1:11" x14ac:dyDescent="0.25">
      <c r="A238" s="54"/>
      <c r="B238" s="56"/>
      <c r="C238" s="54"/>
      <c r="D238" s="56"/>
      <c r="E238" s="55"/>
      <c r="F238" s="56"/>
      <c r="G238" s="56"/>
      <c r="H238" s="56"/>
      <c r="I238" s="57"/>
      <c r="J238" s="57"/>
      <c r="K238" s="57"/>
    </row>
    <row r="239" spans="1:11" x14ac:dyDescent="0.25">
      <c r="A239" s="54"/>
      <c r="B239" s="56"/>
      <c r="C239" s="54"/>
      <c r="D239" s="56"/>
      <c r="E239" s="55"/>
      <c r="F239" s="56"/>
      <c r="G239" s="56"/>
      <c r="H239" s="56"/>
      <c r="I239" s="57"/>
      <c r="J239" s="57"/>
      <c r="K239" s="57"/>
    </row>
    <row r="240" spans="1:11" x14ac:dyDescent="0.25">
      <c r="A240" s="54"/>
      <c r="B240" s="56"/>
      <c r="C240" s="54"/>
      <c r="D240" s="56"/>
      <c r="E240" s="55"/>
      <c r="F240" s="56"/>
      <c r="G240" s="56"/>
      <c r="H240" s="56"/>
      <c r="I240" s="57"/>
      <c r="J240" s="57"/>
      <c r="K240" s="57"/>
    </row>
    <row r="241" spans="1:11" x14ac:dyDescent="0.25">
      <c r="A241" s="54"/>
      <c r="B241" s="56"/>
      <c r="C241" s="54"/>
      <c r="D241" s="56"/>
      <c r="E241" s="55"/>
      <c r="F241" s="56"/>
      <c r="G241" s="56"/>
      <c r="H241" s="56"/>
      <c r="I241" s="57"/>
      <c r="J241" s="57"/>
      <c r="K241" s="57"/>
    </row>
    <row r="242" spans="1:11" x14ac:dyDescent="0.25">
      <c r="A242" s="54"/>
      <c r="B242" s="56"/>
      <c r="C242" s="54"/>
      <c r="D242" s="56"/>
      <c r="E242" s="55"/>
      <c r="F242" s="56"/>
      <c r="G242" s="56"/>
      <c r="H242" s="56"/>
      <c r="I242" s="57"/>
      <c r="J242" s="57"/>
      <c r="K242" s="57"/>
    </row>
    <row r="243" spans="1:11" x14ac:dyDescent="0.25">
      <c r="A243" s="54"/>
      <c r="B243" s="56"/>
      <c r="C243" s="54"/>
      <c r="D243" s="56"/>
      <c r="E243" s="55"/>
      <c r="F243" s="56"/>
      <c r="G243" s="56"/>
      <c r="H243" s="56"/>
      <c r="I243" s="57"/>
      <c r="J243" s="57"/>
      <c r="K243" s="57"/>
    </row>
    <row r="244" spans="1:11" x14ac:dyDescent="0.25">
      <c r="A244" s="54"/>
      <c r="B244" s="56"/>
      <c r="C244" s="54"/>
      <c r="D244" s="56"/>
      <c r="E244" s="55"/>
      <c r="F244" s="56"/>
      <c r="G244" s="56"/>
      <c r="H244" s="56"/>
      <c r="I244" s="57"/>
      <c r="J244" s="57"/>
      <c r="K244" s="57"/>
    </row>
    <row r="245" spans="1:11" x14ac:dyDescent="0.25">
      <c r="A245" s="54"/>
      <c r="B245" s="56"/>
      <c r="C245" s="54"/>
      <c r="D245" s="56"/>
      <c r="E245" s="55"/>
      <c r="F245" s="56"/>
      <c r="G245" s="56"/>
      <c r="H245" s="56"/>
      <c r="I245" s="57"/>
      <c r="J245" s="57"/>
      <c r="K245" s="57"/>
    </row>
    <row r="246" spans="1:11" x14ac:dyDescent="0.25">
      <c r="A246" s="54"/>
      <c r="B246" s="56"/>
      <c r="C246" s="54"/>
      <c r="D246" s="56"/>
      <c r="E246" s="55"/>
      <c r="F246" s="56"/>
      <c r="G246" s="56"/>
      <c r="H246" s="56"/>
      <c r="I246" s="57"/>
      <c r="J246" s="57"/>
      <c r="K246" s="57"/>
    </row>
    <row r="247" spans="1:11" x14ac:dyDescent="0.25">
      <c r="A247" s="54"/>
      <c r="B247" s="56"/>
      <c r="C247" s="54"/>
      <c r="D247" s="56"/>
      <c r="E247" s="55"/>
      <c r="F247" s="56"/>
      <c r="G247" s="56"/>
      <c r="H247" s="56"/>
      <c r="I247" s="57"/>
      <c r="J247" s="57"/>
      <c r="K247" s="57"/>
    </row>
    <row r="248" spans="1:11" x14ac:dyDescent="0.25">
      <c r="A248" s="54"/>
      <c r="B248" s="56"/>
      <c r="C248" s="54"/>
      <c r="D248" s="56"/>
      <c r="E248" s="55"/>
      <c r="F248" s="56"/>
      <c r="G248" s="56"/>
      <c r="H248" s="56"/>
      <c r="I248" s="57"/>
      <c r="J248" s="57"/>
      <c r="K248" s="57"/>
    </row>
    <row r="249" spans="1:11" x14ac:dyDescent="0.25">
      <c r="A249" s="54"/>
      <c r="B249" s="56"/>
      <c r="C249" s="54"/>
      <c r="D249" s="56"/>
      <c r="E249" s="55"/>
      <c r="F249" s="56"/>
      <c r="G249" s="56"/>
      <c r="H249" s="56"/>
      <c r="I249" s="57"/>
      <c r="J249" s="57"/>
      <c r="K249" s="57"/>
    </row>
    <row r="250" spans="1:11" x14ac:dyDescent="0.25">
      <c r="A250" s="54"/>
      <c r="B250" s="56"/>
      <c r="C250" s="54"/>
      <c r="D250" s="56"/>
      <c r="E250" s="55"/>
      <c r="F250" s="56"/>
      <c r="G250" s="56"/>
      <c r="H250" s="56"/>
      <c r="I250" s="57"/>
      <c r="J250" s="57"/>
      <c r="K250" s="57"/>
    </row>
    <row r="251" spans="1:11" x14ac:dyDescent="0.25">
      <c r="A251" s="54"/>
      <c r="B251" s="56"/>
      <c r="C251" s="54"/>
      <c r="D251" s="56"/>
      <c r="E251" s="55"/>
      <c r="F251" s="56"/>
      <c r="G251" s="56"/>
      <c r="H251" s="56"/>
      <c r="I251" s="57"/>
      <c r="J251" s="57"/>
      <c r="K251" s="57"/>
    </row>
    <row r="252" spans="1:11" x14ac:dyDescent="0.25">
      <c r="A252" s="54"/>
      <c r="B252" s="56"/>
      <c r="C252" s="54"/>
      <c r="D252" s="56"/>
      <c r="E252" s="55"/>
      <c r="F252" s="56"/>
      <c r="G252" s="56"/>
      <c r="H252" s="56"/>
      <c r="I252" s="57"/>
      <c r="J252" s="57"/>
      <c r="K252" s="57"/>
    </row>
    <row r="253" spans="1:11" x14ac:dyDescent="0.25">
      <c r="A253" s="54"/>
      <c r="B253" s="56"/>
      <c r="C253" s="54"/>
      <c r="D253" s="56"/>
      <c r="E253" s="55"/>
      <c r="F253" s="56"/>
      <c r="G253" s="56"/>
      <c r="H253" s="56"/>
      <c r="I253" s="57"/>
      <c r="J253" s="57"/>
      <c r="K253" s="57"/>
    </row>
    <row r="254" spans="1:11" x14ac:dyDescent="0.25">
      <c r="A254" s="54"/>
      <c r="B254" s="56"/>
      <c r="C254" s="54"/>
      <c r="D254" s="56"/>
      <c r="E254" s="55"/>
      <c r="F254" s="56"/>
      <c r="G254" s="56"/>
      <c r="H254" s="56"/>
      <c r="I254" s="57"/>
      <c r="J254" s="57"/>
      <c r="K254" s="57"/>
    </row>
    <row r="255" spans="1:11" x14ac:dyDescent="0.25">
      <c r="A255" s="54"/>
      <c r="B255" s="56"/>
      <c r="C255" s="54"/>
      <c r="D255" s="56"/>
      <c r="E255" s="55"/>
      <c r="F255" s="56"/>
      <c r="G255" s="56"/>
      <c r="H255" s="56"/>
      <c r="I255" s="57"/>
      <c r="J255" s="57"/>
      <c r="K255" s="57"/>
    </row>
    <row r="256" spans="1:11" x14ac:dyDescent="0.25">
      <c r="A256" s="54"/>
      <c r="B256" s="56"/>
      <c r="C256" s="54"/>
      <c r="D256" s="56"/>
      <c r="E256" s="55"/>
      <c r="F256" s="56"/>
      <c r="G256" s="56"/>
      <c r="H256" s="56"/>
      <c r="I256" s="57"/>
      <c r="J256" s="57"/>
      <c r="K256" s="57"/>
    </row>
    <row r="257" spans="1:11" x14ac:dyDescent="0.25">
      <c r="A257" s="54"/>
      <c r="B257" s="56"/>
      <c r="C257" s="54"/>
      <c r="D257" s="56"/>
      <c r="E257" s="55"/>
      <c r="F257" s="56"/>
      <c r="G257" s="56"/>
      <c r="H257" s="56"/>
      <c r="I257" s="57"/>
      <c r="J257" s="57"/>
      <c r="K257" s="57"/>
    </row>
    <row r="258" spans="1:11" x14ac:dyDescent="0.25">
      <c r="A258" s="54"/>
      <c r="B258" s="56"/>
      <c r="C258" s="54"/>
      <c r="D258" s="56"/>
      <c r="E258" s="55"/>
      <c r="F258" s="56"/>
      <c r="G258" s="56"/>
      <c r="H258" s="56"/>
      <c r="I258" s="57"/>
      <c r="J258" s="57"/>
      <c r="K258" s="57"/>
    </row>
    <row r="259" spans="1:11" x14ac:dyDescent="0.25">
      <c r="A259" s="54"/>
      <c r="B259" s="56"/>
      <c r="C259" s="54"/>
      <c r="D259" s="56"/>
      <c r="E259" s="55"/>
      <c r="F259" s="56"/>
      <c r="G259" s="56"/>
      <c r="H259" s="56"/>
      <c r="I259" s="57"/>
      <c r="J259" s="57"/>
      <c r="K259" s="57"/>
    </row>
    <row r="260" spans="1:11" x14ac:dyDescent="0.25">
      <c r="A260" s="54"/>
      <c r="B260" s="56"/>
      <c r="C260" s="54"/>
      <c r="D260" s="56"/>
      <c r="E260" s="55"/>
      <c r="F260" s="56"/>
      <c r="G260" s="56"/>
      <c r="H260" s="56"/>
      <c r="I260" s="57"/>
      <c r="J260" s="57"/>
      <c r="K260" s="57"/>
    </row>
    <row r="261" spans="1:11" x14ac:dyDescent="0.25">
      <c r="A261" s="54"/>
      <c r="B261" s="56"/>
      <c r="C261" s="54"/>
      <c r="D261" s="56"/>
      <c r="E261" s="55"/>
      <c r="F261" s="56"/>
      <c r="G261" s="56"/>
      <c r="H261" s="56"/>
      <c r="I261" s="57"/>
      <c r="J261" s="57"/>
      <c r="K261" s="57"/>
    </row>
    <row r="262" spans="1:11" x14ac:dyDescent="0.25">
      <c r="A262" s="54"/>
      <c r="B262" s="56"/>
      <c r="C262" s="54"/>
      <c r="D262" s="56"/>
      <c r="E262" s="55"/>
      <c r="F262" s="56"/>
      <c r="G262" s="56"/>
      <c r="H262" s="56"/>
      <c r="I262" s="57"/>
      <c r="J262" s="57"/>
      <c r="K262" s="57"/>
    </row>
    <row r="263" spans="1:11" x14ac:dyDescent="0.25">
      <c r="A263" s="54"/>
      <c r="B263" s="56"/>
      <c r="C263" s="54"/>
      <c r="D263" s="56"/>
      <c r="E263" s="55"/>
      <c r="F263" s="56"/>
      <c r="G263" s="56"/>
      <c r="H263" s="56"/>
      <c r="I263" s="57"/>
      <c r="J263" s="57"/>
      <c r="K263" s="57"/>
    </row>
    <row r="264" spans="1:11" x14ac:dyDescent="0.25">
      <c r="A264" s="54"/>
      <c r="B264" s="56"/>
      <c r="C264" s="54"/>
      <c r="D264" s="56"/>
      <c r="E264" s="55"/>
      <c r="F264" s="56"/>
      <c r="G264" s="56"/>
      <c r="H264" s="56"/>
      <c r="I264" s="57"/>
      <c r="J264" s="57"/>
      <c r="K264" s="57"/>
    </row>
    <row r="265" spans="1:11" x14ac:dyDescent="0.25">
      <c r="A265" s="54"/>
      <c r="B265" s="56"/>
      <c r="C265" s="54"/>
      <c r="D265" s="56"/>
      <c r="E265" s="55"/>
      <c r="F265" s="56"/>
      <c r="G265" s="56"/>
      <c r="H265" s="56"/>
      <c r="I265" s="57"/>
      <c r="J265" s="57"/>
      <c r="K265" s="57"/>
    </row>
    <row r="266" spans="1:11" x14ac:dyDescent="0.25">
      <c r="A266" s="54"/>
      <c r="B266" s="56"/>
      <c r="C266" s="54"/>
      <c r="D266" s="56"/>
      <c r="E266" s="55"/>
      <c r="F266" s="56"/>
      <c r="G266" s="56"/>
      <c r="H266" s="56"/>
      <c r="I266" s="57"/>
      <c r="J266" s="57"/>
      <c r="K266" s="57"/>
    </row>
    <row r="267" spans="1:11" x14ac:dyDescent="0.25">
      <c r="A267" s="54"/>
      <c r="B267" s="56"/>
      <c r="C267" s="54"/>
      <c r="D267" s="56"/>
      <c r="E267" s="55"/>
      <c r="F267" s="56"/>
      <c r="G267" s="56"/>
      <c r="H267" s="56"/>
      <c r="I267" s="57"/>
      <c r="J267" s="57"/>
      <c r="K267" s="57"/>
    </row>
    <row r="268" spans="1:11" x14ac:dyDescent="0.25">
      <c r="A268" s="54"/>
      <c r="B268" s="56"/>
      <c r="C268" s="54"/>
      <c r="D268" s="56"/>
      <c r="E268" s="55"/>
      <c r="F268" s="56"/>
      <c r="G268" s="56"/>
      <c r="H268" s="56"/>
      <c r="I268" s="57"/>
      <c r="J268" s="57"/>
      <c r="K268" s="57"/>
    </row>
    <row r="269" spans="1:11" x14ac:dyDescent="0.25">
      <c r="A269" s="54"/>
      <c r="B269" s="56"/>
      <c r="C269" s="54"/>
      <c r="D269" s="56"/>
      <c r="E269" s="55"/>
      <c r="F269" s="56"/>
      <c r="G269" s="56"/>
      <c r="H269" s="56"/>
      <c r="I269" s="57"/>
      <c r="J269" s="57"/>
      <c r="K269" s="57"/>
    </row>
    <row r="270" spans="1:11" x14ac:dyDescent="0.25">
      <c r="A270" s="54"/>
      <c r="B270" s="56"/>
      <c r="C270" s="54"/>
      <c r="D270" s="56"/>
      <c r="E270" s="55"/>
      <c r="F270" s="56"/>
      <c r="G270" s="56"/>
      <c r="H270" s="56"/>
      <c r="I270" s="57"/>
      <c r="J270" s="57"/>
      <c r="K270" s="57"/>
    </row>
    <row r="271" spans="1:11" x14ac:dyDescent="0.25">
      <c r="A271" s="54"/>
      <c r="B271" s="56"/>
      <c r="C271" s="54"/>
      <c r="D271" s="56"/>
      <c r="E271" s="55"/>
      <c r="F271" s="56"/>
      <c r="G271" s="56"/>
      <c r="H271" s="56"/>
      <c r="I271" s="57"/>
      <c r="J271" s="57"/>
      <c r="K271" s="57"/>
    </row>
    <row r="272" spans="1:11" x14ac:dyDescent="0.25">
      <c r="A272" s="54"/>
      <c r="B272" s="56"/>
      <c r="C272" s="54"/>
      <c r="D272" s="56"/>
      <c r="E272" s="55"/>
      <c r="F272" s="56"/>
      <c r="G272" s="56"/>
      <c r="H272" s="56"/>
      <c r="I272" s="57"/>
      <c r="J272" s="57"/>
      <c r="K272" s="57"/>
    </row>
    <row r="273" spans="1:11" x14ac:dyDescent="0.25">
      <c r="A273" s="54"/>
      <c r="B273" s="56"/>
      <c r="C273" s="54"/>
      <c r="D273" s="56"/>
      <c r="E273" s="55"/>
      <c r="F273" s="56"/>
      <c r="G273" s="56"/>
      <c r="H273" s="56"/>
      <c r="I273" s="57"/>
      <c r="J273" s="57"/>
      <c r="K273" s="57"/>
    </row>
    <row r="274" spans="1:11" x14ac:dyDescent="0.25">
      <c r="A274" s="54"/>
      <c r="B274" s="56"/>
      <c r="C274" s="54"/>
      <c r="D274" s="56"/>
      <c r="E274" s="55"/>
      <c r="F274" s="56"/>
      <c r="G274" s="56"/>
      <c r="H274" s="56"/>
      <c r="I274" s="57"/>
      <c r="J274" s="57"/>
      <c r="K274" s="57"/>
    </row>
    <row r="275" spans="1:11" x14ac:dyDescent="0.25">
      <c r="A275" s="54"/>
      <c r="B275" s="56"/>
      <c r="C275" s="54"/>
      <c r="D275" s="56"/>
      <c r="E275" s="55"/>
      <c r="F275" s="56"/>
      <c r="G275" s="56"/>
      <c r="H275" s="56"/>
      <c r="I275" s="57"/>
      <c r="J275" s="57"/>
      <c r="K275" s="57"/>
    </row>
    <row r="276" spans="1:11" x14ac:dyDescent="0.25">
      <c r="A276" s="54"/>
      <c r="B276" s="56"/>
      <c r="C276" s="54"/>
      <c r="D276" s="56"/>
      <c r="E276" s="55"/>
      <c r="F276" s="56"/>
      <c r="G276" s="56"/>
      <c r="H276" s="56"/>
      <c r="I276" s="57"/>
      <c r="J276" s="57"/>
      <c r="K276" s="57"/>
    </row>
    <row r="277" spans="1:11" x14ac:dyDescent="0.25">
      <c r="A277" s="54"/>
      <c r="B277" s="56"/>
      <c r="C277" s="54"/>
      <c r="D277" s="56"/>
      <c r="E277" s="55"/>
      <c r="F277" s="56"/>
      <c r="G277" s="56"/>
      <c r="H277" s="56"/>
      <c r="I277" s="57"/>
      <c r="J277" s="57"/>
      <c r="K277" s="57"/>
    </row>
    <row r="278" spans="1:11" x14ac:dyDescent="0.25">
      <c r="A278" s="54"/>
      <c r="B278" s="56"/>
      <c r="C278" s="54"/>
      <c r="D278" s="56"/>
      <c r="E278" s="55"/>
      <c r="F278" s="56"/>
      <c r="G278" s="56"/>
      <c r="H278" s="56"/>
      <c r="I278" s="57"/>
      <c r="J278" s="57"/>
      <c r="K278" s="57"/>
    </row>
    <row r="279" spans="1:11" x14ac:dyDescent="0.25">
      <c r="A279" s="54"/>
      <c r="B279" s="56"/>
      <c r="C279" s="54"/>
      <c r="D279" s="56"/>
      <c r="E279" s="55"/>
      <c r="F279" s="56"/>
      <c r="G279" s="56"/>
      <c r="H279" s="56"/>
      <c r="I279" s="57"/>
      <c r="J279" s="57"/>
      <c r="K279" s="57"/>
    </row>
    <row r="280" spans="1:11" x14ac:dyDescent="0.25">
      <c r="A280" s="54"/>
      <c r="B280" s="56"/>
      <c r="C280" s="54"/>
      <c r="D280" s="56"/>
      <c r="E280" s="55"/>
      <c r="F280" s="56"/>
      <c r="G280" s="56"/>
      <c r="H280" s="56"/>
      <c r="I280" s="57"/>
      <c r="J280" s="57"/>
      <c r="K280" s="57"/>
    </row>
    <row r="281" spans="1:11" x14ac:dyDescent="0.25">
      <c r="A281" s="54"/>
      <c r="B281" s="56"/>
      <c r="C281" s="54"/>
      <c r="D281" s="56"/>
      <c r="E281" s="55"/>
      <c r="F281" s="56"/>
      <c r="G281" s="56"/>
      <c r="H281" s="56"/>
      <c r="I281" s="57"/>
      <c r="J281" s="57"/>
      <c r="K281" s="57"/>
    </row>
    <row r="282" spans="1:11" x14ac:dyDescent="0.25">
      <c r="A282" s="54"/>
      <c r="B282" s="56"/>
      <c r="C282" s="54"/>
      <c r="D282" s="56"/>
      <c r="E282" s="55"/>
      <c r="F282" s="56"/>
      <c r="G282" s="56"/>
      <c r="H282" s="56"/>
      <c r="I282" s="57"/>
      <c r="J282" s="57"/>
      <c r="K282" s="57"/>
    </row>
    <row r="283" spans="1:11" x14ac:dyDescent="0.25">
      <c r="A283" s="54"/>
      <c r="B283" s="56"/>
      <c r="C283" s="54"/>
      <c r="D283" s="56"/>
      <c r="E283" s="55"/>
      <c r="F283" s="56"/>
      <c r="G283" s="56"/>
      <c r="H283" s="56"/>
      <c r="I283" s="57"/>
      <c r="J283" s="57"/>
      <c r="K283" s="57"/>
    </row>
    <row r="284" spans="1:11" x14ac:dyDescent="0.25">
      <c r="A284" s="54"/>
      <c r="B284" s="56"/>
      <c r="C284" s="54"/>
      <c r="D284" s="56"/>
      <c r="E284" s="55"/>
      <c r="F284" s="56"/>
      <c r="G284" s="56"/>
      <c r="H284" s="56"/>
      <c r="I284" s="57"/>
      <c r="J284" s="57"/>
      <c r="K284" s="57"/>
    </row>
    <row r="285" spans="1:11" x14ac:dyDescent="0.25">
      <c r="A285" s="54"/>
      <c r="B285" s="56"/>
      <c r="C285" s="54"/>
      <c r="D285" s="56"/>
      <c r="E285" s="55"/>
      <c r="F285" s="56"/>
      <c r="G285" s="56"/>
      <c r="H285" s="56"/>
      <c r="I285" s="57"/>
      <c r="J285" s="57"/>
      <c r="K285" s="57"/>
    </row>
    <row r="286" spans="1:11" x14ac:dyDescent="0.25">
      <c r="A286" s="54"/>
      <c r="B286" s="56"/>
      <c r="C286" s="54"/>
      <c r="D286" s="56"/>
      <c r="E286" s="55"/>
      <c r="F286" s="56"/>
      <c r="G286" s="56"/>
      <c r="H286" s="56"/>
      <c r="I286" s="57"/>
      <c r="J286" s="57"/>
      <c r="K286" s="57"/>
    </row>
    <row r="287" spans="1:11" x14ac:dyDescent="0.25">
      <c r="A287" s="54"/>
      <c r="B287" s="56"/>
      <c r="C287" s="54"/>
      <c r="D287" s="56"/>
      <c r="E287" s="55"/>
      <c r="F287" s="56"/>
      <c r="G287" s="56"/>
      <c r="H287" s="56"/>
      <c r="I287" s="57"/>
      <c r="J287" s="57"/>
      <c r="K287" s="57"/>
    </row>
    <row r="288" spans="1:11" x14ac:dyDescent="0.25">
      <c r="A288" s="54"/>
      <c r="B288" s="56"/>
      <c r="C288" s="54"/>
      <c r="D288" s="56"/>
      <c r="E288" s="55"/>
      <c r="F288" s="56"/>
      <c r="G288" s="56"/>
      <c r="H288" s="56"/>
      <c r="I288" s="57"/>
      <c r="J288" s="57"/>
      <c r="K288" s="57"/>
    </row>
    <row r="289" spans="1:11" x14ac:dyDescent="0.25">
      <c r="A289" s="54"/>
      <c r="B289" s="56"/>
      <c r="C289" s="54"/>
      <c r="D289" s="56"/>
      <c r="E289" s="55"/>
      <c r="F289" s="56"/>
      <c r="G289" s="56"/>
      <c r="H289" s="56"/>
      <c r="I289" s="57"/>
      <c r="J289" s="57"/>
      <c r="K289" s="57"/>
    </row>
    <row r="290" spans="1:11" x14ac:dyDescent="0.25">
      <c r="A290" s="54"/>
      <c r="B290" s="56"/>
      <c r="C290" s="54"/>
      <c r="D290" s="56"/>
      <c r="E290" s="55"/>
      <c r="F290" s="56"/>
      <c r="G290" s="56"/>
      <c r="H290" s="56"/>
      <c r="I290" s="57"/>
      <c r="J290" s="57"/>
      <c r="K290" s="57"/>
    </row>
    <row r="291" spans="1:11" x14ac:dyDescent="0.25">
      <c r="A291" s="54"/>
      <c r="B291" s="56"/>
      <c r="C291" s="54"/>
      <c r="D291" s="56"/>
      <c r="E291" s="55"/>
      <c r="F291" s="56"/>
      <c r="G291" s="56"/>
      <c r="H291" s="56"/>
      <c r="I291" s="57"/>
      <c r="J291" s="57"/>
      <c r="K291" s="57"/>
    </row>
    <row r="292" spans="1:11" x14ac:dyDescent="0.25">
      <c r="A292" s="54"/>
      <c r="B292" s="56"/>
      <c r="C292" s="54"/>
      <c r="D292" s="56"/>
      <c r="E292" s="55"/>
      <c r="F292" s="56"/>
      <c r="G292" s="56"/>
      <c r="H292" s="56"/>
      <c r="I292" s="57"/>
      <c r="J292" s="57"/>
      <c r="K292" s="57"/>
    </row>
    <row r="293" spans="1:11" x14ac:dyDescent="0.25">
      <c r="A293" s="54"/>
      <c r="B293" s="56"/>
      <c r="C293" s="54"/>
      <c r="D293" s="56"/>
      <c r="E293" s="55"/>
      <c r="F293" s="56"/>
      <c r="G293" s="56"/>
      <c r="H293" s="56"/>
      <c r="I293" s="57"/>
      <c r="J293" s="57"/>
      <c r="K293" s="57"/>
    </row>
    <row r="294" spans="1:11" x14ac:dyDescent="0.25">
      <c r="A294" s="54"/>
      <c r="B294" s="56"/>
      <c r="C294" s="54"/>
      <c r="D294" s="56"/>
      <c r="E294" s="55"/>
      <c r="F294" s="56"/>
      <c r="G294" s="56"/>
      <c r="H294" s="56"/>
      <c r="I294" s="57"/>
      <c r="J294" s="57"/>
      <c r="K294" s="57"/>
    </row>
    <row r="295" spans="1:11" x14ac:dyDescent="0.25">
      <c r="A295" s="54"/>
      <c r="B295" s="56"/>
      <c r="C295" s="54"/>
      <c r="D295" s="56"/>
      <c r="E295" s="55"/>
      <c r="F295" s="56"/>
      <c r="G295" s="56"/>
      <c r="H295" s="56"/>
      <c r="I295" s="57"/>
      <c r="J295" s="57"/>
      <c r="K295" s="57"/>
    </row>
    <row r="296" spans="1:11" x14ac:dyDescent="0.25">
      <c r="A296" s="54"/>
      <c r="B296" s="56"/>
      <c r="C296" s="54"/>
      <c r="D296" s="56"/>
      <c r="E296" s="55"/>
      <c r="F296" s="56"/>
      <c r="G296" s="56"/>
      <c r="H296" s="56"/>
      <c r="I296" s="57"/>
      <c r="J296" s="57"/>
      <c r="K296" s="57"/>
    </row>
    <row r="297" spans="1:11" x14ac:dyDescent="0.25">
      <c r="A297" s="54"/>
      <c r="B297" s="56"/>
      <c r="C297" s="54"/>
      <c r="D297" s="56"/>
      <c r="E297" s="55"/>
      <c r="F297" s="56"/>
      <c r="G297" s="56"/>
      <c r="H297" s="56"/>
      <c r="I297" s="57"/>
      <c r="J297" s="57"/>
      <c r="K297" s="57"/>
    </row>
    <row r="298" spans="1:11" x14ac:dyDescent="0.25">
      <c r="A298" s="54"/>
      <c r="B298" s="56"/>
      <c r="C298" s="54"/>
      <c r="D298" s="56"/>
      <c r="E298" s="55"/>
      <c r="F298" s="56"/>
      <c r="G298" s="56"/>
      <c r="H298" s="56"/>
      <c r="I298" s="57"/>
      <c r="J298" s="57"/>
      <c r="K298" s="57"/>
    </row>
    <row r="299" spans="1:11" x14ac:dyDescent="0.25">
      <c r="A299" s="54"/>
      <c r="B299" s="56"/>
      <c r="C299" s="54"/>
      <c r="D299" s="56"/>
      <c r="E299" s="55"/>
      <c r="F299" s="56"/>
      <c r="G299" s="56"/>
      <c r="H299" s="56"/>
      <c r="I299" s="57"/>
      <c r="J299" s="57"/>
      <c r="K299" s="57"/>
    </row>
    <row r="300" spans="1:11" x14ac:dyDescent="0.25">
      <c r="A300" s="54"/>
      <c r="B300" s="56"/>
      <c r="C300" s="54"/>
      <c r="D300" s="56"/>
      <c r="E300" s="55"/>
      <c r="F300" s="56"/>
      <c r="G300" s="56"/>
      <c r="H300" s="56"/>
      <c r="I300" s="57"/>
      <c r="J300" s="57"/>
      <c r="K300" s="57"/>
    </row>
    <row r="301" spans="1:11" x14ac:dyDescent="0.25">
      <c r="A301" s="54"/>
      <c r="B301" s="56"/>
      <c r="C301" s="54"/>
      <c r="D301" s="56"/>
      <c r="E301" s="55"/>
      <c r="F301" s="56"/>
      <c r="G301" s="56"/>
      <c r="H301" s="56"/>
      <c r="I301" s="57"/>
      <c r="J301" s="57"/>
      <c r="K301" s="57"/>
    </row>
    <row r="302" spans="1:11" x14ac:dyDescent="0.25">
      <c r="A302" s="54"/>
      <c r="B302" s="56"/>
      <c r="C302" s="54"/>
      <c r="D302" s="56"/>
      <c r="E302" s="55"/>
      <c r="F302" s="56"/>
      <c r="G302" s="56"/>
      <c r="H302" s="56"/>
      <c r="I302" s="57"/>
      <c r="J302" s="57"/>
      <c r="K302" s="57"/>
    </row>
    <row r="303" spans="1:11" x14ac:dyDescent="0.25">
      <c r="A303" s="54"/>
      <c r="B303" s="56"/>
      <c r="C303" s="54"/>
      <c r="D303" s="56"/>
      <c r="E303" s="55"/>
      <c r="F303" s="56"/>
      <c r="G303" s="56"/>
      <c r="H303" s="56"/>
      <c r="I303" s="57"/>
      <c r="J303" s="57"/>
      <c r="K303" s="57"/>
    </row>
    <row r="304" spans="1:11" x14ac:dyDescent="0.25">
      <c r="A304" s="54"/>
      <c r="B304" s="56"/>
      <c r="C304" s="54"/>
      <c r="D304" s="56"/>
      <c r="E304" s="55"/>
      <c r="F304" s="56"/>
      <c r="G304" s="56"/>
      <c r="H304" s="56"/>
      <c r="I304" s="57"/>
      <c r="J304" s="57"/>
      <c r="K304" s="57"/>
    </row>
    <row r="305" spans="1:11" x14ac:dyDescent="0.25">
      <c r="A305" s="54"/>
      <c r="B305" s="56"/>
      <c r="C305" s="54"/>
      <c r="D305" s="56"/>
      <c r="E305" s="55"/>
      <c r="F305" s="56"/>
      <c r="G305" s="56"/>
      <c r="H305" s="56"/>
      <c r="I305" s="57"/>
      <c r="J305" s="57"/>
      <c r="K305" s="57"/>
    </row>
    <row r="306" spans="1:11" x14ac:dyDescent="0.25">
      <c r="A306" s="54"/>
      <c r="B306" s="56"/>
      <c r="C306" s="54"/>
      <c r="D306" s="56"/>
      <c r="E306" s="55"/>
      <c r="F306" s="56"/>
      <c r="G306" s="56"/>
      <c r="H306" s="56"/>
      <c r="I306" s="57"/>
      <c r="J306" s="57"/>
      <c r="K306" s="57"/>
    </row>
    <row r="307" spans="1:11" x14ac:dyDescent="0.25">
      <c r="A307" s="54"/>
      <c r="B307" s="56"/>
      <c r="C307" s="54"/>
      <c r="D307" s="56"/>
      <c r="E307" s="55"/>
      <c r="F307" s="56"/>
      <c r="G307" s="56"/>
      <c r="H307" s="56"/>
      <c r="I307" s="57"/>
      <c r="J307" s="57"/>
      <c r="K307" s="57"/>
    </row>
    <row r="308" spans="1:11" x14ac:dyDescent="0.25">
      <c r="A308" s="54"/>
      <c r="B308" s="56"/>
      <c r="C308" s="54"/>
      <c r="D308" s="56"/>
      <c r="E308" s="55"/>
      <c r="F308" s="56"/>
      <c r="G308" s="56"/>
      <c r="H308" s="56"/>
      <c r="I308" s="57"/>
      <c r="J308" s="57"/>
      <c r="K308" s="57"/>
    </row>
    <row r="309" spans="1:11" x14ac:dyDescent="0.25">
      <c r="A309" s="54"/>
      <c r="B309" s="56"/>
      <c r="C309" s="54"/>
      <c r="D309" s="56"/>
      <c r="E309" s="55"/>
      <c r="F309" s="56"/>
      <c r="G309" s="56"/>
      <c r="H309" s="56"/>
      <c r="I309" s="57"/>
      <c r="J309" s="57"/>
      <c r="K309" s="57"/>
    </row>
    <row r="310" spans="1:11" x14ac:dyDescent="0.25">
      <c r="A310" s="54"/>
      <c r="B310" s="56"/>
      <c r="C310" s="54"/>
      <c r="D310" s="56"/>
      <c r="E310" s="55"/>
      <c r="F310" s="56"/>
      <c r="G310" s="56"/>
      <c r="H310" s="56"/>
      <c r="I310" s="57"/>
      <c r="J310" s="57"/>
      <c r="K310" s="57"/>
    </row>
    <row r="311" spans="1:11" x14ac:dyDescent="0.25">
      <c r="A311" s="54"/>
      <c r="B311" s="56"/>
      <c r="C311" s="54"/>
      <c r="D311" s="56"/>
      <c r="E311" s="55"/>
      <c r="F311" s="56"/>
      <c r="G311" s="56"/>
      <c r="H311" s="56"/>
      <c r="I311" s="57"/>
      <c r="J311" s="57"/>
      <c r="K311" s="57"/>
    </row>
    <row r="312" spans="1:11" x14ac:dyDescent="0.25">
      <c r="A312" s="54"/>
      <c r="B312" s="56"/>
      <c r="C312" s="54"/>
      <c r="D312" s="56"/>
      <c r="E312" s="55"/>
      <c r="F312" s="56"/>
      <c r="G312" s="56"/>
      <c r="H312" s="56"/>
      <c r="I312" s="57"/>
      <c r="J312" s="57"/>
      <c r="K312" s="57"/>
    </row>
    <row r="313" spans="1:11" x14ac:dyDescent="0.25">
      <c r="A313" s="54"/>
      <c r="B313" s="56"/>
      <c r="C313" s="54"/>
      <c r="D313" s="56"/>
      <c r="E313" s="55"/>
      <c r="F313" s="56"/>
      <c r="G313" s="56"/>
      <c r="H313" s="56"/>
      <c r="I313" s="57"/>
      <c r="J313" s="57"/>
      <c r="K313" s="57"/>
    </row>
    <row r="314" spans="1:11" x14ac:dyDescent="0.25">
      <c r="A314" s="54"/>
      <c r="B314" s="56"/>
      <c r="C314" s="54"/>
      <c r="D314" s="56"/>
      <c r="E314" s="55"/>
      <c r="F314" s="56"/>
      <c r="G314" s="56"/>
      <c r="H314" s="56"/>
      <c r="I314" s="57"/>
      <c r="J314" s="57"/>
      <c r="K314" s="57"/>
    </row>
    <row r="315" spans="1:11" x14ac:dyDescent="0.25">
      <c r="A315" s="54"/>
      <c r="B315" s="56"/>
      <c r="C315" s="54"/>
      <c r="D315" s="56"/>
      <c r="E315" s="55"/>
      <c r="F315" s="56"/>
      <c r="G315" s="56"/>
      <c r="H315" s="56"/>
      <c r="I315" s="57"/>
      <c r="J315" s="57"/>
      <c r="K315" s="57"/>
    </row>
    <row r="316" spans="1:11" x14ac:dyDescent="0.25">
      <c r="A316" s="54"/>
      <c r="B316" s="56"/>
      <c r="C316" s="54"/>
      <c r="D316" s="56"/>
      <c r="E316" s="55"/>
      <c r="F316" s="56"/>
      <c r="G316" s="56"/>
      <c r="H316" s="56"/>
      <c r="I316" s="57"/>
      <c r="J316" s="57"/>
      <c r="K316" s="57"/>
    </row>
    <row r="317" spans="1:11" x14ac:dyDescent="0.25">
      <c r="A317" s="54"/>
      <c r="B317" s="56"/>
      <c r="C317" s="54"/>
      <c r="D317" s="56"/>
      <c r="E317" s="55"/>
      <c r="F317" s="56"/>
      <c r="G317" s="56"/>
      <c r="H317" s="56"/>
      <c r="I317" s="57"/>
      <c r="J317" s="57"/>
      <c r="K317" s="57"/>
    </row>
    <row r="318" spans="1:11" x14ac:dyDescent="0.25">
      <c r="A318" s="54"/>
      <c r="B318" s="56"/>
      <c r="C318" s="54"/>
      <c r="D318" s="56"/>
      <c r="E318" s="55"/>
      <c r="F318" s="56"/>
      <c r="G318" s="56"/>
      <c r="H318" s="56"/>
      <c r="I318" s="57"/>
      <c r="J318" s="57"/>
      <c r="K318" s="57"/>
    </row>
    <row r="319" spans="1:11" x14ac:dyDescent="0.25">
      <c r="A319" s="54"/>
      <c r="B319" s="56"/>
      <c r="C319" s="54"/>
      <c r="D319" s="56"/>
      <c r="E319" s="55"/>
      <c r="F319" s="56"/>
      <c r="G319" s="56"/>
      <c r="H319" s="56"/>
      <c r="I319" s="57"/>
      <c r="J319" s="57"/>
      <c r="K319" s="57"/>
    </row>
    <row r="320" spans="1:11" x14ac:dyDescent="0.25">
      <c r="A320" s="54"/>
      <c r="B320" s="56"/>
      <c r="C320" s="54"/>
      <c r="D320" s="56"/>
      <c r="E320" s="55"/>
      <c r="F320" s="56"/>
      <c r="G320" s="56"/>
      <c r="H320" s="56"/>
      <c r="I320" s="57"/>
      <c r="J320" s="57"/>
      <c r="K320" s="57"/>
    </row>
    <row r="321" spans="1:11" x14ac:dyDescent="0.25">
      <c r="A321" s="54"/>
      <c r="B321" s="56"/>
      <c r="C321" s="54"/>
      <c r="D321" s="56"/>
      <c r="E321" s="55"/>
      <c r="F321" s="56"/>
      <c r="G321" s="56"/>
      <c r="H321" s="56"/>
      <c r="I321" s="57"/>
      <c r="J321" s="57"/>
      <c r="K321" s="57"/>
    </row>
    <row r="322" spans="1:11" x14ac:dyDescent="0.25">
      <c r="A322" s="54"/>
      <c r="B322" s="56"/>
      <c r="C322" s="54"/>
      <c r="D322" s="56"/>
      <c r="E322" s="55"/>
      <c r="F322" s="56"/>
      <c r="G322" s="56"/>
      <c r="H322" s="56"/>
      <c r="I322" s="57"/>
      <c r="J322" s="57"/>
      <c r="K322" s="57"/>
    </row>
    <row r="323" spans="1:11" x14ac:dyDescent="0.25">
      <c r="A323" s="54"/>
      <c r="B323" s="56"/>
      <c r="C323" s="54"/>
      <c r="D323" s="56"/>
      <c r="E323" s="55"/>
      <c r="F323" s="56"/>
      <c r="G323" s="56"/>
      <c r="H323" s="56"/>
      <c r="I323" s="57"/>
      <c r="J323" s="57"/>
      <c r="K323" s="57"/>
    </row>
    <row r="324" spans="1:11" x14ac:dyDescent="0.25">
      <c r="A324" s="54"/>
      <c r="B324" s="56"/>
      <c r="C324" s="54"/>
      <c r="D324" s="56"/>
      <c r="E324" s="55"/>
      <c r="F324" s="56"/>
      <c r="G324" s="56"/>
      <c r="H324" s="56"/>
      <c r="I324" s="57"/>
      <c r="J324" s="57"/>
      <c r="K324" s="57"/>
    </row>
  </sheetData>
  <mergeCells count="15">
    <mergeCell ref="A1:K1"/>
    <mergeCell ref="F5:H5"/>
    <mergeCell ref="D5:E6"/>
    <mergeCell ref="I5:I6"/>
    <mergeCell ref="J5:J6"/>
    <mergeCell ref="K5:K6"/>
    <mergeCell ref="A5:C6"/>
    <mergeCell ref="Q4:R4"/>
    <mergeCell ref="S4:T4"/>
    <mergeCell ref="U4:U5"/>
    <mergeCell ref="L3:N3"/>
    <mergeCell ref="L4:L5"/>
    <mergeCell ref="M4:M5"/>
    <mergeCell ref="N4:N5"/>
    <mergeCell ref="P4:P5"/>
  </mergeCells>
  <conditionalFormatting sqref="U91:U124 U8:U89">
    <cfRule type="dataBar" priority="1">
      <dataBar>
        <cfvo type="percent" val="0"/>
        <cfvo type="percent" val="100"/>
        <color rgb="FF00B050"/>
      </dataBar>
      <extLst>
        <ext xmlns:x14="http://schemas.microsoft.com/office/spreadsheetml/2009/9/main" uri="{B025F937-C7B1-47D3-B67F-A62EFF666E3E}">
          <x14:id>{2A762312-DDBB-4580-9048-EB0A76B8249A}</x14:id>
        </ext>
      </extLst>
    </cfRule>
  </conditionalFormatting>
  <printOptions horizontalCentered="1"/>
  <pageMargins left="0.7" right="0.7" top="0.65441176470588203" bottom="0.66352941176470592" header="0.3" footer="0.3"/>
  <pageSetup paperSize="9" scale="72" fitToHeight="0" orientation="portrait" r:id="rId1"/>
  <headerFooter>
    <oddHeader>&amp;L&amp;"FreesiaUPC,Regular"&amp;14TP-PM-DSN-006
7-MAY-2026&amp;C&amp;"FreesiaUPC,Regular"&amp;14Drawing List&amp;R&amp;"FreesiaUPC,Regular"&amp;14R01
&amp;P of &amp;N</oddHeader>
    <oddFooter>&amp;C&amp;"FreesiaUPC,Regular"&amp;14&amp;K01+005Hard copies of this document are for REFERENCE ONLY and should not be considered the latest revision beyond the date of printing.</oddFooter>
  </headerFooter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A762312-DDBB-4580-9048-EB0A76B8249A}">
            <x14:dataBar minLength="0" maxLength="100">
              <x14:cfvo type="percent">
                <xm:f>0</xm:f>
              </x14:cfvo>
              <x14:cfvo type="percent">
                <xm:f>100</xm:f>
              </x14:cfvo>
              <x14:negativeFillColor rgb="FF00B050"/>
              <x14:axisColor theme="0"/>
            </x14:dataBar>
          </x14:cfRule>
          <xm:sqref>U91:U124 U8:U89</xm:sqref>
        </x14:conditionalFormatting>
      </x14:conditionalFormatting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0CFC53-83D8-4468-9E6D-1D588FB7F591}">
  <dimension ref="A1:G44"/>
  <sheetViews>
    <sheetView tabSelected="1" zoomScaleNormal="100" workbookViewId="0">
      <selection activeCell="H12" sqref="H12"/>
    </sheetView>
  </sheetViews>
  <sheetFormatPr defaultColWidth="9.42578125" defaultRowHeight="15" x14ac:dyDescent="0.25"/>
  <cols>
    <col min="1" max="1" width="20.5703125" style="129" bestFit="1" customWidth="1"/>
    <col min="2" max="2" width="3.42578125" style="129" customWidth="1"/>
    <col min="3" max="3" width="15.5703125" style="129" customWidth="1"/>
    <col min="4" max="4" width="29" style="129" customWidth="1"/>
    <col min="5" max="5" width="38.5703125" style="129" customWidth="1"/>
    <col min="6" max="16384" width="9.42578125" style="129"/>
  </cols>
  <sheetData>
    <row r="1" spans="1:7" ht="138" x14ac:dyDescent="0.25">
      <c r="A1" s="202"/>
      <c r="B1" s="158" t="s">
        <v>529</v>
      </c>
      <c r="C1" s="203" t="s">
        <v>530</v>
      </c>
      <c r="D1" s="203" t="s">
        <v>531</v>
      </c>
      <c r="E1" s="204" t="s">
        <v>532</v>
      </c>
    </row>
    <row r="2" spans="1:7" ht="15.75" x14ac:dyDescent="0.25">
      <c r="A2" s="205" t="s">
        <v>533</v>
      </c>
      <c r="B2" s="135"/>
      <c r="C2" s="206"/>
      <c r="D2" s="206"/>
      <c r="E2" s="207"/>
    </row>
    <row r="3" spans="1:7" ht="15.75" x14ac:dyDescent="0.25">
      <c r="A3" s="208" t="s">
        <v>652</v>
      </c>
      <c r="B3" s="159"/>
      <c r="C3" s="128" t="s">
        <v>534</v>
      </c>
      <c r="D3" s="128" t="s">
        <v>535</v>
      </c>
      <c r="E3" s="209" t="s">
        <v>536</v>
      </c>
    </row>
    <row r="4" spans="1:7" ht="15.75" x14ac:dyDescent="0.25">
      <c r="A4" s="208" t="s">
        <v>653</v>
      </c>
      <c r="B4" s="159" t="s">
        <v>8</v>
      </c>
      <c r="C4" s="128" t="s">
        <v>537</v>
      </c>
      <c r="D4" s="128" t="s">
        <v>538</v>
      </c>
      <c r="E4" s="209" t="s">
        <v>539</v>
      </c>
    </row>
    <row r="5" spans="1:7" ht="15.75" x14ac:dyDescent="0.25">
      <c r="A5" s="208" t="s">
        <v>654</v>
      </c>
      <c r="B5" s="134"/>
      <c r="C5" s="128" t="s">
        <v>540</v>
      </c>
      <c r="D5" s="128" t="s">
        <v>541</v>
      </c>
      <c r="E5" s="209" t="s">
        <v>542</v>
      </c>
    </row>
    <row r="6" spans="1:7" ht="15.75" x14ac:dyDescent="0.25">
      <c r="A6" s="208"/>
      <c r="B6" s="131"/>
      <c r="C6" s="128"/>
      <c r="D6" s="128"/>
      <c r="E6" s="209"/>
    </row>
    <row r="7" spans="1:7" ht="15.75" x14ac:dyDescent="0.25">
      <c r="A7" s="205" t="s">
        <v>543</v>
      </c>
      <c r="B7" s="135"/>
      <c r="C7" s="206"/>
      <c r="D7" s="206"/>
      <c r="E7" s="207" t="s">
        <v>544</v>
      </c>
    </row>
    <row r="8" spans="1:7" ht="15.75" x14ac:dyDescent="0.25">
      <c r="A8" s="208" t="s">
        <v>666</v>
      </c>
      <c r="B8" s="159"/>
      <c r="C8" s="128" t="s">
        <v>545</v>
      </c>
      <c r="D8" s="210" t="s">
        <v>546</v>
      </c>
      <c r="E8" s="211" t="s">
        <v>547</v>
      </c>
      <c r="G8" s="128"/>
    </row>
    <row r="9" spans="1:7" ht="15.75" x14ac:dyDescent="0.25">
      <c r="A9" s="208" t="s">
        <v>667</v>
      </c>
      <c r="B9" s="159"/>
      <c r="C9" s="128" t="s">
        <v>548</v>
      </c>
      <c r="D9" s="210" t="s">
        <v>549</v>
      </c>
      <c r="E9" s="211" t="s">
        <v>550</v>
      </c>
    </row>
    <row r="10" spans="1:7" ht="15.75" x14ac:dyDescent="0.25">
      <c r="A10" s="208" t="s">
        <v>668</v>
      </c>
      <c r="B10" s="159"/>
      <c r="C10" s="128" t="s">
        <v>551</v>
      </c>
      <c r="D10" s="210" t="s">
        <v>552</v>
      </c>
      <c r="E10" s="211" t="s">
        <v>553</v>
      </c>
    </row>
    <row r="11" spans="1:7" ht="15.75" x14ac:dyDescent="0.25">
      <c r="A11" s="208" t="s">
        <v>669</v>
      </c>
      <c r="B11" s="159"/>
      <c r="C11" s="128" t="s">
        <v>554</v>
      </c>
      <c r="D11" s="210" t="s">
        <v>555</v>
      </c>
      <c r="E11" s="211" t="s">
        <v>556</v>
      </c>
    </row>
    <row r="12" spans="1:7" ht="15.75" x14ac:dyDescent="0.25">
      <c r="A12" s="208" t="s">
        <v>670</v>
      </c>
      <c r="B12" s="159"/>
      <c r="C12" s="128" t="s">
        <v>557</v>
      </c>
      <c r="D12" s="210" t="s">
        <v>558</v>
      </c>
      <c r="E12" s="211" t="s">
        <v>559</v>
      </c>
    </row>
    <row r="13" spans="1:7" ht="15.75" x14ac:dyDescent="0.25">
      <c r="A13" s="208" t="s">
        <v>671</v>
      </c>
      <c r="B13" s="159"/>
      <c r="C13" s="128"/>
      <c r="D13" s="212" t="s">
        <v>560</v>
      </c>
      <c r="E13" s="213" t="s">
        <v>561</v>
      </c>
    </row>
    <row r="14" spans="1:7" ht="15.75" x14ac:dyDescent="0.25">
      <c r="A14" s="208"/>
      <c r="B14" s="131"/>
      <c r="C14" s="128"/>
      <c r="D14" s="210"/>
      <c r="E14" s="211"/>
    </row>
    <row r="15" spans="1:7" ht="15.75" x14ac:dyDescent="0.25">
      <c r="A15" s="205" t="s">
        <v>562</v>
      </c>
      <c r="B15" s="135"/>
      <c r="C15" s="206"/>
      <c r="D15" s="206"/>
      <c r="E15" s="207" t="s">
        <v>544</v>
      </c>
    </row>
    <row r="16" spans="1:7" ht="15.75" x14ac:dyDescent="0.25">
      <c r="A16" s="208" t="s">
        <v>655</v>
      </c>
      <c r="B16" s="159"/>
      <c r="C16" s="128" t="s">
        <v>563</v>
      </c>
      <c r="D16" s="210" t="s">
        <v>564</v>
      </c>
      <c r="E16" s="211" t="s">
        <v>565</v>
      </c>
    </row>
    <row r="17" spans="1:7" ht="15.75" x14ac:dyDescent="0.25">
      <c r="A17" s="208"/>
      <c r="B17" s="160"/>
      <c r="C17" s="128"/>
      <c r="D17" s="210"/>
      <c r="E17" s="211"/>
    </row>
    <row r="18" spans="1:7" ht="15.75" x14ac:dyDescent="0.25">
      <c r="A18" s="208"/>
      <c r="B18" s="160"/>
      <c r="C18" s="128"/>
      <c r="D18" s="210"/>
      <c r="E18" s="211"/>
    </row>
    <row r="19" spans="1:7" ht="15.75" x14ac:dyDescent="0.25">
      <c r="A19" s="205" t="s">
        <v>566</v>
      </c>
      <c r="B19" s="135"/>
      <c r="C19" s="206"/>
      <c r="D19" s="206"/>
      <c r="E19" s="207" t="s">
        <v>544</v>
      </c>
    </row>
    <row r="20" spans="1:7" ht="15.75" x14ac:dyDescent="0.25">
      <c r="A20" s="208" t="s">
        <v>661</v>
      </c>
      <c r="B20" s="159"/>
      <c r="C20" s="128" t="s">
        <v>567</v>
      </c>
      <c r="D20" s="214" t="s">
        <v>568</v>
      </c>
      <c r="E20" s="215" t="s">
        <v>569</v>
      </c>
    </row>
    <row r="21" spans="1:7" ht="15.75" x14ac:dyDescent="0.25">
      <c r="A21" s="208" t="s">
        <v>662</v>
      </c>
      <c r="B21" s="159"/>
      <c r="C21" s="128" t="s">
        <v>570</v>
      </c>
      <c r="D21" s="214" t="s">
        <v>571</v>
      </c>
      <c r="E21" s="216" t="s">
        <v>572</v>
      </c>
      <c r="G21" s="130"/>
    </row>
    <row r="22" spans="1:7" ht="15.75" x14ac:dyDescent="0.25">
      <c r="A22" s="208" t="s">
        <v>663</v>
      </c>
      <c r="B22" s="159"/>
      <c r="C22" s="128" t="s">
        <v>573</v>
      </c>
      <c r="D22" s="214" t="s">
        <v>574</v>
      </c>
      <c r="E22" s="216" t="s">
        <v>575</v>
      </c>
      <c r="G22" s="130"/>
    </row>
    <row r="23" spans="1:7" ht="15.75" x14ac:dyDescent="0.25">
      <c r="A23" s="208" t="s">
        <v>664</v>
      </c>
      <c r="B23" s="159"/>
      <c r="C23" s="128" t="s">
        <v>576</v>
      </c>
      <c r="D23" s="214" t="s">
        <v>577</v>
      </c>
      <c r="E23" s="216" t="s">
        <v>578</v>
      </c>
      <c r="G23" s="130"/>
    </row>
    <row r="24" spans="1:7" ht="15.75" x14ac:dyDescent="0.25">
      <c r="A24" s="208" t="s">
        <v>665</v>
      </c>
      <c r="B24" s="159"/>
      <c r="C24" s="217" t="s">
        <v>579</v>
      </c>
      <c r="D24" s="218" t="s">
        <v>580</v>
      </c>
      <c r="E24" s="216" t="s">
        <v>581</v>
      </c>
      <c r="G24" s="130"/>
    </row>
    <row r="25" spans="1:7" ht="15.75" x14ac:dyDescent="0.25">
      <c r="A25" s="208"/>
      <c r="B25" s="160"/>
      <c r="C25" s="128"/>
      <c r="D25" s="214"/>
      <c r="E25" s="209"/>
    </row>
    <row r="26" spans="1:7" ht="15.75" x14ac:dyDescent="0.25">
      <c r="A26" s="208"/>
      <c r="B26" s="160"/>
      <c r="C26" s="128"/>
      <c r="D26" s="214"/>
      <c r="E26" s="219"/>
    </row>
    <row r="27" spans="1:7" ht="15.75" x14ac:dyDescent="0.25">
      <c r="A27" s="205" t="s">
        <v>582</v>
      </c>
      <c r="B27" s="135"/>
      <c r="C27" s="206"/>
      <c r="D27" s="206"/>
      <c r="E27" s="207" t="s">
        <v>544</v>
      </c>
    </row>
    <row r="28" spans="1:7" ht="15.75" x14ac:dyDescent="0.25">
      <c r="A28" s="208" t="s">
        <v>656</v>
      </c>
      <c r="B28" s="159"/>
      <c r="C28" s="128" t="s">
        <v>583</v>
      </c>
      <c r="D28" s="128" t="s">
        <v>584</v>
      </c>
      <c r="E28" s="209" t="s">
        <v>585</v>
      </c>
    </row>
    <row r="29" spans="1:7" ht="15.75" x14ac:dyDescent="0.25">
      <c r="A29" s="208" t="s">
        <v>657</v>
      </c>
      <c r="B29" s="159"/>
      <c r="C29" s="128" t="s">
        <v>586</v>
      </c>
      <c r="D29" s="128" t="s">
        <v>587</v>
      </c>
      <c r="E29" s="209" t="s">
        <v>588</v>
      </c>
    </row>
    <row r="30" spans="1:7" ht="15.75" x14ac:dyDescent="0.25">
      <c r="A30" s="208" t="s">
        <v>658</v>
      </c>
      <c r="B30" s="159"/>
      <c r="C30" s="128" t="s">
        <v>589</v>
      </c>
      <c r="D30" s="210" t="s">
        <v>590</v>
      </c>
      <c r="E30" s="211" t="s">
        <v>591</v>
      </c>
    </row>
    <row r="31" spans="1:7" ht="15.75" x14ac:dyDescent="0.25">
      <c r="A31" s="208" t="s">
        <v>659</v>
      </c>
      <c r="B31" s="159"/>
      <c r="C31" s="128" t="s">
        <v>592</v>
      </c>
      <c r="D31" s="210" t="s">
        <v>593</v>
      </c>
      <c r="E31" s="211" t="s">
        <v>594</v>
      </c>
    </row>
    <row r="32" spans="1:7" ht="15.75" x14ac:dyDescent="0.25">
      <c r="A32" s="208" t="s">
        <v>660</v>
      </c>
      <c r="B32" s="159"/>
      <c r="C32" s="128" t="s">
        <v>595</v>
      </c>
      <c r="D32" s="210" t="s">
        <v>596</v>
      </c>
      <c r="E32" s="211" t="s">
        <v>597</v>
      </c>
    </row>
    <row r="33" spans="1:5" ht="15.75" x14ac:dyDescent="0.25">
      <c r="A33" s="208"/>
      <c r="B33" s="159"/>
      <c r="C33" s="128"/>
      <c r="D33" s="210"/>
      <c r="E33" s="211"/>
    </row>
    <row r="34" spans="1:5" ht="15.75" x14ac:dyDescent="0.25">
      <c r="A34" s="208"/>
      <c r="B34" s="160"/>
      <c r="C34" s="128"/>
      <c r="D34" s="210"/>
      <c r="E34" s="211"/>
    </row>
    <row r="35" spans="1:5" ht="15.75" x14ac:dyDescent="0.25">
      <c r="A35" s="205" t="s">
        <v>598</v>
      </c>
      <c r="B35" s="135"/>
      <c r="C35" s="206"/>
      <c r="D35" s="206"/>
      <c r="E35" s="207"/>
    </row>
    <row r="36" spans="1:5" ht="15.75" x14ac:dyDescent="0.25">
      <c r="A36" s="208"/>
      <c r="B36" s="159"/>
      <c r="C36" s="128" t="s">
        <v>599</v>
      </c>
      <c r="D36" s="214" t="s">
        <v>568</v>
      </c>
      <c r="E36" s="215" t="s">
        <v>569</v>
      </c>
    </row>
    <row r="37" spans="1:5" ht="15.75" x14ac:dyDescent="0.25">
      <c r="A37" s="220"/>
      <c r="B37" s="160"/>
      <c r="C37" s="221"/>
      <c r="D37" s="221"/>
      <c r="E37" s="222"/>
    </row>
    <row r="42" spans="1:5" ht="16.350000000000001" customHeight="1" x14ac:dyDescent="0.25"/>
    <row r="43" spans="1:5" ht="16.350000000000001" customHeight="1" x14ac:dyDescent="0.25"/>
    <row r="44" spans="1:5" ht="16.350000000000001" customHeight="1" x14ac:dyDescent="0.25"/>
  </sheetData>
  <phoneticPr fontId="76" type="noConversion"/>
  <pageMargins left="0.7" right="0.7" top="0.65441176470588203" bottom="0.66352941176470592" header="0.3" footer="0.3"/>
  <pageSetup paperSize="9" scale="72" orientation="portrait" r:id="rId1"/>
  <headerFooter>
    <oddHeader>&amp;L&amp;"FreesiaUPC,Regular"&amp;14TP-PM-DSN-006
7-MAY-2026&amp;C&amp;"FreesiaUPC,Regular"&amp;14Drawing List&amp;R&amp;"FreesiaUPC,Regular"&amp;14R01
&amp;P of &amp;N</oddHeader>
    <oddFooter>&amp;C&amp;"FreesiaUPC,Regular"&amp;14&amp;K01+005Hard copies of this document are for REFERENCE ONLY and should not be considered the latest revision beyond the date of printing.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2F2329-4B6C-49C3-BB25-B218A92C8670}">
  <dimension ref="A1:Y50"/>
  <sheetViews>
    <sheetView zoomScale="115" zoomScaleNormal="115" workbookViewId="0">
      <selection activeCell="U16" sqref="U16"/>
    </sheetView>
  </sheetViews>
  <sheetFormatPr defaultColWidth="8.85546875" defaultRowHeight="12" x14ac:dyDescent="0.2"/>
  <cols>
    <col min="1" max="1" width="5" style="75" customWidth="1"/>
    <col min="2" max="2" width="11.5703125" style="75" customWidth="1"/>
    <col min="3" max="3" width="2.5703125" style="75" customWidth="1"/>
    <col min="4" max="4" width="13.85546875" style="75" customWidth="1"/>
    <col min="5" max="5" width="2.5703125" style="75" customWidth="1"/>
    <col min="6" max="6" width="11.5703125" style="75" customWidth="1"/>
    <col min="7" max="7" width="2.5703125" style="77" customWidth="1"/>
    <col min="8" max="8" width="10.42578125" style="75" customWidth="1"/>
    <col min="9" max="9" width="2.5703125" style="77" customWidth="1"/>
    <col min="10" max="10" width="11.5703125" style="75" customWidth="1"/>
    <col min="11" max="11" width="2.5703125" style="75" customWidth="1"/>
    <col min="12" max="12" width="5" style="75" customWidth="1"/>
    <col min="13" max="13" width="7.5703125" style="78" bestFit="1" customWidth="1"/>
    <col min="14" max="14" width="2.5703125" style="75" customWidth="1"/>
    <col min="15" max="15" width="14.42578125" style="75" customWidth="1"/>
    <col min="16" max="16" width="8.85546875" style="77"/>
    <col min="17" max="16384" width="8.85546875" style="75"/>
  </cols>
  <sheetData>
    <row r="1" spans="1:25" s="70" customFormat="1" ht="21.6" customHeight="1" x14ac:dyDescent="0.25">
      <c r="A1" s="66"/>
      <c r="B1" s="384" t="s">
        <v>600</v>
      </c>
      <c r="C1" s="384"/>
      <c r="D1" s="384"/>
      <c r="E1" s="384"/>
      <c r="F1" s="384"/>
      <c r="G1" s="384"/>
      <c r="H1" s="384"/>
      <c r="I1" s="384"/>
      <c r="J1" s="67"/>
      <c r="K1" s="67"/>
      <c r="L1" s="68"/>
      <c r="M1" s="67"/>
      <c r="N1" s="67"/>
      <c r="O1" s="67"/>
      <c r="P1" s="69"/>
    </row>
    <row r="2" spans="1:25" s="70" customFormat="1" ht="21.6" customHeight="1" x14ac:dyDescent="0.25">
      <c r="A2" s="71"/>
      <c r="B2" s="385" t="s">
        <v>601</v>
      </c>
      <c r="C2" s="385"/>
      <c r="D2" s="385"/>
      <c r="E2" s="385"/>
      <c r="F2" s="385"/>
      <c r="G2" s="385"/>
      <c r="H2" s="385"/>
      <c r="I2" s="385"/>
      <c r="L2" s="72"/>
      <c r="P2" s="73"/>
    </row>
    <row r="3" spans="1:25" ht="26.85" customHeight="1" x14ac:dyDescent="0.2">
      <c r="A3" s="74"/>
      <c r="B3" s="390" t="s">
        <v>602</v>
      </c>
      <c r="C3" s="390"/>
      <c r="D3" s="390"/>
      <c r="E3" s="390"/>
      <c r="F3" s="390"/>
      <c r="G3" s="390"/>
      <c r="H3" s="390"/>
      <c r="I3" s="390"/>
      <c r="J3" s="390"/>
      <c r="K3" s="183"/>
      <c r="L3" s="183"/>
      <c r="M3" s="183"/>
      <c r="P3" s="76"/>
      <c r="R3" s="70"/>
      <c r="S3" s="70"/>
      <c r="T3" s="70"/>
      <c r="U3" s="70"/>
      <c r="V3" s="70"/>
      <c r="W3" s="70"/>
      <c r="X3" s="70"/>
      <c r="Y3" s="70"/>
    </row>
    <row r="4" spans="1:25" ht="22.5" customHeight="1" x14ac:dyDescent="0.2">
      <c r="A4" s="74"/>
      <c r="B4" s="154" t="s">
        <v>8</v>
      </c>
      <c r="C4" s="154"/>
      <c r="D4" s="154" t="s">
        <v>603</v>
      </c>
      <c r="E4" s="154"/>
      <c r="F4" s="154" t="s">
        <v>604</v>
      </c>
      <c r="G4" s="169"/>
      <c r="H4" s="170" t="s">
        <v>605</v>
      </c>
      <c r="I4" s="169"/>
      <c r="J4" s="154" t="s">
        <v>606</v>
      </c>
      <c r="K4" s="184"/>
      <c r="L4" s="388"/>
      <c r="M4" s="388"/>
      <c r="P4" s="76"/>
      <c r="R4" s="70"/>
      <c r="S4" s="70"/>
      <c r="T4" s="70"/>
      <c r="U4" s="70"/>
      <c r="V4" s="70"/>
      <c r="W4" s="70"/>
      <c r="X4" s="70"/>
      <c r="Y4" s="70"/>
    </row>
    <row r="5" spans="1:25" x14ac:dyDescent="0.2">
      <c r="A5" s="74"/>
      <c r="B5" s="155">
        <v>18043</v>
      </c>
      <c r="C5" s="155" t="s">
        <v>66</v>
      </c>
      <c r="D5" s="156" t="s">
        <v>607</v>
      </c>
      <c r="E5" s="155"/>
      <c r="F5" s="155" t="s">
        <v>608</v>
      </c>
      <c r="G5" s="155"/>
      <c r="H5" s="157" t="s">
        <v>609</v>
      </c>
      <c r="I5" s="155" t="s">
        <v>66</v>
      </c>
      <c r="J5" s="155" t="s">
        <v>608</v>
      </c>
      <c r="K5" s="72"/>
      <c r="L5" s="389"/>
      <c r="M5" s="389"/>
      <c r="P5" s="76"/>
      <c r="R5" s="70"/>
      <c r="S5" s="70"/>
      <c r="T5" s="70"/>
      <c r="U5" s="70"/>
      <c r="V5" s="70"/>
      <c r="W5" s="70"/>
      <c r="X5" s="70"/>
      <c r="Y5" s="70"/>
    </row>
    <row r="6" spans="1:25" x14ac:dyDescent="0.2">
      <c r="A6" s="74"/>
      <c r="C6" s="77"/>
      <c r="P6" s="79"/>
      <c r="R6" s="70"/>
      <c r="S6" s="70"/>
      <c r="T6" s="70"/>
      <c r="U6" s="70"/>
      <c r="V6" s="70"/>
      <c r="W6" s="70"/>
      <c r="X6" s="70"/>
      <c r="Y6" s="70"/>
    </row>
    <row r="7" spans="1:25" ht="26.85" customHeight="1" x14ac:dyDescent="0.2">
      <c r="A7" s="74"/>
      <c r="B7" s="390" t="s">
        <v>610</v>
      </c>
      <c r="C7" s="390"/>
      <c r="D7" s="390"/>
      <c r="E7" s="390"/>
      <c r="F7" s="390"/>
      <c r="G7" s="390"/>
      <c r="H7" s="390"/>
      <c r="I7" s="390"/>
      <c r="J7" s="390"/>
      <c r="K7" s="390"/>
      <c r="L7" s="390"/>
      <c r="M7" s="390"/>
      <c r="N7" s="390"/>
      <c r="O7" s="390"/>
      <c r="P7" s="76"/>
      <c r="R7" s="70"/>
      <c r="S7" s="70"/>
      <c r="T7" s="70"/>
      <c r="U7" s="70"/>
      <c r="V7" s="70"/>
      <c r="W7" s="70"/>
      <c r="X7" s="70"/>
      <c r="Y7" s="70"/>
    </row>
    <row r="8" spans="1:25" ht="22.5" customHeight="1" x14ac:dyDescent="0.2">
      <c r="A8" s="74"/>
      <c r="B8" s="154" t="s">
        <v>611</v>
      </c>
      <c r="C8" s="154"/>
      <c r="D8" s="154" t="s">
        <v>603</v>
      </c>
      <c r="E8" s="154"/>
      <c r="F8" s="154" t="s">
        <v>604</v>
      </c>
      <c r="G8" s="169"/>
      <c r="H8" s="170" t="s">
        <v>605</v>
      </c>
      <c r="I8" s="169"/>
      <c r="J8" s="154" t="s">
        <v>606</v>
      </c>
      <c r="K8" s="154"/>
      <c r="L8" s="386" t="s">
        <v>612</v>
      </c>
      <c r="M8" s="386"/>
      <c r="N8" s="171"/>
      <c r="O8" s="164" t="s">
        <v>613</v>
      </c>
      <c r="P8" s="76"/>
      <c r="R8" s="70"/>
      <c r="S8" s="70"/>
      <c r="T8" s="70"/>
      <c r="U8" s="70"/>
      <c r="V8" s="70"/>
      <c r="W8" s="70"/>
      <c r="X8" s="70"/>
      <c r="Y8" s="70"/>
    </row>
    <row r="9" spans="1:25" x14ac:dyDescent="0.2">
      <c r="A9" s="74"/>
      <c r="B9" s="155">
        <v>18043</v>
      </c>
      <c r="C9" s="155" t="s">
        <v>66</v>
      </c>
      <c r="D9" s="156" t="s">
        <v>607</v>
      </c>
      <c r="E9" s="155"/>
      <c r="F9" s="155" t="s">
        <v>608</v>
      </c>
      <c r="G9" s="155"/>
      <c r="H9" s="157" t="s">
        <v>609</v>
      </c>
      <c r="I9" s="155" t="s">
        <v>66</v>
      </c>
      <c r="J9" s="155" t="s">
        <v>608</v>
      </c>
      <c r="K9" s="167" t="s">
        <v>66</v>
      </c>
      <c r="L9" s="387" t="s">
        <v>69</v>
      </c>
      <c r="M9" s="387"/>
      <c r="N9" s="166"/>
      <c r="O9" s="155" t="s">
        <v>608</v>
      </c>
      <c r="P9" s="76"/>
      <c r="R9" s="70"/>
      <c r="S9" s="70"/>
      <c r="T9" s="70"/>
      <c r="U9" s="70"/>
      <c r="V9" s="70"/>
      <c r="W9" s="70"/>
      <c r="X9" s="70"/>
      <c r="Y9" s="70"/>
    </row>
    <row r="10" spans="1:25" x14ac:dyDescent="0.2">
      <c r="A10" s="74"/>
      <c r="B10" s="77"/>
      <c r="C10" s="77"/>
      <c r="D10" s="163"/>
      <c r="E10" s="77"/>
      <c r="F10" s="77"/>
      <c r="H10" s="97"/>
      <c r="J10" s="77"/>
      <c r="M10" s="75"/>
      <c r="P10" s="76"/>
      <c r="R10" s="70"/>
      <c r="S10" s="70"/>
      <c r="T10" s="70"/>
      <c r="U10" s="70"/>
      <c r="V10" s="70"/>
      <c r="W10" s="70"/>
      <c r="X10" s="70"/>
      <c r="Y10" s="70"/>
    </row>
    <row r="11" spans="1:25" x14ac:dyDescent="0.2">
      <c r="A11" s="74"/>
      <c r="B11" s="80"/>
      <c r="C11" s="81"/>
      <c r="D11" s="82"/>
      <c r="E11" s="82"/>
      <c r="F11" s="82"/>
      <c r="G11" s="81"/>
      <c r="H11" s="83"/>
      <c r="P11" s="79"/>
      <c r="R11" s="70"/>
      <c r="S11" s="70"/>
      <c r="T11" s="70"/>
      <c r="U11" s="70"/>
      <c r="V11" s="70"/>
      <c r="W11" s="70"/>
      <c r="X11" s="70"/>
      <c r="Y11" s="70"/>
    </row>
    <row r="12" spans="1:25" x14ac:dyDescent="0.2">
      <c r="A12" s="74"/>
      <c r="B12" s="84" t="s">
        <v>614</v>
      </c>
      <c r="C12" s="85"/>
      <c r="D12" s="86" t="s">
        <v>615</v>
      </c>
      <c r="E12" s="86"/>
      <c r="F12" s="86"/>
      <c r="G12" s="85"/>
      <c r="H12" s="87"/>
      <c r="P12" s="79"/>
      <c r="R12" s="70"/>
      <c r="S12" s="70"/>
      <c r="T12" s="70"/>
      <c r="U12" s="70"/>
      <c r="V12" s="70"/>
      <c r="W12" s="70"/>
      <c r="X12" s="70"/>
      <c r="Y12" s="70"/>
    </row>
    <row r="13" spans="1:25" x14ac:dyDescent="0.2">
      <c r="A13" s="74"/>
      <c r="B13" s="88"/>
      <c r="C13" s="85"/>
      <c r="D13" s="86"/>
      <c r="E13" s="86"/>
      <c r="F13" s="86"/>
      <c r="G13" s="85"/>
      <c r="H13" s="87"/>
      <c r="P13" s="79"/>
      <c r="R13" s="70"/>
      <c r="S13" s="70"/>
      <c r="T13" s="70"/>
      <c r="U13" s="70"/>
      <c r="V13" s="70"/>
      <c r="W13" s="70"/>
      <c r="X13" s="70"/>
      <c r="Y13" s="70"/>
    </row>
    <row r="14" spans="1:25" x14ac:dyDescent="0.2">
      <c r="A14" s="74"/>
      <c r="B14" s="84" t="s">
        <v>616</v>
      </c>
      <c r="C14" s="85"/>
      <c r="D14" s="86" t="s">
        <v>617</v>
      </c>
      <c r="E14" s="86"/>
      <c r="F14" s="86"/>
      <c r="G14" s="85"/>
      <c r="H14" s="87"/>
      <c r="P14" s="79"/>
    </row>
    <row r="15" spans="1:25" x14ac:dyDescent="0.2">
      <c r="A15" s="74"/>
      <c r="B15" s="88"/>
      <c r="C15" s="85"/>
      <c r="D15" s="86"/>
      <c r="E15" s="86"/>
      <c r="F15" s="86"/>
      <c r="G15" s="85"/>
      <c r="H15" s="87"/>
      <c r="P15" s="79"/>
    </row>
    <row r="16" spans="1:25" x14ac:dyDescent="0.2">
      <c r="A16" s="74"/>
      <c r="B16" s="89"/>
      <c r="C16" s="90"/>
      <c r="D16" s="91"/>
      <c r="E16" s="91"/>
      <c r="F16" s="91"/>
      <c r="G16" s="90"/>
      <c r="H16" s="92"/>
      <c r="P16" s="79"/>
    </row>
    <row r="17" spans="1:19" x14ac:dyDescent="0.2">
      <c r="A17" s="74"/>
      <c r="C17" s="77"/>
      <c r="P17" s="79"/>
    </row>
    <row r="18" spans="1:19" ht="12.75" thickBot="1" x14ac:dyDescent="0.25">
      <c r="A18" s="74"/>
      <c r="B18" s="93" t="s">
        <v>618</v>
      </c>
      <c r="C18" s="77"/>
      <c r="D18" s="96">
        <v>18043</v>
      </c>
      <c r="P18" s="79"/>
    </row>
    <row r="19" spans="1:19" ht="15" customHeight="1" x14ac:dyDescent="0.2">
      <c r="A19" s="74"/>
      <c r="C19" s="77"/>
      <c r="J19" s="173" t="s">
        <v>619</v>
      </c>
      <c r="K19" s="174"/>
      <c r="L19" s="174"/>
      <c r="M19" s="175"/>
      <c r="N19" s="174"/>
      <c r="O19" s="176"/>
      <c r="P19" s="79"/>
      <c r="S19" s="94"/>
    </row>
    <row r="20" spans="1:19" ht="15" customHeight="1" x14ac:dyDescent="0.2">
      <c r="A20" s="74"/>
      <c r="B20" s="93" t="s">
        <v>603</v>
      </c>
      <c r="C20" s="77"/>
      <c r="D20" s="94" t="s">
        <v>607</v>
      </c>
      <c r="J20" s="177" t="s">
        <v>620</v>
      </c>
      <c r="K20" s="168"/>
      <c r="L20" s="168"/>
      <c r="M20" s="172"/>
      <c r="N20" s="168"/>
      <c r="O20" s="178"/>
      <c r="P20" s="79"/>
    </row>
    <row r="21" spans="1:19" ht="15" customHeight="1" x14ac:dyDescent="0.2">
      <c r="A21" s="74"/>
      <c r="C21" s="77"/>
      <c r="J21" s="177" t="s">
        <v>621</v>
      </c>
      <c r="K21" s="168"/>
      <c r="L21" s="168"/>
      <c r="M21" s="172"/>
      <c r="N21" s="168"/>
      <c r="O21" s="178"/>
      <c r="P21" s="79"/>
      <c r="S21" s="94"/>
    </row>
    <row r="22" spans="1:19" ht="15" customHeight="1" thickBot="1" x14ac:dyDescent="0.25">
      <c r="A22" s="74"/>
      <c r="C22" s="77"/>
      <c r="J22" s="179" t="s">
        <v>622</v>
      </c>
      <c r="K22" s="180"/>
      <c r="L22" s="180"/>
      <c r="M22" s="181"/>
      <c r="N22" s="180"/>
      <c r="O22" s="182"/>
      <c r="P22" s="79"/>
    </row>
    <row r="23" spans="1:19" x14ac:dyDescent="0.2">
      <c r="A23" s="74"/>
      <c r="B23" s="93" t="s">
        <v>623</v>
      </c>
      <c r="D23" s="95">
        <v>646</v>
      </c>
      <c r="F23" s="75" t="s">
        <v>624</v>
      </c>
      <c r="P23" s="79"/>
    </row>
    <row r="24" spans="1:19" x14ac:dyDescent="0.2">
      <c r="A24" s="74"/>
      <c r="D24" s="165" t="s">
        <v>625</v>
      </c>
      <c r="F24" s="75" t="s">
        <v>626</v>
      </c>
      <c r="I24" s="75"/>
      <c r="M24" s="75"/>
      <c r="P24" s="79"/>
    </row>
    <row r="25" spans="1:19" x14ac:dyDescent="0.2">
      <c r="A25" s="74"/>
      <c r="D25" s="95">
        <v>520</v>
      </c>
      <c r="F25" s="75" t="s">
        <v>627</v>
      </c>
      <c r="I25" s="75"/>
      <c r="M25" s="75"/>
      <c r="P25" s="79"/>
    </row>
    <row r="26" spans="1:19" x14ac:dyDescent="0.2">
      <c r="A26" s="74"/>
      <c r="D26" s="95">
        <v>561</v>
      </c>
      <c r="F26" s="75" t="s">
        <v>628</v>
      </c>
      <c r="I26" s="75"/>
      <c r="M26" s="75"/>
      <c r="P26" s="79"/>
    </row>
    <row r="27" spans="1:19" x14ac:dyDescent="0.2">
      <c r="A27" s="74"/>
      <c r="D27" s="95">
        <v>191</v>
      </c>
      <c r="F27" s="75" t="s">
        <v>629</v>
      </c>
      <c r="I27" s="75"/>
      <c r="M27" s="75"/>
      <c r="P27" s="79"/>
    </row>
    <row r="28" spans="1:19" x14ac:dyDescent="0.2">
      <c r="A28" s="74"/>
      <c r="D28" s="95">
        <v>642</v>
      </c>
      <c r="F28" s="75" t="s">
        <v>630</v>
      </c>
      <c r="I28" s="75"/>
      <c r="M28" s="75"/>
      <c r="P28" s="79"/>
    </row>
    <row r="29" spans="1:19" x14ac:dyDescent="0.2">
      <c r="A29" s="74"/>
      <c r="D29" s="95"/>
      <c r="I29" s="75"/>
      <c r="M29" s="75"/>
      <c r="P29" s="79"/>
    </row>
    <row r="30" spans="1:19" x14ac:dyDescent="0.2">
      <c r="A30" s="74"/>
      <c r="D30" s="95" t="s">
        <v>631</v>
      </c>
      <c r="F30" s="75" t="s">
        <v>632</v>
      </c>
      <c r="I30" s="75"/>
      <c r="M30" s="75"/>
      <c r="P30" s="79"/>
    </row>
    <row r="31" spans="1:19" x14ac:dyDescent="0.2">
      <c r="A31" s="74"/>
      <c r="D31" s="95" t="s">
        <v>633</v>
      </c>
      <c r="F31" s="75" t="s">
        <v>634</v>
      </c>
      <c r="I31" s="75"/>
      <c r="M31" s="75"/>
      <c r="P31" s="79"/>
    </row>
    <row r="32" spans="1:19" x14ac:dyDescent="0.2">
      <c r="A32" s="74"/>
      <c r="B32" s="93" t="s">
        <v>635</v>
      </c>
      <c r="C32" s="77"/>
      <c r="D32" s="96" t="s">
        <v>636</v>
      </c>
      <c r="G32" s="96"/>
      <c r="I32" s="96"/>
      <c r="P32" s="79"/>
    </row>
    <row r="33" spans="1:16" x14ac:dyDescent="0.2">
      <c r="A33" s="74"/>
      <c r="B33" s="93"/>
      <c r="C33" s="77"/>
      <c r="D33" s="77"/>
      <c r="P33" s="79"/>
    </row>
    <row r="34" spans="1:16" x14ac:dyDescent="0.2">
      <c r="A34" s="74"/>
      <c r="C34" s="77"/>
      <c r="D34" s="162"/>
      <c r="P34" s="79"/>
    </row>
    <row r="35" spans="1:16" x14ac:dyDescent="0.2">
      <c r="A35" s="74"/>
      <c r="C35" s="77"/>
      <c r="D35" s="77"/>
      <c r="P35" s="79"/>
    </row>
    <row r="36" spans="1:16" x14ac:dyDescent="0.2">
      <c r="A36" s="74"/>
      <c r="C36" s="77"/>
      <c r="P36" s="79"/>
    </row>
    <row r="37" spans="1:16" x14ac:dyDescent="0.2">
      <c r="A37" s="74"/>
      <c r="B37" s="93" t="s">
        <v>606</v>
      </c>
      <c r="C37" s="77"/>
      <c r="D37" s="99" t="s">
        <v>637</v>
      </c>
      <c r="E37" s="190" t="s">
        <v>66</v>
      </c>
      <c r="F37" s="99" t="s">
        <v>67</v>
      </c>
      <c r="P37" s="79"/>
    </row>
    <row r="38" spans="1:16" x14ac:dyDescent="0.2">
      <c r="A38" s="74"/>
      <c r="C38" s="77"/>
      <c r="D38" s="99" t="s">
        <v>638</v>
      </c>
      <c r="E38" s="190" t="s">
        <v>66</v>
      </c>
      <c r="F38" s="99" t="s">
        <v>639</v>
      </c>
      <c r="P38" s="79"/>
    </row>
    <row r="39" spans="1:16" x14ac:dyDescent="0.2">
      <c r="A39" s="74"/>
      <c r="C39" s="77"/>
      <c r="D39" s="99" t="s">
        <v>640</v>
      </c>
      <c r="E39" s="190" t="s">
        <v>66</v>
      </c>
      <c r="F39" s="99" t="s">
        <v>641</v>
      </c>
      <c r="P39" s="79"/>
    </row>
    <row r="40" spans="1:16" x14ac:dyDescent="0.2">
      <c r="A40" s="74"/>
      <c r="C40" s="77"/>
      <c r="G40" s="75"/>
      <c r="I40" s="75"/>
      <c r="P40" s="79"/>
    </row>
    <row r="41" spans="1:16" x14ac:dyDescent="0.2">
      <c r="A41" s="74"/>
      <c r="C41" s="77"/>
      <c r="G41" s="75"/>
      <c r="I41" s="75"/>
      <c r="P41" s="79"/>
    </row>
    <row r="42" spans="1:16" x14ac:dyDescent="0.2">
      <c r="A42" s="74"/>
      <c r="B42" s="93" t="s">
        <v>612</v>
      </c>
      <c r="C42" s="97"/>
      <c r="D42" s="98" t="s">
        <v>642</v>
      </c>
      <c r="E42" s="77"/>
      <c r="F42" s="97"/>
      <c r="G42" s="75"/>
      <c r="I42" s="99"/>
      <c r="P42" s="79"/>
    </row>
    <row r="43" spans="1:16" x14ac:dyDescent="0.2">
      <c r="A43" s="74"/>
      <c r="C43" s="77"/>
      <c r="D43" s="100" t="s">
        <v>643</v>
      </c>
      <c r="G43" s="75"/>
      <c r="H43" s="116"/>
      <c r="I43" s="75"/>
      <c r="P43" s="79"/>
    </row>
    <row r="44" spans="1:16" x14ac:dyDescent="0.2">
      <c r="A44" s="74"/>
      <c r="P44" s="79"/>
    </row>
    <row r="45" spans="1:16" x14ac:dyDescent="0.2">
      <c r="A45" s="74"/>
      <c r="B45" s="93" t="s">
        <v>644</v>
      </c>
      <c r="D45" s="75" t="s">
        <v>645</v>
      </c>
      <c r="P45" s="79"/>
    </row>
    <row r="46" spans="1:16" x14ac:dyDescent="0.2">
      <c r="A46" s="74"/>
      <c r="P46" s="79"/>
    </row>
    <row r="47" spans="1:16" x14ac:dyDescent="0.2">
      <c r="A47" s="74"/>
      <c r="P47" s="79"/>
    </row>
    <row r="48" spans="1:16" x14ac:dyDescent="0.2">
      <c r="A48" s="74"/>
      <c r="P48" s="79"/>
    </row>
    <row r="49" spans="1:16" x14ac:dyDescent="0.2">
      <c r="A49" s="74"/>
      <c r="P49" s="79"/>
    </row>
    <row r="50" spans="1:16" x14ac:dyDescent="0.2">
      <c r="A50" s="101"/>
      <c r="B50" s="102"/>
      <c r="C50" s="102"/>
      <c r="D50" s="102"/>
      <c r="E50" s="102"/>
      <c r="F50" s="102"/>
      <c r="G50" s="103"/>
      <c r="H50" s="102"/>
      <c r="I50" s="103"/>
      <c r="J50" s="102"/>
      <c r="K50" s="102"/>
      <c r="L50" s="102"/>
      <c r="M50" s="104"/>
      <c r="N50" s="102"/>
      <c r="O50" s="102"/>
      <c r="P50" s="105"/>
    </row>
  </sheetData>
  <mergeCells count="8">
    <mergeCell ref="B1:I1"/>
    <mergeCell ref="B2:I2"/>
    <mergeCell ref="L8:M8"/>
    <mergeCell ref="L9:M9"/>
    <mergeCell ref="L4:M4"/>
    <mergeCell ref="L5:M5"/>
    <mergeCell ref="B7:O7"/>
    <mergeCell ref="B3:J3"/>
  </mergeCells>
  <pageMargins left="0.7" right="0.7" top="0.65441176470588203" bottom="0.66352941176470592" header="0.3" footer="0.3"/>
  <pageSetup paperSize="9" scale="72" fitToHeight="0" orientation="landscape" r:id="rId1"/>
  <headerFooter>
    <oddHeader>&amp;L&amp;"FreesiaUPC,Regular"&amp;14TP-PM-DSN-006
7-MAY-2026&amp;C&amp;"FreesiaUPC,Regular"&amp;14Drawing List&amp;R&amp;"FreesiaUPC,Regular"&amp;14R01
&amp;P of &amp;N</oddHeader>
    <oddFooter>&amp;C&amp;"FreesiaUPC,Regular"&amp;14&amp;K01+005Hard copies of this document are for REFERENCE ONLY and should not be considered the latest revision beyond the date of printing.</oddFooter>
  </headerFooter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28EB93-6FF3-476A-8C00-E26993AA170C}">
  <sheetPr>
    <tabColor rgb="FFFFFF00"/>
  </sheetPr>
  <dimension ref="A1:Z225"/>
  <sheetViews>
    <sheetView zoomScaleNormal="100" workbookViewId="0">
      <selection activeCell="M15" sqref="M15"/>
    </sheetView>
  </sheetViews>
  <sheetFormatPr defaultRowHeight="15" x14ac:dyDescent="0.25"/>
  <cols>
    <col min="1" max="1" width="3.42578125" style="8" customWidth="1"/>
    <col min="2" max="2" width="4.42578125" style="7" customWidth="1"/>
    <col min="3" max="3" width="25" style="8" customWidth="1"/>
    <col min="4" max="4" width="4.42578125" style="8" customWidth="1"/>
    <col min="5" max="5" width="24.42578125" style="8" customWidth="1"/>
    <col min="6" max="6" width="4.42578125" style="9" customWidth="1"/>
    <col min="7" max="7" width="7.5703125" style="9" customWidth="1"/>
    <col min="8" max="9" width="10" style="9" customWidth="1"/>
    <col min="10" max="10" width="3.42578125" style="10" customWidth="1"/>
    <col min="11" max="260" width="9.140625" style="8"/>
    <col min="261" max="261" width="3.42578125" style="8" customWidth="1"/>
    <col min="262" max="262" width="6.5703125" style="8" customWidth="1"/>
    <col min="263" max="263" width="55.5703125" style="8" customWidth="1"/>
    <col min="264" max="265" width="12.42578125" style="8" customWidth="1"/>
    <col min="266" max="266" width="9.140625" style="8"/>
    <col min="267" max="267" width="3.42578125" style="8" customWidth="1"/>
    <col min="268" max="516" width="9.140625" style="8"/>
    <col min="517" max="517" width="3.42578125" style="8" customWidth="1"/>
    <col min="518" max="518" width="6.5703125" style="8" customWidth="1"/>
    <col min="519" max="519" width="55.5703125" style="8" customWidth="1"/>
    <col min="520" max="521" width="12.42578125" style="8" customWidth="1"/>
    <col min="522" max="522" width="9.140625" style="8"/>
    <col min="523" max="523" width="3.42578125" style="8" customWidth="1"/>
    <col min="524" max="772" width="9.140625" style="8"/>
    <col min="773" max="773" width="3.42578125" style="8" customWidth="1"/>
    <col min="774" max="774" width="6.5703125" style="8" customWidth="1"/>
    <col min="775" max="775" width="55.5703125" style="8" customWidth="1"/>
    <col min="776" max="777" width="12.42578125" style="8" customWidth="1"/>
    <col min="778" max="778" width="9.140625" style="8"/>
    <col min="779" max="779" width="3.42578125" style="8" customWidth="1"/>
    <col min="780" max="1028" width="9.140625" style="8"/>
    <col min="1029" max="1029" width="3.42578125" style="8" customWidth="1"/>
    <col min="1030" max="1030" width="6.5703125" style="8" customWidth="1"/>
    <col min="1031" max="1031" width="55.5703125" style="8" customWidth="1"/>
    <col min="1032" max="1033" width="12.42578125" style="8" customWidth="1"/>
    <col min="1034" max="1034" width="9.140625" style="8"/>
    <col min="1035" max="1035" width="3.42578125" style="8" customWidth="1"/>
    <col min="1036" max="1284" width="9.140625" style="8"/>
    <col min="1285" max="1285" width="3.42578125" style="8" customWidth="1"/>
    <col min="1286" max="1286" width="6.5703125" style="8" customWidth="1"/>
    <col min="1287" max="1287" width="55.5703125" style="8" customWidth="1"/>
    <col min="1288" max="1289" width="12.42578125" style="8" customWidth="1"/>
    <col min="1290" max="1290" width="9.140625" style="8"/>
    <col min="1291" max="1291" width="3.42578125" style="8" customWidth="1"/>
    <col min="1292" max="1540" width="9.140625" style="8"/>
    <col min="1541" max="1541" width="3.42578125" style="8" customWidth="1"/>
    <col min="1542" max="1542" width="6.5703125" style="8" customWidth="1"/>
    <col min="1543" max="1543" width="55.5703125" style="8" customWidth="1"/>
    <col min="1544" max="1545" width="12.42578125" style="8" customWidth="1"/>
    <col min="1546" max="1546" width="9.140625" style="8"/>
    <col min="1547" max="1547" width="3.42578125" style="8" customWidth="1"/>
    <col min="1548" max="1796" width="9.140625" style="8"/>
    <col min="1797" max="1797" width="3.42578125" style="8" customWidth="1"/>
    <col min="1798" max="1798" width="6.5703125" style="8" customWidth="1"/>
    <col min="1799" max="1799" width="55.5703125" style="8" customWidth="1"/>
    <col min="1800" max="1801" width="12.42578125" style="8" customWidth="1"/>
    <col min="1802" max="1802" width="9.140625" style="8"/>
    <col min="1803" max="1803" width="3.42578125" style="8" customWidth="1"/>
    <col min="1804" max="2052" width="9.140625" style="8"/>
    <col min="2053" max="2053" width="3.42578125" style="8" customWidth="1"/>
    <col min="2054" max="2054" width="6.5703125" style="8" customWidth="1"/>
    <col min="2055" max="2055" width="55.5703125" style="8" customWidth="1"/>
    <col min="2056" max="2057" width="12.42578125" style="8" customWidth="1"/>
    <col min="2058" max="2058" width="9.140625" style="8"/>
    <col min="2059" max="2059" width="3.42578125" style="8" customWidth="1"/>
    <col min="2060" max="2308" width="9.140625" style="8"/>
    <col min="2309" max="2309" width="3.42578125" style="8" customWidth="1"/>
    <col min="2310" max="2310" width="6.5703125" style="8" customWidth="1"/>
    <col min="2311" max="2311" width="55.5703125" style="8" customWidth="1"/>
    <col min="2312" max="2313" width="12.42578125" style="8" customWidth="1"/>
    <col min="2314" max="2314" width="9.140625" style="8"/>
    <col min="2315" max="2315" width="3.42578125" style="8" customWidth="1"/>
    <col min="2316" max="2564" width="9.140625" style="8"/>
    <col min="2565" max="2565" width="3.42578125" style="8" customWidth="1"/>
    <col min="2566" max="2566" width="6.5703125" style="8" customWidth="1"/>
    <col min="2567" max="2567" width="55.5703125" style="8" customWidth="1"/>
    <col min="2568" max="2569" width="12.42578125" style="8" customWidth="1"/>
    <col min="2570" max="2570" width="9.140625" style="8"/>
    <col min="2571" max="2571" width="3.42578125" style="8" customWidth="1"/>
    <col min="2572" max="2820" width="9.140625" style="8"/>
    <col min="2821" max="2821" width="3.42578125" style="8" customWidth="1"/>
    <col min="2822" max="2822" width="6.5703125" style="8" customWidth="1"/>
    <col min="2823" max="2823" width="55.5703125" style="8" customWidth="1"/>
    <col min="2824" max="2825" width="12.42578125" style="8" customWidth="1"/>
    <col min="2826" max="2826" width="9.140625" style="8"/>
    <col min="2827" max="2827" width="3.42578125" style="8" customWidth="1"/>
    <col min="2828" max="3076" width="9.140625" style="8"/>
    <col min="3077" max="3077" width="3.42578125" style="8" customWidth="1"/>
    <col min="3078" max="3078" width="6.5703125" style="8" customWidth="1"/>
    <col min="3079" max="3079" width="55.5703125" style="8" customWidth="1"/>
    <col min="3080" max="3081" width="12.42578125" style="8" customWidth="1"/>
    <col min="3082" max="3082" width="9.140625" style="8"/>
    <col min="3083" max="3083" width="3.42578125" style="8" customWidth="1"/>
    <col min="3084" max="3332" width="9.140625" style="8"/>
    <col min="3333" max="3333" width="3.42578125" style="8" customWidth="1"/>
    <col min="3334" max="3334" width="6.5703125" style="8" customWidth="1"/>
    <col min="3335" max="3335" width="55.5703125" style="8" customWidth="1"/>
    <col min="3336" max="3337" width="12.42578125" style="8" customWidth="1"/>
    <col min="3338" max="3338" width="9.140625" style="8"/>
    <col min="3339" max="3339" width="3.42578125" style="8" customWidth="1"/>
    <col min="3340" max="3588" width="9.140625" style="8"/>
    <col min="3589" max="3589" width="3.42578125" style="8" customWidth="1"/>
    <col min="3590" max="3590" width="6.5703125" style="8" customWidth="1"/>
    <col min="3591" max="3591" width="55.5703125" style="8" customWidth="1"/>
    <col min="3592" max="3593" width="12.42578125" style="8" customWidth="1"/>
    <col min="3594" max="3594" width="9.140625" style="8"/>
    <col min="3595" max="3595" width="3.42578125" style="8" customWidth="1"/>
    <col min="3596" max="3844" width="9.140625" style="8"/>
    <col min="3845" max="3845" width="3.42578125" style="8" customWidth="1"/>
    <col min="3846" max="3846" width="6.5703125" style="8" customWidth="1"/>
    <col min="3847" max="3847" width="55.5703125" style="8" customWidth="1"/>
    <col min="3848" max="3849" width="12.42578125" style="8" customWidth="1"/>
    <col min="3850" max="3850" width="9.140625" style="8"/>
    <col min="3851" max="3851" width="3.42578125" style="8" customWidth="1"/>
    <col min="3852" max="4100" width="9.140625" style="8"/>
    <col min="4101" max="4101" width="3.42578125" style="8" customWidth="1"/>
    <col min="4102" max="4102" width="6.5703125" style="8" customWidth="1"/>
    <col min="4103" max="4103" width="55.5703125" style="8" customWidth="1"/>
    <col min="4104" max="4105" width="12.42578125" style="8" customWidth="1"/>
    <col min="4106" max="4106" width="9.140625" style="8"/>
    <col min="4107" max="4107" width="3.42578125" style="8" customWidth="1"/>
    <col min="4108" max="4356" width="9.140625" style="8"/>
    <col min="4357" max="4357" width="3.42578125" style="8" customWidth="1"/>
    <col min="4358" max="4358" width="6.5703125" style="8" customWidth="1"/>
    <col min="4359" max="4359" width="55.5703125" style="8" customWidth="1"/>
    <col min="4360" max="4361" width="12.42578125" style="8" customWidth="1"/>
    <col min="4362" max="4362" width="9.140625" style="8"/>
    <col min="4363" max="4363" width="3.42578125" style="8" customWidth="1"/>
    <col min="4364" max="4612" width="9.140625" style="8"/>
    <col min="4613" max="4613" width="3.42578125" style="8" customWidth="1"/>
    <col min="4614" max="4614" width="6.5703125" style="8" customWidth="1"/>
    <col min="4615" max="4615" width="55.5703125" style="8" customWidth="1"/>
    <col min="4616" max="4617" width="12.42578125" style="8" customWidth="1"/>
    <col min="4618" max="4618" width="9.140625" style="8"/>
    <col min="4619" max="4619" width="3.42578125" style="8" customWidth="1"/>
    <col min="4620" max="4868" width="9.140625" style="8"/>
    <col min="4869" max="4869" width="3.42578125" style="8" customWidth="1"/>
    <col min="4870" max="4870" width="6.5703125" style="8" customWidth="1"/>
    <col min="4871" max="4871" width="55.5703125" style="8" customWidth="1"/>
    <col min="4872" max="4873" width="12.42578125" style="8" customWidth="1"/>
    <col min="4874" max="4874" width="9.140625" style="8"/>
    <col min="4875" max="4875" width="3.42578125" style="8" customWidth="1"/>
    <col min="4876" max="5124" width="9.140625" style="8"/>
    <col min="5125" max="5125" width="3.42578125" style="8" customWidth="1"/>
    <col min="5126" max="5126" width="6.5703125" style="8" customWidth="1"/>
    <col min="5127" max="5127" width="55.5703125" style="8" customWidth="1"/>
    <col min="5128" max="5129" width="12.42578125" style="8" customWidth="1"/>
    <col min="5130" max="5130" width="9.140625" style="8"/>
    <col min="5131" max="5131" width="3.42578125" style="8" customWidth="1"/>
    <col min="5132" max="5380" width="9.140625" style="8"/>
    <col min="5381" max="5381" width="3.42578125" style="8" customWidth="1"/>
    <col min="5382" max="5382" width="6.5703125" style="8" customWidth="1"/>
    <col min="5383" max="5383" width="55.5703125" style="8" customWidth="1"/>
    <col min="5384" max="5385" width="12.42578125" style="8" customWidth="1"/>
    <col min="5386" max="5386" width="9.140625" style="8"/>
    <col min="5387" max="5387" width="3.42578125" style="8" customWidth="1"/>
    <col min="5388" max="5636" width="9.140625" style="8"/>
    <col min="5637" max="5637" width="3.42578125" style="8" customWidth="1"/>
    <col min="5638" max="5638" width="6.5703125" style="8" customWidth="1"/>
    <col min="5639" max="5639" width="55.5703125" style="8" customWidth="1"/>
    <col min="5640" max="5641" width="12.42578125" style="8" customWidth="1"/>
    <col min="5642" max="5642" width="9.140625" style="8"/>
    <col min="5643" max="5643" width="3.42578125" style="8" customWidth="1"/>
    <col min="5644" max="5892" width="9.140625" style="8"/>
    <col min="5893" max="5893" width="3.42578125" style="8" customWidth="1"/>
    <col min="5894" max="5894" width="6.5703125" style="8" customWidth="1"/>
    <col min="5895" max="5895" width="55.5703125" style="8" customWidth="1"/>
    <col min="5896" max="5897" width="12.42578125" style="8" customWidth="1"/>
    <col min="5898" max="5898" width="9.140625" style="8"/>
    <col min="5899" max="5899" width="3.42578125" style="8" customWidth="1"/>
    <col min="5900" max="6148" width="9.140625" style="8"/>
    <col min="6149" max="6149" width="3.42578125" style="8" customWidth="1"/>
    <col min="6150" max="6150" width="6.5703125" style="8" customWidth="1"/>
    <col min="6151" max="6151" width="55.5703125" style="8" customWidth="1"/>
    <col min="6152" max="6153" width="12.42578125" style="8" customWidth="1"/>
    <col min="6154" max="6154" width="9.140625" style="8"/>
    <col min="6155" max="6155" width="3.42578125" style="8" customWidth="1"/>
    <col min="6156" max="6404" width="9.140625" style="8"/>
    <col min="6405" max="6405" width="3.42578125" style="8" customWidth="1"/>
    <col min="6406" max="6406" width="6.5703125" style="8" customWidth="1"/>
    <col min="6407" max="6407" width="55.5703125" style="8" customWidth="1"/>
    <col min="6408" max="6409" width="12.42578125" style="8" customWidth="1"/>
    <col min="6410" max="6410" width="9.140625" style="8"/>
    <col min="6411" max="6411" width="3.42578125" style="8" customWidth="1"/>
    <col min="6412" max="6660" width="9.140625" style="8"/>
    <col min="6661" max="6661" width="3.42578125" style="8" customWidth="1"/>
    <col min="6662" max="6662" width="6.5703125" style="8" customWidth="1"/>
    <col min="6663" max="6663" width="55.5703125" style="8" customWidth="1"/>
    <col min="6664" max="6665" width="12.42578125" style="8" customWidth="1"/>
    <col min="6666" max="6666" width="9.140625" style="8"/>
    <col min="6667" max="6667" width="3.42578125" style="8" customWidth="1"/>
    <col min="6668" max="6916" width="9.140625" style="8"/>
    <col min="6917" max="6917" width="3.42578125" style="8" customWidth="1"/>
    <col min="6918" max="6918" width="6.5703125" style="8" customWidth="1"/>
    <col min="6919" max="6919" width="55.5703125" style="8" customWidth="1"/>
    <col min="6920" max="6921" width="12.42578125" style="8" customWidth="1"/>
    <col min="6922" max="6922" width="9.140625" style="8"/>
    <col min="6923" max="6923" width="3.42578125" style="8" customWidth="1"/>
    <col min="6924" max="7172" width="9.140625" style="8"/>
    <col min="7173" max="7173" width="3.42578125" style="8" customWidth="1"/>
    <col min="7174" max="7174" width="6.5703125" style="8" customWidth="1"/>
    <col min="7175" max="7175" width="55.5703125" style="8" customWidth="1"/>
    <col min="7176" max="7177" width="12.42578125" style="8" customWidth="1"/>
    <col min="7178" max="7178" width="9.140625" style="8"/>
    <col min="7179" max="7179" width="3.42578125" style="8" customWidth="1"/>
    <col min="7180" max="7428" width="9.140625" style="8"/>
    <col min="7429" max="7429" width="3.42578125" style="8" customWidth="1"/>
    <col min="7430" max="7430" width="6.5703125" style="8" customWidth="1"/>
    <col min="7431" max="7431" width="55.5703125" style="8" customWidth="1"/>
    <col min="7432" max="7433" width="12.42578125" style="8" customWidth="1"/>
    <col min="7434" max="7434" width="9.140625" style="8"/>
    <col min="7435" max="7435" width="3.42578125" style="8" customWidth="1"/>
    <col min="7436" max="7684" width="9.140625" style="8"/>
    <col min="7685" max="7685" width="3.42578125" style="8" customWidth="1"/>
    <col min="7686" max="7686" width="6.5703125" style="8" customWidth="1"/>
    <col min="7687" max="7687" width="55.5703125" style="8" customWidth="1"/>
    <col min="7688" max="7689" width="12.42578125" style="8" customWidth="1"/>
    <col min="7690" max="7690" width="9.140625" style="8"/>
    <col min="7691" max="7691" width="3.42578125" style="8" customWidth="1"/>
    <col min="7692" max="7940" width="9.140625" style="8"/>
    <col min="7941" max="7941" width="3.42578125" style="8" customWidth="1"/>
    <col min="7942" max="7942" width="6.5703125" style="8" customWidth="1"/>
    <col min="7943" max="7943" width="55.5703125" style="8" customWidth="1"/>
    <col min="7944" max="7945" width="12.42578125" style="8" customWidth="1"/>
    <col min="7946" max="7946" width="9.140625" style="8"/>
    <col min="7947" max="7947" width="3.42578125" style="8" customWidth="1"/>
    <col min="7948" max="8196" width="9.140625" style="8"/>
    <col min="8197" max="8197" width="3.42578125" style="8" customWidth="1"/>
    <col min="8198" max="8198" width="6.5703125" style="8" customWidth="1"/>
    <col min="8199" max="8199" width="55.5703125" style="8" customWidth="1"/>
    <col min="8200" max="8201" width="12.42578125" style="8" customWidth="1"/>
    <col min="8202" max="8202" width="9.140625" style="8"/>
    <col min="8203" max="8203" width="3.42578125" style="8" customWidth="1"/>
    <col min="8204" max="8452" width="9.140625" style="8"/>
    <col min="8453" max="8453" width="3.42578125" style="8" customWidth="1"/>
    <col min="8454" max="8454" width="6.5703125" style="8" customWidth="1"/>
    <col min="8455" max="8455" width="55.5703125" style="8" customWidth="1"/>
    <col min="8456" max="8457" width="12.42578125" style="8" customWidth="1"/>
    <col min="8458" max="8458" width="9.140625" style="8"/>
    <col min="8459" max="8459" width="3.42578125" style="8" customWidth="1"/>
    <col min="8460" max="8708" width="9.140625" style="8"/>
    <col min="8709" max="8709" width="3.42578125" style="8" customWidth="1"/>
    <col min="8710" max="8710" width="6.5703125" style="8" customWidth="1"/>
    <col min="8711" max="8711" width="55.5703125" style="8" customWidth="1"/>
    <col min="8712" max="8713" width="12.42578125" style="8" customWidth="1"/>
    <col min="8714" max="8714" width="9.140625" style="8"/>
    <col min="8715" max="8715" width="3.42578125" style="8" customWidth="1"/>
    <col min="8716" max="8964" width="9.140625" style="8"/>
    <col min="8965" max="8965" width="3.42578125" style="8" customWidth="1"/>
    <col min="8966" max="8966" width="6.5703125" style="8" customWidth="1"/>
    <col min="8967" max="8967" width="55.5703125" style="8" customWidth="1"/>
    <col min="8968" max="8969" width="12.42578125" style="8" customWidth="1"/>
    <col min="8970" max="8970" width="9.140625" style="8"/>
    <col min="8971" max="8971" width="3.42578125" style="8" customWidth="1"/>
    <col min="8972" max="9220" width="9.140625" style="8"/>
    <col min="9221" max="9221" width="3.42578125" style="8" customWidth="1"/>
    <col min="9222" max="9222" width="6.5703125" style="8" customWidth="1"/>
    <col min="9223" max="9223" width="55.5703125" style="8" customWidth="1"/>
    <col min="9224" max="9225" width="12.42578125" style="8" customWidth="1"/>
    <col min="9226" max="9226" width="9.140625" style="8"/>
    <col min="9227" max="9227" width="3.42578125" style="8" customWidth="1"/>
    <col min="9228" max="9476" width="9.140625" style="8"/>
    <col min="9477" max="9477" width="3.42578125" style="8" customWidth="1"/>
    <col min="9478" max="9478" width="6.5703125" style="8" customWidth="1"/>
    <col min="9479" max="9479" width="55.5703125" style="8" customWidth="1"/>
    <col min="9480" max="9481" width="12.42578125" style="8" customWidth="1"/>
    <col min="9482" max="9482" width="9.140625" style="8"/>
    <col min="9483" max="9483" width="3.42578125" style="8" customWidth="1"/>
    <col min="9484" max="9732" width="9.140625" style="8"/>
    <col min="9733" max="9733" width="3.42578125" style="8" customWidth="1"/>
    <col min="9734" max="9734" width="6.5703125" style="8" customWidth="1"/>
    <col min="9735" max="9735" width="55.5703125" style="8" customWidth="1"/>
    <col min="9736" max="9737" width="12.42578125" style="8" customWidth="1"/>
    <col min="9738" max="9738" width="9.140625" style="8"/>
    <col min="9739" max="9739" width="3.42578125" style="8" customWidth="1"/>
    <col min="9740" max="9988" width="9.140625" style="8"/>
    <col min="9989" max="9989" width="3.42578125" style="8" customWidth="1"/>
    <col min="9990" max="9990" width="6.5703125" style="8" customWidth="1"/>
    <col min="9991" max="9991" width="55.5703125" style="8" customWidth="1"/>
    <col min="9992" max="9993" width="12.42578125" style="8" customWidth="1"/>
    <col min="9994" max="9994" width="9.140625" style="8"/>
    <col min="9995" max="9995" width="3.42578125" style="8" customWidth="1"/>
    <col min="9996" max="10244" width="9.140625" style="8"/>
    <col min="10245" max="10245" width="3.42578125" style="8" customWidth="1"/>
    <col min="10246" max="10246" width="6.5703125" style="8" customWidth="1"/>
    <col min="10247" max="10247" width="55.5703125" style="8" customWidth="1"/>
    <col min="10248" max="10249" width="12.42578125" style="8" customWidth="1"/>
    <col min="10250" max="10250" width="9.140625" style="8"/>
    <col min="10251" max="10251" width="3.42578125" style="8" customWidth="1"/>
    <col min="10252" max="10500" width="9.140625" style="8"/>
    <col min="10501" max="10501" width="3.42578125" style="8" customWidth="1"/>
    <col min="10502" max="10502" width="6.5703125" style="8" customWidth="1"/>
    <col min="10503" max="10503" width="55.5703125" style="8" customWidth="1"/>
    <col min="10504" max="10505" width="12.42578125" style="8" customWidth="1"/>
    <col min="10506" max="10506" width="9.140625" style="8"/>
    <col min="10507" max="10507" width="3.42578125" style="8" customWidth="1"/>
    <col min="10508" max="10756" width="9.140625" style="8"/>
    <col min="10757" max="10757" width="3.42578125" style="8" customWidth="1"/>
    <col min="10758" max="10758" width="6.5703125" style="8" customWidth="1"/>
    <col min="10759" max="10759" width="55.5703125" style="8" customWidth="1"/>
    <col min="10760" max="10761" width="12.42578125" style="8" customWidth="1"/>
    <col min="10762" max="10762" width="9.140625" style="8"/>
    <col min="10763" max="10763" width="3.42578125" style="8" customWidth="1"/>
    <col min="10764" max="11012" width="9.140625" style="8"/>
    <col min="11013" max="11013" width="3.42578125" style="8" customWidth="1"/>
    <col min="11014" max="11014" width="6.5703125" style="8" customWidth="1"/>
    <col min="11015" max="11015" width="55.5703125" style="8" customWidth="1"/>
    <col min="11016" max="11017" width="12.42578125" style="8" customWidth="1"/>
    <col min="11018" max="11018" width="9.140625" style="8"/>
    <col min="11019" max="11019" width="3.42578125" style="8" customWidth="1"/>
    <col min="11020" max="11268" width="9.140625" style="8"/>
    <col min="11269" max="11269" width="3.42578125" style="8" customWidth="1"/>
    <col min="11270" max="11270" width="6.5703125" style="8" customWidth="1"/>
    <col min="11271" max="11271" width="55.5703125" style="8" customWidth="1"/>
    <col min="11272" max="11273" width="12.42578125" style="8" customWidth="1"/>
    <col min="11274" max="11274" width="9.140625" style="8"/>
    <col min="11275" max="11275" width="3.42578125" style="8" customWidth="1"/>
    <col min="11276" max="11524" width="9.140625" style="8"/>
    <col min="11525" max="11525" width="3.42578125" style="8" customWidth="1"/>
    <col min="11526" max="11526" width="6.5703125" style="8" customWidth="1"/>
    <col min="11527" max="11527" width="55.5703125" style="8" customWidth="1"/>
    <col min="11528" max="11529" width="12.42578125" style="8" customWidth="1"/>
    <col min="11530" max="11530" width="9.140625" style="8"/>
    <col min="11531" max="11531" width="3.42578125" style="8" customWidth="1"/>
    <col min="11532" max="11780" width="9.140625" style="8"/>
    <col min="11781" max="11781" width="3.42578125" style="8" customWidth="1"/>
    <col min="11782" max="11782" width="6.5703125" style="8" customWidth="1"/>
    <col min="11783" max="11783" width="55.5703125" style="8" customWidth="1"/>
    <col min="11784" max="11785" width="12.42578125" style="8" customWidth="1"/>
    <col min="11786" max="11786" width="9.140625" style="8"/>
    <col min="11787" max="11787" width="3.42578125" style="8" customWidth="1"/>
    <col min="11788" max="12036" width="9.140625" style="8"/>
    <col min="12037" max="12037" width="3.42578125" style="8" customWidth="1"/>
    <col min="12038" max="12038" width="6.5703125" style="8" customWidth="1"/>
    <col min="12039" max="12039" width="55.5703125" style="8" customWidth="1"/>
    <col min="12040" max="12041" width="12.42578125" style="8" customWidth="1"/>
    <col min="12042" max="12042" width="9.140625" style="8"/>
    <col min="12043" max="12043" width="3.42578125" style="8" customWidth="1"/>
    <col min="12044" max="12292" width="9.140625" style="8"/>
    <col min="12293" max="12293" width="3.42578125" style="8" customWidth="1"/>
    <col min="12294" max="12294" width="6.5703125" style="8" customWidth="1"/>
    <col min="12295" max="12295" width="55.5703125" style="8" customWidth="1"/>
    <col min="12296" max="12297" width="12.42578125" style="8" customWidth="1"/>
    <col min="12298" max="12298" width="9.140625" style="8"/>
    <col min="12299" max="12299" width="3.42578125" style="8" customWidth="1"/>
    <col min="12300" max="12548" width="9.140625" style="8"/>
    <col min="12549" max="12549" width="3.42578125" style="8" customWidth="1"/>
    <col min="12550" max="12550" width="6.5703125" style="8" customWidth="1"/>
    <col min="12551" max="12551" width="55.5703125" style="8" customWidth="1"/>
    <col min="12552" max="12553" width="12.42578125" style="8" customWidth="1"/>
    <col min="12554" max="12554" width="9.140625" style="8"/>
    <col min="12555" max="12555" width="3.42578125" style="8" customWidth="1"/>
    <col min="12556" max="12804" width="9.140625" style="8"/>
    <col min="12805" max="12805" width="3.42578125" style="8" customWidth="1"/>
    <col min="12806" max="12806" width="6.5703125" style="8" customWidth="1"/>
    <col min="12807" max="12807" width="55.5703125" style="8" customWidth="1"/>
    <col min="12808" max="12809" width="12.42578125" style="8" customWidth="1"/>
    <col min="12810" max="12810" width="9.140625" style="8"/>
    <col min="12811" max="12811" width="3.42578125" style="8" customWidth="1"/>
    <col min="12812" max="13060" width="9.140625" style="8"/>
    <col min="13061" max="13061" width="3.42578125" style="8" customWidth="1"/>
    <col min="13062" max="13062" width="6.5703125" style="8" customWidth="1"/>
    <col min="13063" max="13063" width="55.5703125" style="8" customWidth="1"/>
    <col min="13064" max="13065" width="12.42578125" style="8" customWidth="1"/>
    <col min="13066" max="13066" width="9.140625" style="8"/>
    <col min="13067" max="13067" width="3.42578125" style="8" customWidth="1"/>
    <col min="13068" max="13316" width="9.140625" style="8"/>
    <col min="13317" max="13317" width="3.42578125" style="8" customWidth="1"/>
    <col min="13318" max="13318" width="6.5703125" style="8" customWidth="1"/>
    <col min="13319" max="13319" width="55.5703125" style="8" customWidth="1"/>
    <col min="13320" max="13321" width="12.42578125" style="8" customWidth="1"/>
    <col min="13322" max="13322" width="9.140625" style="8"/>
    <col min="13323" max="13323" width="3.42578125" style="8" customWidth="1"/>
    <col min="13324" max="13572" width="9.140625" style="8"/>
    <col min="13573" max="13573" width="3.42578125" style="8" customWidth="1"/>
    <col min="13574" max="13574" width="6.5703125" style="8" customWidth="1"/>
    <col min="13575" max="13575" width="55.5703125" style="8" customWidth="1"/>
    <col min="13576" max="13577" width="12.42578125" style="8" customWidth="1"/>
    <col min="13578" max="13578" width="9.140625" style="8"/>
    <col min="13579" max="13579" width="3.42578125" style="8" customWidth="1"/>
    <col min="13580" max="13828" width="9.140625" style="8"/>
    <col min="13829" max="13829" width="3.42578125" style="8" customWidth="1"/>
    <col min="13830" max="13830" width="6.5703125" style="8" customWidth="1"/>
    <col min="13831" max="13831" width="55.5703125" style="8" customWidth="1"/>
    <col min="13832" max="13833" width="12.42578125" style="8" customWidth="1"/>
    <col min="13834" max="13834" width="9.140625" style="8"/>
    <col min="13835" max="13835" width="3.42578125" style="8" customWidth="1"/>
    <col min="13836" max="14084" width="9.140625" style="8"/>
    <col min="14085" max="14085" width="3.42578125" style="8" customWidth="1"/>
    <col min="14086" max="14086" width="6.5703125" style="8" customWidth="1"/>
    <col min="14087" max="14087" width="55.5703125" style="8" customWidth="1"/>
    <col min="14088" max="14089" width="12.42578125" style="8" customWidth="1"/>
    <col min="14090" max="14090" width="9.140625" style="8"/>
    <col min="14091" max="14091" width="3.42578125" style="8" customWidth="1"/>
    <col min="14092" max="14340" width="9.140625" style="8"/>
    <col min="14341" max="14341" width="3.42578125" style="8" customWidth="1"/>
    <col min="14342" max="14342" width="6.5703125" style="8" customWidth="1"/>
    <col min="14343" max="14343" width="55.5703125" style="8" customWidth="1"/>
    <col min="14344" max="14345" width="12.42578125" style="8" customWidth="1"/>
    <col min="14346" max="14346" width="9.140625" style="8"/>
    <col min="14347" max="14347" width="3.42578125" style="8" customWidth="1"/>
    <col min="14348" max="14596" width="9.140625" style="8"/>
    <col min="14597" max="14597" width="3.42578125" style="8" customWidth="1"/>
    <col min="14598" max="14598" width="6.5703125" style="8" customWidth="1"/>
    <col min="14599" max="14599" width="55.5703125" style="8" customWidth="1"/>
    <col min="14600" max="14601" width="12.42578125" style="8" customWidth="1"/>
    <col min="14602" max="14602" width="9.140625" style="8"/>
    <col min="14603" max="14603" width="3.42578125" style="8" customWidth="1"/>
    <col min="14604" max="14852" width="9.140625" style="8"/>
    <col min="14853" max="14853" width="3.42578125" style="8" customWidth="1"/>
    <col min="14854" max="14854" width="6.5703125" style="8" customWidth="1"/>
    <col min="14855" max="14855" width="55.5703125" style="8" customWidth="1"/>
    <col min="14856" max="14857" width="12.42578125" style="8" customWidth="1"/>
    <col min="14858" max="14858" width="9.140625" style="8"/>
    <col min="14859" max="14859" width="3.42578125" style="8" customWidth="1"/>
    <col min="14860" max="15108" width="9.140625" style="8"/>
    <col min="15109" max="15109" width="3.42578125" style="8" customWidth="1"/>
    <col min="15110" max="15110" width="6.5703125" style="8" customWidth="1"/>
    <col min="15111" max="15111" width="55.5703125" style="8" customWidth="1"/>
    <col min="15112" max="15113" width="12.42578125" style="8" customWidth="1"/>
    <col min="15114" max="15114" width="9.140625" style="8"/>
    <col min="15115" max="15115" width="3.42578125" style="8" customWidth="1"/>
    <col min="15116" max="15364" width="9.140625" style="8"/>
    <col min="15365" max="15365" width="3.42578125" style="8" customWidth="1"/>
    <col min="15366" max="15366" width="6.5703125" style="8" customWidth="1"/>
    <col min="15367" max="15367" width="55.5703125" style="8" customWidth="1"/>
    <col min="15368" max="15369" width="12.42578125" style="8" customWidth="1"/>
    <col min="15370" max="15370" width="9.140625" style="8"/>
    <col min="15371" max="15371" width="3.42578125" style="8" customWidth="1"/>
    <col min="15372" max="15620" width="9.140625" style="8"/>
    <col min="15621" max="15621" width="3.42578125" style="8" customWidth="1"/>
    <col min="15622" max="15622" width="6.5703125" style="8" customWidth="1"/>
    <col min="15623" max="15623" width="55.5703125" style="8" customWidth="1"/>
    <col min="15624" max="15625" width="12.42578125" style="8" customWidth="1"/>
    <col min="15626" max="15626" width="9.140625" style="8"/>
    <col min="15627" max="15627" width="3.42578125" style="8" customWidth="1"/>
    <col min="15628" max="15876" width="9.140625" style="8"/>
    <col min="15877" max="15877" width="3.42578125" style="8" customWidth="1"/>
    <col min="15878" max="15878" width="6.5703125" style="8" customWidth="1"/>
    <col min="15879" max="15879" width="55.5703125" style="8" customWidth="1"/>
    <col min="15880" max="15881" width="12.42578125" style="8" customWidth="1"/>
    <col min="15882" max="15882" width="9.140625" style="8"/>
    <col min="15883" max="15883" width="3.42578125" style="8" customWidth="1"/>
    <col min="15884" max="16132" width="9.140625" style="8"/>
    <col min="16133" max="16133" width="3.42578125" style="8" customWidth="1"/>
    <col min="16134" max="16134" width="6.5703125" style="8" customWidth="1"/>
    <col min="16135" max="16135" width="55.5703125" style="8" customWidth="1"/>
    <col min="16136" max="16137" width="12.42578125" style="8" customWidth="1"/>
    <col min="16138" max="16138" width="9.140625" style="8"/>
    <col min="16139" max="16139" width="3.42578125" style="8" customWidth="1"/>
    <col min="16140" max="16384" width="9.140625" style="8"/>
  </cols>
  <sheetData>
    <row r="1" spans="1:26" s="1" customFormat="1" ht="45" customHeight="1" x14ac:dyDescent="0.25">
      <c r="A1" s="391" t="s">
        <v>646</v>
      </c>
      <c r="B1" s="392"/>
      <c r="C1" s="392"/>
      <c r="D1" s="392"/>
      <c r="E1" s="392"/>
      <c r="F1" s="392"/>
      <c r="G1" s="392"/>
      <c r="H1" s="392"/>
      <c r="I1" s="392"/>
      <c r="J1" s="393"/>
    </row>
    <row r="2" spans="1:26" s="1" customFormat="1" ht="15.75" x14ac:dyDescent="0.25">
      <c r="A2" s="106"/>
      <c r="B2" s="340"/>
      <c r="C2" s="340"/>
      <c r="D2" s="340"/>
      <c r="E2" s="340"/>
      <c r="F2" s="340"/>
      <c r="G2" s="340"/>
      <c r="H2" s="340"/>
      <c r="I2" s="340"/>
      <c r="J2" s="107"/>
    </row>
    <row r="3" spans="1:26" s="1" customFormat="1" ht="15.75" x14ac:dyDescent="0.25">
      <c r="A3" s="106"/>
      <c r="B3" s="30"/>
      <c r="C3" s="30"/>
      <c r="D3" s="30"/>
      <c r="E3" s="30"/>
      <c r="F3" s="30"/>
      <c r="G3" s="30"/>
      <c r="H3" s="30"/>
      <c r="I3" s="30"/>
      <c r="J3" s="107"/>
    </row>
    <row r="4" spans="1:26" s="1" customFormat="1" ht="15.75" x14ac:dyDescent="0.25">
      <c r="A4" s="106"/>
      <c r="B4" s="30" t="s">
        <v>8</v>
      </c>
      <c r="C4" s="30"/>
      <c r="D4" s="30"/>
      <c r="E4" s="30"/>
      <c r="F4" s="30"/>
      <c r="G4" s="30"/>
      <c r="H4" s="30"/>
      <c r="I4" s="30"/>
      <c r="J4" s="107"/>
    </row>
    <row r="5" spans="1:26" s="1" customFormat="1" ht="15.75" x14ac:dyDescent="0.25">
      <c r="A5" s="106"/>
      <c r="B5" s="30"/>
      <c r="C5" s="30"/>
      <c r="D5" s="30"/>
      <c r="E5" s="30"/>
      <c r="F5" s="30"/>
      <c r="G5" s="30"/>
      <c r="H5" s="30"/>
      <c r="I5" s="30"/>
      <c r="J5" s="107"/>
    </row>
    <row r="6" spans="1:26" s="1" customFormat="1" ht="15.75" x14ac:dyDescent="0.25">
      <c r="A6" s="106"/>
      <c r="B6" s="30"/>
      <c r="C6" s="30"/>
      <c r="D6" s="30"/>
      <c r="E6" s="30"/>
      <c r="F6" s="30"/>
      <c r="G6" s="30"/>
      <c r="H6" s="30"/>
      <c r="I6" s="30"/>
      <c r="J6" s="107"/>
    </row>
    <row r="7" spans="1:26" s="1" customFormat="1" ht="15.75" x14ac:dyDescent="0.25">
      <c r="A7" s="106"/>
      <c r="B7" s="30"/>
      <c r="C7" s="30"/>
      <c r="D7" s="30"/>
      <c r="E7" s="30"/>
      <c r="F7" s="30"/>
      <c r="G7" s="30"/>
      <c r="H7" s="30"/>
      <c r="I7" s="30"/>
      <c r="J7" s="107"/>
    </row>
    <row r="8" spans="1:26" s="1" customFormat="1" ht="15.75" x14ac:dyDescent="0.25">
      <c r="A8" s="106"/>
      <c r="B8" s="30"/>
      <c r="C8" s="30"/>
      <c r="D8" s="30"/>
      <c r="E8" s="30"/>
      <c r="F8" s="30"/>
      <c r="G8" s="30"/>
      <c r="H8" s="30"/>
      <c r="I8" s="30"/>
      <c r="J8" s="107"/>
    </row>
    <row r="9" spans="1:26" s="6" customFormat="1" ht="15" customHeight="1" x14ac:dyDescent="0.2">
      <c r="A9" s="108"/>
      <c r="B9" s="12"/>
      <c r="C9" s="12"/>
      <c r="D9" s="12"/>
      <c r="E9" s="12"/>
      <c r="F9" s="12"/>
      <c r="G9" s="12"/>
      <c r="H9" s="12"/>
      <c r="I9" s="12"/>
      <c r="J9" s="109"/>
      <c r="K9" s="4"/>
      <c r="L9" s="4"/>
      <c r="M9" s="4"/>
      <c r="N9" s="4"/>
      <c r="O9" s="4"/>
      <c r="P9" s="4"/>
      <c r="Q9" s="4"/>
      <c r="R9" s="4"/>
      <c r="S9" s="4"/>
      <c r="T9" s="5"/>
      <c r="U9" s="5"/>
      <c r="V9" s="5"/>
      <c r="W9" s="5"/>
      <c r="X9" s="5"/>
      <c r="Y9" s="5"/>
      <c r="Z9" s="5"/>
    </row>
    <row r="10" spans="1:26" s="1" customFormat="1" ht="15" customHeight="1" x14ac:dyDescent="0.2">
      <c r="A10" s="108"/>
      <c r="B10" s="12"/>
      <c r="C10" s="12"/>
      <c r="D10" s="12"/>
      <c r="E10" s="12"/>
      <c r="F10" s="12"/>
      <c r="G10" s="12"/>
      <c r="H10" s="12"/>
      <c r="I10" s="12"/>
      <c r="J10" s="109"/>
    </row>
    <row r="11" spans="1:26" s="1" customFormat="1" ht="15" customHeight="1" x14ac:dyDescent="0.2">
      <c r="A11" s="108"/>
      <c r="B11" s="12"/>
      <c r="C11" s="12"/>
      <c r="D11" s="12"/>
      <c r="E11" s="12"/>
      <c r="F11" s="12"/>
      <c r="G11" s="12"/>
      <c r="H11" s="12"/>
      <c r="I11" s="12"/>
      <c r="J11" s="109"/>
    </row>
    <row r="12" spans="1:26" s="1" customFormat="1" ht="15" customHeight="1" x14ac:dyDescent="0.2">
      <c r="A12" s="108"/>
      <c r="B12" s="12"/>
      <c r="C12" s="12"/>
      <c r="D12" s="12"/>
      <c r="E12" s="12"/>
      <c r="F12" s="12"/>
      <c r="G12" s="12"/>
      <c r="H12" s="12"/>
      <c r="I12" s="12"/>
      <c r="J12" s="109"/>
    </row>
    <row r="13" spans="1:26" s="1" customFormat="1" ht="15.75" x14ac:dyDescent="0.25">
      <c r="A13" s="106"/>
      <c r="B13" s="30"/>
      <c r="C13" s="30"/>
      <c r="D13" s="30"/>
      <c r="E13" s="30"/>
      <c r="F13" s="30"/>
      <c r="G13" s="30"/>
      <c r="H13" s="30"/>
      <c r="I13" s="30"/>
      <c r="J13" s="107"/>
    </row>
    <row r="14" spans="1:26" s="1" customFormat="1" ht="15.75" x14ac:dyDescent="0.25">
      <c r="A14" s="106"/>
      <c r="B14" s="30"/>
      <c r="C14" s="30"/>
      <c r="D14" s="30"/>
      <c r="E14" s="30"/>
      <c r="F14" s="30"/>
      <c r="G14" s="30"/>
      <c r="H14" s="30"/>
      <c r="I14" s="30"/>
      <c r="J14" s="107"/>
    </row>
    <row r="15" spans="1:26" s="1" customFormat="1" ht="15.75" x14ac:dyDescent="0.25">
      <c r="A15" s="106"/>
      <c r="B15" s="30"/>
      <c r="C15" s="30"/>
      <c r="D15" s="30"/>
      <c r="E15" s="30"/>
      <c r="F15" s="30"/>
      <c r="G15" s="30"/>
      <c r="H15" s="30"/>
      <c r="I15" s="30"/>
      <c r="J15" s="107"/>
    </row>
    <row r="16" spans="1:26" s="1" customFormat="1" ht="15.75" x14ac:dyDescent="0.25">
      <c r="A16" s="106"/>
      <c r="B16" s="30"/>
      <c r="C16" s="30"/>
      <c r="D16" s="30"/>
      <c r="E16" s="30"/>
      <c r="F16" s="30"/>
      <c r="G16" s="30"/>
      <c r="H16" s="30"/>
      <c r="I16" s="30"/>
      <c r="J16" s="107"/>
    </row>
    <row r="17" spans="1:26" s="1" customFormat="1" ht="15.75" x14ac:dyDescent="0.25">
      <c r="A17" s="106"/>
      <c r="B17" s="30"/>
      <c r="C17" s="30"/>
      <c r="D17" s="30"/>
      <c r="E17" s="30"/>
      <c r="F17" s="30"/>
      <c r="G17" s="30"/>
      <c r="H17" s="30"/>
      <c r="I17" s="30"/>
      <c r="J17" s="107"/>
    </row>
    <row r="18" spans="1:26" s="1" customFormat="1" ht="15.75" x14ac:dyDescent="0.25">
      <c r="A18" s="106"/>
      <c r="B18" s="30"/>
      <c r="C18" s="30"/>
      <c r="D18" s="30"/>
      <c r="E18" s="30"/>
      <c r="F18" s="30"/>
      <c r="G18" s="30"/>
      <c r="H18" s="30"/>
      <c r="I18" s="30"/>
      <c r="J18" s="107"/>
    </row>
    <row r="19" spans="1:26" s="1" customFormat="1" ht="15.75" x14ac:dyDescent="0.25">
      <c r="A19" s="106"/>
      <c r="B19" s="30"/>
      <c r="C19" s="30"/>
      <c r="D19" s="30"/>
      <c r="E19" s="30"/>
      <c r="F19" s="30"/>
      <c r="G19" s="30"/>
      <c r="H19" s="30"/>
      <c r="I19" s="30"/>
      <c r="J19" s="107"/>
    </row>
    <row r="20" spans="1:26" s="1" customFormat="1" x14ac:dyDescent="0.25">
      <c r="A20" s="110"/>
      <c r="B20" s="28"/>
      <c r="C20" s="28"/>
      <c r="D20" s="28"/>
      <c r="E20" s="28"/>
      <c r="F20" s="28"/>
      <c r="G20" s="28"/>
      <c r="H20" s="28"/>
      <c r="I20" s="28"/>
      <c r="J20" s="111"/>
      <c r="K20" s="2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s="1" customFormat="1" ht="69.75" customHeight="1" x14ac:dyDescent="0.25">
      <c r="A21" s="110"/>
      <c r="B21" s="341" t="s">
        <v>647</v>
      </c>
      <c r="C21" s="341"/>
      <c r="D21" s="341"/>
      <c r="E21" s="341"/>
      <c r="F21" s="341"/>
      <c r="G21" s="341"/>
      <c r="H21" s="341"/>
      <c r="I21" s="341"/>
      <c r="J21" s="111"/>
      <c r="K21" s="2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s="1" customFormat="1" ht="15" customHeight="1" x14ac:dyDescent="0.2">
      <c r="A22" s="110"/>
      <c r="B22" s="342"/>
      <c r="C22" s="342"/>
      <c r="D22" s="342"/>
      <c r="E22" s="342"/>
      <c r="F22" s="342"/>
      <c r="G22" s="342"/>
      <c r="H22" s="342"/>
      <c r="I22" s="342"/>
      <c r="J22" s="111"/>
      <c r="K22" s="2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s="1" customFormat="1" ht="15" customHeight="1" x14ac:dyDescent="0.2">
      <c r="A23" s="110"/>
      <c r="B23" s="343"/>
      <c r="C23" s="343"/>
      <c r="D23" s="343"/>
      <c r="E23" s="343"/>
      <c r="F23" s="343"/>
      <c r="G23" s="343"/>
      <c r="H23" s="343"/>
      <c r="I23" s="343"/>
      <c r="J23" s="111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s="1" customFormat="1" ht="15" customHeight="1" x14ac:dyDescent="0.2">
      <c r="A24" s="110"/>
      <c r="B24" s="343"/>
      <c r="C24" s="343"/>
      <c r="D24" s="343"/>
      <c r="E24" s="343"/>
      <c r="F24" s="343"/>
      <c r="G24" s="343"/>
      <c r="H24" s="343"/>
      <c r="I24" s="343"/>
      <c r="J24" s="111"/>
      <c r="K24" s="2"/>
      <c r="L24" s="2"/>
      <c r="M24" s="2"/>
      <c r="N24" s="2"/>
      <c r="O24" s="2"/>
      <c r="P24" s="2"/>
      <c r="Q24" s="2"/>
      <c r="R24" s="2"/>
      <c r="S24" s="2"/>
      <c r="T24" s="3"/>
      <c r="U24" s="3"/>
      <c r="V24" s="3"/>
      <c r="W24" s="3"/>
      <c r="X24" s="3"/>
      <c r="Y24" s="3"/>
      <c r="Z24" s="3"/>
    </row>
    <row r="25" spans="1:26" s="1" customFormat="1" ht="15" customHeight="1" x14ac:dyDescent="0.2">
      <c r="A25" s="110"/>
      <c r="B25" s="343"/>
      <c r="C25" s="343"/>
      <c r="D25" s="343"/>
      <c r="E25" s="343"/>
      <c r="F25" s="343"/>
      <c r="G25" s="343"/>
      <c r="H25" s="343"/>
      <c r="I25" s="343"/>
      <c r="J25" s="111"/>
      <c r="K25" s="2"/>
      <c r="L25" s="2"/>
      <c r="M25" s="2"/>
      <c r="N25" s="2"/>
      <c r="O25" s="2"/>
      <c r="P25" s="2"/>
      <c r="Q25" s="2"/>
      <c r="R25" s="2"/>
      <c r="S25" s="2"/>
      <c r="T25" s="3"/>
      <c r="U25" s="3"/>
      <c r="V25" s="3"/>
      <c r="W25" s="3"/>
      <c r="X25" s="3"/>
      <c r="Y25" s="3"/>
      <c r="Z25" s="3"/>
    </row>
    <row r="26" spans="1:26" s="1" customFormat="1" ht="15" customHeight="1" x14ac:dyDescent="0.2">
      <c r="A26" s="110"/>
      <c r="B26" s="12"/>
      <c r="C26" s="12"/>
      <c r="D26" s="12"/>
      <c r="E26" s="12"/>
      <c r="F26" s="12"/>
      <c r="G26" s="12"/>
      <c r="H26" s="12"/>
      <c r="I26" s="12"/>
      <c r="J26" s="111"/>
      <c r="K26" s="2"/>
      <c r="L26" s="2"/>
      <c r="M26" s="2"/>
      <c r="N26" s="2"/>
      <c r="O26" s="2"/>
      <c r="P26" s="2"/>
      <c r="Q26" s="2"/>
      <c r="R26" s="2"/>
      <c r="S26" s="2"/>
      <c r="T26" s="3"/>
      <c r="U26" s="3"/>
      <c r="V26" s="3"/>
      <c r="W26" s="3"/>
      <c r="X26" s="3"/>
      <c r="Y26" s="3"/>
      <c r="Z26" s="3"/>
    </row>
    <row r="27" spans="1:26" s="1" customFormat="1" ht="15" customHeight="1" x14ac:dyDescent="0.2">
      <c r="A27" s="110"/>
      <c r="B27" s="343"/>
      <c r="C27" s="343"/>
      <c r="D27" s="343"/>
      <c r="E27" s="343"/>
      <c r="F27" s="343"/>
      <c r="G27" s="343"/>
      <c r="H27" s="343"/>
      <c r="I27" s="343"/>
      <c r="J27" s="111"/>
      <c r="K27" s="2"/>
      <c r="L27" s="2"/>
      <c r="M27" s="2"/>
      <c r="N27" s="2"/>
      <c r="O27" s="2"/>
      <c r="P27" s="2"/>
      <c r="Q27" s="2"/>
      <c r="R27" s="2"/>
      <c r="S27" s="2"/>
      <c r="T27" s="3"/>
      <c r="U27" s="3"/>
      <c r="V27" s="3"/>
      <c r="W27" s="3"/>
      <c r="X27" s="3"/>
      <c r="Y27" s="3"/>
      <c r="Z27" s="3"/>
    </row>
    <row r="28" spans="1:26" s="6" customFormat="1" ht="15" customHeight="1" x14ac:dyDescent="0.2">
      <c r="A28" s="108"/>
      <c r="B28" s="343"/>
      <c r="C28" s="343"/>
      <c r="D28" s="343"/>
      <c r="E28" s="343"/>
      <c r="F28" s="343"/>
      <c r="G28" s="343"/>
      <c r="H28" s="343"/>
      <c r="I28" s="343"/>
      <c r="J28" s="109"/>
      <c r="K28" s="4"/>
      <c r="L28" s="4"/>
      <c r="M28" s="4"/>
      <c r="N28" s="4"/>
      <c r="O28" s="4"/>
      <c r="P28" s="4"/>
      <c r="Q28" s="4"/>
      <c r="R28" s="4"/>
      <c r="S28" s="4"/>
      <c r="T28" s="5"/>
      <c r="U28" s="5"/>
      <c r="V28" s="5"/>
      <c r="W28" s="5"/>
      <c r="X28" s="5"/>
      <c r="Y28" s="5"/>
      <c r="Z28" s="5"/>
    </row>
    <row r="29" spans="1:26" s="6" customFormat="1" ht="15" customHeight="1" x14ac:dyDescent="0.2">
      <c r="A29" s="108"/>
      <c r="B29" s="343"/>
      <c r="C29" s="343"/>
      <c r="D29" s="343"/>
      <c r="E29" s="343"/>
      <c r="F29" s="343"/>
      <c r="G29" s="343"/>
      <c r="H29" s="343"/>
      <c r="I29" s="343"/>
      <c r="J29" s="109"/>
      <c r="K29" s="4"/>
      <c r="L29" s="4"/>
      <c r="M29" s="5"/>
      <c r="N29" s="4"/>
      <c r="O29" s="5"/>
      <c r="P29" s="4"/>
      <c r="Q29" s="4"/>
      <c r="R29" s="4"/>
      <c r="S29" s="4"/>
      <c r="T29" s="4"/>
      <c r="U29" s="5"/>
      <c r="V29" s="5"/>
      <c r="W29" s="5"/>
      <c r="X29" s="5"/>
      <c r="Y29" s="5"/>
      <c r="Z29" s="5"/>
    </row>
    <row r="30" spans="1:26" s="6" customFormat="1" ht="15" customHeight="1" x14ac:dyDescent="0.25">
      <c r="A30" s="108"/>
      <c r="B30" s="12"/>
      <c r="C30" s="12"/>
      <c r="D30" s="12"/>
      <c r="E30" s="12"/>
      <c r="F30" s="64"/>
      <c r="G30" s="12"/>
      <c r="H30" s="65"/>
      <c r="I30" s="12"/>
      <c r="J30" s="109"/>
      <c r="K30" s="4"/>
      <c r="L30" s="4"/>
      <c r="M30" s="4"/>
      <c r="N30" s="4"/>
      <c r="O30" s="4"/>
      <c r="P30" s="4"/>
      <c r="Q30" s="4"/>
      <c r="R30" s="4"/>
      <c r="S30" s="4"/>
      <c r="T30" s="5"/>
      <c r="U30" s="5"/>
      <c r="V30" s="5"/>
      <c r="W30" s="5"/>
      <c r="X30" s="5"/>
      <c r="Y30" s="5"/>
      <c r="Z30" s="5"/>
    </row>
    <row r="31" spans="1:26" s="6" customFormat="1" ht="15" customHeight="1" x14ac:dyDescent="0.2">
      <c r="A31" s="108"/>
      <c r="B31" s="12"/>
      <c r="C31" s="12"/>
      <c r="D31" s="12"/>
      <c r="E31" s="12"/>
      <c r="F31" s="12"/>
      <c r="G31" s="12"/>
      <c r="H31" s="12"/>
      <c r="I31" s="12"/>
      <c r="J31" s="109"/>
      <c r="K31" s="4"/>
      <c r="L31" s="4"/>
      <c r="M31" s="4"/>
      <c r="N31" s="4"/>
      <c r="O31" s="4"/>
      <c r="P31" s="4"/>
      <c r="Q31" s="4"/>
      <c r="R31" s="4"/>
      <c r="S31" s="4"/>
      <c r="T31" s="5"/>
      <c r="U31" s="5"/>
      <c r="V31" s="5"/>
      <c r="W31" s="5"/>
      <c r="X31" s="5"/>
      <c r="Y31" s="5"/>
      <c r="Z31" s="5"/>
    </row>
    <row r="32" spans="1:26" s="6" customFormat="1" ht="15" customHeight="1" x14ac:dyDescent="0.2">
      <c r="A32" s="108"/>
      <c r="B32" s="12"/>
      <c r="C32" s="12"/>
      <c r="D32" s="12"/>
      <c r="E32" s="12"/>
      <c r="F32" s="12"/>
      <c r="G32" s="12"/>
      <c r="H32" s="12"/>
      <c r="I32" s="12"/>
      <c r="J32" s="109"/>
      <c r="K32" s="4"/>
      <c r="L32" s="4"/>
      <c r="M32" s="4"/>
      <c r="N32" s="4"/>
      <c r="O32" s="4"/>
      <c r="P32" s="4"/>
      <c r="Q32" s="4"/>
      <c r="R32" s="4"/>
      <c r="S32" s="4"/>
      <c r="T32" s="5"/>
      <c r="U32" s="5"/>
      <c r="V32" s="5"/>
      <c r="W32" s="5"/>
      <c r="X32" s="5"/>
      <c r="Y32" s="5"/>
      <c r="Z32" s="5"/>
    </row>
    <row r="33" spans="1:26" s="6" customFormat="1" ht="15" customHeight="1" x14ac:dyDescent="0.2">
      <c r="A33" s="108"/>
      <c r="B33" s="12"/>
      <c r="C33" s="12"/>
      <c r="D33" s="12"/>
      <c r="E33" s="12"/>
      <c r="F33" s="12"/>
      <c r="G33" s="12"/>
      <c r="H33" s="12"/>
      <c r="I33" s="12"/>
      <c r="J33" s="109"/>
      <c r="K33" s="4"/>
      <c r="L33" s="4"/>
      <c r="M33" s="4"/>
      <c r="N33" s="4"/>
      <c r="O33" s="4"/>
      <c r="P33" s="4"/>
      <c r="Q33" s="4"/>
      <c r="R33" s="4"/>
      <c r="S33" s="4"/>
      <c r="T33" s="5"/>
      <c r="U33" s="5"/>
      <c r="V33" s="5"/>
      <c r="W33" s="5"/>
      <c r="X33" s="5"/>
      <c r="Y33" s="5"/>
      <c r="Z33" s="5"/>
    </row>
    <row r="34" spans="1:26" s="6" customFormat="1" ht="15" customHeight="1" x14ac:dyDescent="0.2">
      <c r="A34" s="108"/>
      <c r="B34" s="12"/>
      <c r="C34" s="12"/>
      <c r="D34" s="12"/>
      <c r="E34" s="12"/>
      <c r="F34" s="12"/>
      <c r="G34" s="12"/>
      <c r="H34" s="12"/>
      <c r="I34" s="12"/>
      <c r="J34" s="109"/>
      <c r="K34" s="4"/>
      <c r="L34" s="4"/>
      <c r="M34" s="4"/>
      <c r="N34" s="4"/>
      <c r="O34" s="4"/>
      <c r="P34" s="4"/>
      <c r="Q34" s="4"/>
      <c r="R34" s="4"/>
      <c r="S34" s="4"/>
      <c r="T34" s="5"/>
      <c r="U34" s="5"/>
      <c r="V34" s="5"/>
      <c r="W34" s="5"/>
      <c r="X34" s="5"/>
      <c r="Y34" s="5"/>
      <c r="Z34" s="5"/>
    </row>
    <row r="35" spans="1:26" s="6" customFormat="1" ht="15" customHeight="1" x14ac:dyDescent="0.2">
      <c r="A35" s="108"/>
      <c r="B35" s="12"/>
      <c r="C35" s="12"/>
      <c r="D35" s="12"/>
      <c r="E35" s="12"/>
      <c r="F35" s="12"/>
      <c r="G35" s="12"/>
      <c r="H35" s="12"/>
      <c r="I35" s="12"/>
      <c r="J35" s="109"/>
      <c r="K35" s="4"/>
      <c r="L35" s="4"/>
      <c r="M35" s="4"/>
      <c r="N35" s="4"/>
      <c r="O35" s="4"/>
      <c r="P35" s="4"/>
      <c r="Q35" s="4"/>
      <c r="R35" s="4"/>
      <c r="S35" s="4"/>
      <c r="T35" s="5"/>
      <c r="U35" s="5"/>
      <c r="V35" s="5"/>
      <c r="W35" s="5"/>
      <c r="X35" s="5"/>
      <c r="Y35" s="5"/>
      <c r="Z35" s="5"/>
    </row>
    <row r="36" spans="1:26" s="6" customFormat="1" ht="15" customHeight="1" x14ac:dyDescent="0.2">
      <c r="A36" s="108"/>
      <c r="B36" s="12"/>
      <c r="C36" s="12"/>
      <c r="D36" s="12"/>
      <c r="E36" s="12"/>
      <c r="F36" s="12"/>
      <c r="G36" s="12"/>
      <c r="H36" s="12"/>
      <c r="I36" s="12"/>
      <c r="J36" s="109"/>
      <c r="K36" s="4"/>
      <c r="L36" s="4"/>
      <c r="M36" s="4"/>
      <c r="N36" s="4"/>
      <c r="O36" s="4"/>
      <c r="P36" s="4"/>
      <c r="Q36" s="4"/>
      <c r="R36" s="4"/>
      <c r="S36" s="4"/>
      <c r="T36" s="5"/>
      <c r="U36" s="5"/>
      <c r="V36" s="5"/>
      <c r="W36" s="5"/>
      <c r="X36" s="5"/>
      <c r="Y36" s="5"/>
      <c r="Z36" s="5"/>
    </row>
    <row r="37" spans="1:26" s="6" customFormat="1" ht="15" customHeight="1" x14ac:dyDescent="0.2">
      <c r="A37" s="108"/>
      <c r="B37" s="12"/>
      <c r="C37" s="12"/>
      <c r="D37" s="12"/>
      <c r="E37" s="12"/>
      <c r="F37" s="12"/>
      <c r="G37" s="12"/>
      <c r="H37" s="12"/>
      <c r="I37" s="12"/>
      <c r="J37" s="109"/>
      <c r="K37" s="4"/>
      <c r="L37" s="4"/>
      <c r="M37" s="4"/>
      <c r="N37" s="4"/>
      <c r="O37" s="4"/>
      <c r="P37" s="4"/>
      <c r="Q37" s="4"/>
      <c r="R37" s="4"/>
      <c r="S37" s="4"/>
      <c r="T37" s="5"/>
      <c r="U37" s="5"/>
      <c r="V37" s="5"/>
      <c r="W37" s="5"/>
      <c r="X37" s="5"/>
      <c r="Y37" s="5"/>
      <c r="Z37" s="5"/>
    </row>
    <row r="38" spans="1:26" s="1" customFormat="1" ht="15" customHeight="1" x14ac:dyDescent="0.2">
      <c r="A38" s="108"/>
      <c r="B38" s="12"/>
      <c r="C38" s="12"/>
      <c r="D38" s="12"/>
      <c r="E38" s="12"/>
      <c r="F38" s="12"/>
      <c r="G38" s="12"/>
      <c r="H38" s="12"/>
      <c r="I38" s="12"/>
      <c r="J38" s="109"/>
    </row>
    <row r="39" spans="1:26" s="1" customFormat="1" ht="15" customHeight="1" x14ac:dyDescent="0.2">
      <c r="A39" s="108"/>
      <c r="B39" s="12"/>
      <c r="C39" s="12"/>
      <c r="D39" s="12"/>
      <c r="E39" s="12"/>
      <c r="F39" s="12"/>
      <c r="G39" s="12"/>
      <c r="H39" s="12"/>
      <c r="I39" s="12"/>
      <c r="J39" s="109"/>
    </row>
    <row r="40" spans="1:26" s="1" customFormat="1" ht="15" customHeight="1" x14ac:dyDescent="0.2">
      <c r="A40" s="108"/>
      <c r="B40" s="12"/>
      <c r="C40" s="12"/>
      <c r="D40" s="12"/>
      <c r="E40" s="12"/>
      <c r="F40" s="12"/>
      <c r="G40" s="12"/>
      <c r="H40" s="12"/>
      <c r="I40" s="12"/>
      <c r="J40" s="109"/>
    </row>
    <row r="41" spans="1:26" s="1" customFormat="1" ht="18" customHeight="1" x14ac:dyDescent="0.2">
      <c r="A41" s="108"/>
      <c r="B41" s="12"/>
      <c r="C41" s="12"/>
      <c r="D41" s="12"/>
      <c r="E41" s="12"/>
      <c r="F41" s="12"/>
      <c r="G41" s="12"/>
      <c r="H41" s="12"/>
      <c r="I41" s="12"/>
      <c r="J41" s="109"/>
    </row>
    <row r="42" spans="1:26" s="1" customFormat="1" ht="18" customHeight="1" x14ac:dyDescent="0.2">
      <c r="A42" s="108"/>
      <c r="B42" s="12"/>
      <c r="C42" s="12"/>
      <c r="D42" s="12"/>
      <c r="E42" s="12"/>
      <c r="F42" s="12"/>
      <c r="G42" s="12"/>
      <c r="H42" s="12"/>
      <c r="I42" s="12"/>
      <c r="J42" s="109"/>
    </row>
    <row r="43" spans="1:26" s="1" customFormat="1" ht="25.35" customHeight="1" x14ac:dyDescent="0.2">
      <c r="A43" s="108"/>
      <c r="B43" s="12"/>
      <c r="C43" s="12"/>
      <c r="D43" s="12"/>
      <c r="E43" s="12"/>
      <c r="F43" s="12"/>
      <c r="G43" s="12"/>
      <c r="H43" s="12"/>
      <c r="I43" s="12"/>
      <c r="J43" s="109"/>
    </row>
    <row r="44" spans="1:26" s="1" customFormat="1" ht="25.35" customHeight="1" x14ac:dyDescent="0.2">
      <c r="A44" s="108"/>
      <c r="B44" s="12"/>
      <c r="C44" s="12"/>
      <c r="D44" s="12"/>
      <c r="E44" s="12"/>
      <c r="F44" s="12"/>
      <c r="G44" s="12"/>
      <c r="H44" s="12"/>
      <c r="I44" s="12"/>
      <c r="J44" s="109"/>
    </row>
    <row r="45" spans="1:26" s="1" customFormat="1" ht="25.35" customHeight="1" x14ac:dyDescent="0.2">
      <c r="A45" s="112"/>
      <c r="B45" s="113"/>
      <c r="C45" s="113"/>
      <c r="D45" s="113"/>
      <c r="E45" s="113"/>
      <c r="F45" s="113"/>
      <c r="G45" s="113"/>
      <c r="H45" s="113"/>
      <c r="I45" s="113"/>
      <c r="J45" s="114"/>
    </row>
    <row r="46" spans="1:26" s="1" customFormat="1" ht="45" customHeight="1" x14ac:dyDescent="0.25">
      <c r="A46" s="391" t="s">
        <v>646</v>
      </c>
      <c r="B46" s="392"/>
      <c r="C46" s="392"/>
      <c r="D46" s="392"/>
      <c r="E46" s="392"/>
      <c r="F46" s="392"/>
      <c r="G46" s="392"/>
      <c r="H46" s="392"/>
      <c r="I46" s="392"/>
      <c r="J46" s="393"/>
    </row>
    <row r="47" spans="1:26" s="1" customFormat="1" ht="15.75" x14ac:dyDescent="0.25">
      <c r="A47" s="106"/>
      <c r="B47" s="340"/>
      <c r="C47" s="340"/>
      <c r="D47" s="340"/>
      <c r="E47" s="340"/>
      <c r="F47" s="340"/>
      <c r="G47" s="340"/>
      <c r="H47" s="340"/>
      <c r="I47" s="340"/>
      <c r="J47" s="107"/>
    </row>
    <row r="48" spans="1:26" s="1" customFormat="1" ht="15.75" x14ac:dyDescent="0.25">
      <c r="A48" s="106"/>
      <c r="B48" s="30"/>
      <c r="C48" s="30"/>
      <c r="D48" s="30"/>
      <c r="E48" s="30"/>
      <c r="F48" s="30"/>
      <c r="G48" s="30"/>
      <c r="H48" s="30"/>
      <c r="I48" s="30"/>
      <c r="J48" s="107"/>
    </row>
    <row r="49" spans="1:26" s="1" customFormat="1" ht="15.75" x14ac:dyDescent="0.25">
      <c r="A49" s="106"/>
      <c r="B49" s="30"/>
      <c r="C49" s="30"/>
      <c r="D49" s="30"/>
      <c r="E49" s="30"/>
      <c r="F49" s="30"/>
      <c r="G49" s="30"/>
      <c r="H49" s="30"/>
      <c r="I49" s="30"/>
      <c r="J49" s="107"/>
    </row>
    <row r="50" spans="1:26" s="1" customFormat="1" ht="15.75" x14ac:dyDescent="0.25">
      <c r="A50" s="106"/>
      <c r="B50" s="30"/>
      <c r="C50" s="30"/>
      <c r="D50" s="30"/>
      <c r="E50" s="30"/>
      <c r="F50" s="30"/>
      <c r="G50" s="30"/>
      <c r="H50" s="30"/>
      <c r="I50" s="30"/>
      <c r="J50" s="107"/>
    </row>
    <row r="51" spans="1:26" s="1" customFormat="1" ht="15.75" x14ac:dyDescent="0.25">
      <c r="A51" s="106"/>
      <c r="B51" s="30"/>
      <c r="C51" s="30"/>
      <c r="D51" s="30"/>
      <c r="E51" s="30"/>
      <c r="F51" s="30"/>
      <c r="G51" s="30"/>
      <c r="H51" s="30"/>
      <c r="I51" s="30"/>
      <c r="J51" s="107"/>
    </row>
    <row r="52" spans="1:26" s="1" customFormat="1" ht="15.75" x14ac:dyDescent="0.25">
      <c r="A52" s="106"/>
      <c r="B52" s="30"/>
      <c r="C52" s="30"/>
      <c r="D52" s="30"/>
      <c r="E52" s="30"/>
      <c r="F52" s="30"/>
      <c r="G52" s="30"/>
      <c r="H52" s="30"/>
      <c r="I52" s="30"/>
      <c r="J52" s="107"/>
    </row>
    <row r="53" spans="1:26" s="1" customFormat="1" ht="15.75" x14ac:dyDescent="0.25">
      <c r="A53" s="106"/>
      <c r="B53" s="30"/>
      <c r="C53" s="30"/>
      <c r="D53" s="30"/>
      <c r="E53" s="30"/>
      <c r="F53" s="30"/>
      <c r="G53" s="30"/>
      <c r="H53" s="30"/>
      <c r="I53" s="30"/>
      <c r="J53" s="107"/>
    </row>
    <row r="54" spans="1:26" s="6" customFormat="1" ht="15" customHeight="1" x14ac:dyDescent="0.2">
      <c r="A54" s="108"/>
      <c r="B54" s="12"/>
      <c r="C54" s="12"/>
      <c r="D54" s="12"/>
      <c r="E54" s="12"/>
      <c r="F54" s="12"/>
      <c r="G54" s="12"/>
      <c r="H54" s="12"/>
      <c r="I54" s="12"/>
      <c r="J54" s="109"/>
      <c r="K54" s="4"/>
      <c r="L54" s="4"/>
      <c r="M54" s="4"/>
      <c r="N54" s="4"/>
      <c r="O54" s="4"/>
      <c r="P54" s="4"/>
      <c r="Q54" s="4"/>
      <c r="R54" s="4"/>
      <c r="S54" s="4"/>
      <c r="T54" s="5"/>
      <c r="U54" s="5"/>
      <c r="V54" s="5"/>
      <c r="W54" s="5"/>
      <c r="X54" s="5"/>
      <c r="Y54" s="5"/>
      <c r="Z54" s="5"/>
    </row>
    <row r="55" spans="1:26" s="1" customFormat="1" ht="15" customHeight="1" x14ac:dyDescent="0.2">
      <c r="A55" s="108"/>
      <c r="B55" s="12"/>
      <c r="C55" s="12"/>
      <c r="D55" s="12"/>
      <c r="E55" s="12"/>
      <c r="F55" s="12"/>
      <c r="G55" s="12"/>
      <c r="H55" s="12"/>
      <c r="I55" s="12"/>
      <c r="J55" s="109"/>
    </row>
    <row r="56" spans="1:26" s="1" customFormat="1" ht="15" customHeight="1" x14ac:dyDescent="0.2">
      <c r="A56" s="108"/>
      <c r="B56" s="12"/>
      <c r="C56" s="12"/>
      <c r="D56" s="12"/>
      <c r="E56" s="12"/>
      <c r="F56" s="12"/>
      <c r="G56" s="12"/>
      <c r="H56" s="12"/>
      <c r="I56" s="12"/>
      <c r="J56" s="109"/>
    </row>
    <row r="57" spans="1:26" s="1" customFormat="1" ht="15" customHeight="1" x14ac:dyDescent="0.2">
      <c r="A57" s="108"/>
      <c r="B57" s="12"/>
      <c r="C57" s="12"/>
      <c r="D57" s="12"/>
      <c r="E57" s="12"/>
      <c r="F57" s="12"/>
      <c r="G57" s="12"/>
      <c r="H57" s="12"/>
      <c r="I57" s="12"/>
      <c r="J57" s="109"/>
    </row>
    <row r="58" spans="1:26" s="1" customFormat="1" ht="15.75" x14ac:dyDescent="0.25">
      <c r="A58" s="106"/>
      <c r="B58" s="30"/>
      <c r="C58" s="30"/>
      <c r="D58" s="30"/>
      <c r="E58" s="30"/>
      <c r="F58" s="30"/>
      <c r="G58" s="30"/>
      <c r="H58" s="30"/>
      <c r="I58" s="30"/>
      <c r="J58" s="107"/>
    </row>
    <row r="59" spans="1:26" s="1" customFormat="1" ht="15.75" x14ac:dyDescent="0.25">
      <c r="A59" s="106"/>
      <c r="B59" s="30"/>
      <c r="C59" s="30"/>
      <c r="D59" s="30"/>
      <c r="E59" s="30"/>
      <c r="F59" s="30"/>
      <c r="G59" s="30"/>
      <c r="H59" s="30"/>
      <c r="I59" s="30"/>
      <c r="J59" s="107"/>
    </row>
    <row r="60" spans="1:26" s="1" customFormat="1" ht="15.75" x14ac:dyDescent="0.25">
      <c r="A60" s="106"/>
      <c r="B60" s="30"/>
      <c r="C60" s="30"/>
      <c r="D60" s="30"/>
      <c r="E60" s="30"/>
      <c r="F60" s="30"/>
      <c r="G60" s="30"/>
      <c r="H60" s="30"/>
      <c r="I60" s="30"/>
      <c r="J60" s="107"/>
    </row>
    <row r="61" spans="1:26" s="1" customFormat="1" ht="15.75" x14ac:dyDescent="0.25">
      <c r="A61" s="106"/>
      <c r="B61" s="30"/>
      <c r="C61" s="30"/>
      <c r="D61" s="30"/>
      <c r="E61" s="30"/>
      <c r="F61" s="30"/>
      <c r="G61" s="30"/>
      <c r="H61" s="30"/>
      <c r="I61" s="30"/>
      <c r="J61" s="107"/>
    </row>
    <row r="62" spans="1:26" s="1" customFormat="1" ht="15.75" x14ac:dyDescent="0.25">
      <c r="A62" s="106"/>
      <c r="B62" s="30"/>
      <c r="C62" s="30"/>
      <c r="D62" s="30"/>
      <c r="E62" s="30"/>
      <c r="F62" s="30"/>
      <c r="G62" s="30"/>
      <c r="H62" s="30"/>
      <c r="I62" s="30"/>
      <c r="J62" s="107"/>
    </row>
    <row r="63" spans="1:26" s="1" customFormat="1" ht="15.75" x14ac:dyDescent="0.25">
      <c r="A63" s="106"/>
      <c r="B63" s="30"/>
      <c r="C63" s="30"/>
      <c r="D63" s="30"/>
      <c r="E63" s="30"/>
      <c r="F63" s="30"/>
      <c r="G63" s="30"/>
      <c r="H63" s="30"/>
      <c r="I63" s="30"/>
      <c r="J63" s="107"/>
    </row>
    <row r="64" spans="1:26" s="1" customFormat="1" ht="15.75" x14ac:dyDescent="0.25">
      <c r="A64" s="106"/>
      <c r="B64" s="30"/>
      <c r="C64" s="30"/>
      <c r="D64" s="30"/>
      <c r="E64" s="30"/>
      <c r="F64" s="30"/>
      <c r="G64" s="30"/>
      <c r="H64" s="30"/>
      <c r="I64" s="30"/>
      <c r="J64" s="107"/>
    </row>
    <row r="65" spans="1:26" s="1" customFormat="1" x14ac:dyDescent="0.25">
      <c r="A65" s="110"/>
      <c r="B65" s="28"/>
      <c r="C65" s="28"/>
      <c r="D65" s="28"/>
      <c r="E65" s="28"/>
      <c r="F65" s="28"/>
      <c r="G65" s="28"/>
      <c r="H65" s="28"/>
      <c r="I65" s="28"/>
      <c r="J65" s="111"/>
      <c r="K65" s="2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s="1" customFormat="1" ht="69.75" customHeight="1" x14ac:dyDescent="0.25">
      <c r="A66" s="110"/>
      <c r="B66" s="341" t="s">
        <v>648</v>
      </c>
      <c r="C66" s="341"/>
      <c r="D66" s="341"/>
      <c r="E66" s="341"/>
      <c r="F66" s="341"/>
      <c r="G66" s="341"/>
      <c r="H66" s="341"/>
      <c r="I66" s="341"/>
      <c r="J66" s="111"/>
      <c r="K66" s="2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s="1" customFormat="1" ht="15" customHeight="1" x14ac:dyDescent="0.2">
      <c r="A67" s="110"/>
      <c r="B67" s="342"/>
      <c r="C67" s="342"/>
      <c r="D67" s="342"/>
      <c r="E67" s="342"/>
      <c r="F67" s="342"/>
      <c r="G67" s="342"/>
      <c r="H67" s="342"/>
      <c r="I67" s="342"/>
      <c r="J67" s="111"/>
      <c r="K67" s="2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s="1" customFormat="1" ht="15" customHeight="1" x14ac:dyDescent="0.2">
      <c r="A68" s="110"/>
      <c r="B68" s="343"/>
      <c r="C68" s="343"/>
      <c r="D68" s="343"/>
      <c r="E68" s="343"/>
      <c r="F68" s="343"/>
      <c r="G68" s="343"/>
      <c r="H68" s="343"/>
      <c r="I68" s="343"/>
      <c r="J68" s="111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s="1" customFormat="1" ht="15" customHeight="1" x14ac:dyDescent="0.2">
      <c r="A69" s="110"/>
      <c r="B69" s="343"/>
      <c r="C69" s="343"/>
      <c r="D69" s="343"/>
      <c r="E69" s="343"/>
      <c r="F69" s="343"/>
      <c r="G69" s="343"/>
      <c r="H69" s="343"/>
      <c r="I69" s="343"/>
      <c r="J69" s="111"/>
      <c r="K69" s="2"/>
      <c r="L69" s="2"/>
      <c r="M69" s="2"/>
      <c r="N69" s="2"/>
      <c r="O69" s="2"/>
      <c r="P69" s="2"/>
      <c r="Q69" s="2"/>
      <c r="R69" s="2"/>
      <c r="S69" s="2"/>
      <c r="T69" s="3"/>
      <c r="U69" s="3"/>
      <c r="V69" s="3"/>
      <c r="W69" s="3"/>
      <c r="X69" s="3"/>
      <c r="Y69" s="3"/>
      <c r="Z69" s="3"/>
    </row>
    <row r="70" spans="1:26" s="1" customFormat="1" ht="15" customHeight="1" x14ac:dyDescent="0.2">
      <c r="A70" s="110"/>
      <c r="B70" s="343"/>
      <c r="C70" s="343"/>
      <c r="D70" s="343"/>
      <c r="E70" s="343"/>
      <c r="F70" s="343"/>
      <c r="G70" s="343"/>
      <c r="H70" s="343"/>
      <c r="I70" s="343"/>
      <c r="J70" s="111"/>
      <c r="K70" s="2"/>
      <c r="L70" s="2"/>
      <c r="M70" s="2"/>
      <c r="N70" s="2"/>
      <c r="O70" s="2"/>
      <c r="P70" s="2"/>
      <c r="Q70" s="2"/>
      <c r="R70" s="2"/>
      <c r="S70" s="2"/>
      <c r="T70" s="3"/>
      <c r="U70" s="3"/>
      <c r="V70" s="3"/>
      <c r="W70" s="3"/>
      <c r="X70" s="3"/>
      <c r="Y70" s="3"/>
      <c r="Z70" s="3"/>
    </row>
    <row r="71" spans="1:26" s="1" customFormat="1" ht="15" customHeight="1" x14ac:dyDescent="0.2">
      <c r="A71" s="110"/>
      <c r="B71" s="12"/>
      <c r="C71" s="12"/>
      <c r="D71" s="12"/>
      <c r="E71" s="12"/>
      <c r="F71" s="12"/>
      <c r="G71" s="12"/>
      <c r="H71" s="12"/>
      <c r="I71" s="12"/>
      <c r="J71" s="111"/>
      <c r="K71" s="2"/>
      <c r="L71" s="2"/>
      <c r="M71" s="2"/>
      <c r="N71" s="2"/>
      <c r="O71" s="2"/>
      <c r="P71" s="2"/>
      <c r="Q71" s="2"/>
      <c r="R71" s="2"/>
      <c r="S71" s="2"/>
      <c r="T71" s="3"/>
      <c r="U71" s="3"/>
      <c r="V71" s="3"/>
      <c r="W71" s="3"/>
      <c r="X71" s="3"/>
      <c r="Y71" s="3"/>
      <c r="Z71" s="3"/>
    </row>
    <row r="72" spans="1:26" s="1" customFormat="1" ht="15" customHeight="1" x14ac:dyDescent="0.2">
      <c r="A72" s="110"/>
      <c r="B72" s="343"/>
      <c r="C72" s="343"/>
      <c r="D72" s="343"/>
      <c r="E72" s="343"/>
      <c r="F72" s="343"/>
      <c r="G72" s="343"/>
      <c r="H72" s="343"/>
      <c r="I72" s="343"/>
      <c r="J72" s="111"/>
      <c r="K72" s="2"/>
      <c r="L72" s="2"/>
      <c r="M72" s="2"/>
      <c r="N72" s="2"/>
      <c r="O72" s="2"/>
      <c r="P72" s="2"/>
      <c r="Q72" s="2"/>
      <c r="R72" s="2"/>
      <c r="S72" s="2"/>
      <c r="T72" s="3"/>
      <c r="U72" s="3"/>
      <c r="V72" s="3"/>
      <c r="W72" s="3"/>
      <c r="X72" s="3"/>
      <c r="Y72" s="3"/>
      <c r="Z72" s="3"/>
    </row>
    <row r="73" spans="1:26" s="6" customFormat="1" ht="15" customHeight="1" x14ac:dyDescent="0.2">
      <c r="A73" s="108"/>
      <c r="B73" s="343"/>
      <c r="C73" s="343"/>
      <c r="D73" s="343"/>
      <c r="E73" s="343"/>
      <c r="F73" s="343"/>
      <c r="G73" s="343"/>
      <c r="H73" s="343"/>
      <c r="I73" s="343"/>
      <c r="J73" s="109"/>
      <c r="K73" s="4"/>
      <c r="L73" s="4"/>
      <c r="M73" s="4"/>
      <c r="N73" s="4"/>
      <c r="O73" s="4"/>
      <c r="P73" s="4"/>
      <c r="Q73" s="4"/>
      <c r="R73" s="4"/>
      <c r="S73" s="4"/>
      <c r="T73" s="5"/>
      <c r="U73" s="5"/>
      <c r="V73" s="5"/>
      <c r="W73" s="5"/>
      <c r="X73" s="5"/>
      <c r="Y73" s="5"/>
      <c r="Z73" s="5"/>
    </row>
    <row r="74" spans="1:26" s="6" customFormat="1" ht="15" customHeight="1" x14ac:dyDescent="0.2">
      <c r="A74" s="108"/>
      <c r="B74" s="343"/>
      <c r="C74" s="343"/>
      <c r="D74" s="343"/>
      <c r="E74" s="343"/>
      <c r="F74" s="343"/>
      <c r="G74" s="343"/>
      <c r="H74" s="343"/>
      <c r="I74" s="343"/>
      <c r="J74" s="109"/>
      <c r="K74" s="4"/>
      <c r="L74" s="4"/>
      <c r="M74" s="5"/>
      <c r="N74" s="4"/>
      <c r="O74" s="5"/>
      <c r="P74" s="4"/>
      <c r="Q74" s="4"/>
      <c r="R74" s="4"/>
      <c r="S74" s="4"/>
      <c r="T74" s="4"/>
      <c r="U74" s="5"/>
      <c r="V74" s="5"/>
      <c r="W74" s="5"/>
      <c r="X74" s="5"/>
      <c r="Y74" s="5"/>
      <c r="Z74" s="5"/>
    </row>
    <row r="75" spans="1:26" s="6" customFormat="1" ht="15" customHeight="1" x14ac:dyDescent="0.25">
      <c r="A75" s="108"/>
      <c r="B75" s="12"/>
      <c r="C75" s="12"/>
      <c r="D75" s="12"/>
      <c r="E75" s="12"/>
      <c r="F75" s="64"/>
      <c r="G75" s="12"/>
      <c r="H75" s="65"/>
      <c r="I75" s="12"/>
      <c r="J75" s="109"/>
      <c r="K75" s="4"/>
      <c r="L75" s="4"/>
      <c r="M75" s="4"/>
      <c r="N75" s="4"/>
      <c r="O75" s="4"/>
      <c r="P75" s="4"/>
      <c r="Q75" s="4"/>
      <c r="R75" s="4"/>
      <c r="S75" s="4"/>
      <c r="T75" s="5"/>
      <c r="U75" s="5"/>
      <c r="V75" s="5"/>
      <c r="W75" s="5"/>
      <c r="X75" s="5"/>
      <c r="Y75" s="5"/>
      <c r="Z75" s="5"/>
    </row>
    <row r="76" spans="1:26" s="6" customFormat="1" ht="15" customHeight="1" x14ac:dyDescent="0.2">
      <c r="A76" s="108"/>
      <c r="B76" s="12"/>
      <c r="C76" s="12"/>
      <c r="D76" s="12"/>
      <c r="E76" s="12"/>
      <c r="F76" s="12"/>
      <c r="G76" s="12"/>
      <c r="H76" s="12"/>
      <c r="I76" s="12"/>
      <c r="J76" s="109"/>
      <c r="K76" s="4"/>
      <c r="L76" s="4"/>
      <c r="M76" s="4"/>
      <c r="N76" s="4"/>
      <c r="O76" s="4"/>
      <c r="P76" s="4"/>
      <c r="Q76" s="4"/>
      <c r="R76" s="4"/>
      <c r="S76" s="4"/>
      <c r="T76" s="5"/>
      <c r="U76" s="5"/>
      <c r="V76" s="5"/>
      <c r="W76" s="5"/>
      <c r="X76" s="5"/>
      <c r="Y76" s="5"/>
      <c r="Z76" s="5"/>
    </row>
    <row r="77" spans="1:26" s="6" customFormat="1" ht="15" customHeight="1" x14ac:dyDescent="0.2">
      <c r="A77" s="108"/>
      <c r="B77" s="12"/>
      <c r="C77" s="12"/>
      <c r="D77" s="12"/>
      <c r="E77" s="12"/>
      <c r="F77" s="12"/>
      <c r="G77" s="12"/>
      <c r="H77" s="12"/>
      <c r="I77" s="12"/>
      <c r="J77" s="109"/>
      <c r="K77" s="4"/>
      <c r="L77" s="4"/>
      <c r="M77" s="4"/>
      <c r="N77" s="4"/>
      <c r="O77" s="4"/>
      <c r="P77" s="4"/>
      <c r="Q77" s="4"/>
      <c r="R77" s="4"/>
      <c r="S77" s="4"/>
      <c r="T77" s="5"/>
      <c r="U77" s="5"/>
      <c r="V77" s="5"/>
      <c r="W77" s="5"/>
      <c r="X77" s="5"/>
      <c r="Y77" s="5"/>
      <c r="Z77" s="5"/>
    </row>
    <row r="78" spans="1:26" s="6" customFormat="1" ht="15" customHeight="1" x14ac:dyDescent="0.2">
      <c r="A78" s="108"/>
      <c r="B78" s="12"/>
      <c r="C78" s="12"/>
      <c r="D78" s="12"/>
      <c r="E78" s="12"/>
      <c r="F78" s="12"/>
      <c r="G78" s="12"/>
      <c r="H78" s="12"/>
      <c r="I78" s="12"/>
      <c r="J78" s="109"/>
      <c r="K78" s="4"/>
      <c r="L78" s="4"/>
      <c r="M78" s="4"/>
      <c r="N78" s="4"/>
      <c r="O78" s="4"/>
      <c r="P78" s="4"/>
      <c r="Q78" s="4"/>
      <c r="R78" s="4"/>
      <c r="S78" s="4"/>
      <c r="T78" s="5"/>
      <c r="U78" s="5"/>
      <c r="V78" s="5"/>
      <c r="W78" s="5"/>
      <c r="X78" s="5"/>
      <c r="Y78" s="5"/>
      <c r="Z78" s="5"/>
    </row>
    <row r="79" spans="1:26" s="6" customFormat="1" ht="15" customHeight="1" x14ac:dyDescent="0.2">
      <c r="A79" s="108"/>
      <c r="B79" s="12"/>
      <c r="C79" s="12"/>
      <c r="D79" s="12"/>
      <c r="E79" s="12"/>
      <c r="F79" s="12"/>
      <c r="G79" s="12"/>
      <c r="H79" s="12"/>
      <c r="I79" s="12"/>
      <c r="J79" s="109"/>
      <c r="K79" s="4"/>
      <c r="L79" s="4"/>
      <c r="M79" s="4"/>
      <c r="N79" s="4"/>
      <c r="O79" s="4"/>
      <c r="P79" s="4"/>
      <c r="Q79" s="4"/>
      <c r="R79" s="4"/>
      <c r="S79" s="4"/>
      <c r="T79" s="5"/>
      <c r="U79" s="5"/>
      <c r="V79" s="5"/>
      <c r="W79" s="5"/>
      <c r="X79" s="5"/>
      <c r="Y79" s="5"/>
      <c r="Z79" s="5"/>
    </row>
    <row r="80" spans="1:26" s="6" customFormat="1" ht="15" customHeight="1" x14ac:dyDescent="0.2">
      <c r="A80" s="108"/>
      <c r="B80" s="12"/>
      <c r="C80" s="12"/>
      <c r="D80" s="12"/>
      <c r="E80" s="12"/>
      <c r="F80" s="12"/>
      <c r="G80" s="12"/>
      <c r="H80" s="12"/>
      <c r="I80" s="12"/>
      <c r="J80" s="109"/>
      <c r="K80" s="4"/>
      <c r="L80" s="4"/>
      <c r="M80" s="4"/>
      <c r="N80" s="4"/>
      <c r="O80" s="4"/>
      <c r="P80" s="4"/>
      <c r="Q80" s="4"/>
      <c r="R80" s="4"/>
      <c r="S80" s="4"/>
      <c r="T80" s="5"/>
      <c r="U80" s="5"/>
      <c r="V80" s="5"/>
      <c r="W80" s="5"/>
      <c r="X80" s="5"/>
      <c r="Y80" s="5"/>
      <c r="Z80" s="5"/>
    </row>
    <row r="81" spans="1:26" s="6" customFormat="1" ht="15" customHeight="1" x14ac:dyDescent="0.2">
      <c r="A81" s="108"/>
      <c r="B81" s="12"/>
      <c r="C81" s="12"/>
      <c r="D81" s="12"/>
      <c r="E81" s="12"/>
      <c r="F81" s="12"/>
      <c r="G81" s="12"/>
      <c r="H81" s="12"/>
      <c r="I81" s="12"/>
      <c r="J81" s="109"/>
      <c r="K81" s="4"/>
      <c r="L81" s="4"/>
      <c r="M81" s="4"/>
      <c r="N81" s="4"/>
      <c r="O81" s="4"/>
      <c r="P81" s="4"/>
      <c r="Q81" s="4"/>
      <c r="R81" s="4"/>
      <c r="S81" s="4"/>
      <c r="T81" s="5"/>
      <c r="U81" s="5"/>
      <c r="V81" s="5"/>
      <c r="W81" s="5"/>
      <c r="X81" s="5"/>
      <c r="Y81" s="5"/>
      <c r="Z81" s="5"/>
    </row>
    <row r="82" spans="1:26" s="6" customFormat="1" ht="15" customHeight="1" x14ac:dyDescent="0.2">
      <c r="A82" s="108"/>
      <c r="B82" s="12"/>
      <c r="C82" s="12"/>
      <c r="D82" s="12"/>
      <c r="E82" s="12"/>
      <c r="F82" s="12"/>
      <c r="G82" s="12"/>
      <c r="H82" s="12"/>
      <c r="I82" s="12"/>
      <c r="J82" s="109"/>
      <c r="K82" s="4"/>
      <c r="L82" s="4"/>
      <c r="M82" s="4"/>
      <c r="N82" s="4"/>
      <c r="O82" s="4"/>
      <c r="P82" s="4"/>
      <c r="Q82" s="4"/>
      <c r="R82" s="4"/>
      <c r="S82" s="4"/>
      <c r="T82" s="5"/>
      <c r="U82" s="5"/>
      <c r="V82" s="5"/>
      <c r="W82" s="5"/>
      <c r="X82" s="5"/>
      <c r="Y82" s="5"/>
      <c r="Z82" s="5"/>
    </row>
    <row r="83" spans="1:26" s="1" customFormat="1" ht="15" customHeight="1" x14ac:dyDescent="0.2">
      <c r="A83" s="108"/>
      <c r="B83" s="12"/>
      <c r="C83" s="12"/>
      <c r="D83" s="12"/>
      <c r="E83" s="12"/>
      <c r="F83" s="12"/>
      <c r="G83" s="12"/>
      <c r="H83" s="12"/>
      <c r="I83" s="12"/>
      <c r="J83" s="109"/>
    </row>
    <row r="84" spans="1:26" s="1" customFormat="1" ht="15" customHeight="1" x14ac:dyDescent="0.2">
      <c r="A84" s="108"/>
      <c r="B84" s="12"/>
      <c r="C84" s="12"/>
      <c r="D84" s="12"/>
      <c r="E84" s="12"/>
      <c r="F84" s="12"/>
      <c r="G84" s="12"/>
      <c r="H84" s="12"/>
      <c r="I84" s="12"/>
      <c r="J84" s="109"/>
    </row>
    <row r="85" spans="1:26" s="1" customFormat="1" ht="15" customHeight="1" x14ac:dyDescent="0.2">
      <c r="A85" s="108"/>
      <c r="B85" s="12"/>
      <c r="C85" s="12"/>
      <c r="D85" s="12"/>
      <c r="E85" s="12"/>
      <c r="F85" s="12"/>
      <c r="G85" s="12"/>
      <c r="H85" s="12"/>
      <c r="I85" s="12"/>
      <c r="J85" s="109"/>
    </row>
    <row r="86" spans="1:26" s="1" customFormat="1" ht="18" customHeight="1" x14ac:dyDescent="0.2">
      <c r="A86" s="108"/>
      <c r="B86" s="12"/>
      <c r="C86" s="12"/>
      <c r="D86" s="12"/>
      <c r="E86" s="12"/>
      <c r="F86" s="12"/>
      <c r="G86" s="12"/>
      <c r="H86" s="12"/>
      <c r="I86" s="12"/>
      <c r="J86" s="109"/>
    </row>
    <row r="87" spans="1:26" s="1" customFormat="1" ht="18" customHeight="1" x14ac:dyDescent="0.2">
      <c r="A87" s="108"/>
      <c r="B87" s="12"/>
      <c r="C87" s="12"/>
      <c r="D87" s="12"/>
      <c r="E87" s="12"/>
      <c r="F87" s="12"/>
      <c r="G87" s="12"/>
      <c r="H87" s="12"/>
      <c r="I87" s="12"/>
      <c r="J87" s="109"/>
    </row>
    <row r="88" spans="1:26" s="1" customFormat="1" ht="25.35" customHeight="1" x14ac:dyDescent="0.2">
      <c r="A88" s="108"/>
      <c r="B88" s="12"/>
      <c r="C88" s="12"/>
      <c r="D88" s="12"/>
      <c r="E88" s="12"/>
      <c r="F88" s="12"/>
      <c r="G88" s="12"/>
      <c r="H88" s="12"/>
      <c r="I88" s="12"/>
      <c r="J88" s="109"/>
    </row>
    <row r="89" spans="1:26" s="1" customFormat="1" ht="25.35" customHeight="1" x14ac:dyDescent="0.2">
      <c r="A89" s="108"/>
      <c r="B89" s="12"/>
      <c r="C89" s="12"/>
      <c r="D89" s="12"/>
      <c r="E89" s="12"/>
      <c r="F89" s="12"/>
      <c r="G89" s="12"/>
      <c r="H89" s="12"/>
      <c r="I89" s="12"/>
      <c r="J89" s="109"/>
    </row>
    <row r="90" spans="1:26" s="1" customFormat="1" ht="25.35" customHeight="1" x14ac:dyDescent="0.2">
      <c r="A90" s="112"/>
      <c r="B90" s="113"/>
      <c r="C90" s="113"/>
      <c r="D90" s="113"/>
      <c r="E90" s="113"/>
      <c r="F90" s="113"/>
      <c r="G90" s="113"/>
      <c r="H90" s="113"/>
      <c r="I90" s="113"/>
      <c r="J90" s="114"/>
    </row>
    <row r="91" spans="1:26" s="1" customFormat="1" ht="45" customHeight="1" x14ac:dyDescent="0.25">
      <c r="A91" s="391" t="s">
        <v>646</v>
      </c>
      <c r="B91" s="392"/>
      <c r="C91" s="392"/>
      <c r="D91" s="392"/>
      <c r="E91" s="392"/>
      <c r="F91" s="392"/>
      <c r="G91" s="392"/>
      <c r="H91" s="392"/>
      <c r="I91" s="392"/>
      <c r="J91" s="393"/>
    </row>
    <row r="92" spans="1:26" s="1" customFormat="1" ht="15.75" x14ac:dyDescent="0.25">
      <c r="A92" s="106"/>
      <c r="B92" s="340"/>
      <c r="C92" s="340"/>
      <c r="D92" s="340"/>
      <c r="E92" s="340"/>
      <c r="F92" s="340"/>
      <c r="G92" s="340"/>
      <c r="H92" s="340"/>
      <c r="I92" s="340"/>
      <c r="J92" s="107"/>
    </row>
    <row r="93" spans="1:26" s="1" customFormat="1" ht="15.75" x14ac:dyDescent="0.25">
      <c r="A93" s="106"/>
      <c r="B93" s="30"/>
      <c r="C93" s="30"/>
      <c r="D93" s="30"/>
      <c r="E93" s="30"/>
      <c r="F93" s="30"/>
      <c r="G93" s="30"/>
      <c r="H93" s="30"/>
      <c r="I93" s="30"/>
      <c r="J93" s="107"/>
    </row>
    <row r="94" spans="1:26" s="1" customFormat="1" ht="15.75" x14ac:dyDescent="0.25">
      <c r="A94" s="106"/>
      <c r="B94" s="30"/>
      <c r="C94" s="30"/>
      <c r="D94" s="30"/>
      <c r="E94" s="30"/>
      <c r="F94" s="30"/>
      <c r="G94" s="30"/>
      <c r="H94" s="30"/>
      <c r="I94" s="30"/>
      <c r="J94" s="107"/>
    </row>
    <row r="95" spans="1:26" s="1" customFormat="1" ht="15.75" x14ac:dyDescent="0.25">
      <c r="A95" s="106"/>
      <c r="B95" s="30"/>
      <c r="C95" s="30"/>
      <c r="D95" s="30"/>
      <c r="E95" s="30"/>
      <c r="F95" s="30"/>
      <c r="G95" s="30"/>
      <c r="H95" s="30"/>
      <c r="I95" s="30"/>
      <c r="J95" s="107"/>
    </row>
    <row r="96" spans="1:26" s="1" customFormat="1" ht="15.75" x14ac:dyDescent="0.25">
      <c r="A96" s="106"/>
      <c r="B96" s="30"/>
      <c r="C96" s="30"/>
      <c r="D96" s="30"/>
      <c r="E96" s="30"/>
      <c r="F96" s="30"/>
      <c r="G96" s="30"/>
      <c r="H96" s="30"/>
      <c r="I96" s="30"/>
      <c r="J96" s="107"/>
    </row>
    <row r="97" spans="1:26" s="1" customFormat="1" ht="15.75" x14ac:dyDescent="0.25">
      <c r="A97" s="106"/>
      <c r="B97" s="30"/>
      <c r="C97" s="30"/>
      <c r="D97" s="30"/>
      <c r="E97" s="30"/>
      <c r="F97" s="30"/>
      <c r="G97" s="30"/>
      <c r="H97" s="30"/>
      <c r="I97" s="30"/>
      <c r="J97" s="107"/>
    </row>
    <row r="98" spans="1:26" s="1" customFormat="1" ht="15.75" x14ac:dyDescent="0.25">
      <c r="A98" s="106"/>
      <c r="B98" s="30"/>
      <c r="C98" s="30"/>
      <c r="D98" s="30"/>
      <c r="E98" s="30"/>
      <c r="F98" s="30"/>
      <c r="G98" s="30"/>
      <c r="H98" s="30"/>
      <c r="I98" s="30"/>
      <c r="J98" s="107"/>
    </row>
    <row r="99" spans="1:26" s="6" customFormat="1" ht="15" customHeight="1" x14ac:dyDescent="0.2">
      <c r="A99" s="108"/>
      <c r="B99" s="12"/>
      <c r="C99" s="12"/>
      <c r="D99" s="12"/>
      <c r="E99" s="12"/>
      <c r="F99" s="12"/>
      <c r="G99" s="12"/>
      <c r="H99" s="12"/>
      <c r="I99" s="12"/>
      <c r="J99" s="109"/>
      <c r="K99" s="4"/>
      <c r="L99" s="4"/>
      <c r="M99" s="4"/>
      <c r="N99" s="4"/>
      <c r="O99" s="4"/>
      <c r="P99" s="4"/>
      <c r="Q99" s="4"/>
      <c r="R99" s="4"/>
      <c r="S99" s="4"/>
      <c r="T99" s="5"/>
      <c r="U99" s="5"/>
      <c r="V99" s="5"/>
      <c r="W99" s="5"/>
      <c r="X99" s="5"/>
      <c r="Y99" s="5"/>
      <c r="Z99" s="5"/>
    </row>
    <row r="100" spans="1:26" s="1" customFormat="1" ht="15" customHeight="1" x14ac:dyDescent="0.2">
      <c r="A100" s="108"/>
      <c r="B100" s="12"/>
      <c r="C100" s="12"/>
      <c r="D100" s="12"/>
      <c r="E100" s="12"/>
      <c r="F100" s="12"/>
      <c r="G100" s="12"/>
      <c r="H100" s="12"/>
      <c r="I100" s="12"/>
      <c r="J100" s="109"/>
    </row>
    <row r="101" spans="1:26" s="1" customFormat="1" ht="15" customHeight="1" x14ac:dyDescent="0.2">
      <c r="A101" s="108"/>
      <c r="B101" s="12"/>
      <c r="C101" s="12"/>
      <c r="D101" s="12"/>
      <c r="E101" s="12"/>
      <c r="F101" s="12"/>
      <c r="G101" s="12"/>
      <c r="H101" s="12"/>
      <c r="I101" s="12"/>
      <c r="J101" s="109"/>
    </row>
    <row r="102" spans="1:26" s="1" customFormat="1" ht="15" customHeight="1" x14ac:dyDescent="0.2">
      <c r="A102" s="108"/>
      <c r="B102" s="12"/>
      <c r="C102" s="12"/>
      <c r="D102" s="12"/>
      <c r="E102" s="12"/>
      <c r="F102" s="12"/>
      <c r="G102" s="12"/>
      <c r="H102" s="12"/>
      <c r="I102" s="12"/>
      <c r="J102" s="109"/>
    </row>
    <row r="103" spans="1:26" s="1" customFormat="1" ht="15.75" x14ac:dyDescent="0.25">
      <c r="A103" s="106"/>
      <c r="B103" s="30"/>
      <c r="C103" s="30"/>
      <c r="D103" s="30"/>
      <c r="E103" s="30"/>
      <c r="F103" s="30"/>
      <c r="G103" s="30"/>
      <c r="H103" s="30"/>
      <c r="I103" s="30"/>
      <c r="J103" s="107"/>
    </row>
    <row r="104" spans="1:26" s="1" customFormat="1" ht="15.75" x14ac:dyDescent="0.25">
      <c r="A104" s="106"/>
      <c r="B104" s="30"/>
      <c r="C104" s="30"/>
      <c r="D104" s="30"/>
      <c r="E104" s="30"/>
      <c r="F104" s="30"/>
      <c r="G104" s="30"/>
      <c r="H104" s="30"/>
      <c r="I104" s="30"/>
      <c r="J104" s="107"/>
    </row>
    <row r="105" spans="1:26" s="1" customFormat="1" ht="15.75" x14ac:dyDescent="0.25">
      <c r="A105" s="106"/>
      <c r="B105" s="30"/>
      <c r="C105" s="30"/>
      <c r="D105" s="30"/>
      <c r="E105" s="30"/>
      <c r="F105" s="30"/>
      <c r="G105" s="30"/>
      <c r="H105" s="30"/>
      <c r="I105" s="30"/>
      <c r="J105" s="107"/>
    </row>
    <row r="106" spans="1:26" s="1" customFormat="1" ht="15.75" x14ac:dyDescent="0.25">
      <c r="A106" s="106"/>
      <c r="B106" s="30"/>
      <c r="C106" s="30"/>
      <c r="D106" s="30"/>
      <c r="E106" s="30"/>
      <c r="F106" s="30"/>
      <c r="G106" s="30"/>
      <c r="H106" s="30"/>
      <c r="I106" s="30"/>
      <c r="J106" s="107"/>
    </row>
    <row r="107" spans="1:26" s="1" customFormat="1" ht="15.75" x14ac:dyDescent="0.25">
      <c r="A107" s="106"/>
      <c r="B107" s="30"/>
      <c r="C107" s="30"/>
      <c r="D107" s="30"/>
      <c r="E107" s="30"/>
      <c r="F107" s="30"/>
      <c r="G107" s="30"/>
      <c r="H107" s="30"/>
      <c r="I107" s="30"/>
      <c r="J107" s="107"/>
    </row>
    <row r="108" spans="1:26" s="1" customFormat="1" ht="15.75" x14ac:dyDescent="0.25">
      <c r="A108" s="106"/>
      <c r="B108" s="30"/>
      <c r="C108" s="30"/>
      <c r="D108" s="30"/>
      <c r="E108" s="30"/>
      <c r="F108" s="30"/>
      <c r="G108" s="30"/>
      <c r="H108" s="30"/>
      <c r="I108" s="30"/>
      <c r="J108" s="107"/>
    </row>
    <row r="109" spans="1:26" s="1" customFormat="1" ht="15.75" x14ac:dyDescent="0.25">
      <c r="A109" s="106"/>
      <c r="B109" s="30"/>
      <c r="C109" s="30"/>
      <c r="D109" s="30"/>
      <c r="E109" s="30"/>
      <c r="F109" s="30"/>
      <c r="G109" s="30"/>
      <c r="H109" s="30"/>
      <c r="I109" s="30"/>
      <c r="J109" s="107"/>
    </row>
    <row r="110" spans="1:26" s="1" customFormat="1" x14ac:dyDescent="0.25">
      <c r="A110" s="110"/>
      <c r="B110" s="28"/>
      <c r="C110" s="28"/>
      <c r="D110" s="28"/>
      <c r="E110" s="28"/>
      <c r="F110" s="28"/>
      <c r="G110" s="28"/>
      <c r="H110" s="28"/>
      <c r="I110" s="28"/>
      <c r="J110" s="111"/>
      <c r="K110" s="2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s="1" customFormat="1" ht="69.75" customHeight="1" x14ac:dyDescent="0.25">
      <c r="A111" s="110"/>
      <c r="B111" s="341" t="s">
        <v>649</v>
      </c>
      <c r="C111" s="341"/>
      <c r="D111" s="341"/>
      <c r="E111" s="341"/>
      <c r="F111" s="341"/>
      <c r="G111" s="341"/>
      <c r="H111" s="341"/>
      <c r="I111" s="341"/>
      <c r="J111" s="111"/>
      <c r="K111" s="2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s="1" customFormat="1" ht="15" customHeight="1" x14ac:dyDescent="0.2">
      <c r="A112" s="110"/>
      <c r="B112" s="342"/>
      <c r="C112" s="342"/>
      <c r="D112" s="342"/>
      <c r="E112" s="342"/>
      <c r="F112" s="342"/>
      <c r="G112" s="342"/>
      <c r="H112" s="342"/>
      <c r="I112" s="342"/>
      <c r="J112" s="111"/>
      <c r="K112" s="2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s="1" customFormat="1" ht="15" customHeight="1" x14ac:dyDescent="0.2">
      <c r="A113" s="110"/>
      <c r="B113" s="343"/>
      <c r="C113" s="343"/>
      <c r="D113" s="343"/>
      <c r="E113" s="343"/>
      <c r="F113" s="343"/>
      <c r="G113" s="343"/>
      <c r="H113" s="343"/>
      <c r="I113" s="343"/>
      <c r="J113" s="111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s="1" customFormat="1" ht="15" customHeight="1" x14ac:dyDescent="0.2">
      <c r="A114" s="110"/>
      <c r="B114" s="343"/>
      <c r="C114" s="343"/>
      <c r="D114" s="343"/>
      <c r="E114" s="343"/>
      <c r="F114" s="343"/>
      <c r="G114" s="343"/>
      <c r="H114" s="343"/>
      <c r="I114" s="343"/>
      <c r="J114" s="111"/>
      <c r="K114" s="2"/>
      <c r="L114" s="2"/>
      <c r="M114" s="2"/>
      <c r="N114" s="2"/>
      <c r="O114" s="2"/>
      <c r="P114" s="2"/>
      <c r="Q114" s="2"/>
      <c r="R114" s="2"/>
      <c r="S114" s="2"/>
      <c r="T114" s="3"/>
      <c r="U114" s="3"/>
      <c r="V114" s="3"/>
      <c r="W114" s="3"/>
      <c r="X114" s="3"/>
      <c r="Y114" s="3"/>
      <c r="Z114" s="3"/>
    </row>
    <row r="115" spans="1:26" s="1" customFormat="1" ht="15" customHeight="1" x14ac:dyDescent="0.2">
      <c r="A115" s="110"/>
      <c r="B115" s="343"/>
      <c r="C115" s="343"/>
      <c r="D115" s="343"/>
      <c r="E115" s="343"/>
      <c r="F115" s="343"/>
      <c r="G115" s="343"/>
      <c r="H115" s="343"/>
      <c r="I115" s="343"/>
      <c r="J115" s="111"/>
      <c r="K115" s="2"/>
      <c r="L115" s="2"/>
      <c r="M115" s="2"/>
      <c r="N115" s="2"/>
      <c r="O115" s="2"/>
      <c r="P115" s="2"/>
      <c r="Q115" s="2"/>
      <c r="R115" s="2"/>
      <c r="S115" s="2"/>
      <c r="T115" s="3"/>
      <c r="U115" s="3"/>
      <c r="V115" s="3"/>
      <c r="W115" s="3"/>
      <c r="X115" s="3"/>
      <c r="Y115" s="3"/>
      <c r="Z115" s="3"/>
    </row>
    <row r="116" spans="1:26" s="1" customFormat="1" ht="15" customHeight="1" x14ac:dyDescent="0.2">
      <c r="A116" s="110"/>
      <c r="B116" s="12"/>
      <c r="C116" s="12"/>
      <c r="D116" s="12"/>
      <c r="E116" s="12"/>
      <c r="F116" s="12"/>
      <c r="G116" s="12"/>
      <c r="H116" s="12"/>
      <c r="I116" s="12"/>
      <c r="J116" s="111"/>
      <c r="K116" s="2"/>
      <c r="L116" s="2"/>
      <c r="M116" s="2"/>
      <c r="N116" s="2"/>
      <c r="O116" s="2"/>
      <c r="P116" s="2"/>
      <c r="Q116" s="2"/>
      <c r="R116" s="2"/>
      <c r="S116" s="2"/>
      <c r="T116" s="3"/>
      <c r="U116" s="3"/>
      <c r="V116" s="3"/>
      <c r="W116" s="3"/>
      <c r="X116" s="3"/>
      <c r="Y116" s="3"/>
      <c r="Z116" s="3"/>
    </row>
    <row r="117" spans="1:26" s="1" customFormat="1" ht="15" customHeight="1" x14ac:dyDescent="0.2">
      <c r="A117" s="110"/>
      <c r="B117" s="343"/>
      <c r="C117" s="343"/>
      <c r="D117" s="343"/>
      <c r="E117" s="343"/>
      <c r="F117" s="343"/>
      <c r="G117" s="343"/>
      <c r="H117" s="343"/>
      <c r="I117" s="343"/>
      <c r="J117" s="111"/>
      <c r="K117" s="2"/>
      <c r="L117" s="2"/>
      <c r="M117" s="2"/>
      <c r="N117" s="2"/>
      <c r="O117" s="2"/>
      <c r="P117" s="2"/>
      <c r="Q117" s="2"/>
      <c r="R117" s="2"/>
      <c r="S117" s="2"/>
      <c r="T117" s="3"/>
      <c r="U117" s="3"/>
      <c r="V117" s="3"/>
      <c r="W117" s="3"/>
      <c r="X117" s="3"/>
      <c r="Y117" s="3"/>
      <c r="Z117" s="3"/>
    </row>
    <row r="118" spans="1:26" s="6" customFormat="1" ht="15" customHeight="1" x14ac:dyDescent="0.2">
      <c r="A118" s="108"/>
      <c r="B118" s="343"/>
      <c r="C118" s="343"/>
      <c r="D118" s="343"/>
      <c r="E118" s="343"/>
      <c r="F118" s="343"/>
      <c r="G118" s="343"/>
      <c r="H118" s="343"/>
      <c r="I118" s="343"/>
      <c r="J118" s="109"/>
      <c r="K118" s="4"/>
      <c r="L118" s="4"/>
      <c r="M118" s="4"/>
      <c r="N118" s="4"/>
      <c r="O118" s="4"/>
      <c r="P118" s="4"/>
      <c r="Q118" s="4"/>
      <c r="R118" s="4"/>
      <c r="S118" s="4"/>
      <c r="T118" s="5"/>
      <c r="U118" s="5"/>
      <c r="V118" s="5"/>
      <c r="W118" s="5"/>
      <c r="X118" s="5"/>
      <c r="Y118" s="5"/>
      <c r="Z118" s="5"/>
    </row>
    <row r="119" spans="1:26" s="6" customFormat="1" ht="15" customHeight="1" x14ac:dyDescent="0.2">
      <c r="A119" s="108"/>
      <c r="B119" s="343"/>
      <c r="C119" s="343"/>
      <c r="D119" s="343"/>
      <c r="E119" s="343"/>
      <c r="F119" s="343"/>
      <c r="G119" s="343"/>
      <c r="H119" s="343"/>
      <c r="I119" s="343"/>
      <c r="J119" s="109"/>
      <c r="K119" s="4"/>
      <c r="L119" s="4"/>
      <c r="M119" s="5"/>
      <c r="N119" s="4"/>
      <c r="O119" s="5"/>
      <c r="P119" s="4"/>
      <c r="Q119" s="4"/>
      <c r="R119" s="4"/>
      <c r="S119" s="4"/>
      <c r="T119" s="4"/>
      <c r="U119" s="5"/>
      <c r="V119" s="5"/>
      <c r="W119" s="5"/>
      <c r="X119" s="5"/>
      <c r="Y119" s="5"/>
      <c r="Z119" s="5"/>
    </row>
    <row r="120" spans="1:26" s="6" customFormat="1" ht="15" customHeight="1" x14ac:dyDescent="0.25">
      <c r="A120" s="108"/>
      <c r="B120" s="12"/>
      <c r="C120" s="12"/>
      <c r="D120" s="12"/>
      <c r="E120" s="12"/>
      <c r="F120" s="64"/>
      <c r="G120" s="12"/>
      <c r="H120" s="65"/>
      <c r="I120" s="12"/>
      <c r="J120" s="109"/>
      <c r="K120" s="4"/>
      <c r="L120" s="4"/>
      <c r="M120" s="4"/>
      <c r="N120" s="4"/>
      <c r="O120" s="4"/>
      <c r="P120" s="4"/>
      <c r="Q120" s="4"/>
      <c r="R120" s="4"/>
      <c r="S120" s="4"/>
      <c r="T120" s="5"/>
      <c r="U120" s="5"/>
      <c r="V120" s="5"/>
      <c r="W120" s="5"/>
      <c r="X120" s="5"/>
      <c r="Y120" s="5"/>
      <c r="Z120" s="5"/>
    </row>
    <row r="121" spans="1:26" s="6" customFormat="1" ht="15" customHeight="1" x14ac:dyDescent="0.2">
      <c r="A121" s="108"/>
      <c r="B121" s="12"/>
      <c r="C121" s="12"/>
      <c r="D121" s="12"/>
      <c r="E121" s="12"/>
      <c r="F121" s="12"/>
      <c r="G121" s="12"/>
      <c r="H121" s="12"/>
      <c r="I121" s="12"/>
      <c r="J121" s="109"/>
      <c r="K121" s="4"/>
      <c r="L121" s="4"/>
      <c r="M121" s="4"/>
      <c r="N121" s="4"/>
      <c r="O121" s="4"/>
      <c r="P121" s="4"/>
      <c r="Q121" s="4"/>
      <c r="R121" s="4"/>
      <c r="S121" s="4"/>
      <c r="T121" s="5"/>
      <c r="U121" s="5"/>
      <c r="V121" s="5"/>
      <c r="W121" s="5"/>
      <c r="X121" s="5"/>
      <c r="Y121" s="5"/>
      <c r="Z121" s="5"/>
    </row>
    <row r="122" spans="1:26" s="6" customFormat="1" ht="15" customHeight="1" x14ac:dyDescent="0.2">
      <c r="A122" s="108"/>
      <c r="B122" s="12"/>
      <c r="C122" s="12"/>
      <c r="D122" s="12"/>
      <c r="E122" s="12"/>
      <c r="F122" s="12"/>
      <c r="G122" s="12"/>
      <c r="H122" s="12"/>
      <c r="I122" s="12"/>
      <c r="J122" s="109"/>
      <c r="K122" s="4"/>
      <c r="L122" s="4"/>
      <c r="M122" s="4"/>
      <c r="N122" s="4"/>
      <c r="O122" s="4"/>
      <c r="P122" s="4"/>
      <c r="Q122" s="4"/>
      <c r="R122" s="4"/>
      <c r="S122" s="4"/>
      <c r="T122" s="5"/>
      <c r="U122" s="5"/>
      <c r="V122" s="5"/>
      <c r="W122" s="5"/>
      <c r="X122" s="5"/>
      <c r="Y122" s="5"/>
      <c r="Z122" s="5"/>
    </row>
    <row r="123" spans="1:26" s="6" customFormat="1" ht="15" customHeight="1" x14ac:dyDescent="0.2">
      <c r="A123" s="108"/>
      <c r="B123" s="12"/>
      <c r="C123" s="12"/>
      <c r="D123" s="12"/>
      <c r="E123" s="12"/>
      <c r="F123" s="12"/>
      <c r="G123" s="12"/>
      <c r="H123" s="12"/>
      <c r="I123" s="12"/>
      <c r="J123" s="109"/>
      <c r="K123" s="4"/>
      <c r="L123" s="4"/>
      <c r="M123" s="4"/>
      <c r="N123" s="4"/>
      <c r="O123" s="4"/>
      <c r="P123" s="4"/>
      <c r="Q123" s="4"/>
      <c r="R123" s="4"/>
      <c r="S123" s="4"/>
      <c r="T123" s="5"/>
      <c r="U123" s="5"/>
      <c r="V123" s="5"/>
      <c r="W123" s="5"/>
      <c r="X123" s="5"/>
      <c r="Y123" s="5"/>
      <c r="Z123" s="5"/>
    </row>
    <row r="124" spans="1:26" s="6" customFormat="1" ht="15" customHeight="1" x14ac:dyDescent="0.2">
      <c r="A124" s="108"/>
      <c r="B124" s="12"/>
      <c r="C124" s="12"/>
      <c r="D124" s="12"/>
      <c r="E124" s="12"/>
      <c r="F124" s="12"/>
      <c r="G124" s="12"/>
      <c r="H124" s="12"/>
      <c r="I124" s="12"/>
      <c r="J124" s="109"/>
      <c r="K124" s="4"/>
      <c r="L124" s="4"/>
      <c r="M124" s="4"/>
      <c r="N124" s="4"/>
      <c r="O124" s="4"/>
      <c r="P124" s="4"/>
      <c r="Q124" s="4"/>
      <c r="R124" s="4"/>
      <c r="S124" s="4"/>
      <c r="T124" s="5"/>
      <c r="U124" s="5"/>
      <c r="V124" s="5"/>
      <c r="W124" s="5"/>
      <c r="X124" s="5"/>
      <c r="Y124" s="5"/>
      <c r="Z124" s="5"/>
    </row>
    <row r="125" spans="1:26" s="6" customFormat="1" ht="15" customHeight="1" x14ac:dyDescent="0.2">
      <c r="A125" s="108"/>
      <c r="B125" s="12"/>
      <c r="C125" s="12"/>
      <c r="D125" s="12"/>
      <c r="E125" s="12"/>
      <c r="F125" s="12"/>
      <c r="G125" s="12"/>
      <c r="H125" s="12"/>
      <c r="I125" s="12"/>
      <c r="J125" s="109"/>
      <c r="K125" s="4"/>
      <c r="L125" s="4"/>
      <c r="M125" s="4"/>
      <c r="N125" s="4"/>
      <c r="O125" s="4"/>
      <c r="P125" s="4"/>
      <c r="Q125" s="4"/>
      <c r="R125" s="4"/>
      <c r="S125" s="4"/>
      <c r="T125" s="5"/>
      <c r="U125" s="5"/>
      <c r="V125" s="5"/>
      <c r="W125" s="5"/>
      <c r="X125" s="5"/>
      <c r="Y125" s="5"/>
      <c r="Z125" s="5"/>
    </row>
    <row r="126" spans="1:26" s="6" customFormat="1" ht="15" customHeight="1" x14ac:dyDescent="0.2">
      <c r="A126" s="108"/>
      <c r="B126" s="12"/>
      <c r="C126" s="12"/>
      <c r="D126" s="12"/>
      <c r="E126" s="12"/>
      <c r="F126" s="12"/>
      <c r="G126" s="12"/>
      <c r="H126" s="12"/>
      <c r="I126" s="12"/>
      <c r="J126" s="109"/>
      <c r="K126" s="4"/>
      <c r="L126" s="4"/>
      <c r="M126" s="4"/>
      <c r="N126" s="4"/>
      <c r="O126" s="4"/>
      <c r="P126" s="4"/>
      <c r="Q126" s="4"/>
      <c r="R126" s="4"/>
      <c r="S126" s="4"/>
      <c r="T126" s="5"/>
      <c r="U126" s="5"/>
      <c r="V126" s="5"/>
      <c r="W126" s="5"/>
      <c r="X126" s="5"/>
      <c r="Y126" s="5"/>
      <c r="Z126" s="5"/>
    </row>
    <row r="127" spans="1:26" s="6" customFormat="1" ht="15" customHeight="1" x14ac:dyDescent="0.2">
      <c r="A127" s="108"/>
      <c r="B127" s="12"/>
      <c r="C127" s="12"/>
      <c r="D127" s="12"/>
      <c r="E127" s="12"/>
      <c r="F127" s="12"/>
      <c r="G127" s="12"/>
      <c r="H127" s="12"/>
      <c r="I127" s="12"/>
      <c r="J127" s="109"/>
      <c r="K127" s="4"/>
      <c r="L127" s="4"/>
      <c r="M127" s="4"/>
      <c r="N127" s="4"/>
      <c r="O127" s="4"/>
      <c r="P127" s="4"/>
      <c r="Q127" s="4"/>
      <c r="R127" s="4"/>
      <c r="S127" s="4"/>
      <c r="T127" s="5"/>
      <c r="U127" s="5"/>
      <c r="V127" s="5"/>
      <c r="W127" s="5"/>
      <c r="X127" s="5"/>
      <c r="Y127" s="5"/>
      <c r="Z127" s="5"/>
    </row>
    <row r="128" spans="1:26" s="1" customFormat="1" ht="15" customHeight="1" x14ac:dyDescent="0.2">
      <c r="A128" s="108"/>
      <c r="B128" s="12"/>
      <c r="C128" s="12"/>
      <c r="D128" s="12"/>
      <c r="E128" s="12"/>
      <c r="F128" s="12"/>
      <c r="G128" s="12"/>
      <c r="H128" s="12"/>
      <c r="I128" s="12"/>
      <c r="J128" s="109"/>
    </row>
    <row r="129" spans="1:26" s="1" customFormat="1" ht="15" customHeight="1" x14ac:dyDescent="0.2">
      <c r="A129" s="108"/>
      <c r="B129" s="12"/>
      <c r="C129" s="12"/>
      <c r="D129" s="12"/>
      <c r="E129" s="12"/>
      <c r="F129" s="12"/>
      <c r="G129" s="12"/>
      <c r="H129" s="12"/>
      <c r="I129" s="12"/>
      <c r="J129" s="109"/>
    </row>
    <row r="130" spans="1:26" s="1" customFormat="1" ht="15" customHeight="1" x14ac:dyDescent="0.2">
      <c r="A130" s="108"/>
      <c r="B130" s="12"/>
      <c r="C130" s="12"/>
      <c r="D130" s="12"/>
      <c r="E130" s="12"/>
      <c r="F130" s="12"/>
      <c r="G130" s="12"/>
      <c r="H130" s="12"/>
      <c r="I130" s="12"/>
      <c r="J130" s="109"/>
    </row>
    <row r="131" spans="1:26" s="1" customFormat="1" ht="18" customHeight="1" x14ac:dyDescent="0.2">
      <c r="A131" s="108"/>
      <c r="B131" s="12"/>
      <c r="C131" s="12"/>
      <c r="D131" s="12"/>
      <c r="E131" s="12"/>
      <c r="F131" s="12"/>
      <c r="G131" s="12"/>
      <c r="H131" s="12"/>
      <c r="I131" s="12"/>
      <c r="J131" s="109"/>
    </row>
    <row r="132" spans="1:26" s="1" customFormat="1" ht="18" customHeight="1" x14ac:dyDescent="0.2">
      <c r="A132" s="108"/>
      <c r="B132" s="12"/>
      <c r="C132" s="12"/>
      <c r="D132" s="12"/>
      <c r="E132" s="12"/>
      <c r="F132" s="12"/>
      <c r="G132" s="12"/>
      <c r="H132" s="12"/>
      <c r="I132" s="12"/>
      <c r="J132" s="109"/>
    </row>
    <row r="133" spans="1:26" s="1" customFormat="1" ht="25.35" customHeight="1" x14ac:dyDescent="0.2">
      <c r="A133" s="108"/>
      <c r="B133" s="12"/>
      <c r="C133" s="12"/>
      <c r="D133" s="12"/>
      <c r="E133" s="12"/>
      <c r="F133" s="12"/>
      <c r="G133" s="12"/>
      <c r="H133" s="12"/>
      <c r="I133" s="12"/>
      <c r="J133" s="109"/>
    </row>
    <row r="134" spans="1:26" s="1" customFormat="1" ht="25.35" customHeight="1" x14ac:dyDescent="0.2">
      <c r="A134" s="108"/>
      <c r="B134" s="12"/>
      <c r="C134" s="12"/>
      <c r="D134" s="12"/>
      <c r="E134" s="12"/>
      <c r="F134" s="12"/>
      <c r="G134" s="12"/>
      <c r="H134" s="12"/>
      <c r="I134" s="12"/>
      <c r="J134" s="109"/>
    </row>
    <row r="135" spans="1:26" s="1" customFormat="1" ht="25.35" customHeight="1" x14ac:dyDescent="0.2">
      <c r="A135" s="112"/>
      <c r="B135" s="113"/>
      <c r="C135" s="113"/>
      <c r="D135" s="113"/>
      <c r="E135" s="113"/>
      <c r="F135" s="113"/>
      <c r="G135" s="113"/>
      <c r="H135" s="113"/>
      <c r="I135" s="113"/>
      <c r="J135" s="114"/>
    </row>
    <row r="136" spans="1:26" s="1" customFormat="1" ht="45" customHeight="1" x14ac:dyDescent="0.25">
      <c r="A136" s="391" t="s">
        <v>646</v>
      </c>
      <c r="B136" s="392"/>
      <c r="C136" s="392"/>
      <c r="D136" s="392"/>
      <c r="E136" s="392"/>
      <c r="F136" s="392"/>
      <c r="G136" s="392"/>
      <c r="H136" s="392"/>
      <c r="I136" s="392"/>
      <c r="J136" s="393"/>
    </row>
    <row r="137" spans="1:26" s="1" customFormat="1" ht="15.75" x14ac:dyDescent="0.25">
      <c r="A137" s="106"/>
      <c r="B137" s="340"/>
      <c r="C137" s="340"/>
      <c r="D137" s="340"/>
      <c r="E137" s="340"/>
      <c r="F137" s="340"/>
      <c r="G137" s="340"/>
      <c r="H137" s="340"/>
      <c r="I137" s="340"/>
      <c r="J137" s="107"/>
    </row>
    <row r="138" spans="1:26" s="1" customFormat="1" ht="15.75" x14ac:dyDescent="0.25">
      <c r="A138" s="106"/>
      <c r="B138" s="30"/>
      <c r="C138" s="30"/>
      <c r="D138" s="30"/>
      <c r="E138" s="30"/>
      <c r="F138" s="30"/>
      <c r="G138" s="30"/>
      <c r="H138" s="30"/>
      <c r="I138" s="30"/>
      <c r="J138" s="107"/>
    </row>
    <row r="139" spans="1:26" s="1" customFormat="1" ht="15.75" x14ac:dyDescent="0.25">
      <c r="A139" s="106"/>
      <c r="B139" s="30"/>
      <c r="C139" s="30"/>
      <c r="D139" s="30"/>
      <c r="E139" s="30"/>
      <c r="F139" s="30"/>
      <c r="G139" s="30"/>
      <c r="H139" s="30"/>
      <c r="I139" s="30"/>
      <c r="J139" s="107"/>
    </row>
    <row r="140" spans="1:26" s="1" customFormat="1" ht="15.75" x14ac:dyDescent="0.25">
      <c r="A140" s="106"/>
      <c r="B140" s="30"/>
      <c r="C140" s="30"/>
      <c r="D140" s="30"/>
      <c r="E140" s="30"/>
      <c r="F140" s="30"/>
      <c r="G140" s="30"/>
      <c r="H140" s="30"/>
      <c r="I140" s="30"/>
      <c r="J140" s="107"/>
    </row>
    <row r="141" spans="1:26" s="1" customFormat="1" ht="15.75" x14ac:dyDescent="0.25">
      <c r="A141" s="106"/>
      <c r="B141" s="30"/>
      <c r="C141" s="30"/>
      <c r="D141" s="30"/>
      <c r="E141" s="30"/>
      <c r="F141" s="30"/>
      <c r="G141" s="30"/>
      <c r="H141" s="30"/>
      <c r="I141" s="30"/>
      <c r="J141" s="107"/>
    </row>
    <row r="142" spans="1:26" s="1" customFormat="1" ht="15.75" x14ac:dyDescent="0.25">
      <c r="A142" s="106"/>
      <c r="B142" s="30"/>
      <c r="C142" s="30"/>
      <c r="D142" s="30"/>
      <c r="E142" s="30"/>
      <c r="F142" s="30"/>
      <c r="G142" s="30"/>
      <c r="H142" s="30"/>
      <c r="I142" s="30"/>
      <c r="J142" s="107"/>
    </row>
    <row r="143" spans="1:26" s="1" customFormat="1" ht="15.75" x14ac:dyDescent="0.25">
      <c r="A143" s="106"/>
      <c r="B143" s="30"/>
      <c r="C143" s="30"/>
      <c r="D143" s="30"/>
      <c r="E143" s="30"/>
      <c r="F143" s="30"/>
      <c r="G143" s="30"/>
      <c r="H143" s="30"/>
      <c r="I143" s="30"/>
      <c r="J143" s="107"/>
    </row>
    <row r="144" spans="1:26" s="6" customFormat="1" ht="15" customHeight="1" x14ac:dyDescent="0.2">
      <c r="A144" s="108"/>
      <c r="B144" s="12"/>
      <c r="C144" s="12"/>
      <c r="D144" s="12"/>
      <c r="E144" s="12"/>
      <c r="F144" s="12"/>
      <c r="G144" s="12"/>
      <c r="H144" s="12"/>
      <c r="I144" s="12"/>
      <c r="J144" s="109"/>
      <c r="K144" s="4"/>
      <c r="L144" s="4"/>
      <c r="M144" s="4"/>
      <c r="N144" s="4"/>
      <c r="O144" s="4"/>
      <c r="P144" s="4"/>
      <c r="Q144" s="4"/>
      <c r="R144" s="4"/>
      <c r="S144" s="4"/>
      <c r="T144" s="5"/>
      <c r="U144" s="5"/>
      <c r="V144" s="5"/>
      <c r="W144" s="5"/>
      <c r="X144" s="5"/>
      <c r="Y144" s="5"/>
      <c r="Z144" s="5"/>
    </row>
    <row r="145" spans="1:26" s="1" customFormat="1" ht="15" customHeight="1" x14ac:dyDescent="0.2">
      <c r="A145" s="108"/>
      <c r="B145" s="12"/>
      <c r="C145" s="12"/>
      <c r="D145" s="12"/>
      <c r="E145" s="12"/>
      <c r="F145" s="12"/>
      <c r="G145" s="12"/>
      <c r="H145" s="12"/>
      <c r="I145" s="12"/>
      <c r="J145" s="109"/>
    </row>
    <row r="146" spans="1:26" s="1" customFormat="1" ht="15" customHeight="1" x14ac:dyDescent="0.2">
      <c r="A146" s="108"/>
      <c r="B146" s="12"/>
      <c r="C146" s="12"/>
      <c r="D146" s="12"/>
      <c r="E146" s="12"/>
      <c r="F146" s="12"/>
      <c r="G146" s="12"/>
      <c r="H146" s="12"/>
      <c r="I146" s="12"/>
      <c r="J146" s="109"/>
    </row>
    <row r="147" spans="1:26" s="1" customFormat="1" ht="15" customHeight="1" x14ac:dyDescent="0.2">
      <c r="A147" s="108"/>
      <c r="B147" s="12"/>
      <c r="C147" s="12"/>
      <c r="D147" s="12"/>
      <c r="E147" s="12"/>
      <c r="F147" s="12"/>
      <c r="G147" s="12"/>
      <c r="H147" s="12"/>
      <c r="I147" s="12"/>
      <c r="J147" s="109"/>
    </row>
    <row r="148" spans="1:26" s="1" customFormat="1" ht="15.75" x14ac:dyDescent="0.25">
      <c r="A148" s="106"/>
      <c r="B148" s="30"/>
      <c r="C148" s="30"/>
      <c r="D148" s="30"/>
      <c r="E148" s="30"/>
      <c r="F148" s="30"/>
      <c r="G148" s="30"/>
      <c r="H148" s="30"/>
      <c r="I148" s="30"/>
      <c r="J148" s="107"/>
    </row>
    <row r="149" spans="1:26" s="1" customFormat="1" ht="15.75" x14ac:dyDescent="0.25">
      <c r="A149" s="106"/>
      <c r="B149" s="30"/>
      <c r="C149" s="30"/>
      <c r="D149" s="30"/>
      <c r="E149" s="30"/>
      <c r="F149" s="30"/>
      <c r="G149" s="30"/>
      <c r="H149" s="30"/>
      <c r="I149" s="30"/>
      <c r="J149" s="107"/>
    </row>
    <row r="150" spans="1:26" s="1" customFormat="1" ht="15.75" x14ac:dyDescent="0.25">
      <c r="A150" s="106"/>
      <c r="B150" s="30"/>
      <c r="C150" s="30"/>
      <c r="D150" s="30"/>
      <c r="E150" s="30"/>
      <c r="F150" s="30"/>
      <c r="G150" s="30"/>
      <c r="H150" s="30"/>
      <c r="I150" s="30"/>
      <c r="J150" s="107"/>
    </row>
    <row r="151" spans="1:26" s="1" customFormat="1" ht="15.75" x14ac:dyDescent="0.25">
      <c r="A151" s="106"/>
      <c r="B151" s="30"/>
      <c r="C151" s="30"/>
      <c r="D151" s="30"/>
      <c r="E151" s="30"/>
      <c r="F151" s="30"/>
      <c r="G151" s="30"/>
      <c r="H151" s="30"/>
      <c r="I151" s="30"/>
      <c r="J151" s="107"/>
    </row>
    <row r="152" spans="1:26" s="1" customFormat="1" ht="15.75" x14ac:dyDescent="0.25">
      <c r="A152" s="106"/>
      <c r="B152" s="30"/>
      <c r="C152" s="30"/>
      <c r="D152" s="30"/>
      <c r="E152" s="30"/>
      <c r="F152" s="30"/>
      <c r="G152" s="30"/>
      <c r="H152" s="30"/>
      <c r="I152" s="30"/>
      <c r="J152" s="107"/>
    </row>
    <row r="153" spans="1:26" s="1" customFormat="1" ht="15.75" x14ac:dyDescent="0.25">
      <c r="A153" s="106"/>
      <c r="B153" s="30"/>
      <c r="C153" s="30"/>
      <c r="D153" s="30"/>
      <c r="E153" s="30"/>
      <c r="F153" s="30"/>
      <c r="G153" s="30"/>
      <c r="H153" s="30"/>
      <c r="I153" s="30"/>
      <c r="J153" s="107"/>
    </row>
    <row r="154" spans="1:26" s="1" customFormat="1" ht="15.75" x14ac:dyDescent="0.25">
      <c r="A154" s="106"/>
      <c r="B154" s="30"/>
      <c r="C154" s="30"/>
      <c r="D154" s="30"/>
      <c r="E154" s="30"/>
      <c r="F154" s="30"/>
      <c r="G154" s="30"/>
      <c r="H154" s="30"/>
      <c r="I154" s="30"/>
      <c r="J154" s="107"/>
    </row>
    <row r="155" spans="1:26" s="1" customFormat="1" x14ac:dyDescent="0.25">
      <c r="A155" s="110"/>
      <c r="B155" s="28"/>
      <c r="C155" s="28"/>
      <c r="D155" s="28"/>
      <c r="E155" s="28"/>
      <c r="F155" s="28"/>
      <c r="G155" s="28"/>
      <c r="H155" s="28"/>
      <c r="I155" s="28"/>
      <c r="J155" s="111"/>
      <c r="K155" s="2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s="1" customFormat="1" ht="69.75" customHeight="1" x14ac:dyDescent="0.25">
      <c r="A156" s="110"/>
      <c r="B156" s="341" t="s">
        <v>650</v>
      </c>
      <c r="C156" s="341"/>
      <c r="D156" s="341"/>
      <c r="E156" s="341"/>
      <c r="F156" s="341"/>
      <c r="G156" s="341"/>
      <c r="H156" s="341"/>
      <c r="I156" s="341"/>
      <c r="J156" s="111"/>
      <c r="K156" s="2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s="1" customFormat="1" ht="15" customHeight="1" x14ac:dyDescent="0.2">
      <c r="A157" s="110"/>
      <c r="B157" s="342"/>
      <c r="C157" s="342"/>
      <c r="D157" s="342"/>
      <c r="E157" s="342"/>
      <c r="F157" s="342"/>
      <c r="G157" s="342"/>
      <c r="H157" s="342"/>
      <c r="I157" s="342"/>
      <c r="J157" s="111"/>
      <c r="K157" s="2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s="1" customFormat="1" ht="15" customHeight="1" x14ac:dyDescent="0.2">
      <c r="A158" s="110"/>
      <c r="B158" s="343"/>
      <c r="C158" s="343"/>
      <c r="D158" s="343"/>
      <c r="E158" s="343"/>
      <c r="F158" s="343"/>
      <c r="G158" s="343"/>
      <c r="H158" s="343"/>
      <c r="I158" s="343"/>
      <c r="J158" s="111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s="1" customFormat="1" ht="15" customHeight="1" x14ac:dyDescent="0.2">
      <c r="A159" s="110"/>
      <c r="B159" s="343"/>
      <c r="C159" s="343"/>
      <c r="D159" s="343"/>
      <c r="E159" s="343"/>
      <c r="F159" s="343"/>
      <c r="G159" s="343"/>
      <c r="H159" s="343"/>
      <c r="I159" s="343"/>
      <c r="J159" s="111"/>
      <c r="K159" s="2"/>
      <c r="L159" s="2"/>
      <c r="M159" s="2"/>
      <c r="N159" s="2"/>
      <c r="O159" s="2"/>
      <c r="P159" s="2"/>
      <c r="Q159" s="2"/>
      <c r="R159" s="2"/>
      <c r="S159" s="2"/>
      <c r="T159" s="3"/>
      <c r="U159" s="3"/>
      <c r="V159" s="3"/>
      <c r="W159" s="3"/>
      <c r="X159" s="3"/>
      <c r="Y159" s="3"/>
      <c r="Z159" s="3"/>
    </row>
    <row r="160" spans="1:26" s="1" customFormat="1" ht="15" customHeight="1" x14ac:dyDescent="0.2">
      <c r="A160" s="110"/>
      <c r="B160" s="343"/>
      <c r="C160" s="343"/>
      <c r="D160" s="343"/>
      <c r="E160" s="343"/>
      <c r="F160" s="343"/>
      <c r="G160" s="343"/>
      <c r="H160" s="343"/>
      <c r="I160" s="343"/>
      <c r="J160" s="111"/>
      <c r="K160" s="2"/>
      <c r="L160" s="2"/>
      <c r="M160" s="2"/>
      <c r="N160" s="2"/>
      <c r="O160" s="2"/>
      <c r="P160" s="2"/>
      <c r="Q160" s="2"/>
      <c r="R160" s="2"/>
      <c r="S160" s="2"/>
      <c r="T160" s="3"/>
      <c r="U160" s="3"/>
      <c r="V160" s="3"/>
      <c r="W160" s="3"/>
      <c r="X160" s="3"/>
      <c r="Y160" s="3"/>
      <c r="Z160" s="3"/>
    </row>
    <row r="161" spans="1:26" s="1" customFormat="1" ht="15" customHeight="1" x14ac:dyDescent="0.2">
      <c r="A161" s="110"/>
      <c r="B161" s="12"/>
      <c r="C161" s="12"/>
      <c r="D161" s="12"/>
      <c r="E161" s="12"/>
      <c r="F161" s="12"/>
      <c r="G161" s="12"/>
      <c r="H161" s="12"/>
      <c r="I161" s="12"/>
      <c r="J161" s="111"/>
      <c r="K161" s="2"/>
      <c r="L161" s="2"/>
      <c r="M161" s="2"/>
      <c r="N161" s="2"/>
      <c r="O161" s="2"/>
      <c r="P161" s="2"/>
      <c r="Q161" s="2"/>
      <c r="R161" s="2"/>
      <c r="S161" s="2"/>
      <c r="T161" s="3"/>
      <c r="U161" s="3"/>
      <c r="V161" s="3"/>
      <c r="W161" s="3"/>
      <c r="X161" s="3"/>
      <c r="Y161" s="3"/>
      <c r="Z161" s="3"/>
    </row>
    <row r="162" spans="1:26" s="1" customFormat="1" ht="15" customHeight="1" x14ac:dyDescent="0.2">
      <c r="A162" s="110"/>
      <c r="B162" s="343"/>
      <c r="C162" s="343"/>
      <c r="D162" s="343"/>
      <c r="E162" s="343"/>
      <c r="F162" s="343"/>
      <c r="G162" s="343"/>
      <c r="H162" s="343"/>
      <c r="I162" s="343"/>
      <c r="J162" s="111"/>
      <c r="K162" s="2"/>
      <c r="L162" s="2"/>
      <c r="M162" s="2"/>
      <c r="N162" s="2"/>
      <c r="O162" s="2"/>
      <c r="P162" s="2"/>
      <c r="Q162" s="2"/>
      <c r="R162" s="2"/>
      <c r="S162" s="2"/>
      <c r="T162" s="3"/>
      <c r="U162" s="3"/>
      <c r="V162" s="3"/>
      <c r="W162" s="3"/>
      <c r="X162" s="3"/>
      <c r="Y162" s="3"/>
      <c r="Z162" s="3"/>
    </row>
    <row r="163" spans="1:26" s="6" customFormat="1" ht="15" customHeight="1" x14ac:dyDescent="0.2">
      <c r="A163" s="108"/>
      <c r="B163" s="343"/>
      <c r="C163" s="343"/>
      <c r="D163" s="343"/>
      <c r="E163" s="343"/>
      <c r="F163" s="343"/>
      <c r="G163" s="343"/>
      <c r="H163" s="343"/>
      <c r="I163" s="343"/>
      <c r="J163" s="109"/>
      <c r="K163" s="4"/>
      <c r="L163" s="4"/>
      <c r="M163" s="4"/>
      <c r="N163" s="4"/>
      <c r="O163" s="4"/>
      <c r="P163" s="4"/>
      <c r="Q163" s="4"/>
      <c r="R163" s="4"/>
      <c r="S163" s="4"/>
      <c r="T163" s="5"/>
      <c r="U163" s="5"/>
      <c r="V163" s="5"/>
      <c r="W163" s="5"/>
      <c r="X163" s="5"/>
      <c r="Y163" s="5"/>
      <c r="Z163" s="5"/>
    </row>
    <row r="164" spans="1:26" s="6" customFormat="1" ht="15" customHeight="1" x14ac:dyDescent="0.2">
      <c r="A164" s="108"/>
      <c r="B164" s="343"/>
      <c r="C164" s="343"/>
      <c r="D164" s="343"/>
      <c r="E164" s="343"/>
      <c r="F164" s="343"/>
      <c r="G164" s="343"/>
      <c r="H164" s="343"/>
      <c r="I164" s="343"/>
      <c r="J164" s="109"/>
      <c r="K164" s="4"/>
      <c r="L164" s="4"/>
      <c r="M164" s="5"/>
      <c r="N164" s="4"/>
      <c r="O164" s="5"/>
      <c r="P164" s="4"/>
      <c r="Q164" s="4"/>
      <c r="R164" s="4"/>
      <c r="S164" s="4"/>
      <c r="T164" s="4"/>
      <c r="U164" s="5"/>
      <c r="V164" s="5"/>
      <c r="W164" s="5"/>
      <c r="X164" s="5"/>
      <c r="Y164" s="5"/>
      <c r="Z164" s="5"/>
    </row>
    <row r="165" spans="1:26" s="6" customFormat="1" ht="15" customHeight="1" x14ac:dyDescent="0.25">
      <c r="A165" s="108"/>
      <c r="B165" s="12"/>
      <c r="C165" s="12"/>
      <c r="D165" s="12"/>
      <c r="E165" s="12"/>
      <c r="F165" s="64"/>
      <c r="G165" s="12"/>
      <c r="H165" s="65"/>
      <c r="I165" s="12"/>
      <c r="J165" s="109"/>
      <c r="K165" s="4"/>
      <c r="L165" s="4"/>
      <c r="M165" s="4"/>
      <c r="N165" s="4"/>
      <c r="O165" s="4"/>
      <c r="P165" s="4"/>
      <c r="Q165" s="4"/>
      <c r="R165" s="4"/>
      <c r="S165" s="4"/>
      <c r="T165" s="5"/>
      <c r="U165" s="5"/>
      <c r="V165" s="5"/>
      <c r="W165" s="5"/>
      <c r="X165" s="5"/>
      <c r="Y165" s="5"/>
      <c r="Z165" s="5"/>
    </row>
    <row r="166" spans="1:26" s="6" customFormat="1" ht="15" customHeight="1" x14ac:dyDescent="0.2">
      <c r="A166" s="108"/>
      <c r="B166" s="12"/>
      <c r="C166" s="12"/>
      <c r="D166" s="12"/>
      <c r="E166" s="12"/>
      <c r="F166" s="12"/>
      <c r="G166" s="12"/>
      <c r="H166" s="12"/>
      <c r="I166" s="12"/>
      <c r="J166" s="109"/>
      <c r="K166" s="4"/>
      <c r="L166" s="4"/>
      <c r="M166" s="4"/>
      <c r="N166" s="4"/>
      <c r="O166" s="4"/>
      <c r="P166" s="4"/>
      <c r="Q166" s="4"/>
      <c r="R166" s="4"/>
      <c r="S166" s="4"/>
      <c r="T166" s="5"/>
      <c r="U166" s="5"/>
      <c r="V166" s="5"/>
      <c r="W166" s="5"/>
      <c r="X166" s="5"/>
      <c r="Y166" s="5"/>
      <c r="Z166" s="5"/>
    </row>
    <row r="167" spans="1:26" s="6" customFormat="1" ht="15" customHeight="1" x14ac:dyDescent="0.2">
      <c r="A167" s="108"/>
      <c r="B167" s="12"/>
      <c r="C167" s="12"/>
      <c r="D167" s="12"/>
      <c r="E167" s="12"/>
      <c r="F167" s="12"/>
      <c r="G167" s="12"/>
      <c r="H167" s="12"/>
      <c r="I167" s="12"/>
      <c r="J167" s="109"/>
      <c r="K167" s="4"/>
      <c r="L167" s="4"/>
      <c r="M167" s="4"/>
      <c r="N167" s="4"/>
      <c r="O167" s="4"/>
      <c r="P167" s="4"/>
      <c r="Q167" s="4"/>
      <c r="R167" s="4"/>
      <c r="S167" s="4"/>
      <c r="T167" s="5"/>
      <c r="U167" s="5"/>
      <c r="V167" s="5"/>
      <c r="W167" s="5"/>
      <c r="X167" s="5"/>
      <c r="Y167" s="5"/>
      <c r="Z167" s="5"/>
    </row>
    <row r="168" spans="1:26" s="6" customFormat="1" ht="15" customHeight="1" x14ac:dyDescent="0.2">
      <c r="A168" s="108"/>
      <c r="B168" s="12"/>
      <c r="C168" s="12"/>
      <c r="D168" s="12"/>
      <c r="E168" s="12"/>
      <c r="F168" s="12"/>
      <c r="G168" s="12"/>
      <c r="H168" s="12"/>
      <c r="I168" s="12"/>
      <c r="J168" s="109"/>
      <c r="K168" s="4"/>
      <c r="L168" s="4"/>
      <c r="M168" s="4"/>
      <c r="N168" s="4"/>
      <c r="O168" s="4"/>
      <c r="P168" s="4"/>
      <c r="Q168" s="4"/>
      <c r="R168" s="4"/>
      <c r="S168" s="4"/>
      <c r="T168" s="5"/>
      <c r="U168" s="5"/>
      <c r="V168" s="5"/>
      <c r="W168" s="5"/>
      <c r="X168" s="5"/>
      <c r="Y168" s="5"/>
      <c r="Z168" s="5"/>
    </row>
    <row r="169" spans="1:26" s="6" customFormat="1" ht="15" customHeight="1" x14ac:dyDescent="0.2">
      <c r="A169" s="108"/>
      <c r="B169" s="12"/>
      <c r="C169" s="12"/>
      <c r="D169" s="12"/>
      <c r="E169" s="12"/>
      <c r="F169" s="12"/>
      <c r="G169" s="12"/>
      <c r="H169" s="12"/>
      <c r="I169" s="12"/>
      <c r="J169" s="109"/>
      <c r="K169" s="4"/>
      <c r="L169" s="4"/>
      <c r="M169" s="4"/>
      <c r="N169" s="4"/>
      <c r="O169" s="4"/>
      <c r="P169" s="4"/>
      <c r="Q169" s="4"/>
      <c r="R169" s="4"/>
      <c r="S169" s="4"/>
      <c r="T169" s="5"/>
      <c r="U169" s="5"/>
      <c r="V169" s="5"/>
      <c r="W169" s="5"/>
      <c r="X169" s="5"/>
      <c r="Y169" s="5"/>
      <c r="Z169" s="5"/>
    </row>
    <row r="170" spans="1:26" s="6" customFormat="1" ht="15" customHeight="1" x14ac:dyDescent="0.2">
      <c r="A170" s="108"/>
      <c r="B170" s="12"/>
      <c r="C170" s="12"/>
      <c r="D170" s="12"/>
      <c r="E170" s="12"/>
      <c r="F170" s="12"/>
      <c r="G170" s="12"/>
      <c r="H170" s="12"/>
      <c r="I170" s="12"/>
      <c r="J170" s="109"/>
      <c r="K170" s="4"/>
      <c r="L170" s="4"/>
      <c r="M170" s="4"/>
      <c r="N170" s="4"/>
      <c r="O170" s="4"/>
      <c r="P170" s="4"/>
      <c r="Q170" s="4"/>
      <c r="R170" s="4"/>
      <c r="S170" s="4"/>
      <c r="T170" s="5"/>
      <c r="U170" s="5"/>
      <c r="V170" s="5"/>
      <c r="W170" s="5"/>
      <c r="X170" s="5"/>
      <c r="Y170" s="5"/>
      <c r="Z170" s="5"/>
    </row>
    <row r="171" spans="1:26" s="6" customFormat="1" ht="15" customHeight="1" x14ac:dyDescent="0.2">
      <c r="A171" s="108"/>
      <c r="B171" s="12"/>
      <c r="C171" s="12"/>
      <c r="D171" s="12"/>
      <c r="E171" s="12"/>
      <c r="F171" s="12"/>
      <c r="G171" s="12"/>
      <c r="H171" s="12"/>
      <c r="I171" s="12"/>
      <c r="J171" s="109"/>
      <c r="K171" s="4"/>
      <c r="L171" s="4"/>
      <c r="M171" s="4"/>
      <c r="N171" s="4"/>
      <c r="O171" s="4"/>
      <c r="P171" s="4"/>
      <c r="Q171" s="4"/>
      <c r="R171" s="4"/>
      <c r="S171" s="4"/>
      <c r="T171" s="5"/>
      <c r="U171" s="5"/>
      <c r="V171" s="5"/>
      <c r="W171" s="5"/>
      <c r="X171" s="5"/>
      <c r="Y171" s="5"/>
      <c r="Z171" s="5"/>
    </row>
    <row r="172" spans="1:26" s="6" customFormat="1" ht="15" customHeight="1" x14ac:dyDescent="0.2">
      <c r="A172" s="108"/>
      <c r="B172" s="12"/>
      <c r="C172" s="12"/>
      <c r="D172" s="12"/>
      <c r="E172" s="12"/>
      <c r="F172" s="12"/>
      <c r="G172" s="12"/>
      <c r="H172" s="12"/>
      <c r="I172" s="12"/>
      <c r="J172" s="109"/>
      <c r="K172" s="4"/>
      <c r="L172" s="4"/>
      <c r="M172" s="4"/>
      <c r="N172" s="4"/>
      <c r="O172" s="4"/>
      <c r="P172" s="4"/>
      <c r="Q172" s="4"/>
      <c r="R172" s="4"/>
      <c r="S172" s="4"/>
      <c r="T172" s="5"/>
      <c r="U172" s="5"/>
      <c r="V172" s="5"/>
      <c r="W172" s="5"/>
      <c r="X172" s="5"/>
      <c r="Y172" s="5"/>
      <c r="Z172" s="5"/>
    </row>
    <row r="173" spans="1:26" s="1" customFormat="1" ht="15" customHeight="1" x14ac:dyDescent="0.2">
      <c r="A173" s="108"/>
      <c r="B173" s="12"/>
      <c r="C173" s="12"/>
      <c r="D173" s="12"/>
      <c r="E173" s="12"/>
      <c r="F173" s="12"/>
      <c r="G173" s="12"/>
      <c r="H173" s="12"/>
      <c r="I173" s="12"/>
      <c r="J173" s="109"/>
    </row>
    <row r="174" spans="1:26" s="1" customFormat="1" ht="15" customHeight="1" x14ac:dyDescent="0.2">
      <c r="A174" s="108"/>
      <c r="B174" s="12"/>
      <c r="C174" s="12"/>
      <c r="D174" s="12"/>
      <c r="E174" s="12"/>
      <c r="F174" s="12"/>
      <c r="G174" s="12"/>
      <c r="H174" s="12"/>
      <c r="I174" s="12"/>
      <c r="J174" s="109"/>
    </row>
    <row r="175" spans="1:26" s="1" customFormat="1" ht="15" customHeight="1" x14ac:dyDescent="0.2">
      <c r="A175" s="108"/>
      <c r="B175" s="12"/>
      <c r="C175" s="12"/>
      <c r="D175" s="12"/>
      <c r="E175" s="12"/>
      <c r="F175" s="12"/>
      <c r="G175" s="12"/>
      <c r="H175" s="12"/>
      <c r="I175" s="12"/>
      <c r="J175" s="109"/>
    </row>
    <row r="176" spans="1:26" s="1" customFormat="1" ht="18" customHeight="1" x14ac:dyDescent="0.2">
      <c r="A176" s="108"/>
      <c r="B176" s="12"/>
      <c r="C176" s="12"/>
      <c r="D176" s="12"/>
      <c r="E176" s="12"/>
      <c r="F176" s="12"/>
      <c r="G176" s="12"/>
      <c r="H176" s="12"/>
      <c r="I176" s="12"/>
      <c r="J176" s="109"/>
    </row>
    <row r="177" spans="1:26" s="1" customFormat="1" ht="18" customHeight="1" x14ac:dyDescent="0.2">
      <c r="A177" s="108"/>
      <c r="B177" s="12"/>
      <c r="C177" s="12"/>
      <c r="D177" s="12"/>
      <c r="E177" s="12"/>
      <c r="F177" s="12"/>
      <c r="G177" s="12"/>
      <c r="H177" s="12"/>
      <c r="I177" s="12"/>
      <c r="J177" s="109"/>
    </row>
    <row r="178" spans="1:26" s="1" customFormat="1" ht="25.35" customHeight="1" x14ac:dyDescent="0.2">
      <c r="A178" s="108"/>
      <c r="B178" s="12"/>
      <c r="C178" s="12"/>
      <c r="D178" s="12"/>
      <c r="E178" s="12"/>
      <c r="F178" s="12"/>
      <c r="G178" s="12"/>
      <c r="H178" s="12"/>
      <c r="I178" s="12"/>
      <c r="J178" s="109"/>
    </row>
    <row r="179" spans="1:26" s="1" customFormat="1" ht="25.35" customHeight="1" x14ac:dyDescent="0.2">
      <c r="A179" s="108"/>
      <c r="B179" s="12"/>
      <c r="C179" s="12"/>
      <c r="D179" s="12"/>
      <c r="E179" s="12"/>
      <c r="F179" s="12"/>
      <c r="G179" s="12"/>
      <c r="H179" s="12"/>
      <c r="I179" s="12"/>
      <c r="J179" s="109"/>
    </row>
    <row r="180" spans="1:26" s="1" customFormat="1" ht="25.35" customHeight="1" x14ac:dyDescent="0.2">
      <c r="A180" s="112"/>
      <c r="B180" s="113"/>
      <c r="C180" s="113"/>
      <c r="D180" s="113"/>
      <c r="E180" s="113"/>
      <c r="F180" s="113"/>
      <c r="G180" s="113"/>
      <c r="H180" s="113"/>
      <c r="I180" s="113"/>
      <c r="J180" s="114"/>
    </row>
    <row r="181" spans="1:26" s="1" customFormat="1" ht="45" customHeight="1" x14ac:dyDescent="0.25">
      <c r="A181" s="391" t="s">
        <v>646</v>
      </c>
      <c r="B181" s="392"/>
      <c r="C181" s="392"/>
      <c r="D181" s="392"/>
      <c r="E181" s="392"/>
      <c r="F181" s="392"/>
      <c r="G181" s="392"/>
      <c r="H181" s="392"/>
      <c r="I181" s="392"/>
      <c r="J181" s="393"/>
    </row>
    <row r="182" spans="1:26" s="1" customFormat="1" ht="15.75" x14ac:dyDescent="0.25">
      <c r="A182" s="106"/>
      <c r="B182" s="340"/>
      <c r="C182" s="340"/>
      <c r="D182" s="340"/>
      <c r="E182" s="340"/>
      <c r="F182" s="340"/>
      <c r="G182" s="340"/>
      <c r="H182" s="340"/>
      <c r="I182" s="340"/>
      <c r="J182" s="107"/>
    </row>
    <row r="183" spans="1:26" s="1" customFormat="1" ht="15.75" x14ac:dyDescent="0.25">
      <c r="A183" s="106"/>
      <c r="B183" s="30"/>
      <c r="C183" s="30"/>
      <c r="D183" s="30"/>
      <c r="E183" s="30"/>
      <c r="F183" s="30"/>
      <c r="G183" s="30"/>
      <c r="H183" s="30"/>
      <c r="I183" s="30"/>
      <c r="J183" s="107"/>
    </row>
    <row r="184" spans="1:26" s="1" customFormat="1" ht="15.75" x14ac:dyDescent="0.25">
      <c r="A184" s="106"/>
      <c r="B184" s="30"/>
      <c r="C184" s="30"/>
      <c r="D184" s="30"/>
      <c r="E184" s="30"/>
      <c r="F184" s="30"/>
      <c r="G184" s="30"/>
      <c r="H184" s="30"/>
      <c r="I184" s="30"/>
      <c r="J184" s="107"/>
    </row>
    <row r="185" spans="1:26" s="1" customFormat="1" ht="15.75" x14ac:dyDescent="0.25">
      <c r="A185" s="106"/>
      <c r="B185" s="30"/>
      <c r="C185" s="30"/>
      <c r="D185" s="30"/>
      <c r="E185" s="30"/>
      <c r="F185" s="30"/>
      <c r="G185" s="30"/>
      <c r="H185" s="30"/>
      <c r="I185" s="30"/>
      <c r="J185" s="107"/>
    </row>
    <row r="186" spans="1:26" s="1" customFormat="1" ht="15.75" x14ac:dyDescent="0.25">
      <c r="A186" s="106"/>
      <c r="B186" s="30"/>
      <c r="C186" s="30"/>
      <c r="D186" s="30"/>
      <c r="E186" s="30"/>
      <c r="F186" s="30"/>
      <c r="G186" s="30"/>
      <c r="H186" s="30"/>
      <c r="I186" s="30"/>
      <c r="J186" s="107"/>
    </row>
    <row r="187" spans="1:26" s="1" customFormat="1" ht="15.75" x14ac:dyDescent="0.25">
      <c r="A187" s="106"/>
      <c r="B187" s="30"/>
      <c r="C187" s="30"/>
      <c r="D187" s="30"/>
      <c r="E187" s="30"/>
      <c r="F187" s="30"/>
      <c r="G187" s="30"/>
      <c r="H187" s="30"/>
      <c r="I187" s="30"/>
      <c r="J187" s="107"/>
    </row>
    <row r="188" spans="1:26" s="1" customFormat="1" ht="15.75" x14ac:dyDescent="0.25">
      <c r="A188" s="106"/>
      <c r="B188" s="30"/>
      <c r="C188" s="30"/>
      <c r="D188" s="30"/>
      <c r="E188" s="30"/>
      <c r="F188" s="30"/>
      <c r="G188" s="30"/>
      <c r="H188" s="30"/>
      <c r="I188" s="30"/>
      <c r="J188" s="107"/>
    </row>
    <row r="189" spans="1:26" s="6" customFormat="1" ht="15" customHeight="1" x14ac:dyDescent="0.2">
      <c r="A189" s="108"/>
      <c r="B189" s="12"/>
      <c r="C189" s="12"/>
      <c r="D189" s="12"/>
      <c r="E189" s="12"/>
      <c r="F189" s="12"/>
      <c r="G189" s="12"/>
      <c r="H189" s="12"/>
      <c r="I189" s="12"/>
      <c r="J189" s="109"/>
      <c r="K189" s="4"/>
      <c r="L189" s="4"/>
      <c r="M189" s="4"/>
      <c r="N189" s="4"/>
      <c r="O189" s="4"/>
      <c r="P189" s="4"/>
      <c r="Q189" s="4"/>
      <c r="R189" s="4"/>
      <c r="S189" s="4"/>
      <c r="T189" s="5"/>
      <c r="U189" s="5"/>
      <c r="V189" s="5"/>
      <c r="W189" s="5"/>
      <c r="X189" s="5"/>
      <c r="Y189" s="5"/>
      <c r="Z189" s="5"/>
    </row>
    <row r="190" spans="1:26" s="1" customFormat="1" ht="15" customHeight="1" x14ac:dyDescent="0.2">
      <c r="A190" s="108"/>
      <c r="B190" s="12"/>
      <c r="C190" s="12"/>
      <c r="D190" s="12"/>
      <c r="E190" s="12"/>
      <c r="F190" s="12"/>
      <c r="G190" s="12"/>
      <c r="H190" s="12"/>
      <c r="I190" s="12"/>
      <c r="J190" s="109"/>
    </row>
    <row r="191" spans="1:26" s="1" customFormat="1" ht="15" customHeight="1" x14ac:dyDescent="0.2">
      <c r="A191" s="108"/>
      <c r="B191" s="12"/>
      <c r="C191" s="12"/>
      <c r="D191" s="12"/>
      <c r="E191" s="12"/>
      <c r="F191" s="12"/>
      <c r="G191" s="12"/>
      <c r="H191" s="12"/>
      <c r="I191" s="12"/>
      <c r="J191" s="109"/>
    </row>
    <row r="192" spans="1:26" s="1" customFormat="1" ht="15" customHeight="1" x14ac:dyDescent="0.2">
      <c r="A192" s="108"/>
      <c r="B192" s="12"/>
      <c r="C192" s="12"/>
      <c r="D192" s="12"/>
      <c r="E192" s="12"/>
      <c r="F192" s="12"/>
      <c r="G192" s="12"/>
      <c r="H192" s="12"/>
      <c r="I192" s="12"/>
      <c r="J192" s="109"/>
    </row>
    <row r="193" spans="1:26" s="1" customFormat="1" ht="15.75" x14ac:dyDescent="0.25">
      <c r="A193" s="106"/>
      <c r="B193" s="30"/>
      <c r="C193" s="30"/>
      <c r="D193" s="30"/>
      <c r="E193" s="30"/>
      <c r="F193" s="30"/>
      <c r="G193" s="30"/>
      <c r="H193" s="30"/>
      <c r="I193" s="30"/>
      <c r="J193" s="107"/>
    </row>
    <row r="194" spans="1:26" s="1" customFormat="1" ht="15.75" x14ac:dyDescent="0.25">
      <c r="A194" s="106"/>
      <c r="B194" s="30"/>
      <c r="C194" s="30"/>
      <c r="D194" s="30"/>
      <c r="E194" s="30"/>
      <c r="F194" s="30"/>
      <c r="G194" s="30"/>
      <c r="H194" s="30"/>
      <c r="I194" s="30"/>
      <c r="J194" s="107"/>
    </row>
    <row r="195" spans="1:26" s="1" customFormat="1" ht="15.75" x14ac:dyDescent="0.25">
      <c r="A195" s="106"/>
      <c r="B195" s="30"/>
      <c r="C195" s="30"/>
      <c r="D195" s="30"/>
      <c r="E195" s="30"/>
      <c r="F195" s="30"/>
      <c r="G195" s="30"/>
      <c r="H195" s="30"/>
      <c r="I195" s="30"/>
      <c r="J195" s="107"/>
    </row>
    <row r="196" spans="1:26" s="1" customFormat="1" ht="15.75" x14ac:dyDescent="0.25">
      <c r="A196" s="106"/>
      <c r="B196" s="30"/>
      <c r="C196" s="30"/>
      <c r="D196" s="30"/>
      <c r="E196" s="30"/>
      <c r="F196" s="30"/>
      <c r="G196" s="30"/>
      <c r="H196" s="30"/>
      <c r="I196" s="30"/>
      <c r="J196" s="107"/>
    </row>
    <row r="197" spans="1:26" s="1" customFormat="1" ht="15.75" x14ac:dyDescent="0.25">
      <c r="A197" s="106"/>
      <c r="B197" s="30"/>
      <c r="C197" s="30"/>
      <c r="D197" s="30"/>
      <c r="E197" s="30"/>
      <c r="F197" s="30"/>
      <c r="G197" s="30"/>
      <c r="H197" s="30"/>
      <c r="I197" s="30"/>
      <c r="J197" s="107"/>
    </row>
    <row r="198" spans="1:26" s="1" customFormat="1" ht="15.75" x14ac:dyDescent="0.25">
      <c r="A198" s="106"/>
      <c r="B198" s="30"/>
      <c r="C198" s="30"/>
      <c r="D198" s="30"/>
      <c r="E198" s="30"/>
      <c r="F198" s="30"/>
      <c r="G198" s="30"/>
      <c r="H198" s="30"/>
      <c r="I198" s="30"/>
      <c r="J198" s="107"/>
    </row>
    <row r="199" spans="1:26" s="1" customFormat="1" ht="15.75" x14ac:dyDescent="0.25">
      <c r="A199" s="106"/>
      <c r="B199" s="30"/>
      <c r="C199" s="30"/>
      <c r="D199" s="30"/>
      <c r="E199" s="30"/>
      <c r="F199" s="30"/>
      <c r="G199" s="30"/>
      <c r="H199" s="30"/>
      <c r="I199" s="30"/>
      <c r="J199" s="107"/>
    </row>
    <row r="200" spans="1:26" s="1" customFormat="1" x14ac:dyDescent="0.25">
      <c r="A200" s="110"/>
      <c r="B200" s="28"/>
      <c r="C200" s="28"/>
      <c r="D200" s="28"/>
      <c r="E200" s="28"/>
      <c r="F200" s="28"/>
      <c r="G200" s="28"/>
      <c r="H200" s="28"/>
      <c r="I200" s="28"/>
      <c r="J200" s="111"/>
      <c r="K200" s="2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s="1" customFormat="1" ht="69.75" customHeight="1" x14ac:dyDescent="0.25">
      <c r="A201" s="110"/>
      <c r="B201" s="341" t="s">
        <v>651</v>
      </c>
      <c r="C201" s="341"/>
      <c r="D201" s="341"/>
      <c r="E201" s="341"/>
      <c r="F201" s="341"/>
      <c r="G201" s="341"/>
      <c r="H201" s="341"/>
      <c r="I201" s="341"/>
      <c r="J201" s="111"/>
      <c r="K201" s="2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s="1" customFormat="1" ht="15" customHeight="1" x14ac:dyDescent="0.2">
      <c r="A202" s="110"/>
      <c r="B202" s="342"/>
      <c r="C202" s="342"/>
      <c r="D202" s="342"/>
      <c r="E202" s="342"/>
      <c r="F202" s="342"/>
      <c r="G202" s="342"/>
      <c r="H202" s="342"/>
      <c r="I202" s="342"/>
      <c r="J202" s="111"/>
      <c r="K202" s="2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s="1" customFormat="1" ht="15" customHeight="1" x14ac:dyDescent="0.2">
      <c r="A203" s="110"/>
      <c r="B203" s="343"/>
      <c r="C203" s="343"/>
      <c r="D203" s="343"/>
      <c r="E203" s="343"/>
      <c r="F203" s="343"/>
      <c r="G203" s="343"/>
      <c r="H203" s="343"/>
      <c r="I203" s="343"/>
      <c r="J203" s="111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s="1" customFormat="1" ht="15" customHeight="1" x14ac:dyDescent="0.2">
      <c r="A204" s="110"/>
      <c r="B204" s="343"/>
      <c r="C204" s="343"/>
      <c r="D204" s="343"/>
      <c r="E204" s="343"/>
      <c r="F204" s="343"/>
      <c r="G204" s="343"/>
      <c r="H204" s="343"/>
      <c r="I204" s="343"/>
      <c r="J204" s="111"/>
      <c r="K204" s="2"/>
      <c r="L204" s="2"/>
      <c r="M204" s="2"/>
      <c r="N204" s="2"/>
      <c r="O204" s="2"/>
      <c r="P204" s="2"/>
      <c r="Q204" s="2"/>
      <c r="R204" s="2"/>
      <c r="S204" s="2"/>
      <c r="T204" s="3"/>
      <c r="U204" s="3"/>
      <c r="V204" s="3"/>
      <c r="W204" s="3"/>
      <c r="X204" s="3"/>
      <c r="Y204" s="3"/>
      <c r="Z204" s="3"/>
    </row>
    <row r="205" spans="1:26" s="1" customFormat="1" ht="15" customHeight="1" x14ac:dyDescent="0.2">
      <c r="A205" s="110"/>
      <c r="B205" s="343"/>
      <c r="C205" s="343"/>
      <c r="D205" s="343"/>
      <c r="E205" s="343"/>
      <c r="F205" s="343"/>
      <c r="G205" s="343"/>
      <c r="H205" s="343"/>
      <c r="I205" s="343"/>
      <c r="J205" s="111"/>
      <c r="K205" s="2"/>
      <c r="L205" s="2"/>
      <c r="M205" s="2"/>
      <c r="N205" s="2"/>
      <c r="O205" s="2"/>
      <c r="P205" s="2"/>
      <c r="Q205" s="2"/>
      <c r="R205" s="2"/>
      <c r="S205" s="2"/>
      <c r="T205" s="3"/>
      <c r="U205" s="3"/>
      <c r="V205" s="3"/>
      <c r="W205" s="3"/>
      <c r="X205" s="3"/>
      <c r="Y205" s="3"/>
      <c r="Z205" s="3"/>
    </row>
    <row r="206" spans="1:26" s="1" customFormat="1" ht="15" customHeight="1" x14ac:dyDescent="0.2">
      <c r="A206" s="110"/>
      <c r="B206" s="12"/>
      <c r="C206" s="12"/>
      <c r="D206" s="12"/>
      <c r="E206" s="12"/>
      <c r="F206" s="12"/>
      <c r="G206" s="12"/>
      <c r="H206" s="12"/>
      <c r="I206" s="12"/>
      <c r="J206" s="111"/>
      <c r="K206" s="2"/>
      <c r="L206" s="2"/>
      <c r="M206" s="2"/>
      <c r="N206" s="2"/>
      <c r="O206" s="2"/>
      <c r="P206" s="2"/>
      <c r="Q206" s="2"/>
      <c r="R206" s="2"/>
      <c r="S206" s="2"/>
      <c r="T206" s="3"/>
      <c r="U206" s="3"/>
      <c r="V206" s="3"/>
      <c r="W206" s="3"/>
      <c r="X206" s="3"/>
      <c r="Y206" s="3"/>
      <c r="Z206" s="3"/>
    </row>
    <row r="207" spans="1:26" s="1" customFormat="1" ht="15" customHeight="1" x14ac:dyDescent="0.2">
      <c r="A207" s="110"/>
      <c r="B207" s="343"/>
      <c r="C207" s="343"/>
      <c r="D207" s="343"/>
      <c r="E207" s="343"/>
      <c r="F207" s="343"/>
      <c r="G207" s="343"/>
      <c r="H207" s="343"/>
      <c r="I207" s="343"/>
      <c r="J207" s="111"/>
      <c r="K207" s="2"/>
      <c r="L207" s="2"/>
      <c r="M207" s="2"/>
      <c r="N207" s="2"/>
      <c r="O207" s="2"/>
      <c r="P207" s="2"/>
      <c r="Q207" s="2"/>
      <c r="R207" s="2"/>
      <c r="S207" s="2"/>
      <c r="T207" s="3"/>
      <c r="U207" s="3"/>
      <c r="V207" s="3"/>
      <c r="W207" s="3"/>
      <c r="X207" s="3"/>
      <c r="Y207" s="3"/>
      <c r="Z207" s="3"/>
    </row>
    <row r="208" spans="1:26" s="6" customFormat="1" ht="15" customHeight="1" x14ac:dyDescent="0.2">
      <c r="A208" s="108"/>
      <c r="B208" s="343"/>
      <c r="C208" s="343"/>
      <c r="D208" s="343"/>
      <c r="E208" s="343"/>
      <c r="F208" s="343"/>
      <c r="G208" s="343"/>
      <c r="H208" s="343"/>
      <c r="I208" s="343"/>
      <c r="J208" s="109"/>
      <c r="K208" s="4"/>
      <c r="L208" s="4"/>
      <c r="M208" s="4"/>
      <c r="N208" s="4"/>
      <c r="O208" s="4"/>
      <c r="P208" s="4"/>
      <c r="Q208" s="4"/>
      <c r="R208" s="4"/>
      <c r="S208" s="4"/>
      <c r="T208" s="5"/>
      <c r="U208" s="5"/>
      <c r="V208" s="5"/>
      <c r="W208" s="5"/>
      <c r="X208" s="5"/>
      <c r="Y208" s="5"/>
      <c r="Z208" s="5"/>
    </row>
    <row r="209" spans="1:26" s="6" customFormat="1" ht="15" customHeight="1" x14ac:dyDescent="0.2">
      <c r="A209" s="108"/>
      <c r="B209" s="343"/>
      <c r="C209" s="343"/>
      <c r="D209" s="343"/>
      <c r="E209" s="343"/>
      <c r="F209" s="343"/>
      <c r="G209" s="343"/>
      <c r="H209" s="343"/>
      <c r="I209" s="343"/>
      <c r="J209" s="109"/>
      <c r="K209" s="4"/>
      <c r="L209" s="4"/>
      <c r="M209" s="5"/>
      <c r="N209" s="4"/>
      <c r="O209" s="5"/>
      <c r="P209" s="4"/>
      <c r="Q209" s="4"/>
      <c r="R209" s="4"/>
      <c r="S209" s="4"/>
      <c r="T209" s="4"/>
      <c r="U209" s="5"/>
      <c r="V209" s="5"/>
      <c r="W209" s="5"/>
      <c r="X209" s="5"/>
      <c r="Y209" s="5"/>
      <c r="Z209" s="5"/>
    </row>
    <row r="210" spans="1:26" s="6" customFormat="1" ht="15" customHeight="1" x14ac:dyDescent="0.25">
      <c r="A210" s="108"/>
      <c r="B210" s="12"/>
      <c r="C210" s="12"/>
      <c r="D210" s="12"/>
      <c r="E210" s="12"/>
      <c r="F210" s="64"/>
      <c r="G210" s="12"/>
      <c r="H210" s="65"/>
      <c r="I210" s="12"/>
      <c r="J210" s="109"/>
      <c r="K210" s="4"/>
      <c r="L210" s="4"/>
      <c r="M210" s="4"/>
      <c r="N210" s="4"/>
      <c r="O210" s="4"/>
      <c r="P210" s="4"/>
      <c r="Q210" s="4"/>
      <c r="R210" s="4"/>
      <c r="S210" s="4"/>
      <c r="T210" s="5"/>
      <c r="U210" s="5"/>
      <c r="V210" s="5"/>
      <c r="W210" s="5"/>
      <c r="X210" s="5"/>
      <c r="Y210" s="5"/>
      <c r="Z210" s="5"/>
    </row>
    <row r="211" spans="1:26" s="6" customFormat="1" ht="15" customHeight="1" x14ac:dyDescent="0.2">
      <c r="A211" s="108"/>
      <c r="B211" s="12"/>
      <c r="C211" s="12"/>
      <c r="D211" s="12"/>
      <c r="E211" s="12"/>
      <c r="F211" s="12"/>
      <c r="G211" s="12"/>
      <c r="H211" s="12"/>
      <c r="I211" s="12"/>
      <c r="J211" s="109"/>
      <c r="K211" s="4"/>
      <c r="L211" s="4"/>
      <c r="M211" s="4"/>
      <c r="N211" s="4"/>
      <c r="O211" s="4"/>
      <c r="P211" s="4"/>
      <c r="Q211" s="4"/>
      <c r="R211" s="4"/>
      <c r="S211" s="4"/>
      <c r="T211" s="5"/>
      <c r="U211" s="5"/>
      <c r="V211" s="5"/>
      <c r="W211" s="5"/>
      <c r="X211" s="5"/>
      <c r="Y211" s="5"/>
      <c r="Z211" s="5"/>
    </row>
    <row r="212" spans="1:26" s="6" customFormat="1" ht="15" customHeight="1" x14ac:dyDescent="0.2">
      <c r="A212" s="108"/>
      <c r="B212" s="12"/>
      <c r="C212" s="12"/>
      <c r="D212" s="12"/>
      <c r="E212" s="12"/>
      <c r="F212" s="12"/>
      <c r="G212" s="12"/>
      <c r="H212" s="12"/>
      <c r="I212" s="12"/>
      <c r="J212" s="109"/>
      <c r="K212" s="4"/>
      <c r="L212" s="4"/>
      <c r="M212" s="4"/>
      <c r="N212" s="4"/>
      <c r="O212" s="4"/>
      <c r="P212" s="4"/>
      <c r="Q212" s="4"/>
      <c r="R212" s="4"/>
      <c r="S212" s="4"/>
      <c r="T212" s="5"/>
      <c r="U212" s="5"/>
      <c r="V212" s="5"/>
      <c r="W212" s="5"/>
      <c r="X212" s="5"/>
      <c r="Y212" s="5"/>
      <c r="Z212" s="5"/>
    </row>
    <row r="213" spans="1:26" s="6" customFormat="1" ht="15" customHeight="1" x14ac:dyDescent="0.2">
      <c r="A213" s="108"/>
      <c r="B213" s="12"/>
      <c r="C213" s="12"/>
      <c r="D213" s="12"/>
      <c r="E213" s="12"/>
      <c r="F213" s="12"/>
      <c r="G213" s="12"/>
      <c r="H213" s="12"/>
      <c r="I213" s="12"/>
      <c r="J213" s="109"/>
      <c r="K213" s="4"/>
      <c r="L213" s="4"/>
      <c r="M213" s="4"/>
      <c r="N213" s="4"/>
      <c r="O213" s="4"/>
      <c r="P213" s="4"/>
      <c r="Q213" s="4"/>
      <c r="R213" s="4"/>
      <c r="S213" s="4"/>
      <c r="T213" s="5"/>
      <c r="U213" s="5"/>
      <c r="V213" s="5"/>
      <c r="W213" s="5"/>
      <c r="X213" s="5"/>
      <c r="Y213" s="5"/>
      <c r="Z213" s="5"/>
    </row>
    <row r="214" spans="1:26" s="6" customFormat="1" ht="15" customHeight="1" x14ac:dyDescent="0.2">
      <c r="A214" s="108"/>
      <c r="B214" s="12"/>
      <c r="C214" s="12"/>
      <c r="D214" s="12"/>
      <c r="E214" s="12"/>
      <c r="F214" s="12"/>
      <c r="G214" s="12"/>
      <c r="H214" s="12"/>
      <c r="I214" s="12"/>
      <c r="J214" s="109"/>
      <c r="K214" s="4"/>
      <c r="L214" s="4"/>
      <c r="M214" s="4"/>
      <c r="N214" s="4"/>
      <c r="O214" s="4"/>
      <c r="P214" s="4"/>
      <c r="Q214" s="4"/>
      <c r="R214" s="4"/>
      <c r="S214" s="4"/>
      <c r="T214" s="5"/>
      <c r="U214" s="5"/>
      <c r="V214" s="5"/>
      <c r="W214" s="5"/>
      <c r="X214" s="5"/>
      <c r="Y214" s="5"/>
      <c r="Z214" s="5"/>
    </row>
    <row r="215" spans="1:26" s="6" customFormat="1" ht="15" customHeight="1" x14ac:dyDescent="0.2">
      <c r="A215" s="108"/>
      <c r="B215" s="12"/>
      <c r="C215" s="12"/>
      <c r="D215" s="12"/>
      <c r="E215" s="12"/>
      <c r="F215" s="12"/>
      <c r="G215" s="12"/>
      <c r="H215" s="12"/>
      <c r="I215" s="12"/>
      <c r="J215" s="109"/>
      <c r="K215" s="4"/>
      <c r="L215" s="4"/>
      <c r="M215" s="4"/>
      <c r="N215" s="4"/>
      <c r="O215" s="4"/>
      <c r="P215" s="4"/>
      <c r="Q215" s="4"/>
      <c r="R215" s="4"/>
      <c r="S215" s="4"/>
      <c r="T215" s="5"/>
      <c r="U215" s="5"/>
      <c r="V215" s="5"/>
      <c r="W215" s="5"/>
      <c r="X215" s="5"/>
      <c r="Y215" s="5"/>
      <c r="Z215" s="5"/>
    </row>
    <row r="216" spans="1:26" s="6" customFormat="1" ht="15" customHeight="1" x14ac:dyDescent="0.2">
      <c r="A216" s="108"/>
      <c r="B216" s="12"/>
      <c r="C216" s="12"/>
      <c r="D216" s="12"/>
      <c r="E216" s="12"/>
      <c r="F216" s="12"/>
      <c r="G216" s="12"/>
      <c r="H216" s="12"/>
      <c r="I216" s="12"/>
      <c r="J216" s="109"/>
      <c r="K216" s="4"/>
      <c r="L216" s="4"/>
      <c r="M216" s="4"/>
      <c r="N216" s="4"/>
      <c r="O216" s="4"/>
      <c r="P216" s="4"/>
      <c r="Q216" s="4"/>
      <c r="R216" s="4"/>
      <c r="S216" s="4"/>
      <c r="T216" s="5"/>
      <c r="U216" s="5"/>
      <c r="V216" s="5"/>
      <c r="W216" s="5"/>
      <c r="X216" s="5"/>
      <c r="Y216" s="5"/>
      <c r="Z216" s="5"/>
    </row>
    <row r="217" spans="1:26" s="6" customFormat="1" ht="15" customHeight="1" x14ac:dyDescent="0.2">
      <c r="A217" s="108"/>
      <c r="B217" s="12"/>
      <c r="C217" s="12"/>
      <c r="D217" s="12"/>
      <c r="E217" s="12"/>
      <c r="F217" s="12"/>
      <c r="G217" s="12"/>
      <c r="H217" s="12"/>
      <c r="I217" s="12"/>
      <c r="J217" s="109"/>
      <c r="K217" s="4"/>
      <c r="L217" s="4"/>
      <c r="M217" s="4"/>
      <c r="N217" s="4"/>
      <c r="O217" s="4"/>
      <c r="P217" s="4"/>
      <c r="Q217" s="4"/>
      <c r="R217" s="4"/>
      <c r="S217" s="4"/>
      <c r="T217" s="5"/>
      <c r="U217" s="5"/>
      <c r="V217" s="5"/>
      <c r="W217" s="5"/>
      <c r="X217" s="5"/>
      <c r="Y217" s="5"/>
      <c r="Z217" s="5"/>
    </row>
    <row r="218" spans="1:26" s="1" customFormat="1" ht="15" customHeight="1" x14ac:dyDescent="0.2">
      <c r="A218" s="108"/>
      <c r="B218" s="12"/>
      <c r="C218" s="12"/>
      <c r="D218" s="12"/>
      <c r="E218" s="12"/>
      <c r="F218" s="12"/>
      <c r="G218" s="12"/>
      <c r="H218" s="12"/>
      <c r="I218" s="12"/>
      <c r="J218" s="109"/>
    </row>
    <row r="219" spans="1:26" s="1" customFormat="1" ht="15" customHeight="1" x14ac:dyDescent="0.2">
      <c r="A219" s="108"/>
      <c r="B219" s="12"/>
      <c r="C219" s="12"/>
      <c r="D219" s="12"/>
      <c r="E219" s="12"/>
      <c r="F219" s="12"/>
      <c r="G219" s="12"/>
      <c r="H219" s="12"/>
      <c r="I219" s="12"/>
      <c r="J219" s="109"/>
    </row>
    <row r="220" spans="1:26" s="1" customFormat="1" ht="15" customHeight="1" x14ac:dyDescent="0.2">
      <c r="A220" s="108"/>
      <c r="B220" s="12"/>
      <c r="C220" s="12"/>
      <c r="D220" s="12"/>
      <c r="E220" s="12"/>
      <c r="F220" s="12"/>
      <c r="G220" s="12"/>
      <c r="H220" s="12"/>
      <c r="I220" s="12"/>
      <c r="J220" s="109"/>
    </row>
    <row r="221" spans="1:26" s="1" customFormat="1" ht="18" customHeight="1" x14ac:dyDescent="0.2">
      <c r="A221" s="108"/>
      <c r="B221" s="12"/>
      <c r="C221" s="12"/>
      <c r="D221" s="12"/>
      <c r="E221" s="12"/>
      <c r="F221" s="12"/>
      <c r="G221" s="12"/>
      <c r="H221" s="12"/>
      <c r="I221" s="12"/>
      <c r="J221" s="109"/>
    </row>
    <row r="222" spans="1:26" s="1" customFormat="1" ht="18" customHeight="1" x14ac:dyDescent="0.2">
      <c r="A222" s="108"/>
      <c r="B222" s="12"/>
      <c r="C222" s="12"/>
      <c r="D222" s="12"/>
      <c r="E222" s="12"/>
      <c r="F222" s="12"/>
      <c r="G222" s="12"/>
      <c r="H222" s="12"/>
      <c r="I222" s="12"/>
      <c r="J222" s="109"/>
    </row>
    <row r="223" spans="1:26" s="1" customFormat="1" ht="25.35" customHeight="1" x14ac:dyDescent="0.2">
      <c r="A223" s="108"/>
      <c r="B223" s="12"/>
      <c r="C223" s="12"/>
      <c r="D223" s="12"/>
      <c r="E223" s="12"/>
      <c r="F223" s="12"/>
      <c r="G223" s="12"/>
      <c r="H223" s="12"/>
      <c r="I223" s="12"/>
      <c r="J223" s="109"/>
    </row>
    <row r="224" spans="1:26" s="1" customFormat="1" ht="25.35" customHeight="1" x14ac:dyDescent="0.2">
      <c r="A224" s="108"/>
      <c r="B224" s="12"/>
      <c r="C224" s="12"/>
      <c r="D224" s="12"/>
      <c r="E224" s="12"/>
      <c r="F224" s="12"/>
      <c r="G224" s="12"/>
      <c r="H224" s="12"/>
      <c r="I224" s="12"/>
      <c r="J224" s="109"/>
    </row>
    <row r="225" spans="1:10" s="1" customFormat="1" ht="25.35" customHeight="1" x14ac:dyDescent="0.2">
      <c r="A225" s="112"/>
      <c r="B225" s="113"/>
      <c r="C225" s="113"/>
      <c r="D225" s="113"/>
      <c r="E225" s="113"/>
      <c r="F225" s="113"/>
      <c r="G225" s="113"/>
      <c r="H225" s="113"/>
      <c r="I225" s="113"/>
      <c r="J225" s="114"/>
    </row>
  </sheetData>
  <dataConsolidate/>
  <mergeCells count="50">
    <mergeCell ref="B204:I204"/>
    <mergeCell ref="B205:I205"/>
    <mergeCell ref="B207:I207"/>
    <mergeCell ref="B208:I208"/>
    <mergeCell ref="B209:I209"/>
    <mergeCell ref="A181:J181"/>
    <mergeCell ref="B182:I182"/>
    <mergeCell ref="B201:I201"/>
    <mergeCell ref="B202:I202"/>
    <mergeCell ref="B203:I203"/>
    <mergeCell ref="B159:I159"/>
    <mergeCell ref="B160:I160"/>
    <mergeCell ref="B162:I162"/>
    <mergeCell ref="B163:I163"/>
    <mergeCell ref="B164:I164"/>
    <mergeCell ref="A136:J136"/>
    <mergeCell ref="B137:I137"/>
    <mergeCell ref="B156:I156"/>
    <mergeCell ref="B157:I157"/>
    <mergeCell ref="B158:I158"/>
    <mergeCell ref="B114:I114"/>
    <mergeCell ref="B115:I115"/>
    <mergeCell ref="B117:I117"/>
    <mergeCell ref="B118:I118"/>
    <mergeCell ref="B119:I119"/>
    <mergeCell ref="A91:J91"/>
    <mergeCell ref="B92:I92"/>
    <mergeCell ref="B111:I111"/>
    <mergeCell ref="B112:I112"/>
    <mergeCell ref="B113:I113"/>
    <mergeCell ref="B69:I69"/>
    <mergeCell ref="B70:I70"/>
    <mergeCell ref="B72:I72"/>
    <mergeCell ref="B73:I73"/>
    <mergeCell ref="B74:I74"/>
    <mergeCell ref="A46:J46"/>
    <mergeCell ref="B47:I47"/>
    <mergeCell ref="B66:I66"/>
    <mergeCell ref="B67:I67"/>
    <mergeCell ref="B68:I68"/>
    <mergeCell ref="B25:I25"/>
    <mergeCell ref="B27:I27"/>
    <mergeCell ref="B28:I28"/>
    <mergeCell ref="B29:I29"/>
    <mergeCell ref="A1:J1"/>
    <mergeCell ref="B2:I2"/>
    <mergeCell ref="B21:I21"/>
    <mergeCell ref="B22:I22"/>
    <mergeCell ref="B23:I23"/>
    <mergeCell ref="B24:I24"/>
  </mergeCells>
  <dataValidations disablePrompts="1" count="3">
    <dataValidation type="list" allowBlank="1" showInputMessage="1" showErrorMessage="1" promptTitle="SYSTEM" prompt="SELECT FROM DROP DOWN LIST" sqref="WVN983024:WVR983024 SX24:TB26 ACT24:ACX26 AMP24:AMT26 AWL24:AWP26 BGH24:BGL26 BQD24:BQH26 BZZ24:CAD26 CJV24:CJZ26 CTR24:CTV26 DDN24:DDR26 DNJ24:DNN26 DXF24:DXJ26 EHB24:EHF26 EQX24:ERB26 FAT24:FAX26 FKP24:FKT26 FUL24:FUP26 GEH24:GEL26 GOD24:GOH26 GXZ24:GYD26 HHV24:HHZ26 HRR24:HRV26 IBN24:IBR26 ILJ24:ILN26 IVF24:IVJ26 JFB24:JFF26 JOX24:JPB26 JYT24:JYX26 KIP24:KIT26 KSL24:KSP26 LCH24:LCL26 LMD24:LMH26 LVZ24:LWD26 MFV24:MFZ26 MPR24:MPV26 MZN24:MZR26 NJJ24:NJN26 NTF24:NTJ26 ODB24:ODF26 OMX24:ONB26 OWT24:OWX26 PGP24:PGT26 PQL24:PQP26 QAH24:QAL26 QKD24:QKH26 QTZ24:QUD26 RDV24:RDZ26 RNR24:RNV26 RXN24:RXR26 SHJ24:SHN26 SRF24:SRJ26 TBB24:TBF26 TKX24:TLB26 TUT24:TUX26 UEP24:UET26 UOL24:UOP26 UYH24:UYL26 VID24:VIH26 VRZ24:VSD26 WBV24:WBZ26 WLR24:WLV26 WVN24:WVR26 B65520:I65520 JB65520:JF65520 SX65520:TB65520 ACT65520:ACX65520 AMP65520:AMT65520 AWL65520:AWP65520 BGH65520:BGL65520 BQD65520:BQH65520 BZZ65520:CAD65520 CJV65520:CJZ65520 CTR65520:CTV65520 DDN65520:DDR65520 DNJ65520:DNN65520 DXF65520:DXJ65520 EHB65520:EHF65520 EQX65520:ERB65520 FAT65520:FAX65520 FKP65520:FKT65520 FUL65520:FUP65520 GEH65520:GEL65520 GOD65520:GOH65520 GXZ65520:GYD65520 HHV65520:HHZ65520 HRR65520:HRV65520 IBN65520:IBR65520 ILJ65520:ILN65520 IVF65520:IVJ65520 JFB65520:JFF65520 JOX65520:JPB65520 JYT65520:JYX65520 KIP65520:KIT65520 KSL65520:KSP65520 LCH65520:LCL65520 LMD65520:LMH65520 LVZ65520:LWD65520 MFV65520:MFZ65520 MPR65520:MPV65520 MZN65520:MZR65520 NJJ65520:NJN65520 NTF65520:NTJ65520 ODB65520:ODF65520 OMX65520:ONB65520 OWT65520:OWX65520 PGP65520:PGT65520 PQL65520:PQP65520 QAH65520:QAL65520 QKD65520:QKH65520 QTZ65520:QUD65520 RDV65520:RDZ65520 RNR65520:RNV65520 RXN65520:RXR65520 SHJ65520:SHN65520 SRF65520:SRJ65520 TBB65520:TBF65520 TKX65520:TLB65520 TUT65520:TUX65520 UEP65520:UET65520 UOL65520:UOP65520 UYH65520:UYL65520 VID65520:VIH65520 VRZ65520:VSD65520 WBV65520:WBZ65520 WLR65520:WLV65520 WVN65520:WVR65520 B131056:I131056 JB131056:JF131056 SX131056:TB131056 ACT131056:ACX131056 AMP131056:AMT131056 AWL131056:AWP131056 BGH131056:BGL131056 BQD131056:BQH131056 BZZ131056:CAD131056 CJV131056:CJZ131056 CTR131056:CTV131056 DDN131056:DDR131056 DNJ131056:DNN131056 DXF131056:DXJ131056 EHB131056:EHF131056 EQX131056:ERB131056 FAT131056:FAX131056 FKP131056:FKT131056 FUL131056:FUP131056 GEH131056:GEL131056 GOD131056:GOH131056 GXZ131056:GYD131056 HHV131056:HHZ131056 HRR131056:HRV131056 IBN131056:IBR131056 ILJ131056:ILN131056 IVF131056:IVJ131056 JFB131056:JFF131056 JOX131056:JPB131056 JYT131056:JYX131056 KIP131056:KIT131056 KSL131056:KSP131056 LCH131056:LCL131056 LMD131056:LMH131056 LVZ131056:LWD131056 MFV131056:MFZ131056 MPR131056:MPV131056 MZN131056:MZR131056 NJJ131056:NJN131056 NTF131056:NTJ131056 ODB131056:ODF131056 OMX131056:ONB131056 OWT131056:OWX131056 PGP131056:PGT131056 PQL131056:PQP131056 QAH131056:QAL131056 QKD131056:QKH131056 QTZ131056:QUD131056 RDV131056:RDZ131056 RNR131056:RNV131056 RXN131056:RXR131056 SHJ131056:SHN131056 SRF131056:SRJ131056 TBB131056:TBF131056 TKX131056:TLB131056 TUT131056:TUX131056 UEP131056:UET131056 UOL131056:UOP131056 UYH131056:UYL131056 VID131056:VIH131056 VRZ131056:VSD131056 WBV131056:WBZ131056 WLR131056:WLV131056 WVN131056:WVR131056 B196592:I196592 JB196592:JF196592 SX196592:TB196592 ACT196592:ACX196592 AMP196592:AMT196592 AWL196592:AWP196592 BGH196592:BGL196592 BQD196592:BQH196592 BZZ196592:CAD196592 CJV196592:CJZ196592 CTR196592:CTV196592 DDN196592:DDR196592 DNJ196592:DNN196592 DXF196592:DXJ196592 EHB196592:EHF196592 EQX196592:ERB196592 FAT196592:FAX196592 FKP196592:FKT196592 FUL196592:FUP196592 GEH196592:GEL196592 GOD196592:GOH196592 GXZ196592:GYD196592 HHV196592:HHZ196592 HRR196592:HRV196592 IBN196592:IBR196592 ILJ196592:ILN196592 IVF196592:IVJ196592 JFB196592:JFF196592 JOX196592:JPB196592 JYT196592:JYX196592 KIP196592:KIT196592 KSL196592:KSP196592 LCH196592:LCL196592 LMD196592:LMH196592 LVZ196592:LWD196592 MFV196592:MFZ196592 MPR196592:MPV196592 MZN196592:MZR196592 NJJ196592:NJN196592 NTF196592:NTJ196592 ODB196592:ODF196592 OMX196592:ONB196592 OWT196592:OWX196592 PGP196592:PGT196592 PQL196592:PQP196592 QAH196592:QAL196592 QKD196592:QKH196592 QTZ196592:QUD196592 RDV196592:RDZ196592 RNR196592:RNV196592 RXN196592:RXR196592 SHJ196592:SHN196592 SRF196592:SRJ196592 TBB196592:TBF196592 TKX196592:TLB196592 TUT196592:TUX196592 UEP196592:UET196592 UOL196592:UOP196592 UYH196592:UYL196592 VID196592:VIH196592 VRZ196592:VSD196592 WBV196592:WBZ196592 WLR196592:WLV196592 WVN196592:WVR196592 B262128:I262128 JB262128:JF262128 SX262128:TB262128 ACT262128:ACX262128 AMP262128:AMT262128 AWL262128:AWP262128 BGH262128:BGL262128 BQD262128:BQH262128 BZZ262128:CAD262128 CJV262128:CJZ262128 CTR262128:CTV262128 DDN262128:DDR262128 DNJ262128:DNN262128 DXF262128:DXJ262128 EHB262128:EHF262128 EQX262128:ERB262128 FAT262128:FAX262128 FKP262128:FKT262128 FUL262128:FUP262128 GEH262128:GEL262128 GOD262128:GOH262128 GXZ262128:GYD262128 HHV262128:HHZ262128 HRR262128:HRV262128 IBN262128:IBR262128 ILJ262128:ILN262128 IVF262128:IVJ262128 JFB262128:JFF262128 JOX262128:JPB262128 JYT262128:JYX262128 KIP262128:KIT262128 KSL262128:KSP262128 LCH262128:LCL262128 LMD262128:LMH262128 LVZ262128:LWD262128 MFV262128:MFZ262128 MPR262128:MPV262128 MZN262128:MZR262128 NJJ262128:NJN262128 NTF262128:NTJ262128 ODB262128:ODF262128 OMX262128:ONB262128 OWT262128:OWX262128 PGP262128:PGT262128 PQL262128:PQP262128 QAH262128:QAL262128 QKD262128:QKH262128 QTZ262128:QUD262128 RDV262128:RDZ262128 RNR262128:RNV262128 RXN262128:RXR262128 SHJ262128:SHN262128 SRF262128:SRJ262128 TBB262128:TBF262128 TKX262128:TLB262128 TUT262128:TUX262128 UEP262128:UET262128 UOL262128:UOP262128 UYH262128:UYL262128 VID262128:VIH262128 VRZ262128:VSD262128 WBV262128:WBZ262128 WLR262128:WLV262128 WVN262128:WVR262128 B327664:I327664 JB327664:JF327664 SX327664:TB327664 ACT327664:ACX327664 AMP327664:AMT327664 AWL327664:AWP327664 BGH327664:BGL327664 BQD327664:BQH327664 BZZ327664:CAD327664 CJV327664:CJZ327664 CTR327664:CTV327664 DDN327664:DDR327664 DNJ327664:DNN327664 DXF327664:DXJ327664 EHB327664:EHF327664 EQX327664:ERB327664 FAT327664:FAX327664 FKP327664:FKT327664 FUL327664:FUP327664 GEH327664:GEL327664 GOD327664:GOH327664 GXZ327664:GYD327664 HHV327664:HHZ327664 HRR327664:HRV327664 IBN327664:IBR327664 ILJ327664:ILN327664 IVF327664:IVJ327664 JFB327664:JFF327664 JOX327664:JPB327664 JYT327664:JYX327664 KIP327664:KIT327664 KSL327664:KSP327664 LCH327664:LCL327664 LMD327664:LMH327664 LVZ327664:LWD327664 MFV327664:MFZ327664 MPR327664:MPV327664 MZN327664:MZR327664 NJJ327664:NJN327664 NTF327664:NTJ327664 ODB327664:ODF327664 OMX327664:ONB327664 OWT327664:OWX327664 PGP327664:PGT327664 PQL327664:PQP327664 QAH327664:QAL327664 QKD327664:QKH327664 QTZ327664:QUD327664 RDV327664:RDZ327664 RNR327664:RNV327664 RXN327664:RXR327664 SHJ327664:SHN327664 SRF327664:SRJ327664 TBB327664:TBF327664 TKX327664:TLB327664 TUT327664:TUX327664 UEP327664:UET327664 UOL327664:UOP327664 UYH327664:UYL327664 VID327664:VIH327664 VRZ327664:VSD327664 WBV327664:WBZ327664 WLR327664:WLV327664 WVN327664:WVR327664 B393200:I393200 JB393200:JF393200 SX393200:TB393200 ACT393200:ACX393200 AMP393200:AMT393200 AWL393200:AWP393200 BGH393200:BGL393200 BQD393200:BQH393200 BZZ393200:CAD393200 CJV393200:CJZ393200 CTR393200:CTV393200 DDN393200:DDR393200 DNJ393200:DNN393200 DXF393200:DXJ393200 EHB393200:EHF393200 EQX393200:ERB393200 FAT393200:FAX393200 FKP393200:FKT393200 FUL393200:FUP393200 GEH393200:GEL393200 GOD393200:GOH393200 GXZ393200:GYD393200 HHV393200:HHZ393200 HRR393200:HRV393200 IBN393200:IBR393200 ILJ393200:ILN393200 IVF393200:IVJ393200 JFB393200:JFF393200 JOX393200:JPB393200 JYT393200:JYX393200 KIP393200:KIT393200 KSL393200:KSP393200 LCH393200:LCL393200 LMD393200:LMH393200 LVZ393200:LWD393200 MFV393200:MFZ393200 MPR393200:MPV393200 MZN393200:MZR393200 NJJ393200:NJN393200 NTF393200:NTJ393200 ODB393200:ODF393200 OMX393200:ONB393200 OWT393200:OWX393200 PGP393200:PGT393200 PQL393200:PQP393200 QAH393200:QAL393200 QKD393200:QKH393200 QTZ393200:QUD393200 RDV393200:RDZ393200 RNR393200:RNV393200 RXN393200:RXR393200 SHJ393200:SHN393200 SRF393200:SRJ393200 TBB393200:TBF393200 TKX393200:TLB393200 TUT393200:TUX393200 UEP393200:UET393200 UOL393200:UOP393200 UYH393200:UYL393200 VID393200:VIH393200 VRZ393200:VSD393200 WBV393200:WBZ393200 WLR393200:WLV393200 WVN393200:WVR393200 B458736:I458736 JB458736:JF458736 SX458736:TB458736 ACT458736:ACX458736 AMP458736:AMT458736 AWL458736:AWP458736 BGH458736:BGL458736 BQD458736:BQH458736 BZZ458736:CAD458736 CJV458736:CJZ458736 CTR458736:CTV458736 DDN458736:DDR458736 DNJ458736:DNN458736 DXF458736:DXJ458736 EHB458736:EHF458736 EQX458736:ERB458736 FAT458736:FAX458736 FKP458736:FKT458736 FUL458736:FUP458736 GEH458736:GEL458736 GOD458736:GOH458736 GXZ458736:GYD458736 HHV458736:HHZ458736 HRR458736:HRV458736 IBN458736:IBR458736 ILJ458736:ILN458736 IVF458736:IVJ458736 JFB458736:JFF458736 JOX458736:JPB458736 JYT458736:JYX458736 KIP458736:KIT458736 KSL458736:KSP458736 LCH458736:LCL458736 LMD458736:LMH458736 LVZ458736:LWD458736 MFV458736:MFZ458736 MPR458736:MPV458736 MZN458736:MZR458736 NJJ458736:NJN458736 NTF458736:NTJ458736 ODB458736:ODF458736 OMX458736:ONB458736 OWT458736:OWX458736 PGP458736:PGT458736 PQL458736:PQP458736 QAH458736:QAL458736 QKD458736:QKH458736 QTZ458736:QUD458736 RDV458736:RDZ458736 RNR458736:RNV458736 RXN458736:RXR458736 SHJ458736:SHN458736 SRF458736:SRJ458736 TBB458736:TBF458736 TKX458736:TLB458736 TUT458736:TUX458736 UEP458736:UET458736 UOL458736:UOP458736 UYH458736:UYL458736 VID458736:VIH458736 VRZ458736:VSD458736 WBV458736:WBZ458736 WLR458736:WLV458736 WVN458736:WVR458736 B524272:I524272 JB524272:JF524272 SX524272:TB524272 ACT524272:ACX524272 AMP524272:AMT524272 AWL524272:AWP524272 BGH524272:BGL524272 BQD524272:BQH524272 BZZ524272:CAD524272 CJV524272:CJZ524272 CTR524272:CTV524272 DDN524272:DDR524272 DNJ524272:DNN524272 DXF524272:DXJ524272 EHB524272:EHF524272 EQX524272:ERB524272 FAT524272:FAX524272 FKP524272:FKT524272 FUL524272:FUP524272 GEH524272:GEL524272 GOD524272:GOH524272 GXZ524272:GYD524272 HHV524272:HHZ524272 HRR524272:HRV524272 IBN524272:IBR524272 ILJ524272:ILN524272 IVF524272:IVJ524272 JFB524272:JFF524272 JOX524272:JPB524272 JYT524272:JYX524272 KIP524272:KIT524272 KSL524272:KSP524272 LCH524272:LCL524272 LMD524272:LMH524272 LVZ524272:LWD524272 MFV524272:MFZ524272 MPR524272:MPV524272 MZN524272:MZR524272 NJJ524272:NJN524272 NTF524272:NTJ524272 ODB524272:ODF524272 OMX524272:ONB524272 OWT524272:OWX524272 PGP524272:PGT524272 PQL524272:PQP524272 QAH524272:QAL524272 QKD524272:QKH524272 QTZ524272:QUD524272 RDV524272:RDZ524272 RNR524272:RNV524272 RXN524272:RXR524272 SHJ524272:SHN524272 SRF524272:SRJ524272 TBB524272:TBF524272 TKX524272:TLB524272 TUT524272:TUX524272 UEP524272:UET524272 UOL524272:UOP524272 UYH524272:UYL524272 VID524272:VIH524272 VRZ524272:VSD524272 WBV524272:WBZ524272 WLR524272:WLV524272 WVN524272:WVR524272 B589808:I589808 JB589808:JF589808 SX589808:TB589808 ACT589808:ACX589808 AMP589808:AMT589808 AWL589808:AWP589808 BGH589808:BGL589808 BQD589808:BQH589808 BZZ589808:CAD589808 CJV589808:CJZ589808 CTR589808:CTV589808 DDN589808:DDR589808 DNJ589808:DNN589808 DXF589808:DXJ589808 EHB589808:EHF589808 EQX589808:ERB589808 FAT589808:FAX589808 FKP589808:FKT589808 FUL589808:FUP589808 GEH589808:GEL589808 GOD589808:GOH589808 GXZ589808:GYD589808 HHV589808:HHZ589808 HRR589808:HRV589808 IBN589808:IBR589808 ILJ589808:ILN589808 IVF589808:IVJ589808 JFB589808:JFF589808 JOX589808:JPB589808 JYT589808:JYX589808 KIP589808:KIT589808 KSL589808:KSP589808 LCH589808:LCL589808 LMD589808:LMH589808 LVZ589808:LWD589808 MFV589808:MFZ589808 MPR589808:MPV589808 MZN589808:MZR589808 NJJ589808:NJN589808 NTF589808:NTJ589808 ODB589808:ODF589808 OMX589808:ONB589808 OWT589808:OWX589808 PGP589808:PGT589808 PQL589808:PQP589808 QAH589808:QAL589808 QKD589808:QKH589808 QTZ589808:QUD589808 RDV589808:RDZ589808 RNR589808:RNV589808 RXN589808:RXR589808 SHJ589808:SHN589808 SRF589808:SRJ589808 TBB589808:TBF589808 TKX589808:TLB589808 TUT589808:TUX589808 UEP589808:UET589808 UOL589808:UOP589808 UYH589808:UYL589808 VID589808:VIH589808 VRZ589808:VSD589808 WBV589808:WBZ589808 WLR589808:WLV589808 WVN589808:WVR589808 B655344:I655344 JB655344:JF655344 SX655344:TB655344 ACT655344:ACX655344 AMP655344:AMT655344 AWL655344:AWP655344 BGH655344:BGL655344 BQD655344:BQH655344 BZZ655344:CAD655344 CJV655344:CJZ655344 CTR655344:CTV655344 DDN655344:DDR655344 DNJ655344:DNN655344 DXF655344:DXJ655344 EHB655344:EHF655344 EQX655344:ERB655344 FAT655344:FAX655344 FKP655344:FKT655344 FUL655344:FUP655344 GEH655344:GEL655344 GOD655344:GOH655344 GXZ655344:GYD655344 HHV655344:HHZ655344 HRR655344:HRV655344 IBN655344:IBR655344 ILJ655344:ILN655344 IVF655344:IVJ655344 JFB655344:JFF655344 JOX655344:JPB655344 JYT655344:JYX655344 KIP655344:KIT655344 KSL655344:KSP655344 LCH655344:LCL655344 LMD655344:LMH655344 LVZ655344:LWD655344 MFV655344:MFZ655344 MPR655344:MPV655344 MZN655344:MZR655344 NJJ655344:NJN655344 NTF655344:NTJ655344 ODB655344:ODF655344 OMX655344:ONB655344 OWT655344:OWX655344 PGP655344:PGT655344 PQL655344:PQP655344 QAH655344:QAL655344 QKD655344:QKH655344 QTZ655344:QUD655344 RDV655344:RDZ655344 RNR655344:RNV655344 RXN655344:RXR655344 SHJ655344:SHN655344 SRF655344:SRJ655344 TBB655344:TBF655344 TKX655344:TLB655344 TUT655344:TUX655344 UEP655344:UET655344 UOL655344:UOP655344 UYH655344:UYL655344 VID655344:VIH655344 VRZ655344:VSD655344 WBV655344:WBZ655344 WLR655344:WLV655344 WVN655344:WVR655344 B720880:I720880 JB720880:JF720880 SX720880:TB720880 ACT720880:ACX720880 AMP720880:AMT720880 AWL720880:AWP720880 BGH720880:BGL720880 BQD720880:BQH720880 BZZ720880:CAD720880 CJV720880:CJZ720880 CTR720880:CTV720880 DDN720880:DDR720880 DNJ720880:DNN720880 DXF720880:DXJ720880 EHB720880:EHF720880 EQX720880:ERB720880 FAT720880:FAX720880 FKP720880:FKT720880 FUL720880:FUP720880 GEH720880:GEL720880 GOD720880:GOH720880 GXZ720880:GYD720880 HHV720880:HHZ720880 HRR720880:HRV720880 IBN720880:IBR720880 ILJ720880:ILN720880 IVF720880:IVJ720880 JFB720880:JFF720880 JOX720880:JPB720880 JYT720880:JYX720880 KIP720880:KIT720880 KSL720880:KSP720880 LCH720880:LCL720880 LMD720880:LMH720880 LVZ720880:LWD720880 MFV720880:MFZ720880 MPR720880:MPV720880 MZN720880:MZR720880 NJJ720880:NJN720880 NTF720880:NTJ720880 ODB720880:ODF720880 OMX720880:ONB720880 OWT720880:OWX720880 PGP720880:PGT720880 PQL720880:PQP720880 QAH720880:QAL720880 QKD720880:QKH720880 QTZ720880:QUD720880 RDV720880:RDZ720880 RNR720880:RNV720880 RXN720880:RXR720880 SHJ720880:SHN720880 SRF720880:SRJ720880 TBB720880:TBF720880 TKX720880:TLB720880 TUT720880:TUX720880 UEP720880:UET720880 UOL720880:UOP720880 UYH720880:UYL720880 VID720880:VIH720880 VRZ720880:VSD720880 WBV720880:WBZ720880 WLR720880:WLV720880 WVN720880:WVR720880 B786416:I786416 JB786416:JF786416 SX786416:TB786416 ACT786416:ACX786416 AMP786416:AMT786416 AWL786416:AWP786416 BGH786416:BGL786416 BQD786416:BQH786416 BZZ786416:CAD786416 CJV786416:CJZ786416 CTR786416:CTV786416 DDN786416:DDR786416 DNJ786416:DNN786416 DXF786416:DXJ786416 EHB786416:EHF786416 EQX786416:ERB786416 FAT786416:FAX786416 FKP786416:FKT786416 FUL786416:FUP786416 GEH786416:GEL786416 GOD786416:GOH786416 GXZ786416:GYD786416 HHV786416:HHZ786416 HRR786416:HRV786416 IBN786416:IBR786416 ILJ786416:ILN786416 IVF786416:IVJ786416 JFB786416:JFF786416 JOX786416:JPB786416 JYT786416:JYX786416 KIP786416:KIT786416 KSL786416:KSP786416 LCH786416:LCL786416 LMD786416:LMH786416 LVZ786416:LWD786416 MFV786416:MFZ786416 MPR786416:MPV786416 MZN786416:MZR786416 NJJ786416:NJN786416 NTF786416:NTJ786416 ODB786416:ODF786416 OMX786416:ONB786416 OWT786416:OWX786416 PGP786416:PGT786416 PQL786416:PQP786416 QAH786416:QAL786416 QKD786416:QKH786416 QTZ786416:QUD786416 RDV786416:RDZ786416 RNR786416:RNV786416 RXN786416:RXR786416 SHJ786416:SHN786416 SRF786416:SRJ786416 TBB786416:TBF786416 TKX786416:TLB786416 TUT786416:TUX786416 UEP786416:UET786416 UOL786416:UOP786416 UYH786416:UYL786416 VID786416:VIH786416 VRZ786416:VSD786416 WBV786416:WBZ786416 WLR786416:WLV786416 WVN786416:WVR786416 B851952:I851952 JB851952:JF851952 SX851952:TB851952 ACT851952:ACX851952 AMP851952:AMT851952 AWL851952:AWP851952 BGH851952:BGL851952 BQD851952:BQH851952 BZZ851952:CAD851952 CJV851952:CJZ851952 CTR851952:CTV851952 DDN851952:DDR851952 DNJ851952:DNN851952 DXF851952:DXJ851952 EHB851952:EHF851952 EQX851952:ERB851952 FAT851952:FAX851952 FKP851952:FKT851952 FUL851952:FUP851952 GEH851952:GEL851952 GOD851952:GOH851952 GXZ851952:GYD851952 HHV851952:HHZ851952 HRR851952:HRV851952 IBN851952:IBR851952 ILJ851952:ILN851952 IVF851952:IVJ851952 JFB851952:JFF851952 JOX851952:JPB851952 JYT851952:JYX851952 KIP851952:KIT851952 KSL851952:KSP851952 LCH851952:LCL851952 LMD851952:LMH851952 LVZ851952:LWD851952 MFV851952:MFZ851952 MPR851952:MPV851952 MZN851952:MZR851952 NJJ851952:NJN851952 NTF851952:NTJ851952 ODB851952:ODF851952 OMX851952:ONB851952 OWT851952:OWX851952 PGP851952:PGT851952 PQL851952:PQP851952 QAH851952:QAL851952 QKD851952:QKH851952 QTZ851952:QUD851952 RDV851952:RDZ851952 RNR851952:RNV851952 RXN851952:RXR851952 SHJ851952:SHN851952 SRF851952:SRJ851952 TBB851952:TBF851952 TKX851952:TLB851952 TUT851952:TUX851952 UEP851952:UET851952 UOL851952:UOP851952 UYH851952:UYL851952 VID851952:VIH851952 VRZ851952:VSD851952 WBV851952:WBZ851952 WLR851952:WLV851952 WVN851952:WVR851952 B917488:I917488 JB917488:JF917488 SX917488:TB917488 ACT917488:ACX917488 AMP917488:AMT917488 AWL917488:AWP917488 BGH917488:BGL917488 BQD917488:BQH917488 BZZ917488:CAD917488 CJV917488:CJZ917488 CTR917488:CTV917488 DDN917488:DDR917488 DNJ917488:DNN917488 DXF917488:DXJ917488 EHB917488:EHF917488 EQX917488:ERB917488 FAT917488:FAX917488 FKP917488:FKT917488 FUL917488:FUP917488 GEH917488:GEL917488 GOD917488:GOH917488 GXZ917488:GYD917488 HHV917488:HHZ917488 HRR917488:HRV917488 IBN917488:IBR917488 ILJ917488:ILN917488 IVF917488:IVJ917488 JFB917488:JFF917488 JOX917488:JPB917488 JYT917488:JYX917488 KIP917488:KIT917488 KSL917488:KSP917488 LCH917488:LCL917488 LMD917488:LMH917488 LVZ917488:LWD917488 MFV917488:MFZ917488 MPR917488:MPV917488 MZN917488:MZR917488 NJJ917488:NJN917488 NTF917488:NTJ917488 ODB917488:ODF917488 OMX917488:ONB917488 OWT917488:OWX917488 PGP917488:PGT917488 PQL917488:PQP917488 QAH917488:QAL917488 QKD917488:QKH917488 QTZ917488:QUD917488 RDV917488:RDZ917488 RNR917488:RNV917488 RXN917488:RXR917488 SHJ917488:SHN917488 SRF917488:SRJ917488 TBB917488:TBF917488 TKX917488:TLB917488 TUT917488:TUX917488 UEP917488:UET917488 UOL917488:UOP917488 UYH917488:UYL917488 VID917488:VIH917488 VRZ917488:VSD917488 WBV917488:WBZ917488 WLR917488:WLV917488 WVN917488:WVR917488 B983024:I983024 JB983024:JF983024 SX983024:TB983024 ACT983024:ACX983024 AMP983024:AMT983024 AWL983024:AWP983024 BGH983024:BGL983024 BQD983024:BQH983024 BZZ983024:CAD983024 CJV983024:CJZ983024 CTR983024:CTV983024 DDN983024:DDR983024 DNJ983024:DNN983024 DXF983024:DXJ983024 EHB983024:EHF983024 EQX983024:ERB983024 FAT983024:FAX983024 FKP983024:FKT983024 FUL983024:FUP983024 GEH983024:GEL983024 GOD983024:GOH983024 GXZ983024:GYD983024 HHV983024:HHZ983024 HRR983024:HRV983024 IBN983024:IBR983024 ILJ983024:ILN983024 IVF983024:IVJ983024 JFB983024:JFF983024 JOX983024:JPB983024 JYT983024:JYX983024 KIP983024:KIT983024 KSL983024:KSP983024 LCH983024:LCL983024 LMD983024:LMH983024 LVZ983024:LWD983024 MFV983024:MFZ983024 MPR983024:MPV983024 MZN983024:MZR983024 NJJ983024:NJN983024 NTF983024:NTJ983024 ODB983024:ODF983024 OMX983024:ONB983024 OWT983024:OWX983024 PGP983024:PGT983024 PQL983024:PQP983024 QAH983024:QAL983024 QKD983024:QKH983024 QTZ983024:QUD983024 RDV983024:RDZ983024 RNR983024:RNV983024 RXN983024:RXR983024 SHJ983024:SHN983024 SRF983024:SRJ983024 TBB983024:TBF983024 TKX983024:TLB983024 TUT983024:TUX983024 UEP983024:UET983024 UOL983024:UOP983024 UYH983024:UYL983024 VID983024:VIH983024 VRZ983024:VSD983024 WBV983024:WBZ983024 WLR983024:WLV983024 JB24:JF26 SX69:TB71 ACT69:ACX71 AMP69:AMT71 AWL69:AWP71 BGH69:BGL71 BQD69:BQH71 BZZ69:CAD71 CJV69:CJZ71 CTR69:CTV71 DDN69:DDR71 DNJ69:DNN71 DXF69:DXJ71 EHB69:EHF71 EQX69:ERB71 FAT69:FAX71 FKP69:FKT71 FUL69:FUP71 GEH69:GEL71 GOD69:GOH71 GXZ69:GYD71 HHV69:HHZ71 HRR69:HRV71 IBN69:IBR71 ILJ69:ILN71 IVF69:IVJ71 JFB69:JFF71 JOX69:JPB71 JYT69:JYX71 KIP69:KIT71 KSL69:KSP71 LCH69:LCL71 LMD69:LMH71 LVZ69:LWD71 MFV69:MFZ71 MPR69:MPV71 MZN69:MZR71 NJJ69:NJN71 NTF69:NTJ71 ODB69:ODF71 OMX69:ONB71 OWT69:OWX71 PGP69:PGT71 PQL69:PQP71 QAH69:QAL71 QKD69:QKH71 QTZ69:QUD71 RDV69:RDZ71 RNR69:RNV71 RXN69:RXR71 SHJ69:SHN71 SRF69:SRJ71 TBB69:TBF71 TKX69:TLB71 TUT69:TUX71 UEP69:UET71 UOL69:UOP71 UYH69:UYL71 VID69:VIH71 VRZ69:VSD71 WBV69:WBZ71 WLR69:WLV71 WVN69:WVR71 JB69:JF71 SX114:TB116 ACT114:ACX116 AMP114:AMT116 AWL114:AWP116 BGH114:BGL116 BQD114:BQH116 BZZ114:CAD116 CJV114:CJZ116 CTR114:CTV116 DDN114:DDR116 DNJ114:DNN116 DXF114:DXJ116 EHB114:EHF116 EQX114:ERB116 FAT114:FAX116 FKP114:FKT116 FUL114:FUP116 GEH114:GEL116 GOD114:GOH116 GXZ114:GYD116 HHV114:HHZ116 HRR114:HRV116 IBN114:IBR116 ILJ114:ILN116 IVF114:IVJ116 JFB114:JFF116 JOX114:JPB116 JYT114:JYX116 KIP114:KIT116 KSL114:KSP116 LCH114:LCL116 LMD114:LMH116 LVZ114:LWD116 MFV114:MFZ116 MPR114:MPV116 MZN114:MZR116 NJJ114:NJN116 NTF114:NTJ116 ODB114:ODF116 OMX114:ONB116 OWT114:OWX116 PGP114:PGT116 PQL114:PQP116 QAH114:QAL116 QKD114:QKH116 QTZ114:QUD116 RDV114:RDZ116 RNR114:RNV116 RXN114:RXR116 SHJ114:SHN116 SRF114:SRJ116 TBB114:TBF116 TKX114:TLB116 TUT114:TUX116 UEP114:UET116 UOL114:UOP116 UYH114:UYL116 VID114:VIH116 VRZ114:VSD116 WBV114:WBZ116 WLR114:WLV116 WVN114:WVR116 JB114:JF116 SX159:TB161 ACT159:ACX161 AMP159:AMT161 AWL159:AWP161 BGH159:BGL161 BQD159:BQH161 BZZ159:CAD161 CJV159:CJZ161 CTR159:CTV161 DDN159:DDR161 DNJ159:DNN161 DXF159:DXJ161 EHB159:EHF161 EQX159:ERB161 FAT159:FAX161 FKP159:FKT161 FUL159:FUP161 GEH159:GEL161 GOD159:GOH161 GXZ159:GYD161 HHV159:HHZ161 HRR159:HRV161 IBN159:IBR161 ILJ159:ILN161 IVF159:IVJ161 JFB159:JFF161 JOX159:JPB161 JYT159:JYX161 KIP159:KIT161 KSL159:KSP161 LCH159:LCL161 LMD159:LMH161 LVZ159:LWD161 MFV159:MFZ161 MPR159:MPV161 MZN159:MZR161 NJJ159:NJN161 NTF159:NTJ161 ODB159:ODF161 OMX159:ONB161 OWT159:OWX161 PGP159:PGT161 PQL159:PQP161 QAH159:QAL161 QKD159:QKH161 QTZ159:QUD161 RDV159:RDZ161 RNR159:RNV161 RXN159:RXR161 SHJ159:SHN161 SRF159:SRJ161 TBB159:TBF161 TKX159:TLB161 TUT159:TUX161 UEP159:UET161 UOL159:UOP161 UYH159:UYL161 VID159:VIH161 VRZ159:VSD161 WBV159:WBZ161 WLR159:WLV161 WVN159:WVR161 JB159:JF161 SX204:TB206 ACT204:ACX206 AMP204:AMT206 AWL204:AWP206 BGH204:BGL206 BQD204:BQH206 BZZ204:CAD206 CJV204:CJZ206 CTR204:CTV206 DDN204:DDR206 DNJ204:DNN206 DXF204:DXJ206 EHB204:EHF206 EQX204:ERB206 FAT204:FAX206 FKP204:FKT206 FUL204:FUP206 GEH204:GEL206 GOD204:GOH206 GXZ204:GYD206 HHV204:HHZ206 HRR204:HRV206 IBN204:IBR206 ILJ204:ILN206 IVF204:IVJ206 JFB204:JFF206 JOX204:JPB206 JYT204:JYX206 KIP204:KIT206 KSL204:KSP206 LCH204:LCL206 LMD204:LMH206 LVZ204:LWD206 MFV204:MFZ206 MPR204:MPV206 MZN204:MZR206 NJJ204:NJN206 NTF204:NTJ206 ODB204:ODF206 OMX204:ONB206 OWT204:OWX206 PGP204:PGT206 PQL204:PQP206 QAH204:QAL206 QKD204:QKH206 QTZ204:QUD206 RDV204:RDZ206 RNR204:RNV206 RXN204:RXR206 SHJ204:SHN206 SRF204:SRJ206 TBB204:TBF206 TKX204:TLB206 TUT204:TUX206 UEP204:UET206 UOL204:UOP206 UYH204:UYL206 VID204:VIH206 VRZ204:VSD206 WBV204:WBZ206 WLR204:WLV206 WVN204:WVR206 JB204:JF206" xr:uid="{7694A617-3AEB-40C9-A9A8-61DB8FBA1E4A}">
      <formula1>$K$24:$S$24</formula1>
    </dataValidation>
    <dataValidation type="list" allowBlank="1" showInputMessage="1" showErrorMessage="1" promptTitle="WORK" prompt="SELECT FROM DROP DOWN LIST" sqref="WVN983023:WVR983023 B65519:I65519 JB65519:JF65519 SX65519:TB65519 ACT65519:ACX65519 AMP65519:AMT65519 AWL65519:AWP65519 BGH65519:BGL65519 BQD65519:BQH65519 BZZ65519:CAD65519 CJV65519:CJZ65519 CTR65519:CTV65519 DDN65519:DDR65519 DNJ65519:DNN65519 DXF65519:DXJ65519 EHB65519:EHF65519 EQX65519:ERB65519 FAT65519:FAX65519 FKP65519:FKT65519 FUL65519:FUP65519 GEH65519:GEL65519 GOD65519:GOH65519 GXZ65519:GYD65519 HHV65519:HHZ65519 HRR65519:HRV65519 IBN65519:IBR65519 ILJ65519:ILN65519 IVF65519:IVJ65519 JFB65519:JFF65519 JOX65519:JPB65519 JYT65519:JYX65519 KIP65519:KIT65519 KSL65519:KSP65519 LCH65519:LCL65519 LMD65519:LMH65519 LVZ65519:LWD65519 MFV65519:MFZ65519 MPR65519:MPV65519 MZN65519:MZR65519 NJJ65519:NJN65519 NTF65519:NTJ65519 ODB65519:ODF65519 OMX65519:ONB65519 OWT65519:OWX65519 PGP65519:PGT65519 PQL65519:PQP65519 QAH65519:QAL65519 QKD65519:QKH65519 QTZ65519:QUD65519 RDV65519:RDZ65519 RNR65519:RNV65519 RXN65519:RXR65519 SHJ65519:SHN65519 SRF65519:SRJ65519 TBB65519:TBF65519 TKX65519:TLB65519 TUT65519:TUX65519 UEP65519:UET65519 UOL65519:UOP65519 UYH65519:UYL65519 VID65519:VIH65519 VRZ65519:VSD65519 WBV65519:WBZ65519 WLR65519:WLV65519 WVN65519:WVR65519 B131055:I131055 JB131055:JF131055 SX131055:TB131055 ACT131055:ACX131055 AMP131055:AMT131055 AWL131055:AWP131055 BGH131055:BGL131055 BQD131055:BQH131055 BZZ131055:CAD131055 CJV131055:CJZ131055 CTR131055:CTV131055 DDN131055:DDR131055 DNJ131055:DNN131055 DXF131055:DXJ131055 EHB131055:EHF131055 EQX131055:ERB131055 FAT131055:FAX131055 FKP131055:FKT131055 FUL131055:FUP131055 GEH131055:GEL131055 GOD131055:GOH131055 GXZ131055:GYD131055 HHV131055:HHZ131055 HRR131055:HRV131055 IBN131055:IBR131055 ILJ131055:ILN131055 IVF131055:IVJ131055 JFB131055:JFF131055 JOX131055:JPB131055 JYT131055:JYX131055 KIP131055:KIT131055 KSL131055:KSP131055 LCH131055:LCL131055 LMD131055:LMH131055 LVZ131055:LWD131055 MFV131055:MFZ131055 MPR131055:MPV131055 MZN131055:MZR131055 NJJ131055:NJN131055 NTF131055:NTJ131055 ODB131055:ODF131055 OMX131055:ONB131055 OWT131055:OWX131055 PGP131055:PGT131055 PQL131055:PQP131055 QAH131055:QAL131055 QKD131055:QKH131055 QTZ131055:QUD131055 RDV131055:RDZ131055 RNR131055:RNV131055 RXN131055:RXR131055 SHJ131055:SHN131055 SRF131055:SRJ131055 TBB131055:TBF131055 TKX131055:TLB131055 TUT131055:TUX131055 UEP131055:UET131055 UOL131055:UOP131055 UYH131055:UYL131055 VID131055:VIH131055 VRZ131055:VSD131055 WBV131055:WBZ131055 WLR131055:WLV131055 WVN131055:WVR131055 B196591:I196591 JB196591:JF196591 SX196591:TB196591 ACT196591:ACX196591 AMP196591:AMT196591 AWL196591:AWP196591 BGH196591:BGL196591 BQD196591:BQH196591 BZZ196591:CAD196591 CJV196591:CJZ196591 CTR196591:CTV196591 DDN196591:DDR196591 DNJ196591:DNN196591 DXF196591:DXJ196591 EHB196591:EHF196591 EQX196591:ERB196591 FAT196591:FAX196591 FKP196591:FKT196591 FUL196591:FUP196591 GEH196591:GEL196591 GOD196591:GOH196591 GXZ196591:GYD196591 HHV196591:HHZ196591 HRR196591:HRV196591 IBN196591:IBR196591 ILJ196591:ILN196591 IVF196591:IVJ196591 JFB196591:JFF196591 JOX196591:JPB196591 JYT196591:JYX196591 KIP196591:KIT196591 KSL196591:KSP196591 LCH196591:LCL196591 LMD196591:LMH196591 LVZ196591:LWD196591 MFV196591:MFZ196591 MPR196591:MPV196591 MZN196591:MZR196591 NJJ196591:NJN196591 NTF196591:NTJ196591 ODB196591:ODF196591 OMX196591:ONB196591 OWT196591:OWX196591 PGP196591:PGT196591 PQL196591:PQP196591 QAH196591:QAL196591 QKD196591:QKH196591 QTZ196591:QUD196591 RDV196591:RDZ196591 RNR196591:RNV196591 RXN196591:RXR196591 SHJ196591:SHN196591 SRF196591:SRJ196591 TBB196591:TBF196591 TKX196591:TLB196591 TUT196591:TUX196591 UEP196591:UET196591 UOL196591:UOP196591 UYH196591:UYL196591 VID196591:VIH196591 VRZ196591:VSD196591 WBV196591:WBZ196591 WLR196591:WLV196591 WVN196591:WVR196591 B262127:I262127 JB262127:JF262127 SX262127:TB262127 ACT262127:ACX262127 AMP262127:AMT262127 AWL262127:AWP262127 BGH262127:BGL262127 BQD262127:BQH262127 BZZ262127:CAD262127 CJV262127:CJZ262127 CTR262127:CTV262127 DDN262127:DDR262127 DNJ262127:DNN262127 DXF262127:DXJ262127 EHB262127:EHF262127 EQX262127:ERB262127 FAT262127:FAX262127 FKP262127:FKT262127 FUL262127:FUP262127 GEH262127:GEL262127 GOD262127:GOH262127 GXZ262127:GYD262127 HHV262127:HHZ262127 HRR262127:HRV262127 IBN262127:IBR262127 ILJ262127:ILN262127 IVF262127:IVJ262127 JFB262127:JFF262127 JOX262127:JPB262127 JYT262127:JYX262127 KIP262127:KIT262127 KSL262127:KSP262127 LCH262127:LCL262127 LMD262127:LMH262127 LVZ262127:LWD262127 MFV262127:MFZ262127 MPR262127:MPV262127 MZN262127:MZR262127 NJJ262127:NJN262127 NTF262127:NTJ262127 ODB262127:ODF262127 OMX262127:ONB262127 OWT262127:OWX262127 PGP262127:PGT262127 PQL262127:PQP262127 QAH262127:QAL262127 QKD262127:QKH262127 QTZ262127:QUD262127 RDV262127:RDZ262127 RNR262127:RNV262127 RXN262127:RXR262127 SHJ262127:SHN262127 SRF262127:SRJ262127 TBB262127:TBF262127 TKX262127:TLB262127 TUT262127:TUX262127 UEP262127:UET262127 UOL262127:UOP262127 UYH262127:UYL262127 VID262127:VIH262127 VRZ262127:VSD262127 WBV262127:WBZ262127 WLR262127:WLV262127 WVN262127:WVR262127 B327663:I327663 JB327663:JF327663 SX327663:TB327663 ACT327663:ACX327663 AMP327663:AMT327663 AWL327663:AWP327663 BGH327663:BGL327663 BQD327663:BQH327663 BZZ327663:CAD327663 CJV327663:CJZ327663 CTR327663:CTV327663 DDN327663:DDR327663 DNJ327663:DNN327663 DXF327663:DXJ327663 EHB327663:EHF327663 EQX327663:ERB327663 FAT327663:FAX327663 FKP327663:FKT327663 FUL327663:FUP327663 GEH327663:GEL327663 GOD327663:GOH327663 GXZ327663:GYD327663 HHV327663:HHZ327663 HRR327663:HRV327663 IBN327663:IBR327663 ILJ327663:ILN327663 IVF327663:IVJ327663 JFB327663:JFF327663 JOX327663:JPB327663 JYT327663:JYX327663 KIP327663:KIT327663 KSL327663:KSP327663 LCH327663:LCL327663 LMD327663:LMH327663 LVZ327663:LWD327663 MFV327663:MFZ327663 MPR327663:MPV327663 MZN327663:MZR327663 NJJ327663:NJN327663 NTF327663:NTJ327663 ODB327663:ODF327663 OMX327663:ONB327663 OWT327663:OWX327663 PGP327663:PGT327663 PQL327663:PQP327663 QAH327663:QAL327663 QKD327663:QKH327663 QTZ327663:QUD327663 RDV327663:RDZ327663 RNR327663:RNV327663 RXN327663:RXR327663 SHJ327663:SHN327663 SRF327663:SRJ327663 TBB327663:TBF327663 TKX327663:TLB327663 TUT327663:TUX327663 UEP327663:UET327663 UOL327663:UOP327663 UYH327663:UYL327663 VID327663:VIH327663 VRZ327663:VSD327663 WBV327663:WBZ327663 WLR327663:WLV327663 WVN327663:WVR327663 B393199:I393199 JB393199:JF393199 SX393199:TB393199 ACT393199:ACX393199 AMP393199:AMT393199 AWL393199:AWP393199 BGH393199:BGL393199 BQD393199:BQH393199 BZZ393199:CAD393199 CJV393199:CJZ393199 CTR393199:CTV393199 DDN393199:DDR393199 DNJ393199:DNN393199 DXF393199:DXJ393199 EHB393199:EHF393199 EQX393199:ERB393199 FAT393199:FAX393199 FKP393199:FKT393199 FUL393199:FUP393199 GEH393199:GEL393199 GOD393199:GOH393199 GXZ393199:GYD393199 HHV393199:HHZ393199 HRR393199:HRV393199 IBN393199:IBR393199 ILJ393199:ILN393199 IVF393199:IVJ393199 JFB393199:JFF393199 JOX393199:JPB393199 JYT393199:JYX393199 KIP393199:KIT393199 KSL393199:KSP393199 LCH393199:LCL393199 LMD393199:LMH393199 LVZ393199:LWD393199 MFV393199:MFZ393199 MPR393199:MPV393199 MZN393199:MZR393199 NJJ393199:NJN393199 NTF393199:NTJ393199 ODB393199:ODF393199 OMX393199:ONB393199 OWT393199:OWX393199 PGP393199:PGT393199 PQL393199:PQP393199 QAH393199:QAL393199 QKD393199:QKH393199 QTZ393199:QUD393199 RDV393199:RDZ393199 RNR393199:RNV393199 RXN393199:RXR393199 SHJ393199:SHN393199 SRF393199:SRJ393199 TBB393199:TBF393199 TKX393199:TLB393199 TUT393199:TUX393199 UEP393199:UET393199 UOL393199:UOP393199 UYH393199:UYL393199 VID393199:VIH393199 VRZ393199:VSD393199 WBV393199:WBZ393199 WLR393199:WLV393199 WVN393199:WVR393199 B458735:I458735 JB458735:JF458735 SX458735:TB458735 ACT458735:ACX458735 AMP458735:AMT458735 AWL458735:AWP458735 BGH458735:BGL458735 BQD458735:BQH458735 BZZ458735:CAD458735 CJV458735:CJZ458735 CTR458735:CTV458735 DDN458735:DDR458735 DNJ458735:DNN458735 DXF458735:DXJ458735 EHB458735:EHF458735 EQX458735:ERB458735 FAT458735:FAX458735 FKP458735:FKT458735 FUL458735:FUP458735 GEH458735:GEL458735 GOD458735:GOH458735 GXZ458735:GYD458735 HHV458735:HHZ458735 HRR458735:HRV458735 IBN458735:IBR458735 ILJ458735:ILN458735 IVF458735:IVJ458735 JFB458735:JFF458735 JOX458735:JPB458735 JYT458735:JYX458735 KIP458735:KIT458735 KSL458735:KSP458735 LCH458735:LCL458735 LMD458735:LMH458735 LVZ458735:LWD458735 MFV458735:MFZ458735 MPR458735:MPV458735 MZN458735:MZR458735 NJJ458735:NJN458735 NTF458735:NTJ458735 ODB458735:ODF458735 OMX458735:ONB458735 OWT458735:OWX458735 PGP458735:PGT458735 PQL458735:PQP458735 QAH458735:QAL458735 QKD458735:QKH458735 QTZ458735:QUD458735 RDV458735:RDZ458735 RNR458735:RNV458735 RXN458735:RXR458735 SHJ458735:SHN458735 SRF458735:SRJ458735 TBB458735:TBF458735 TKX458735:TLB458735 TUT458735:TUX458735 UEP458735:UET458735 UOL458735:UOP458735 UYH458735:UYL458735 VID458735:VIH458735 VRZ458735:VSD458735 WBV458735:WBZ458735 WLR458735:WLV458735 WVN458735:WVR458735 B524271:I524271 JB524271:JF524271 SX524271:TB524271 ACT524271:ACX524271 AMP524271:AMT524271 AWL524271:AWP524271 BGH524271:BGL524271 BQD524271:BQH524271 BZZ524271:CAD524271 CJV524271:CJZ524271 CTR524271:CTV524271 DDN524271:DDR524271 DNJ524271:DNN524271 DXF524271:DXJ524271 EHB524271:EHF524271 EQX524271:ERB524271 FAT524271:FAX524271 FKP524271:FKT524271 FUL524271:FUP524271 GEH524271:GEL524271 GOD524271:GOH524271 GXZ524271:GYD524271 HHV524271:HHZ524271 HRR524271:HRV524271 IBN524271:IBR524271 ILJ524271:ILN524271 IVF524271:IVJ524271 JFB524271:JFF524271 JOX524271:JPB524271 JYT524271:JYX524271 KIP524271:KIT524271 KSL524271:KSP524271 LCH524271:LCL524271 LMD524271:LMH524271 LVZ524271:LWD524271 MFV524271:MFZ524271 MPR524271:MPV524271 MZN524271:MZR524271 NJJ524271:NJN524271 NTF524271:NTJ524271 ODB524271:ODF524271 OMX524271:ONB524271 OWT524271:OWX524271 PGP524271:PGT524271 PQL524271:PQP524271 QAH524271:QAL524271 QKD524271:QKH524271 QTZ524271:QUD524271 RDV524271:RDZ524271 RNR524271:RNV524271 RXN524271:RXR524271 SHJ524271:SHN524271 SRF524271:SRJ524271 TBB524271:TBF524271 TKX524271:TLB524271 TUT524271:TUX524271 UEP524271:UET524271 UOL524271:UOP524271 UYH524271:UYL524271 VID524271:VIH524271 VRZ524271:VSD524271 WBV524271:WBZ524271 WLR524271:WLV524271 WVN524271:WVR524271 B589807:I589807 JB589807:JF589807 SX589807:TB589807 ACT589807:ACX589807 AMP589807:AMT589807 AWL589807:AWP589807 BGH589807:BGL589807 BQD589807:BQH589807 BZZ589807:CAD589807 CJV589807:CJZ589807 CTR589807:CTV589807 DDN589807:DDR589807 DNJ589807:DNN589807 DXF589807:DXJ589807 EHB589807:EHF589807 EQX589807:ERB589807 FAT589807:FAX589807 FKP589807:FKT589807 FUL589807:FUP589807 GEH589807:GEL589807 GOD589807:GOH589807 GXZ589807:GYD589807 HHV589807:HHZ589807 HRR589807:HRV589807 IBN589807:IBR589807 ILJ589807:ILN589807 IVF589807:IVJ589807 JFB589807:JFF589807 JOX589807:JPB589807 JYT589807:JYX589807 KIP589807:KIT589807 KSL589807:KSP589807 LCH589807:LCL589807 LMD589807:LMH589807 LVZ589807:LWD589807 MFV589807:MFZ589807 MPR589807:MPV589807 MZN589807:MZR589807 NJJ589807:NJN589807 NTF589807:NTJ589807 ODB589807:ODF589807 OMX589807:ONB589807 OWT589807:OWX589807 PGP589807:PGT589807 PQL589807:PQP589807 QAH589807:QAL589807 QKD589807:QKH589807 QTZ589807:QUD589807 RDV589807:RDZ589807 RNR589807:RNV589807 RXN589807:RXR589807 SHJ589807:SHN589807 SRF589807:SRJ589807 TBB589807:TBF589807 TKX589807:TLB589807 TUT589807:TUX589807 UEP589807:UET589807 UOL589807:UOP589807 UYH589807:UYL589807 VID589807:VIH589807 VRZ589807:VSD589807 WBV589807:WBZ589807 WLR589807:WLV589807 WVN589807:WVR589807 B655343:I655343 JB655343:JF655343 SX655343:TB655343 ACT655343:ACX655343 AMP655343:AMT655343 AWL655343:AWP655343 BGH655343:BGL655343 BQD655343:BQH655343 BZZ655343:CAD655343 CJV655343:CJZ655343 CTR655343:CTV655343 DDN655343:DDR655343 DNJ655343:DNN655343 DXF655343:DXJ655343 EHB655343:EHF655343 EQX655343:ERB655343 FAT655343:FAX655343 FKP655343:FKT655343 FUL655343:FUP655343 GEH655343:GEL655343 GOD655343:GOH655343 GXZ655343:GYD655343 HHV655343:HHZ655343 HRR655343:HRV655343 IBN655343:IBR655343 ILJ655343:ILN655343 IVF655343:IVJ655343 JFB655343:JFF655343 JOX655343:JPB655343 JYT655343:JYX655343 KIP655343:KIT655343 KSL655343:KSP655343 LCH655343:LCL655343 LMD655343:LMH655343 LVZ655343:LWD655343 MFV655343:MFZ655343 MPR655343:MPV655343 MZN655343:MZR655343 NJJ655343:NJN655343 NTF655343:NTJ655343 ODB655343:ODF655343 OMX655343:ONB655343 OWT655343:OWX655343 PGP655343:PGT655343 PQL655343:PQP655343 QAH655343:QAL655343 QKD655343:QKH655343 QTZ655343:QUD655343 RDV655343:RDZ655343 RNR655343:RNV655343 RXN655343:RXR655343 SHJ655343:SHN655343 SRF655343:SRJ655343 TBB655343:TBF655343 TKX655343:TLB655343 TUT655343:TUX655343 UEP655343:UET655343 UOL655343:UOP655343 UYH655343:UYL655343 VID655343:VIH655343 VRZ655343:VSD655343 WBV655343:WBZ655343 WLR655343:WLV655343 WVN655343:WVR655343 B720879:I720879 JB720879:JF720879 SX720879:TB720879 ACT720879:ACX720879 AMP720879:AMT720879 AWL720879:AWP720879 BGH720879:BGL720879 BQD720879:BQH720879 BZZ720879:CAD720879 CJV720879:CJZ720879 CTR720879:CTV720879 DDN720879:DDR720879 DNJ720879:DNN720879 DXF720879:DXJ720879 EHB720879:EHF720879 EQX720879:ERB720879 FAT720879:FAX720879 FKP720879:FKT720879 FUL720879:FUP720879 GEH720879:GEL720879 GOD720879:GOH720879 GXZ720879:GYD720879 HHV720879:HHZ720879 HRR720879:HRV720879 IBN720879:IBR720879 ILJ720879:ILN720879 IVF720879:IVJ720879 JFB720879:JFF720879 JOX720879:JPB720879 JYT720879:JYX720879 KIP720879:KIT720879 KSL720879:KSP720879 LCH720879:LCL720879 LMD720879:LMH720879 LVZ720879:LWD720879 MFV720879:MFZ720879 MPR720879:MPV720879 MZN720879:MZR720879 NJJ720879:NJN720879 NTF720879:NTJ720879 ODB720879:ODF720879 OMX720879:ONB720879 OWT720879:OWX720879 PGP720879:PGT720879 PQL720879:PQP720879 QAH720879:QAL720879 QKD720879:QKH720879 QTZ720879:QUD720879 RDV720879:RDZ720879 RNR720879:RNV720879 RXN720879:RXR720879 SHJ720879:SHN720879 SRF720879:SRJ720879 TBB720879:TBF720879 TKX720879:TLB720879 TUT720879:TUX720879 UEP720879:UET720879 UOL720879:UOP720879 UYH720879:UYL720879 VID720879:VIH720879 VRZ720879:VSD720879 WBV720879:WBZ720879 WLR720879:WLV720879 WVN720879:WVR720879 B786415:I786415 JB786415:JF786415 SX786415:TB786415 ACT786415:ACX786415 AMP786415:AMT786415 AWL786415:AWP786415 BGH786415:BGL786415 BQD786415:BQH786415 BZZ786415:CAD786415 CJV786415:CJZ786415 CTR786415:CTV786415 DDN786415:DDR786415 DNJ786415:DNN786415 DXF786415:DXJ786415 EHB786415:EHF786415 EQX786415:ERB786415 FAT786415:FAX786415 FKP786415:FKT786415 FUL786415:FUP786415 GEH786415:GEL786415 GOD786415:GOH786415 GXZ786415:GYD786415 HHV786415:HHZ786415 HRR786415:HRV786415 IBN786415:IBR786415 ILJ786415:ILN786415 IVF786415:IVJ786415 JFB786415:JFF786415 JOX786415:JPB786415 JYT786415:JYX786415 KIP786415:KIT786415 KSL786415:KSP786415 LCH786415:LCL786415 LMD786415:LMH786415 LVZ786415:LWD786415 MFV786415:MFZ786415 MPR786415:MPV786415 MZN786415:MZR786415 NJJ786415:NJN786415 NTF786415:NTJ786415 ODB786415:ODF786415 OMX786415:ONB786415 OWT786415:OWX786415 PGP786415:PGT786415 PQL786415:PQP786415 QAH786415:QAL786415 QKD786415:QKH786415 QTZ786415:QUD786415 RDV786415:RDZ786415 RNR786415:RNV786415 RXN786415:RXR786415 SHJ786415:SHN786415 SRF786415:SRJ786415 TBB786415:TBF786415 TKX786415:TLB786415 TUT786415:TUX786415 UEP786415:UET786415 UOL786415:UOP786415 UYH786415:UYL786415 VID786415:VIH786415 VRZ786415:VSD786415 WBV786415:WBZ786415 WLR786415:WLV786415 WVN786415:WVR786415 B851951:I851951 JB851951:JF851951 SX851951:TB851951 ACT851951:ACX851951 AMP851951:AMT851951 AWL851951:AWP851951 BGH851951:BGL851951 BQD851951:BQH851951 BZZ851951:CAD851951 CJV851951:CJZ851951 CTR851951:CTV851951 DDN851951:DDR851951 DNJ851951:DNN851951 DXF851951:DXJ851951 EHB851951:EHF851951 EQX851951:ERB851951 FAT851951:FAX851951 FKP851951:FKT851951 FUL851951:FUP851951 GEH851951:GEL851951 GOD851951:GOH851951 GXZ851951:GYD851951 HHV851951:HHZ851951 HRR851951:HRV851951 IBN851951:IBR851951 ILJ851951:ILN851951 IVF851951:IVJ851951 JFB851951:JFF851951 JOX851951:JPB851951 JYT851951:JYX851951 KIP851951:KIT851951 KSL851951:KSP851951 LCH851951:LCL851951 LMD851951:LMH851951 LVZ851951:LWD851951 MFV851951:MFZ851951 MPR851951:MPV851951 MZN851951:MZR851951 NJJ851951:NJN851951 NTF851951:NTJ851951 ODB851951:ODF851951 OMX851951:ONB851951 OWT851951:OWX851951 PGP851951:PGT851951 PQL851951:PQP851951 QAH851951:QAL851951 QKD851951:QKH851951 QTZ851951:QUD851951 RDV851951:RDZ851951 RNR851951:RNV851951 RXN851951:RXR851951 SHJ851951:SHN851951 SRF851951:SRJ851951 TBB851951:TBF851951 TKX851951:TLB851951 TUT851951:TUX851951 UEP851951:UET851951 UOL851951:UOP851951 UYH851951:UYL851951 VID851951:VIH851951 VRZ851951:VSD851951 WBV851951:WBZ851951 WLR851951:WLV851951 WVN851951:WVR851951 B917487:I917487 JB917487:JF917487 SX917487:TB917487 ACT917487:ACX917487 AMP917487:AMT917487 AWL917487:AWP917487 BGH917487:BGL917487 BQD917487:BQH917487 BZZ917487:CAD917487 CJV917487:CJZ917487 CTR917487:CTV917487 DDN917487:DDR917487 DNJ917487:DNN917487 DXF917487:DXJ917487 EHB917487:EHF917487 EQX917487:ERB917487 FAT917487:FAX917487 FKP917487:FKT917487 FUL917487:FUP917487 GEH917487:GEL917487 GOD917487:GOH917487 GXZ917487:GYD917487 HHV917487:HHZ917487 HRR917487:HRV917487 IBN917487:IBR917487 ILJ917487:ILN917487 IVF917487:IVJ917487 JFB917487:JFF917487 JOX917487:JPB917487 JYT917487:JYX917487 KIP917487:KIT917487 KSL917487:KSP917487 LCH917487:LCL917487 LMD917487:LMH917487 LVZ917487:LWD917487 MFV917487:MFZ917487 MPR917487:MPV917487 MZN917487:MZR917487 NJJ917487:NJN917487 NTF917487:NTJ917487 ODB917487:ODF917487 OMX917487:ONB917487 OWT917487:OWX917487 PGP917487:PGT917487 PQL917487:PQP917487 QAH917487:QAL917487 QKD917487:QKH917487 QTZ917487:QUD917487 RDV917487:RDZ917487 RNR917487:RNV917487 RXN917487:RXR917487 SHJ917487:SHN917487 SRF917487:SRJ917487 TBB917487:TBF917487 TKX917487:TLB917487 TUT917487:TUX917487 UEP917487:UET917487 UOL917487:UOP917487 UYH917487:UYL917487 VID917487:VIH917487 VRZ917487:VSD917487 WBV917487:WBZ917487 WLR917487:WLV917487 WVN917487:WVR917487 B983023:I983023 JB983023:JF983023 SX983023:TB983023 ACT983023:ACX983023 AMP983023:AMT983023 AWL983023:AWP983023 BGH983023:BGL983023 BQD983023:BQH983023 BZZ983023:CAD983023 CJV983023:CJZ983023 CTR983023:CTV983023 DDN983023:DDR983023 DNJ983023:DNN983023 DXF983023:DXJ983023 EHB983023:EHF983023 EQX983023:ERB983023 FAT983023:FAX983023 FKP983023:FKT983023 FUL983023:FUP983023 GEH983023:GEL983023 GOD983023:GOH983023 GXZ983023:GYD983023 HHV983023:HHZ983023 HRR983023:HRV983023 IBN983023:IBR983023 ILJ983023:ILN983023 IVF983023:IVJ983023 JFB983023:JFF983023 JOX983023:JPB983023 JYT983023:JYX983023 KIP983023:KIT983023 KSL983023:KSP983023 LCH983023:LCL983023 LMD983023:LMH983023 LVZ983023:LWD983023 MFV983023:MFZ983023 MPR983023:MPV983023 MZN983023:MZR983023 NJJ983023:NJN983023 NTF983023:NTJ983023 ODB983023:ODF983023 OMX983023:ONB983023 OWT983023:OWX983023 PGP983023:PGT983023 PQL983023:PQP983023 QAH983023:QAL983023 QKD983023:QKH983023 QTZ983023:QUD983023 RDV983023:RDZ983023 RNR983023:RNV983023 RXN983023:RXR983023 SHJ983023:SHN983023 SRF983023:SRJ983023 TBB983023:TBF983023 TKX983023:TLB983023 TUT983023:TUX983023 UEP983023:UET983023 UOL983023:UOP983023 UYH983023:UYL983023 VID983023:VIH983023 VRZ983023:VSD983023 WBV983023:WBZ983023 WLR983023:WLV983023" xr:uid="{97B5D906-E62A-45FD-8E14-4DAACAA9A7DD}">
      <formula1>#REF!</formula1>
    </dataValidation>
    <dataValidation allowBlank="1" showInputMessage="1" showErrorMessage="1" promptTitle="SYSTEM" prompt="SELECT FROM DROP DOWN LIST" sqref="WVN983025:WVR983025 WLR983025:WLV983025 B65521:I65521 JB65521:JF65521 SX65521:TB65521 ACT65521:ACX65521 AMP65521:AMT65521 AWL65521:AWP65521 BGH65521:BGL65521 BQD65521:BQH65521 BZZ65521:CAD65521 CJV65521:CJZ65521 CTR65521:CTV65521 DDN65521:DDR65521 DNJ65521:DNN65521 DXF65521:DXJ65521 EHB65521:EHF65521 EQX65521:ERB65521 FAT65521:FAX65521 FKP65521:FKT65521 FUL65521:FUP65521 GEH65521:GEL65521 GOD65521:GOH65521 GXZ65521:GYD65521 HHV65521:HHZ65521 HRR65521:HRV65521 IBN65521:IBR65521 ILJ65521:ILN65521 IVF65521:IVJ65521 JFB65521:JFF65521 JOX65521:JPB65521 JYT65521:JYX65521 KIP65521:KIT65521 KSL65521:KSP65521 LCH65521:LCL65521 LMD65521:LMH65521 LVZ65521:LWD65521 MFV65521:MFZ65521 MPR65521:MPV65521 MZN65521:MZR65521 NJJ65521:NJN65521 NTF65521:NTJ65521 ODB65521:ODF65521 OMX65521:ONB65521 OWT65521:OWX65521 PGP65521:PGT65521 PQL65521:PQP65521 QAH65521:QAL65521 QKD65521:QKH65521 QTZ65521:QUD65521 RDV65521:RDZ65521 RNR65521:RNV65521 RXN65521:RXR65521 SHJ65521:SHN65521 SRF65521:SRJ65521 TBB65521:TBF65521 TKX65521:TLB65521 TUT65521:TUX65521 UEP65521:UET65521 UOL65521:UOP65521 UYH65521:UYL65521 VID65521:VIH65521 VRZ65521:VSD65521 WBV65521:WBZ65521 WLR65521:WLV65521 WVN65521:WVR65521 B131057:I131057 JB131057:JF131057 SX131057:TB131057 ACT131057:ACX131057 AMP131057:AMT131057 AWL131057:AWP131057 BGH131057:BGL131057 BQD131057:BQH131057 BZZ131057:CAD131057 CJV131057:CJZ131057 CTR131057:CTV131057 DDN131057:DDR131057 DNJ131057:DNN131057 DXF131057:DXJ131057 EHB131057:EHF131057 EQX131057:ERB131057 FAT131057:FAX131057 FKP131057:FKT131057 FUL131057:FUP131057 GEH131057:GEL131057 GOD131057:GOH131057 GXZ131057:GYD131057 HHV131057:HHZ131057 HRR131057:HRV131057 IBN131057:IBR131057 ILJ131057:ILN131057 IVF131057:IVJ131057 JFB131057:JFF131057 JOX131057:JPB131057 JYT131057:JYX131057 KIP131057:KIT131057 KSL131057:KSP131057 LCH131057:LCL131057 LMD131057:LMH131057 LVZ131057:LWD131057 MFV131057:MFZ131057 MPR131057:MPV131057 MZN131057:MZR131057 NJJ131057:NJN131057 NTF131057:NTJ131057 ODB131057:ODF131057 OMX131057:ONB131057 OWT131057:OWX131057 PGP131057:PGT131057 PQL131057:PQP131057 QAH131057:QAL131057 QKD131057:QKH131057 QTZ131057:QUD131057 RDV131057:RDZ131057 RNR131057:RNV131057 RXN131057:RXR131057 SHJ131057:SHN131057 SRF131057:SRJ131057 TBB131057:TBF131057 TKX131057:TLB131057 TUT131057:TUX131057 UEP131057:UET131057 UOL131057:UOP131057 UYH131057:UYL131057 VID131057:VIH131057 VRZ131057:VSD131057 WBV131057:WBZ131057 WLR131057:WLV131057 WVN131057:WVR131057 B196593:I196593 JB196593:JF196593 SX196593:TB196593 ACT196593:ACX196593 AMP196593:AMT196593 AWL196593:AWP196593 BGH196593:BGL196593 BQD196593:BQH196593 BZZ196593:CAD196593 CJV196593:CJZ196593 CTR196593:CTV196593 DDN196593:DDR196593 DNJ196593:DNN196593 DXF196593:DXJ196593 EHB196593:EHF196593 EQX196593:ERB196593 FAT196593:FAX196593 FKP196593:FKT196593 FUL196593:FUP196593 GEH196593:GEL196593 GOD196593:GOH196593 GXZ196593:GYD196593 HHV196593:HHZ196593 HRR196593:HRV196593 IBN196593:IBR196593 ILJ196593:ILN196593 IVF196593:IVJ196593 JFB196593:JFF196593 JOX196593:JPB196593 JYT196593:JYX196593 KIP196593:KIT196593 KSL196593:KSP196593 LCH196593:LCL196593 LMD196593:LMH196593 LVZ196593:LWD196593 MFV196593:MFZ196593 MPR196593:MPV196593 MZN196593:MZR196593 NJJ196593:NJN196593 NTF196593:NTJ196593 ODB196593:ODF196593 OMX196593:ONB196593 OWT196593:OWX196593 PGP196593:PGT196593 PQL196593:PQP196593 QAH196593:QAL196593 QKD196593:QKH196593 QTZ196593:QUD196593 RDV196593:RDZ196593 RNR196593:RNV196593 RXN196593:RXR196593 SHJ196593:SHN196593 SRF196593:SRJ196593 TBB196593:TBF196593 TKX196593:TLB196593 TUT196593:TUX196593 UEP196593:UET196593 UOL196593:UOP196593 UYH196593:UYL196593 VID196593:VIH196593 VRZ196593:VSD196593 WBV196593:WBZ196593 WLR196593:WLV196593 WVN196593:WVR196593 B262129:I262129 JB262129:JF262129 SX262129:TB262129 ACT262129:ACX262129 AMP262129:AMT262129 AWL262129:AWP262129 BGH262129:BGL262129 BQD262129:BQH262129 BZZ262129:CAD262129 CJV262129:CJZ262129 CTR262129:CTV262129 DDN262129:DDR262129 DNJ262129:DNN262129 DXF262129:DXJ262129 EHB262129:EHF262129 EQX262129:ERB262129 FAT262129:FAX262129 FKP262129:FKT262129 FUL262129:FUP262129 GEH262129:GEL262129 GOD262129:GOH262129 GXZ262129:GYD262129 HHV262129:HHZ262129 HRR262129:HRV262129 IBN262129:IBR262129 ILJ262129:ILN262129 IVF262129:IVJ262129 JFB262129:JFF262129 JOX262129:JPB262129 JYT262129:JYX262129 KIP262129:KIT262129 KSL262129:KSP262129 LCH262129:LCL262129 LMD262129:LMH262129 LVZ262129:LWD262129 MFV262129:MFZ262129 MPR262129:MPV262129 MZN262129:MZR262129 NJJ262129:NJN262129 NTF262129:NTJ262129 ODB262129:ODF262129 OMX262129:ONB262129 OWT262129:OWX262129 PGP262129:PGT262129 PQL262129:PQP262129 QAH262129:QAL262129 QKD262129:QKH262129 QTZ262129:QUD262129 RDV262129:RDZ262129 RNR262129:RNV262129 RXN262129:RXR262129 SHJ262129:SHN262129 SRF262129:SRJ262129 TBB262129:TBF262129 TKX262129:TLB262129 TUT262129:TUX262129 UEP262129:UET262129 UOL262129:UOP262129 UYH262129:UYL262129 VID262129:VIH262129 VRZ262129:VSD262129 WBV262129:WBZ262129 WLR262129:WLV262129 WVN262129:WVR262129 B327665:I327665 JB327665:JF327665 SX327665:TB327665 ACT327665:ACX327665 AMP327665:AMT327665 AWL327665:AWP327665 BGH327665:BGL327665 BQD327665:BQH327665 BZZ327665:CAD327665 CJV327665:CJZ327665 CTR327665:CTV327665 DDN327665:DDR327665 DNJ327665:DNN327665 DXF327665:DXJ327665 EHB327665:EHF327665 EQX327665:ERB327665 FAT327665:FAX327665 FKP327665:FKT327665 FUL327665:FUP327665 GEH327665:GEL327665 GOD327665:GOH327665 GXZ327665:GYD327665 HHV327665:HHZ327665 HRR327665:HRV327665 IBN327665:IBR327665 ILJ327665:ILN327665 IVF327665:IVJ327665 JFB327665:JFF327665 JOX327665:JPB327665 JYT327665:JYX327665 KIP327665:KIT327665 KSL327665:KSP327665 LCH327665:LCL327665 LMD327665:LMH327665 LVZ327665:LWD327665 MFV327665:MFZ327665 MPR327665:MPV327665 MZN327665:MZR327665 NJJ327665:NJN327665 NTF327665:NTJ327665 ODB327665:ODF327665 OMX327665:ONB327665 OWT327665:OWX327665 PGP327665:PGT327665 PQL327665:PQP327665 QAH327665:QAL327665 QKD327665:QKH327665 QTZ327665:QUD327665 RDV327665:RDZ327665 RNR327665:RNV327665 RXN327665:RXR327665 SHJ327665:SHN327665 SRF327665:SRJ327665 TBB327665:TBF327665 TKX327665:TLB327665 TUT327665:TUX327665 UEP327665:UET327665 UOL327665:UOP327665 UYH327665:UYL327665 VID327665:VIH327665 VRZ327665:VSD327665 WBV327665:WBZ327665 WLR327665:WLV327665 WVN327665:WVR327665 B393201:I393201 JB393201:JF393201 SX393201:TB393201 ACT393201:ACX393201 AMP393201:AMT393201 AWL393201:AWP393201 BGH393201:BGL393201 BQD393201:BQH393201 BZZ393201:CAD393201 CJV393201:CJZ393201 CTR393201:CTV393201 DDN393201:DDR393201 DNJ393201:DNN393201 DXF393201:DXJ393201 EHB393201:EHF393201 EQX393201:ERB393201 FAT393201:FAX393201 FKP393201:FKT393201 FUL393201:FUP393201 GEH393201:GEL393201 GOD393201:GOH393201 GXZ393201:GYD393201 HHV393201:HHZ393201 HRR393201:HRV393201 IBN393201:IBR393201 ILJ393201:ILN393201 IVF393201:IVJ393201 JFB393201:JFF393201 JOX393201:JPB393201 JYT393201:JYX393201 KIP393201:KIT393201 KSL393201:KSP393201 LCH393201:LCL393201 LMD393201:LMH393201 LVZ393201:LWD393201 MFV393201:MFZ393201 MPR393201:MPV393201 MZN393201:MZR393201 NJJ393201:NJN393201 NTF393201:NTJ393201 ODB393201:ODF393201 OMX393201:ONB393201 OWT393201:OWX393201 PGP393201:PGT393201 PQL393201:PQP393201 QAH393201:QAL393201 QKD393201:QKH393201 QTZ393201:QUD393201 RDV393201:RDZ393201 RNR393201:RNV393201 RXN393201:RXR393201 SHJ393201:SHN393201 SRF393201:SRJ393201 TBB393201:TBF393201 TKX393201:TLB393201 TUT393201:TUX393201 UEP393201:UET393201 UOL393201:UOP393201 UYH393201:UYL393201 VID393201:VIH393201 VRZ393201:VSD393201 WBV393201:WBZ393201 WLR393201:WLV393201 WVN393201:WVR393201 B458737:I458737 JB458737:JF458737 SX458737:TB458737 ACT458737:ACX458737 AMP458737:AMT458737 AWL458737:AWP458737 BGH458737:BGL458737 BQD458737:BQH458737 BZZ458737:CAD458737 CJV458737:CJZ458737 CTR458737:CTV458737 DDN458737:DDR458737 DNJ458737:DNN458737 DXF458737:DXJ458737 EHB458737:EHF458737 EQX458737:ERB458737 FAT458737:FAX458737 FKP458737:FKT458737 FUL458737:FUP458737 GEH458737:GEL458737 GOD458737:GOH458737 GXZ458737:GYD458737 HHV458737:HHZ458737 HRR458737:HRV458737 IBN458737:IBR458737 ILJ458737:ILN458737 IVF458737:IVJ458737 JFB458737:JFF458737 JOX458737:JPB458737 JYT458737:JYX458737 KIP458737:KIT458737 KSL458737:KSP458737 LCH458737:LCL458737 LMD458737:LMH458737 LVZ458737:LWD458737 MFV458737:MFZ458737 MPR458737:MPV458737 MZN458737:MZR458737 NJJ458737:NJN458737 NTF458737:NTJ458737 ODB458737:ODF458737 OMX458737:ONB458737 OWT458737:OWX458737 PGP458737:PGT458737 PQL458737:PQP458737 QAH458737:QAL458737 QKD458737:QKH458737 QTZ458737:QUD458737 RDV458737:RDZ458737 RNR458737:RNV458737 RXN458737:RXR458737 SHJ458737:SHN458737 SRF458737:SRJ458737 TBB458737:TBF458737 TKX458737:TLB458737 TUT458737:TUX458737 UEP458737:UET458737 UOL458737:UOP458737 UYH458737:UYL458737 VID458737:VIH458737 VRZ458737:VSD458737 WBV458737:WBZ458737 WLR458737:WLV458737 WVN458737:WVR458737 B524273:I524273 JB524273:JF524273 SX524273:TB524273 ACT524273:ACX524273 AMP524273:AMT524273 AWL524273:AWP524273 BGH524273:BGL524273 BQD524273:BQH524273 BZZ524273:CAD524273 CJV524273:CJZ524273 CTR524273:CTV524273 DDN524273:DDR524273 DNJ524273:DNN524273 DXF524273:DXJ524273 EHB524273:EHF524273 EQX524273:ERB524273 FAT524273:FAX524273 FKP524273:FKT524273 FUL524273:FUP524273 GEH524273:GEL524273 GOD524273:GOH524273 GXZ524273:GYD524273 HHV524273:HHZ524273 HRR524273:HRV524273 IBN524273:IBR524273 ILJ524273:ILN524273 IVF524273:IVJ524273 JFB524273:JFF524273 JOX524273:JPB524273 JYT524273:JYX524273 KIP524273:KIT524273 KSL524273:KSP524273 LCH524273:LCL524273 LMD524273:LMH524273 LVZ524273:LWD524273 MFV524273:MFZ524273 MPR524273:MPV524273 MZN524273:MZR524273 NJJ524273:NJN524273 NTF524273:NTJ524273 ODB524273:ODF524273 OMX524273:ONB524273 OWT524273:OWX524273 PGP524273:PGT524273 PQL524273:PQP524273 QAH524273:QAL524273 QKD524273:QKH524273 QTZ524273:QUD524273 RDV524273:RDZ524273 RNR524273:RNV524273 RXN524273:RXR524273 SHJ524273:SHN524273 SRF524273:SRJ524273 TBB524273:TBF524273 TKX524273:TLB524273 TUT524273:TUX524273 UEP524273:UET524273 UOL524273:UOP524273 UYH524273:UYL524273 VID524273:VIH524273 VRZ524273:VSD524273 WBV524273:WBZ524273 WLR524273:WLV524273 WVN524273:WVR524273 B589809:I589809 JB589809:JF589809 SX589809:TB589809 ACT589809:ACX589809 AMP589809:AMT589809 AWL589809:AWP589809 BGH589809:BGL589809 BQD589809:BQH589809 BZZ589809:CAD589809 CJV589809:CJZ589809 CTR589809:CTV589809 DDN589809:DDR589809 DNJ589809:DNN589809 DXF589809:DXJ589809 EHB589809:EHF589809 EQX589809:ERB589809 FAT589809:FAX589809 FKP589809:FKT589809 FUL589809:FUP589809 GEH589809:GEL589809 GOD589809:GOH589809 GXZ589809:GYD589809 HHV589809:HHZ589809 HRR589809:HRV589809 IBN589809:IBR589809 ILJ589809:ILN589809 IVF589809:IVJ589809 JFB589809:JFF589809 JOX589809:JPB589809 JYT589809:JYX589809 KIP589809:KIT589809 KSL589809:KSP589809 LCH589809:LCL589809 LMD589809:LMH589809 LVZ589809:LWD589809 MFV589809:MFZ589809 MPR589809:MPV589809 MZN589809:MZR589809 NJJ589809:NJN589809 NTF589809:NTJ589809 ODB589809:ODF589809 OMX589809:ONB589809 OWT589809:OWX589809 PGP589809:PGT589809 PQL589809:PQP589809 QAH589809:QAL589809 QKD589809:QKH589809 QTZ589809:QUD589809 RDV589809:RDZ589809 RNR589809:RNV589809 RXN589809:RXR589809 SHJ589809:SHN589809 SRF589809:SRJ589809 TBB589809:TBF589809 TKX589809:TLB589809 TUT589809:TUX589809 UEP589809:UET589809 UOL589809:UOP589809 UYH589809:UYL589809 VID589809:VIH589809 VRZ589809:VSD589809 WBV589809:WBZ589809 WLR589809:WLV589809 WVN589809:WVR589809 B655345:I655345 JB655345:JF655345 SX655345:TB655345 ACT655345:ACX655345 AMP655345:AMT655345 AWL655345:AWP655345 BGH655345:BGL655345 BQD655345:BQH655345 BZZ655345:CAD655345 CJV655345:CJZ655345 CTR655345:CTV655345 DDN655345:DDR655345 DNJ655345:DNN655345 DXF655345:DXJ655345 EHB655345:EHF655345 EQX655345:ERB655345 FAT655345:FAX655345 FKP655345:FKT655345 FUL655345:FUP655345 GEH655345:GEL655345 GOD655345:GOH655345 GXZ655345:GYD655345 HHV655345:HHZ655345 HRR655345:HRV655345 IBN655345:IBR655345 ILJ655345:ILN655345 IVF655345:IVJ655345 JFB655345:JFF655345 JOX655345:JPB655345 JYT655345:JYX655345 KIP655345:KIT655345 KSL655345:KSP655345 LCH655345:LCL655345 LMD655345:LMH655345 LVZ655345:LWD655345 MFV655345:MFZ655345 MPR655345:MPV655345 MZN655345:MZR655345 NJJ655345:NJN655345 NTF655345:NTJ655345 ODB655345:ODF655345 OMX655345:ONB655345 OWT655345:OWX655345 PGP655345:PGT655345 PQL655345:PQP655345 QAH655345:QAL655345 QKD655345:QKH655345 QTZ655345:QUD655345 RDV655345:RDZ655345 RNR655345:RNV655345 RXN655345:RXR655345 SHJ655345:SHN655345 SRF655345:SRJ655345 TBB655345:TBF655345 TKX655345:TLB655345 TUT655345:TUX655345 UEP655345:UET655345 UOL655345:UOP655345 UYH655345:UYL655345 VID655345:VIH655345 VRZ655345:VSD655345 WBV655345:WBZ655345 WLR655345:WLV655345 WVN655345:WVR655345 B720881:I720881 JB720881:JF720881 SX720881:TB720881 ACT720881:ACX720881 AMP720881:AMT720881 AWL720881:AWP720881 BGH720881:BGL720881 BQD720881:BQH720881 BZZ720881:CAD720881 CJV720881:CJZ720881 CTR720881:CTV720881 DDN720881:DDR720881 DNJ720881:DNN720881 DXF720881:DXJ720881 EHB720881:EHF720881 EQX720881:ERB720881 FAT720881:FAX720881 FKP720881:FKT720881 FUL720881:FUP720881 GEH720881:GEL720881 GOD720881:GOH720881 GXZ720881:GYD720881 HHV720881:HHZ720881 HRR720881:HRV720881 IBN720881:IBR720881 ILJ720881:ILN720881 IVF720881:IVJ720881 JFB720881:JFF720881 JOX720881:JPB720881 JYT720881:JYX720881 KIP720881:KIT720881 KSL720881:KSP720881 LCH720881:LCL720881 LMD720881:LMH720881 LVZ720881:LWD720881 MFV720881:MFZ720881 MPR720881:MPV720881 MZN720881:MZR720881 NJJ720881:NJN720881 NTF720881:NTJ720881 ODB720881:ODF720881 OMX720881:ONB720881 OWT720881:OWX720881 PGP720881:PGT720881 PQL720881:PQP720881 QAH720881:QAL720881 QKD720881:QKH720881 QTZ720881:QUD720881 RDV720881:RDZ720881 RNR720881:RNV720881 RXN720881:RXR720881 SHJ720881:SHN720881 SRF720881:SRJ720881 TBB720881:TBF720881 TKX720881:TLB720881 TUT720881:TUX720881 UEP720881:UET720881 UOL720881:UOP720881 UYH720881:UYL720881 VID720881:VIH720881 VRZ720881:VSD720881 WBV720881:WBZ720881 WLR720881:WLV720881 WVN720881:WVR720881 B786417:I786417 JB786417:JF786417 SX786417:TB786417 ACT786417:ACX786417 AMP786417:AMT786417 AWL786417:AWP786417 BGH786417:BGL786417 BQD786417:BQH786417 BZZ786417:CAD786417 CJV786417:CJZ786417 CTR786417:CTV786417 DDN786417:DDR786417 DNJ786417:DNN786417 DXF786417:DXJ786417 EHB786417:EHF786417 EQX786417:ERB786417 FAT786417:FAX786417 FKP786417:FKT786417 FUL786417:FUP786417 GEH786417:GEL786417 GOD786417:GOH786417 GXZ786417:GYD786417 HHV786417:HHZ786417 HRR786417:HRV786417 IBN786417:IBR786417 ILJ786417:ILN786417 IVF786417:IVJ786417 JFB786417:JFF786417 JOX786417:JPB786417 JYT786417:JYX786417 KIP786417:KIT786417 KSL786417:KSP786417 LCH786417:LCL786417 LMD786417:LMH786417 LVZ786417:LWD786417 MFV786417:MFZ786417 MPR786417:MPV786417 MZN786417:MZR786417 NJJ786417:NJN786417 NTF786417:NTJ786417 ODB786417:ODF786417 OMX786417:ONB786417 OWT786417:OWX786417 PGP786417:PGT786417 PQL786417:PQP786417 QAH786417:QAL786417 QKD786417:QKH786417 QTZ786417:QUD786417 RDV786417:RDZ786417 RNR786417:RNV786417 RXN786417:RXR786417 SHJ786417:SHN786417 SRF786417:SRJ786417 TBB786417:TBF786417 TKX786417:TLB786417 TUT786417:TUX786417 UEP786417:UET786417 UOL786417:UOP786417 UYH786417:UYL786417 VID786417:VIH786417 VRZ786417:VSD786417 WBV786417:WBZ786417 WLR786417:WLV786417 WVN786417:WVR786417 B851953:I851953 JB851953:JF851953 SX851953:TB851953 ACT851953:ACX851953 AMP851953:AMT851953 AWL851953:AWP851953 BGH851953:BGL851953 BQD851953:BQH851953 BZZ851953:CAD851953 CJV851953:CJZ851953 CTR851953:CTV851953 DDN851953:DDR851953 DNJ851953:DNN851953 DXF851953:DXJ851953 EHB851953:EHF851953 EQX851953:ERB851953 FAT851953:FAX851953 FKP851953:FKT851953 FUL851953:FUP851953 GEH851953:GEL851953 GOD851953:GOH851953 GXZ851953:GYD851953 HHV851953:HHZ851953 HRR851953:HRV851953 IBN851953:IBR851953 ILJ851953:ILN851953 IVF851953:IVJ851953 JFB851953:JFF851953 JOX851953:JPB851953 JYT851953:JYX851953 KIP851953:KIT851953 KSL851953:KSP851953 LCH851953:LCL851953 LMD851953:LMH851953 LVZ851953:LWD851953 MFV851953:MFZ851953 MPR851953:MPV851953 MZN851953:MZR851953 NJJ851953:NJN851953 NTF851953:NTJ851953 ODB851953:ODF851953 OMX851953:ONB851953 OWT851953:OWX851953 PGP851953:PGT851953 PQL851953:PQP851953 QAH851953:QAL851953 QKD851953:QKH851953 QTZ851953:QUD851953 RDV851953:RDZ851953 RNR851953:RNV851953 RXN851953:RXR851953 SHJ851953:SHN851953 SRF851953:SRJ851953 TBB851953:TBF851953 TKX851953:TLB851953 TUT851953:TUX851953 UEP851953:UET851953 UOL851953:UOP851953 UYH851953:UYL851953 VID851953:VIH851953 VRZ851953:VSD851953 WBV851953:WBZ851953 WLR851953:WLV851953 WVN851953:WVR851953 B917489:I917489 JB917489:JF917489 SX917489:TB917489 ACT917489:ACX917489 AMP917489:AMT917489 AWL917489:AWP917489 BGH917489:BGL917489 BQD917489:BQH917489 BZZ917489:CAD917489 CJV917489:CJZ917489 CTR917489:CTV917489 DDN917489:DDR917489 DNJ917489:DNN917489 DXF917489:DXJ917489 EHB917489:EHF917489 EQX917489:ERB917489 FAT917489:FAX917489 FKP917489:FKT917489 FUL917489:FUP917489 GEH917489:GEL917489 GOD917489:GOH917489 GXZ917489:GYD917489 HHV917489:HHZ917489 HRR917489:HRV917489 IBN917489:IBR917489 ILJ917489:ILN917489 IVF917489:IVJ917489 JFB917489:JFF917489 JOX917489:JPB917489 JYT917489:JYX917489 KIP917489:KIT917489 KSL917489:KSP917489 LCH917489:LCL917489 LMD917489:LMH917489 LVZ917489:LWD917489 MFV917489:MFZ917489 MPR917489:MPV917489 MZN917489:MZR917489 NJJ917489:NJN917489 NTF917489:NTJ917489 ODB917489:ODF917489 OMX917489:ONB917489 OWT917489:OWX917489 PGP917489:PGT917489 PQL917489:PQP917489 QAH917489:QAL917489 QKD917489:QKH917489 QTZ917489:QUD917489 RDV917489:RDZ917489 RNR917489:RNV917489 RXN917489:RXR917489 SHJ917489:SHN917489 SRF917489:SRJ917489 TBB917489:TBF917489 TKX917489:TLB917489 TUT917489:TUX917489 UEP917489:UET917489 UOL917489:UOP917489 UYH917489:UYL917489 VID917489:VIH917489 VRZ917489:VSD917489 WBV917489:WBZ917489 WLR917489:WLV917489 WVN917489:WVR917489 B983025:I983025 JB983025:JF983025 SX983025:TB983025 ACT983025:ACX983025 AMP983025:AMT983025 AWL983025:AWP983025 BGH983025:BGL983025 BQD983025:BQH983025 BZZ983025:CAD983025 CJV983025:CJZ983025 CTR983025:CTV983025 DDN983025:DDR983025 DNJ983025:DNN983025 DXF983025:DXJ983025 EHB983025:EHF983025 EQX983025:ERB983025 FAT983025:FAX983025 FKP983025:FKT983025 FUL983025:FUP983025 GEH983025:GEL983025 GOD983025:GOH983025 GXZ983025:GYD983025 HHV983025:HHZ983025 HRR983025:HRV983025 IBN983025:IBR983025 ILJ983025:ILN983025 IVF983025:IVJ983025 JFB983025:JFF983025 JOX983025:JPB983025 JYT983025:JYX983025 KIP983025:KIT983025 KSL983025:KSP983025 LCH983025:LCL983025 LMD983025:LMH983025 LVZ983025:LWD983025 MFV983025:MFZ983025 MPR983025:MPV983025 MZN983025:MZR983025 NJJ983025:NJN983025 NTF983025:NTJ983025 ODB983025:ODF983025 OMX983025:ONB983025 OWT983025:OWX983025 PGP983025:PGT983025 PQL983025:PQP983025 QAH983025:QAL983025 QKD983025:QKH983025 QTZ983025:QUD983025 RDV983025:RDZ983025 RNR983025:RNV983025 RXN983025:RXR983025 SHJ983025:SHN983025 SRF983025:SRJ983025 TBB983025:TBF983025 TKX983025:TLB983025 TUT983025:TUX983025 UEP983025:UET983025 UOL983025:UOP983025 UYH983025:UYL983025 VID983025:VIH983025 VRZ983025:VSD983025 WBV983025:WBZ983025 ACT9:ACX9 ACT27:ACX37 SX9:TB9 SX27:TB37 JB9:JF9 JB27:JF37 WVN9:WVR9 WVN27:WVR37 WLR9:WLV9 WLR27:WLV37 WBV9:WBZ9 WBV27:WBZ37 VRZ9:VSD9 VRZ27:VSD37 VID9:VIH9 VID27:VIH37 UYH9:UYL9 UYH27:UYL37 UOL9:UOP9 UOL27:UOP37 UEP9:UET9 UEP27:UET37 TUT9:TUX9 TUT27:TUX37 TKX9:TLB9 TKX27:TLB37 TBB9:TBF9 TBB27:TBF37 SRF9:SRJ9 SRF27:SRJ37 SHJ9:SHN9 SHJ27:SHN37 RXN9:RXR9 RXN27:RXR37 RNR9:RNV9 RNR27:RNV37 RDV9:RDZ9 RDV27:RDZ37 QTZ9:QUD9 QTZ27:QUD37 QKD9:QKH9 QKD27:QKH37 QAH9:QAL9 QAH27:QAL37 PQL9:PQP9 PQL27:PQP37 PGP9:PGT9 PGP27:PGT37 OWT9:OWX9 OWT27:OWX37 OMX9:ONB9 OMX27:ONB37 ODB9:ODF9 ODB27:ODF37 NTF9:NTJ9 NTF27:NTJ37 NJJ9:NJN9 NJJ27:NJN37 MZN9:MZR9 MZN27:MZR37 MPR9:MPV9 MPR27:MPV37 MFV9:MFZ9 MFV27:MFZ37 LVZ9:LWD9 LVZ27:LWD37 LMD9:LMH9 LMD27:LMH37 LCH9:LCL9 LCH27:LCL37 KSL9:KSP9 KSL27:KSP37 KIP9:KIT9 KIP27:KIT37 JYT9:JYX9 JYT27:JYX37 JOX9:JPB9 JOX27:JPB37 JFB9:JFF9 JFB27:JFF37 IVF9:IVJ9 IVF27:IVJ37 ILJ9:ILN9 ILJ27:ILN37 IBN9:IBR9 IBN27:IBR37 HRR9:HRV9 HRR27:HRV37 HHV9:HHZ9 HHV27:HHZ37 GXZ9:GYD9 GXZ27:GYD37 GOD9:GOH9 GOD27:GOH37 GEH9:GEL9 GEH27:GEL37 FUL9:FUP9 FUL27:FUP37 FKP9:FKT9 FKP27:FKT37 FAT9:FAX9 FAT27:FAX37 EQX9:ERB9 EQX27:ERB37 EHB9:EHF9 EHB27:EHF37 DXF9:DXJ9 DXF27:DXJ37 DNJ9:DNN9 DNJ27:DNN37 DDN9:DDR9 DDN27:DDR37 CTR9:CTV9 CTR27:CTV37 CJV9:CJZ9 CJV27:CJZ37 BZZ9:CAD9 BZZ27:CAD37 BQD9:BQH9 BQD27:BQH37 BGH9:BGL9 BGH27:BGL37 AWL9:AWP9 AWL27:AWP37 AMP9:AMT9 AMP27:AMT37 ACT54:ACX54 ACT72:ACX82 SX54:TB54 SX72:TB82 JB54:JF54 JB72:JF82 WVN54:WVR54 WVN72:WVR82 WLR54:WLV54 WLR72:WLV82 WBV54:WBZ54 WBV72:WBZ82 VRZ54:VSD54 VRZ72:VSD82 VID54:VIH54 VID72:VIH82 UYH54:UYL54 UYH72:UYL82 UOL54:UOP54 UOL72:UOP82 UEP54:UET54 UEP72:UET82 TUT54:TUX54 TUT72:TUX82 TKX54:TLB54 TKX72:TLB82 TBB54:TBF54 TBB72:TBF82 SRF54:SRJ54 SRF72:SRJ82 SHJ54:SHN54 SHJ72:SHN82 RXN54:RXR54 RXN72:RXR82 RNR54:RNV54 RNR72:RNV82 RDV54:RDZ54 RDV72:RDZ82 QTZ54:QUD54 QTZ72:QUD82 QKD54:QKH54 QKD72:QKH82 QAH54:QAL54 QAH72:QAL82 PQL54:PQP54 PQL72:PQP82 PGP54:PGT54 PGP72:PGT82 OWT54:OWX54 OWT72:OWX82 OMX54:ONB54 OMX72:ONB82 ODB54:ODF54 ODB72:ODF82 NTF54:NTJ54 NTF72:NTJ82 NJJ54:NJN54 NJJ72:NJN82 MZN54:MZR54 MZN72:MZR82 MPR54:MPV54 MPR72:MPV82 MFV54:MFZ54 MFV72:MFZ82 LVZ54:LWD54 LVZ72:LWD82 LMD54:LMH54 LMD72:LMH82 LCH54:LCL54 LCH72:LCL82 KSL54:KSP54 KSL72:KSP82 KIP54:KIT54 KIP72:KIT82 JYT54:JYX54 JYT72:JYX82 JOX54:JPB54 JOX72:JPB82 JFB54:JFF54 JFB72:JFF82 IVF54:IVJ54 IVF72:IVJ82 ILJ54:ILN54 ILJ72:ILN82 IBN54:IBR54 IBN72:IBR82 HRR54:HRV54 HRR72:HRV82 HHV54:HHZ54 HHV72:HHZ82 GXZ54:GYD54 GXZ72:GYD82 GOD54:GOH54 GOD72:GOH82 GEH54:GEL54 GEH72:GEL82 FUL54:FUP54 FUL72:FUP82 FKP54:FKT54 FKP72:FKT82 FAT54:FAX54 FAT72:FAX82 EQX54:ERB54 EQX72:ERB82 EHB54:EHF54 EHB72:EHF82 DXF54:DXJ54 DXF72:DXJ82 DNJ54:DNN54 DNJ72:DNN82 DDN54:DDR54 DDN72:DDR82 CTR54:CTV54 CTR72:CTV82 CJV54:CJZ54 CJV72:CJZ82 BZZ54:CAD54 BZZ72:CAD82 BQD54:BQH54 BQD72:BQH82 BGH54:BGL54 BGH72:BGL82 AWL54:AWP54 AWL72:AWP82 AMP54:AMT54 AMP72:AMT82 ACT99:ACX99 ACT117:ACX127 SX99:TB99 SX117:TB127 JB99:JF99 JB117:JF127 WVN99:WVR99 WVN117:WVR127 WLR99:WLV99 WLR117:WLV127 WBV99:WBZ99 WBV117:WBZ127 VRZ99:VSD99 VRZ117:VSD127 VID99:VIH99 VID117:VIH127 UYH99:UYL99 UYH117:UYL127 UOL99:UOP99 UOL117:UOP127 UEP99:UET99 UEP117:UET127 TUT99:TUX99 TUT117:TUX127 TKX99:TLB99 TKX117:TLB127 TBB99:TBF99 TBB117:TBF127 SRF99:SRJ99 SRF117:SRJ127 SHJ99:SHN99 SHJ117:SHN127 RXN99:RXR99 RXN117:RXR127 RNR99:RNV99 RNR117:RNV127 RDV99:RDZ99 RDV117:RDZ127 QTZ99:QUD99 QTZ117:QUD127 QKD99:QKH99 QKD117:QKH127 QAH99:QAL99 QAH117:QAL127 PQL99:PQP99 PQL117:PQP127 PGP99:PGT99 PGP117:PGT127 OWT99:OWX99 OWT117:OWX127 OMX99:ONB99 OMX117:ONB127 ODB99:ODF99 ODB117:ODF127 NTF99:NTJ99 NTF117:NTJ127 NJJ99:NJN99 NJJ117:NJN127 MZN99:MZR99 MZN117:MZR127 MPR99:MPV99 MPR117:MPV127 MFV99:MFZ99 MFV117:MFZ127 LVZ99:LWD99 LVZ117:LWD127 LMD99:LMH99 LMD117:LMH127 LCH99:LCL99 LCH117:LCL127 KSL99:KSP99 KSL117:KSP127 KIP99:KIT99 KIP117:KIT127 JYT99:JYX99 JYT117:JYX127 JOX99:JPB99 JOX117:JPB127 JFB99:JFF99 JFB117:JFF127 IVF99:IVJ99 IVF117:IVJ127 ILJ99:ILN99 ILJ117:ILN127 IBN99:IBR99 IBN117:IBR127 HRR99:HRV99 HRR117:HRV127 HHV99:HHZ99 HHV117:HHZ127 GXZ99:GYD99 GXZ117:GYD127 GOD99:GOH99 GOD117:GOH127 GEH99:GEL99 GEH117:GEL127 FUL99:FUP99 FUL117:FUP127 FKP99:FKT99 FKP117:FKT127 FAT99:FAX99 FAT117:FAX127 EQX99:ERB99 EQX117:ERB127 EHB99:EHF99 EHB117:EHF127 DXF99:DXJ99 DXF117:DXJ127 DNJ99:DNN99 DNJ117:DNN127 DDN99:DDR99 DDN117:DDR127 CTR99:CTV99 CTR117:CTV127 CJV99:CJZ99 CJV117:CJZ127 BZZ99:CAD99 BZZ117:CAD127 BQD99:BQH99 BQD117:BQH127 BGH99:BGL99 BGH117:BGL127 AWL99:AWP99 AWL117:AWP127 AMP99:AMT99 AMP117:AMT127 ACT144:ACX144 ACT162:ACX172 SX144:TB144 SX162:TB172 JB144:JF144 JB162:JF172 WVN144:WVR144 WVN162:WVR172 WLR144:WLV144 WLR162:WLV172 WBV144:WBZ144 WBV162:WBZ172 VRZ144:VSD144 VRZ162:VSD172 VID144:VIH144 VID162:VIH172 UYH144:UYL144 UYH162:UYL172 UOL144:UOP144 UOL162:UOP172 UEP144:UET144 UEP162:UET172 TUT144:TUX144 TUT162:TUX172 TKX144:TLB144 TKX162:TLB172 TBB144:TBF144 TBB162:TBF172 SRF144:SRJ144 SRF162:SRJ172 SHJ144:SHN144 SHJ162:SHN172 RXN144:RXR144 RXN162:RXR172 RNR144:RNV144 RNR162:RNV172 RDV144:RDZ144 RDV162:RDZ172 QTZ144:QUD144 QTZ162:QUD172 QKD144:QKH144 QKD162:QKH172 QAH144:QAL144 QAH162:QAL172 PQL144:PQP144 PQL162:PQP172 PGP144:PGT144 PGP162:PGT172 OWT144:OWX144 OWT162:OWX172 OMX144:ONB144 OMX162:ONB172 ODB144:ODF144 ODB162:ODF172 NTF144:NTJ144 NTF162:NTJ172 NJJ144:NJN144 NJJ162:NJN172 MZN144:MZR144 MZN162:MZR172 MPR144:MPV144 MPR162:MPV172 MFV144:MFZ144 MFV162:MFZ172 LVZ144:LWD144 LVZ162:LWD172 LMD144:LMH144 LMD162:LMH172 LCH144:LCL144 LCH162:LCL172 KSL144:KSP144 KSL162:KSP172 KIP144:KIT144 KIP162:KIT172 JYT144:JYX144 JYT162:JYX172 JOX144:JPB144 JOX162:JPB172 JFB144:JFF144 JFB162:JFF172 IVF144:IVJ144 IVF162:IVJ172 ILJ144:ILN144 ILJ162:ILN172 IBN144:IBR144 IBN162:IBR172 HRR144:HRV144 HRR162:HRV172 HHV144:HHZ144 HHV162:HHZ172 GXZ144:GYD144 GXZ162:GYD172 GOD144:GOH144 GOD162:GOH172 GEH144:GEL144 GEH162:GEL172 FUL144:FUP144 FUL162:FUP172 FKP144:FKT144 FKP162:FKT172 FAT144:FAX144 FAT162:FAX172 EQX144:ERB144 EQX162:ERB172 EHB144:EHF144 EHB162:EHF172 DXF144:DXJ144 DXF162:DXJ172 DNJ144:DNN144 DNJ162:DNN172 DDN144:DDR144 DDN162:DDR172 CTR144:CTV144 CTR162:CTV172 CJV144:CJZ144 CJV162:CJZ172 BZZ144:CAD144 BZZ162:CAD172 BQD144:BQH144 BQD162:BQH172 BGH144:BGL144 BGH162:BGL172 AWL144:AWP144 AWL162:AWP172 AMP144:AMT144 AMP162:AMT172 ACT189:ACX189 ACT207:ACX217 SX189:TB189 SX207:TB217 JB189:JF189 JB207:JF217 WVN189:WVR189 WVN207:WVR217 WLR189:WLV189 WLR207:WLV217 WBV189:WBZ189 WBV207:WBZ217 VRZ189:VSD189 VRZ207:VSD217 VID189:VIH189 VID207:VIH217 UYH189:UYL189 UYH207:UYL217 UOL189:UOP189 UOL207:UOP217 UEP189:UET189 UEP207:UET217 TUT189:TUX189 TUT207:TUX217 TKX189:TLB189 TKX207:TLB217 TBB189:TBF189 TBB207:TBF217 SRF189:SRJ189 SRF207:SRJ217 SHJ189:SHN189 SHJ207:SHN217 RXN189:RXR189 RXN207:RXR217 RNR189:RNV189 RNR207:RNV217 RDV189:RDZ189 RDV207:RDZ217 QTZ189:QUD189 QTZ207:QUD217 QKD189:QKH189 QKD207:QKH217 QAH189:QAL189 QAH207:QAL217 PQL189:PQP189 PQL207:PQP217 PGP189:PGT189 PGP207:PGT217 OWT189:OWX189 OWT207:OWX217 OMX189:ONB189 OMX207:ONB217 ODB189:ODF189 ODB207:ODF217 NTF189:NTJ189 NTF207:NTJ217 NJJ189:NJN189 NJJ207:NJN217 MZN189:MZR189 MZN207:MZR217 MPR189:MPV189 MPR207:MPV217 MFV189:MFZ189 MFV207:MFZ217 LVZ189:LWD189 LVZ207:LWD217 LMD189:LMH189 LMD207:LMH217 LCH189:LCL189 LCH207:LCL217 KSL189:KSP189 KSL207:KSP217 KIP189:KIT189 KIP207:KIT217 JYT189:JYX189 JYT207:JYX217 JOX189:JPB189 JOX207:JPB217 JFB189:JFF189 JFB207:JFF217 IVF189:IVJ189 IVF207:IVJ217 ILJ189:ILN189 ILJ207:ILN217 IBN189:IBR189 IBN207:IBR217 HRR189:HRV189 HRR207:HRV217 HHV189:HHZ189 HHV207:HHZ217 GXZ189:GYD189 GXZ207:GYD217 GOD189:GOH189 GOD207:GOH217 GEH189:GEL189 GEH207:GEL217 FUL189:FUP189 FUL207:FUP217 FKP189:FKT189 FKP207:FKT217 FAT189:FAX189 FAT207:FAX217 EQX189:ERB189 EQX207:ERB217 EHB189:EHF189 EHB207:EHF217 DXF189:DXJ189 DXF207:DXJ217 DNJ189:DNN189 DNJ207:DNN217 DDN189:DDR189 DDN207:DDR217 CTR189:CTV189 CTR207:CTV217 CJV189:CJZ189 CJV207:CJZ217 BZZ189:CAD189 BZZ207:CAD217 BQD189:BQH189 BQD207:BQH217 BGH189:BGL189 BGH207:BGL217 AWL189:AWP189 AWL207:AWP217 AMP189:AMT189 AMP207:AMT217" xr:uid="{7B032365-4EE8-425D-BCB4-63415C76A8F7}"/>
  </dataValidations>
  <printOptions horizontalCentered="1"/>
  <pageMargins left="0.7" right="0.7" top="0.65441176470588203" bottom="0.66352941176470592" header="0.3" footer="0.3"/>
  <pageSetup paperSize="9" scale="72" fitToHeight="0" orientation="portrait" r:id="rId1"/>
  <headerFooter>
    <oddHeader>&amp;L&amp;"FreesiaUPC,Regular"&amp;14TP-PM-DSN-006
7-MAY-2026&amp;C&amp;"FreesiaUPC,Regular"&amp;14Drawing List&amp;R&amp;"FreesiaUPC,Regular"&amp;14R01
&amp;P of &amp;N</oddHeader>
    <oddFooter>&amp;C&amp;"FreesiaUPC,Regular"&amp;14&amp;K01+005Hard copies of this document are for REFERENCE ONLY and should not be considered the latest revision beyond the date of printing.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504abe9-01ad-44e0-90cb-981bcb51882b" xsi:nil="true"/>
    <lcf76f155ced4ddcb4097134ff3c332f xmlns="7bca8089-88e5-423d-89ba-1d9d0c5efdef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9A361901C984144B6A4489C102C4332" ma:contentTypeVersion="12" ma:contentTypeDescription="Create a new document." ma:contentTypeScope="" ma:versionID="0f77fbde8799e73fa99f8e160ac956c7">
  <xsd:schema xmlns:xsd="http://www.w3.org/2001/XMLSchema" xmlns:xs="http://www.w3.org/2001/XMLSchema" xmlns:p="http://schemas.microsoft.com/office/2006/metadata/properties" xmlns:ns2="7bca8089-88e5-423d-89ba-1d9d0c5efdef" xmlns:ns3="4504abe9-01ad-44e0-90cb-981bcb51882b" targetNamespace="http://schemas.microsoft.com/office/2006/metadata/properties" ma:root="true" ma:fieldsID="a9ed7e0e30f8ffed50ae5274f2be3d94" ns2:_="" ns3:_="">
    <xsd:import namespace="7bca8089-88e5-423d-89ba-1d9d0c5efdef"/>
    <xsd:import namespace="4504abe9-01ad-44e0-90cb-981bcb51882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ca8089-88e5-423d-89ba-1d9d0c5efde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db199d6f-68ff-4e96-9761-5980e2fcc9a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04abe9-01ad-44e0-90cb-981bcb51882b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6bb76a71-27c9-4274-973f-972cd03f0d58}" ma:internalName="TaxCatchAll" ma:showField="CatchAllData" ma:web="4504abe9-01ad-44e0-90cb-981bcb51882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FADD693-AEE6-41F2-9AE3-DA0D5AD3F93A}">
  <ds:schemaRefs>
    <ds:schemaRef ds:uri="http://schemas.openxmlformats.org/package/2006/metadata/core-properties"/>
    <ds:schemaRef ds:uri="http://www.w3.org/XML/1998/namespace"/>
    <ds:schemaRef ds:uri="http://schemas.microsoft.com/office/infopath/2007/PartnerControls"/>
    <ds:schemaRef ds:uri="http://schemas.microsoft.com/office/2006/documentManagement/types"/>
    <ds:schemaRef ds:uri="http://purl.org/dc/terms/"/>
    <ds:schemaRef ds:uri="http://purl.org/dc/elements/1.1/"/>
    <ds:schemaRef ds:uri="http://purl.org/dc/dcmitype/"/>
    <ds:schemaRef ds:uri="7bca8089-88e5-423d-89ba-1d9d0c5efdef"/>
    <ds:schemaRef ds:uri="4504abe9-01ad-44e0-90cb-981bcb51882b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053E7C72-9DC9-4305-84B2-5EAA9003FF3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172B2A9-95D6-41A2-877B-E5C2B31C257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bca8089-88e5-423d-89ba-1d9d0c5efdef"/>
    <ds:schemaRef ds:uri="4504abe9-01ad-44e0-90cb-981bcb51882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14</vt:i4>
      </vt:variant>
    </vt:vector>
  </HeadingPairs>
  <TitlesOfParts>
    <vt:vector size="24" baseType="lpstr">
      <vt:lpstr>Cover (1)</vt:lpstr>
      <vt:lpstr>Cover(2)</vt:lpstr>
      <vt:lpstr>1. CIVIL</vt:lpstr>
      <vt:lpstr>2. ARCHITECTURAL</vt:lpstr>
      <vt:lpstr>3. STRUCTURAL</vt:lpstr>
      <vt:lpstr>4. MECHANICAL</vt:lpstr>
      <vt:lpstr>5. ELECTRICAL</vt:lpstr>
      <vt:lpstr>Eng name</vt:lpstr>
      <vt:lpstr>Numbering System</vt:lpstr>
      <vt:lpstr>Subcover</vt:lpstr>
      <vt:lpstr>'1. CIVIL'!Print_Area</vt:lpstr>
      <vt:lpstr>'2. ARCHITECTURAL'!Print_Area</vt:lpstr>
      <vt:lpstr>'3. STRUCTURAL'!Print_Area</vt:lpstr>
      <vt:lpstr>'4. MECHANICAL'!Print_Area</vt:lpstr>
      <vt:lpstr>'5. ELECTRICAL'!Print_Area</vt:lpstr>
      <vt:lpstr>'Cover (1)'!Print_Area</vt:lpstr>
      <vt:lpstr>'Cover(2)'!Print_Area</vt:lpstr>
      <vt:lpstr>'Numbering System'!Print_Area</vt:lpstr>
      <vt:lpstr>Subcover!Print_Area</vt:lpstr>
      <vt:lpstr>'1. CIVIL'!Print_Titles</vt:lpstr>
      <vt:lpstr>'2. ARCHITECTURAL'!Print_Titles</vt:lpstr>
      <vt:lpstr>'3. STRUCTURAL'!Print_Titles</vt:lpstr>
      <vt:lpstr>'4. MECHANICAL'!Print_Titles</vt:lpstr>
      <vt:lpstr>'5. ELECTRICAL'!Print_Titles</vt:lpstr>
    </vt:vector>
  </TitlesOfParts>
  <Manager>Talhapol L.</Manager>
  <Company>Metric COnsulting Engineers &amp; Architects Co., Ltd.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List of Design Deliverables</dc:title>
  <dc:subject>RYG Sapparot 2 Project</dc:subject>
  <dc:creator>Metric</dc:creator>
  <cp:keywords/>
  <dc:description/>
  <cp:lastModifiedBy>Ittichai Butsanam</cp:lastModifiedBy>
  <cp:revision/>
  <dcterms:created xsi:type="dcterms:W3CDTF">2014-03-28T01:57:06Z</dcterms:created>
  <dcterms:modified xsi:type="dcterms:W3CDTF">2026-05-15T11:02:48Z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0x01010079A361901C984144B6A4489C102C4332</vt:lpwstr>
  </property>
  <property fmtid="{D5CDD505-2E9C-101B-9397-08002B2CF9AE}" pid="3" name="MediaServiceImageTags">
    <vt:lpwstr/>
  </property>
  <property fmtid="{D5CDD505-2E9C-101B-9397-08002B2CF9AE}" pid="4" name="Order">
    <vt:r8>8600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ComplianceAssetId">
    <vt:lpwstr/>
  </property>
  <property fmtid="{D5CDD505-2E9C-101B-9397-08002B2CF9AE}" pid="8" name="TemplateUrl">
    <vt:lpwstr/>
  </property>
  <property fmtid="{D5CDD505-2E9C-101B-9397-08002B2CF9AE}" pid="9" name="_ExtendedDescription">
    <vt:lpwstr/>
  </property>
  <property fmtid="{D5CDD505-2E9C-101B-9397-08002B2CF9AE}" pid="10" name="TriggerFlowInfo">
    <vt:lpwstr/>
  </property>
</Properties>
</file>