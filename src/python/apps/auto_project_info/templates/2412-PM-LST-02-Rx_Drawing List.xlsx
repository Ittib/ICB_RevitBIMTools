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namedSheetViews/namedSheetView1.xml" ContentType="application/vnd.ms-excel.namedsheetview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namedSheetViews/namedSheetView2.xml" ContentType="application/vnd.ms-excel.namedsheetviews+xml"/>
  <Override PartName="/xl/drawings/drawing4.xml" ContentType="application/vnd.openxmlformats-officedocument.drawing+xml"/>
  <Override PartName="/xl/namedSheetViews/namedSheetView3.xml" ContentType="application/vnd.ms-excel.namedsheetviews+xml"/>
  <Override PartName="/xl/drawings/drawing5.xml" ContentType="application/vnd.openxmlformats-officedocument.drawing+xml"/>
  <Override PartName="/xl/namedSheetViews/namedSheetView4.xml" ContentType="application/vnd.ms-excel.namedsheetview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mtcmetric.sharepoint.com/sites/2024-12LMCPF1RORProject/Shared Documents/A_Design_SS 2/01_Project Document/"/>
    </mc:Choice>
  </mc:AlternateContent>
  <xr:revisionPtr revIDLastSave="0" documentId="8_{DEC2287C-981C-4993-AD91-4E4FF791C334}" xr6:coauthVersionLast="47" xr6:coauthVersionMax="47" xr10:uidLastSave="{00000000-0000-0000-0000-000000000000}"/>
  <bookViews>
    <workbookView xWindow="-120" yWindow="-120" windowWidth="29040" windowHeight="15840" tabRatio="889" firstSheet="6" activeTab="6" xr2:uid="{A892A251-B588-46A8-90C8-CCE11A65B821}"/>
  </bookViews>
  <sheets>
    <sheet name="Cover" sheetId="47" r:id="rId1"/>
    <sheet name="2. AA cover" sheetId="103" r:id="rId2"/>
    <sheet name="2. ARCHITECTURAL" sheetId="107" r:id="rId3"/>
    <sheet name="3. CS cover" sheetId="104" r:id="rId4"/>
    <sheet name="3. CIVIL &amp; STRUCTURAL" sheetId="108" r:id="rId5"/>
    <sheet name="4. ME cover" sheetId="105" r:id="rId6"/>
    <sheet name="4. MECHANICAL" sheetId="111" r:id="rId7"/>
    <sheet name="5. EE cover" sheetId="106" r:id="rId8"/>
    <sheet name="5. ELECTRICAL" sheetId="109" r:id="rId9"/>
    <sheet name="Numbering System" sheetId="87" r:id="rId10"/>
    <sheet name="Subcover" sheetId="88" r:id="rId11"/>
    <sheet name="Eng name" sheetId="89" r:id="rId12"/>
    <sheet name="Sheet1" sheetId="102" r:id="rId13"/>
  </sheets>
  <definedNames>
    <definedName name="_xlnm._FilterDatabase" localSheetId="2" hidden="1">'2. ARCHITECTURAL'!$T$5:$T$215</definedName>
    <definedName name="_xlnm._FilterDatabase" localSheetId="4" hidden="1">'3. CIVIL &amp; STRUCTURAL'!$A$8:$BH$8</definedName>
    <definedName name="_xlnm.Print_Area" localSheetId="1">'2. AA cover'!$B$2:$L$49</definedName>
    <definedName name="_xlnm.Print_Area" localSheetId="2">'2. ARCHITECTURAL'!$A$1:$S$242</definedName>
    <definedName name="_xlnm.Print_Area" localSheetId="4">'3. CIVIL &amp; STRUCTURAL'!$A$1:$S$271</definedName>
    <definedName name="_xlnm.Print_Area" localSheetId="3">'3. CS cover'!$B$2:$L$49</definedName>
    <definedName name="_xlnm.Print_Area" localSheetId="5">'4. ME cover'!$B$2:$L$49</definedName>
    <definedName name="_xlnm.Print_Area" localSheetId="6">'4. MECHANICAL'!$A$1:$V$215</definedName>
    <definedName name="_xlnm.Print_Area" localSheetId="7">'5. EE cover'!$B$2:$L$49</definedName>
    <definedName name="_xlnm.Print_Area" localSheetId="8">'5. ELECTRICAL'!$A$1:$V$214</definedName>
    <definedName name="_xlnm.Print_Area" localSheetId="0">Cover!$A$1:$J$36</definedName>
    <definedName name="_xlnm.Print_Area" localSheetId="9">'Numbering System'!$A$1:$P$51</definedName>
    <definedName name="_xlnm.Print_Area" localSheetId="10">Subcover!$A$1:$J$225</definedName>
    <definedName name="_xlnm.Print_Titles" localSheetId="2">'2. ARCHITECTURAL'!$1:$7</definedName>
    <definedName name="_xlnm.Print_Titles" localSheetId="4">'3. CIVIL &amp; STRUCTURAL'!$1:$7</definedName>
    <definedName name="_xlnm.Print_Titles" localSheetId="6">'4. MECHANICAL'!$1:$7</definedName>
    <definedName name="_xlnm.Print_Titles" localSheetId="8">'5. ELECTRICAL'!$1:$7</definedName>
    <definedName name="Z_037B42FE_F95F_43C3_9E03_12C47B60BEA9_.wvu.PrintArea" localSheetId="1" hidden="1">'2. AA cover'!$B$2:$J$49</definedName>
    <definedName name="Z_037B42FE_F95F_43C3_9E03_12C47B60BEA9_.wvu.PrintArea" localSheetId="3" hidden="1">'3. CS cover'!$B$2:$J$49</definedName>
    <definedName name="Z_037B42FE_F95F_43C3_9E03_12C47B60BEA9_.wvu.PrintArea" localSheetId="5" hidden="1">'4. ME cover'!$B$2:$J$49</definedName>
    <definedName name="Z_037B42FE_F95F_43C3_9E03_12C47B60BEA9_.wvu.PrintArea" localSheetId="7" hidden="1">'5. EE cover'!$B$2:$J$49</definedName>
    <definedName name="Z_05B7EB5B_A766_4BDC_8503_8AD9D2D20C75_.wvu.PrintArea" localSheetId="1" hidden="1">'2. AA cover'!$B$2:$J$49</definedName>
    <definedName name="Z_05B7EB5B_A766_4BDC_8503_8AD9D2D20C75_.wvu.PrintArea" localSheetId="3" hidden="1">'3. CS cover'!$B$2:$J$49</definedName>
    <definedName name="Z_05B7EB5B_A766_4BDC_8503_8AD9D2D20C75_.wvu.PrintArea" localSheetId="5" hidden="1">'4. ME cover'!$B$2:$J$49</definedName>
    <definedName name="Z_05B7EB5B_A766_4BDC_8503_8AD9D2D20C75_.wvu.PrintArea" localSheetId="7" hidden="1">'5. EE cover'!$B$2:$J$49</definedName>
    <definedName name="Z_17590CE5_C9F6_422C_82DE_801565308F81_.wvu.PrintArea" localSheetId="1" hidden="1">'2. AA cover'!$B$2:$J$49</definedName>
    <definedName name="Z_17590CE5_C9F6_422C_82DE_801565308F81_.wvu.PrintArea" localSheetId="3" hidden="1">'3. CS cover'!$B$2:$J$49</definedName>
    <definedName name="Z_17590CE5_C9F6_422C_82DE_801565308F81_.wvu.PrintArea" localSheetId="5" hidden="1">'4. ME cover'!$B$2:$J$49</definedName>
    <definedName name="Z_17590CE5_C9F6_422C_82DE_801565308F81_.wvu.PrintArea" localSheetId="7" hidden="1">'5. EE cover'!$B$2:$J$49</definedName>
    <definedName name="Z_18563506_165A_45D0_9EA7_2B408306363B_.wvu.PrintArea" localSheetId="1" hidden="1">'2. AA cover'!$B$2:$J$49</definedName>
    <definedName name="Z_18563506_165A_45D0_9EA7_2B408306363B_.wvu.PrintArea" localSheetId="3" hidden="1">'3. CS cover'!$B$2:$J$49</definedName>
    <definedName name="Z_18563506_165A_45D0_9EA7_2B408306363B_.wvu.PrintArea" localSheetId="5" hidden="1">'4. ME cover'!$B$2:$J$49</definedName>
    <definedName name="Z_18563506_165A_45D0_9EA7_2B408306363B_.wvu.PrintArea" localSheetId="7" hidden="1">'5. EE cover'!$B$2:$J$49</definedName>
    <definedName name="Z_1B22C528_A3C8_40CF_9FF3_611C309F1470_.wvu.PrintArea" localSheetId="1" hidden="1">'2. AA cover'!$B$2:$J$49</definedName>
    <definedName name="Z_1B22C528_A3C8_40CF_9FF3_611C309F1470_.wvu.PrintArea" localSheetId="3" hidden="1">'3. CS cover'!$B$2:$J$49</definedName>
    <definedName name="Z_1B22C528_A3C8_40CF_9FF3_611C309F1470_.wvu.PrintArea" localSheetId="5" hidden="1">'4. ME cover'!$B$2:$J$49</definedName>
    <definedName name="Z_1B22C528_A3C8_40CF_9FF3_611C309F1470_.wvu.PrintArea" localSheetId="7" hidden="1">'5. EE cover'!$B$2:$J$49</definedName>
    <definedName name="Z_36CBA37A_3365_478A_9227_FDF8FEEE5C86_.wvu.PrintArea" localSheetId="1" hidden="1">'2. AA cover'!$B$2:$J$49</definedName>
    <definedName name="Z_36CBA37A_3365_478A_9227_FDF8FEEE5C86_.wvu.PrintArea" localSheetId="3" hidden="1">'3. CS cover'!$B$2:$J$49</definedName>
    <definedName name="Z_36CBA37A_3365_478A_9227_FDF8FEEE5C86_.wvu.PrintArea" localSheetId="5" hidden="1">'4. ME cover'!$B$2:$J$49</definedName>
    <definedName name="Z_36CBA37A_3365_478A_9227_FDF8FEEE5C86_.wvu.PrintArea" localSheetId="7" hidden="1">'5. EE cover'!$B$2:$J$49</definedName>
    <definedName name="Z_37EC0E7B_F9EC_4A10_9D70_0304EA2F7A23_.wvu.PrintArea" localSheetId="1" hidden="1">'2. AA cover'!$B$2:$J$49</definedName>
    <definedName name="Z_37EC0E7B_F9EC_4A10_9D70_0304EA2F7A23_.wvu.PrintArea" localSheetId="3" hidden="1">'3. CS cover'!$B$2:$J$49</definedName>
    <definedName name="Z_37EC0E7B_F9EC_4A10_9D70_0304EA2F7A23_.wvu.PrintArea" localSheetId="5" hidden="1">'4. ME cover'!$B$2:$J$49</definedName>
    <definedName name="Z_37EC0E7B_F9EC_4A10_9D70_0304EA2F7A23_.wvu.PrintArea" localSheetId="7" hidden="1">'5. EE cover'!$B$2:$J$49</definedName>
    <definedName name="Z_39219916_5660_498F_BB82_238258BEA4E0_.wvu.PrintArea" localSheetId="1" hidden="1">'2. AA cover'!$B$2:$J$49</definedName>
    <definedName name="Z_39219916_5660_498F_BB82_238258BEA4E0_.wvu.PrintArea" localSheetId="3" hidden="1">'3. CS cover'!$B$2:$J$49</definedName>
    <definedName name="Z_39219916_5660_498F_BB82_238258BEA4E0_.wvu.PrintArea" localSheetId="5" hidden="1">'4. ME cover'!$B$2:$J$49</definedName>
    <definedName name="Z_39219916_5660_498F_BB82_238258BEA4E0_.wvu.PrintArea" localSheetId="7" hidden="1">'5. EE cover'!$B$2:$J$49</definedName>
    <definedName name="Z_5744859B_23AE_4151_B36C_6DA367D30802_.wvu.PrintArea" localSheetId="1" hidden="1">'2. AA cover'!$B$2:$J$49</definedName>
    <definedName name="Z_5744859B_23AE_4151_B36C_6DA367D30802_.wvu.PrintArea" localSheetId="3" hidden="1">'3. CS cover'!$B$2:$J$49</definedName>
    <definedName name="Z_5744859B_23AE_4151_B36C_6DA367D30802_.wvu.PrintArea" localSheetId="5" hidden="1">'4. ME cover'!$B$2:$J$49</definedName>
    <definedName name="Z_5744859B_23AE_4151_B36C_6DA367D30802_.wvu.PrintArea" localSheetId="7" hidden="1">'5. EE cover'!$B$2:$J$49</definedName>
    <definedName name="Z_5D6BEE31_884B_4736_BE0B_B52625A87C19_.wvu.PrintArea" localSheetId="1" hidden="1">'2. AA cover'!$B$2:$J$49</definedName>
    <definedName name="Z_5D6BEE31_884B_4736_BE0B_B52625A87C19_.wvu.PrintArea" localSheetId="3" hidden="1">'3. CS cover'!$B$2:$J$49</definedName>
    <definedName name="Z_5D6BEE31_884B_4736_BE0B_B52625A87C19_.wvu.PrintArea" localSheetId="5" hidden="1">'4. ME cover'!$B$2:$J$49</definedName>
    <definedName name="Z_5D6BEE31_884B_4736_BE0B_B52625A87C19_.wvu.PrintArea" localSheetId="7" hidden="1">'5. EE cover'!$B$2:$J$49</definedName>
    <definedName name="Z_633FF4E4_3E4A_41A4_A787_14854A3FB78B_.wvu.PrintArea" localSheetId="1" hidden="1">'2. AA cover'!$B$2:$J$49</definedName>
    <definedName name="Z_633FF4E4_3E4A_41A4_A787_14854A3FB78B_.wvu.PrintArea" localSheetId="3" hidden="1">'3. CS cover'!$B$2:$J$49</definedName>
    <definedName name="Z_633FF4E4_3E4A_41A4_A787_14854A3FB78B_.wvu.PrintArea" localSheetId="5" hidden="1">'4. ME cover'!$B$2:$J$49</definedName>
    <definedName name="Z_633FF4E4_3E4A_41A4_A787_14854A3FB78B_.wvu.PrintArea" localSheetId="7" hidden="1">'5. EE cover'!$B$2:$J$49</definedName>
    <definedName name="Z_68DCEBA0_A7C9_43BB_B0A0_9E6450DAF122_.wvu.PrintArea" localSheetId="1" hidden="1">'2. AA cover'!$B$2:$J$49</definedName>
    <definedName name="Z_68DCEBA0_A7C9_43BB_B0A0_9E6450DAF122_.wvu.PrintArea" localSheetId="3" hidden="1">'3. CS cover'!$B$2:$J$49</definedName>
    <definedName name="Z_68DCEBA0_A7C9_43BB_B0A0_9E6450DAF122_.wvu.PrintArea" localSheetId="5" hidden="1">'4. ME cover'!$B$2:$J$49</definedName>
    <definedName name="Z_68DCEBA0_A7C9_43BB_B0A0_9E6450DAF122_.wvu.PrintArea" localSheetId="7" hidden="1">'5. EE cover'!$B$2:$J$49</definedName>
    <definedName name="Z_70BE37A6_C170_4243_AE3A_EB8AC4167279_.wvu.PrintArea" localSheetId="1" hidden="1">'2. AA cover'!$B$2:$J$49</definedName>
    <definedName name="Z_70BE37A6_C170_4243_AE3A_EB8AC4167279_.wvu.PrintArea" localSheetId="3" hidden="1">'3. CS cover'!$B$2:$J$49</definedName>
    <definedName name="Z_70BE37A6_C170_4243_AE3A_EB8AC4167279_.wvu.PrintArea" localSheetId="5" hidden="1">'4. ME cover'!$B$2:$J$49</definedName>
    <definedName name="Z_70BE37A6_C170_4243_AE3A_EB8AC4167279_.wvu.PrintArea" localSheetId="7" hidden="1">'5. EE cover'!$B$2:$J$49</definedName>
    <definedName name="Z_7DB062A5_55F3_43DE_BB5F_BE11786A2748_.wvu.PrintArea" localSheetId="1" hidden="1">'2. AA cover'!$B$2:$J$49</definedName>
    <definedName name="Z_7DB062A5_55F3_43DE_BB5F_BE11786A2748_.wvu.PrintArea" localSheetId="3" hidden="1">'3. CS cover'!$B$2:$J$49</definedName>
    <definedName name="Z_7DB062A5_55F3_43DE_BB5F_BE11786A2748_.wvu.PrintArea" localSheetId="5" hidden="1">'4. ME cover'!$B$2:$J$49</definedName>
    <definedName name="Z_7DB062A5_55F3_43DE_BB5F_BE11786A2748_.wvu.PrintArea" localSheetId="7" hidden="1">'5. EE cover'!$B$2:$J$49</definedName>
    <definedName name="Z_94AB9303_CE42_4808_BD2E_0308C158C448_.wvu.PrintArea" localSheetId="1" hidden="1">'2. AA cover'!$B$2:$J$49</definedName>
    <definedName name="Z_94AB9303_CE42_4808_BD2E_0308C158C448_.wvu.PrintArea" localSheetId="3" hidden="1">'3. CS cover'!$B$2:$J$49</definedName>
    <definedName name="Z_94AB9303_CE42_4808_BD2E_0308C158C448_.wvu.PrintArea" localSheetId="5" hidden="1">'4. ME cover'!$B$2:$J$49</definedName>
    <definedName name="Z_94AB9303_CE42_4808_BD2E_0308C158C448_.wvu.PrintArea" localSheetId="7" hidden="1">'5. EE cover'!$B$2:$J$49</definedName>
    <definedName name="Z_9A9053F6_F8AD_4D6F_8B61_9EEDE16E7104_.wvu.PrintArea" localSheetId="1" hidden="1">'2. AA cover'!$B$2:$J$49</definedName>
    <definedName name="Z_9A9053F6_F8AD_4D6F_8B61_9EEDE16E7104_.wvu.PrintArea" localSheetId="3" hidden="1">'3. CS cover'!$B$2:$J$49</definedName>
    <definedName name="Z_9A9053F6_F8AD_4D6F_8B61_9EEDE16E7104_.wvu.PrintArea" localSheetId="5" hidden="1">'4. ME cover'!$B$2:$J$49</definedName>
    <definedName name="Z_9A9053F6_F8AD_4D6F_8B61_9EEDE16E7104_.wvu.PrintArea" localSheetId="7" hidden="1">'5. EE cover'!$B$2:$J$49</definedName>
    <definedName name="Z_A9873FFC_35CF_43F6_B9AD_D9A91946D92B_.wvu.PrintArea" localSheetId="1" hidden="1">'2. AA cover'!$B$2:$J$49</definedName>
    <definedName name="Z_A9873FFC_35CF_43F6_B9AD_D9A91946D92B_.wvu.PrintArea" localSheetId="3" hidden="1">'3. CS cover'!$B$2:$J$49</definedName>
    <definedName name="Z_A9873FFC_35CF_43F6_B9AD_D9A91946D92B_.wvu.PrintArea" localSheetId="5" hidden="1">'4. ME cover'!$B$2:$J$49</definedName>
    <definedName name="Z_A9873FFC_35CF_43F6_B9AD_D9A91946D92B_.wvu.PrintArea" localSheetId="7" hidden="1">'5. EE cover'!$B$2:$J$49</definedName>
    <definedName name="Z_C53F0FD4_C616_4FA1_A873_45959A1666C7_.wvu.PrintArea" localSheetId="1" hidden="1">'2. AA cover'!$B$2:$J$49</definedName>
    <definedName name="Z_C53F0FD4_C616_4FA1_A873_45959A1666C7_.wvu.PrintArea" localSheetId="3" hidden="1">'3. CS cover'!$B$2:$J$49</definedName>
    <definedName name="Z_C53F0FD4_C616_4FA1_A873_45959A1666C7_.wvu.PrintArea" localSheetId="5" hidden="1">'4. ME cover'!$B$2:$J$49</definedName>
    <definedName name="Z_C53F0FD4_C616_4FA1_A873_45959A1666C7_.wvu.PrintArea" localSheetId="7" hidden="1">'5. EE cover'!$B$2:$J$49</definedName>
    <definedName name="Z_CDBD62F1_2984_4192_81E5_5C7680CDA0C1_.wvu.PrintArea" localSheetId="1" hidden="1">'2. AA cover'!$B$2:$J$49</definedName>
    <definedName name="Z_CDBD62F1_2984_4192_81E5_5C7680CDA0C1_.wvu.PrintArea" localSheetId="3" hidden="1">'3. CS cover'!$B$2:$J$49</definedName>
    <definedName name="Z_CDBD62F1_2984_4192_81E5_5C7680CDA0C1_.wvu.PrintArea" localSheetId="5" hidden="1">'4. ME cover'!$B$2:$J$49</definedName>
    <definedName name="Z_CDBD62F1_2984_4192_81E5_5C7680CDA0C1_.wvu.PrintArea" localSheetId="7" hidden="1">'5. EE cover'!$B$2:$J$49</definedName>
    <definedName name="Z_D291DCB9_FA3F_49E9_B9DB_0F146F3E5BB6_.wvu.PrintArea" localSheetId="1" hidden="1">'2. AA cover'!$B$2:$J$49</definedName>
    <definedName name="Z_D291DCB9_FA3F_49E9_B9DB_0F146F3E5BB6_.wvu.PrintArea" localSheetId="3" hidden="1">'3. CS cover'!$B$2:$J$49</definedName>
    <definedName name="Z_D291DCB9_FA3F_49E9_B9DB_0F146F3E5BB6_.wvu.PrintArea" localSheetId="5" hidden="1">'4. ME cover'!$B$2:$J$49</definedName>
    <definedName name="Z_D291DCB9_FA3F_49E9_B9DB_0F146F3E5BB6_.wvu.PrintArea" localSheetId="7" hidden="1">'5. EE cover'!$B$2:$J$49</definedName>
    <definedName name="Z_D8E1A2D7_97C3_43E3_9BDD_82A8F1BE177B_.wvu.PrintArea" localSheetId="1" hidden="1">'2. AA cover'!$B$2:$J$49</definedName>
    <definedName name="Z_D8E1A2D7_97C3_43E3_9BDD_82A8F1BE177B_.wvu.PrintArea" localSheetId="3" hidden="1">'3. CS cover'!$B$2:$J$49</definedName>
    <definedName name="Z_D8E1A2D7_97C3_43E3_9BDD_82A8F1BE177B_.wvu.PrintArea" localSheetId="5" hidden="1">'4. ME cover'!$B$2:$J$49</definedName>
    <definedName name="Z_D8E1A2D7_97C3_43E3_9BDD_82A8F1BE177B_.wvu.PrintArea" localSheetId="7" hidden="1">'5. EE cover'!$B$2:$J$49</definedName>
    <definedName name="Z_DD891C26_D506_4E6A_85E6_BBC5C1B6C2AA_.wvu.PrintArea" localSheetId="1" hidden="1">'2. AA cover'!$B$2:$J$49</definedName>
    <definedName name="Z_DD891C26_D506_4E6A_85E6_BBC5C1B6C2AA_.wvu.PrintArea" localSheetId="3" hidden="1">'3. CS cover'!$B$2:$J$49</definedName>
    <definedName name="Z_DD891C26_D506_4E6A_85E6_BBC5C1B6C2AA_.wvu.PrintArea" localSheetId="5" hidden="1">'4. ME cover'!$B$2:$J$49</definedName>
    <definedName name="Z_DD891C26_D506_4E6A_85E6_BBC5C1B6C2AA_.wvu.PrintArea" localSheetId="7" hidden="1">'5. EE cover'!$B$2:$J$49</definedName>
    <definedName name="Z_E02430B0_0B03_4117_904F_F20E56E4AF38_.wvu.PrintArea" localSheetId="1" hidden="1">'2. AA cover'!$B$2:$J$49</definedName>
    <definedName name="Z_E02430B0_0B03_4117_904F_F20E56E4AF38_.wvu.PrintArea" localSheetId="3" hidden="1">'3. CS cover'!$B$2:$J$49</definedName>
    <definedName name="Z_E02430B0_0B03_4117_904F_F20E56E4AF38_.wvu.PrintArea" localSheetId="5" hidden="1">'4. ME cover'!$B$2:$J$49</definedName>
    <definedName name="Z_E02430B0_0B03_4117_904F_F20E56E4AF38_.wvu.PrintArea" localSheetId="7" hidden="1">'5. EE cover'!$B$2:$J$49</definedName>
    <definedName name="Z_E1685868_D380_416E_BF0A_9BD45898876A_.wvu.PrintArea" localSheetId="1" hidden="1">'2. AA cover'!$B$2:$J$49</definedName>
    <definedName name="Z_E1685868_D380_416E_BF0A_9BD45898876A_.wvu.PrintArea" localSheetId="3" hidden="1">'3. CS cover'!$B$2:$J$49</definedName>
    <definedName name="Z_E1685868_D380_416E_BF0A_9BD45898876A_.wvu.PrintArea" localSheetId="5" hidden="1">'4. ME cover'!$B$2:$J$49</definedName>
    <definedName name="Z_E1685868_D380_416E_BF0A_9BD45898876A_.wvu.PrintArea" localSheetId="7" hidden="1">'5. EE cover'!$B$2:$J$49</definedName>
    <definedName name="Z_E9F0EC5C_118D_402A_A349_941AF2A3319B_.wvu.PrintArea" localSheetId="1" hidden="1">'2. AA cover'!$B$2:$J$49</definedName>
    <definedName name="Z_E9F0EC5C_118D_402A_A349_941AF2A3319B_.wvu.PrintArea" localSheetId="3" hidden="1">'3. CS cover'!$B$2:$J$49</definedName>
    <definedName name="Z_E9F0EC5C_118D_402A_A349_941AF2A3319B_.wvu.PrintArea" localSheetId="5" hidden="1">'4. ME cover'!$B$2:$J$49</definedName>
    <definedName name="Z_E9F0EC5C_118D_402A_A349_941AF2A3319B_.wvu.PrintArea" localSheetId="7" hidden="1">'5. EE cover'!$B$2:$J$49</definedName>
    <definedName name="Z_ED239BAA_CA8A_4A5A_AD1D_A00B8A7801EF_.wvu.PrintArea" localSheetId="1" hidden="1">'2. AA cover'!$B$2:$J$49</definedName>
    <definedName name="Z_ED239BAA_CA8A_4A5A_AD1D_A00B8A7801EF_.wvu.PrintArea" localSheetId="3" hidden="1">'3. CS cover'!$B$2:$J$49</definedName>
    <definedName name="Z_ED239BAA_CA8A_4A5A_AD1D_A00B8A7801EF_.wvu.PrintArea" localSheetId="5" hidden="1">'4. ME cover'!$B$2:$J$49</definedName>
    <definedName name="Z_ED239BAA_CA8A_4A5A_AD1D_A00B8A7801EF_.wvu.PrintArea" localSheetId="7" hidden="1">'5. EE cover'!$B$2:$J$49</definedName>
    <definedName name="Z_F9021FFA_C169_4E72_A19E_8E9AC2CF317E_.wvu.PrintArea" localSheetId="1" hidden="1">'2. AA cover'!$B$2:$J$49</definedName>
    <definedName name="Z_F9021FFA_C169_4E72_A19E_8E9AC2CF317E_.wvu.PrintArea" localSheetId="3" hidden="1">'3. CS cover'!$B$2:$J$49</definedName>
    <definedName name="Z_F9021FFA_C169_4E72_A19E_8E9AC2CF317E_.wvu.PrintArea" localSheetId="5" hidden="1">'4. ME cover'!$B$2:$J$49</definedName>
    <definedName name="Z_F9021FFA_C169_4E72_A19E_8E9AC2CF317E_.wvu.PrintArea" localSheetId="7" hidden="1">'5. EE cover'!$B$2:$J$49</definedName>
    <definedName name="Z_FB98EB0C_7756_46D9_90FC_A3EA293DEF5B_.wvu.PrintArea" localSheetId="1" hidden="1">'2. AA cover'!$B$2:$J$49</definedName>
    <definedName name="Z_FB98EB0C_7756_46D9_90FC_A3EA293DEF5B_.wvu.PrintArea" localSheetId="3" hidden="1">'3. CS cover'!$B$2:$J$49</definedName>
    <definedName name="Z_FB98EB0C_7756_46D9_90FC_A3EA293DEF5B_.wvu.PrintArea" localSheetId="5" hidden="1">'4. ME cover'!$B$2:$J$49</definedName>
    <definedName name="Z_FB98EB0C_7756_46D9_90FC_A3EA293DEF5B_.wvu.PrintArea" localSheetId="7" hidden="1">'5. EE cover'!$B$2:$J$49</definedName>
    <definedName name="Z_FF839054_7D6E_483C_8FA2_1379E4AA56CC_.wvu.PrintArea" localSheetId="1" hidden="1">'2. AA cover'!$B$2:$J$49</definedName>
    <definedName name="Z_FF839054_7D6E_483C_8FA2_1379E4AA56CC_.wvu.PrintArea" localSheetId="3" hidden="1">'3. CS cover'!$B$2:$J$49</definedName>
    <definedName name="Z_FF839054_7D6E_483C_8FA2_1379E4AA56CC_.wvu.PrintArea" localSheetId="5" hidden="1">'4. ME cover'!$B$2:$J$49</definedName>
    <definedName name="Z_FF839054_7D6E_483C_8FA2_1379E4AA56CC_.wvu.PrintArea" localSheetId="7" hidden="1">'5. EE cover'!$B$2:$J$49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" i="107" l="1"/>
  <c r="T103" i="108" a="1"/>
  <c r="T103" i="108"/>
  <c r="AQ103" i="108"/>
  <c r="AA103" i="108"/>
  <c r="AC103" i="108"/>
  <c r="AE103" i="108"/>
  <c r="AG103" i="108"/>
  <c r="AI103" i="108"/>
  <c r="AK103" i="108"/>
  <c r="AM103" i="108"/>
  <c r="AO103" i="108"/>
  <c r="E115" i="109"/>
  <c r="A115" i="109"/>
  <c r="W115" i="109" s="1" a="1"/>
  <c r="W115" i="109" s="1"/>
  <c r="AO82" i="108"/>
  <c r="AM82" i="108"/>
  <c r="AK82" i="108"/>
  <c r="AI82" i="108"/>
  <c r="AG82" i="108"/>
  <c r="AE82" i="108"/>
  <c r="AC82" i="108"/>
  <c r="AA82" i="108"/>
  <c r="T82" i="108" a="1"/>
  <c r="T82" i="108" s="1"/>
  <c r="AO81" i="108"/>
  <c r="AM81" i="108"/>
  <c r="AK81" i="108"/>
  <c r="AI81" i="108"/>
  <c r="AG81" i="108"/>
  <c r="AE81" i="108"/>
  <c r="AC81" i="108"/>
  <c r="AA81" i="108"/>
  <c r="T81" i="108" a="1"/>
  <c r="T81" i="108" s="1"/>
  <c r="T29" i="108" a="1"/>
  <c r="T29" i="108"/>
  <c r="E124" i="109"/>
  <c r="A124" i="109"/>
  <c r="E123" i="109"/>
  <c r="A123" i="109"/>
  <c r="W123" i="109" s="1" a="1"/>
  <c r="W123" i="109" s="1"/>
  <c r="Q212" i="111"/>
  <c r="Q204" i="111"/>
  <c r="Q177" i="111"/>
  <c r="Q169" i="111"/>
  <c r="Q163" i="111"/>
  <c r="Q156" i="111"/>
  <c r="Q131" i="111"/>
  <c r="Q39" i="111"/>
  <c r="W32" i="109" a="1"/>
  <c r="W32" i="109" s="1"/>
  <c r="W20" i="109" a="1"/>
  <c r="W20" i="109" s="1"/>
  <c r="W210" i="111" a="1"/>
  <c r="W210" i="111" s="1"/>
  <c r="W209" i="111" a="1"/>
  <c r="W209" i="111" s="1"/>
  <c r="W201" i="111" a="1"/>
  <c r="W201" i="111" s="1"/>
  <c r="W200" i="111" a="1"/>
  <c r="W200" i="111" s="1"/>
  <c r="W199" i="111" a="1"/>
  <c r="W199" i="111" s="1"/>
  <c r="W198" i="111" a="1"/>
  <c r="W198" i="111" s="1"/>
  <c r="W191" i="111" a="1"/>
  <c r="W191" i="111" s="1"/>
  <c r="W190" i="111" a="1"/>
  <c r="W190" i="111" s="1"/>
  <c r="W153" i="111" a="1"/>
  <c r="W153" i="111" s="1"/>
  <c r="W152" i="111" a="1"/>
  <c r="W152" i="111" s="1"/>
  <c r="W151" i="111" a="1"/>
  <c r="W151" i="111" s="1"/>
  <c r="W150" i="111" a="1"/>
  <c r="W150" i="111" s="1"/>
  <c r="W149" i="111" a="1"/>
  <c r="W149" i="111" s="1"/>
  <c r="W148" i="111" a="1"/>
  <c r="W148" i="111" s="1"/>
  <c r="W147" i="111" a="1"/>
  <c r="W147" i="111" s="1"/>
  <c r="W146" i="111" a="1"/>
  <c r="W146" i="111" s="1"/>
  <c r="W145" i="111" a="1"/>
  <c r="W145" i="111" s="1"/>
  <c r="W144" i="111" a="1"/>
  <c r="W144" i="111" s="1"/>
  <c r="W143" i="111" a="1"/>
  <c r="W143" i="111" s="1"/>
  <c r="W142" i="111" a="1"/>
  <c r="W142" i="111" s="1"/>
  <c r="W141" i="111" a="1"/>
  <c r="W141" i="111" s="1"/>
  <c r="W140" i="111" a="1"/>
  <c r="W140" i="111" s="1"/>
  <c r="W139" i="111" a="1"/>
  <c r="W139" i="111" s="1"/>
  <c r="W138" i="111" a="1"/>
  <c r="W138" i="111" s="1"/>
  <c r="W136" i="111" a="1"/>
  <c r="W136" i="111" s="1"/>
  <c r="W129" i="111" a="1"/>
  <c r="W129" i="111" s="1"/>
  <c r="W128" i="111" a="1"/>
  <c r="W128" i="111" s="1"/>
  <c r="W127" i="111" a="1"/>
  <c r="W127" i="111" s="1"/>
  <c r="W126" i="111" a="1"/>
  <c r="W126" i="111" s="1"/>
  <c r="W125" i="111" a="1"/>
  <c r="W125" i="111" s="1"/>
  <c r="W124" i="111" a="1"/>
  <c r="W124" i="111" s="1"/>
  <c r="W123" i="111" a="1"/>
  <c r="W123" i="111" s="1"/>
  <c r="W122" i="111" a="1"/>
  <c r="W122" i="111" s="1"/>
  <c r="W121" i="111" a="1"/>
  <c r="W121" i="111" s="1"/>
  <c r="W120" i="111" a="1"/>
  <c r="W120" i="111" s="1"/>
  <c r="W119" i="111" a="1"/>
  <c r="W119" i="111" s="1"/>
  <c r="W118" i="111" a="1"/>
  <c r="W118" i="111" s="1"/>
  <c r="W117" i="111" a="1"/>
  <c r="W117" i="111" s="1"/>
  <c r="W116" i="111" a="1"/>
  <c r="W116" i="111" s="1"/>
  <c r="W115" i="111" a="1"/>
  <c r="W115" i="111" s="1"/>
  <c r="W114" i="111" a="1"/>
  <c r="W114" i="111" s="1"/>
  <c r="W113" i="111" a="1"/>
  <c r="W113" i="111" s="1"/>
  <c r="W112" i="111" a="1"/>
  <c r="W112" i="111" s="1"/>
  <c r="W111" i="111" a="1"/>
  <c r="W111" i="111" s="1"/>
  <c r="W110" i="111" a="1"/>
  <c r="W110" i="111" s="1"/>
  <c r="W109" i="111" a="1"/>
  <c r="W109" i="111" s="1"/>
  <c r="W108" i="111" a="1"/>
  <c r="W108" i="111" s="1"/>
  <c r="W107" i="111" a="1"/>
  <c r="W107" i="111" s="1"/>
  <c r="W106" i="111" a="1"/>
  <c r="W106" i="111" s="1"/>
  <c r="W105" i="111" a="1"/>
  <c r="W105" i="111" s="1"/>
  <c r="W104" i="111" a="1"/>
  <c r="W104" i="111" s="1"/>
  <c r="W103" i="111" a="1"/>
  <c r="W103" i="111" s="1"/>
  <c r="W102" i="111" a="1"/>
  <c r="W102" i="111" s="1"/>
  <c r="W101" i="111" a="1"/>
  <c r="W101" i="111" s="1"/>
  <c r="W100" i="111" a="1"/>
  <c r="W100" i="111" s="1"/>
  <c r="W99" i="111" a="1"/>
  <c r="W99" i="111" s="1"/>
  <c r="W98" i="111" a="1"/>
  <c r="W98" i="111" s="1"/>
  <c r="W97" i="111" a="1"/>
  <c r="W97" i="111" s="1"/>
  <c r="W96" i="111" a="1"/>
  <c r="W96" i="111" s="1"/>
  <c r="W95" i="111" a="1"/>
  <c r="W95" i="111" s="1"/>
  <c r="W94" i="111" a="1"/>
  <c r="W94" i="111" s="1"/>
  <c r="W93" i="111" a="1"/>
  <c r="W93" i="111" s="1"/>
  <c r="W57" i="111" a="1"/>
  <c r="W57" i="111" s="1"/>
  <c r="W54" i="111" a="1"/>
  <c r="W54" i="111" s="1"/>
  <c r="W51" i="111" a="1"/>
  <c r="W51" i="111" s="1"/>
  <c r="W45" i="111" a="1"/>
  <c r="W45" i="111" s="1"/>
  <c r="W36" i="111" a="1"/>
  <c r="W36" i="111" s="1"/>
  <c r="W34" i="111" a="1"/>
  <c r="W34" i="111" s="1"/>
  <c r="W32" i="111" a="1"/>
  <c r="W32" i="111" s="1"/>
  <c r="W31" i="111" a="1"/>
  <c r="W31" i="111" s="1"/>
  <c r="W29" i="111" a="1"/>
  <c r="W29" i="111" s="1"/>
  <c r="W24" i="111" a="1"/>
  <c r="W24" i="111" s="1"/>
  <c r="W18" i="111" a="1"/>
  <c r="W18" i="111" s="1"/>
  <c r="W12" i="111" a="1"/>
  <c r="W12" i="111" s="1"/>
  <c r="W11" i="111" a="1"/>
  <c r="W11" i="111" s="1"/>
  <c r="W10" i="111" a="1"/>
  <c r="W10" i="111" s="1"/>
  <c r="T266" i="108" a="1"/>
  <c r="T266" i="108" s="1"/>
  <c r="T265" i="108" a="1"/>
  <c r="T265" i="108" s="1"/>
  <c r="T264" i="108" a="1"/>
  <c r="T264" i="108" s="1"/>
  <c r="T263" i="108" a="1"/>
  <c r="T263" i="108" s="1"/>
  <c r="T262" i="108" a="1"/>
  <c r="T262" i="108" s="1"/>
  <c r="T261" i="108" a="1"/>
  <c r="T261" i="108" s="1"/>
  <c r="T255" i="108" a="1"/>
  <c r="T255" i="108" s="1"/>
  <c r="T254" i="108" a="1"/>
  <c r="T254" i="108" s="1"/>
  <c r="T253" i="108" a="1"/>
  <c r="T253" i="108" s="1"/>
  <c r="T252" i="108" a="1"/>
  <c r="T252" i="108" s="1"/>
  <c r="T242" i="108" a="1"/>
  <c r="T242" i="108" s="1"/>
  <c r="T241" i="108" a="1"/>
  <c r="T241" i="108" s="1"/>
  <c r="T236" i="108" a="1"/>
  <c r="T236" i="108" s="1"/>
  <c r="T235" i="108" a="1"/>
  <c r="T235" i="108" s="1"/>
  <c r="T234" i="108" a="1"/>
  <c r="T234" i="108" s="1"/>
  <c r="T233" i="108" a="1"/>
  <c r="T233" i="108" s="1"/>
  <c r="T232" i="108" a="1"/>
  <c r="T232" i="108" s="1"/>
  <c r="T231" i="108" a="1"/>
  <c r="T231" i="108" s="1"/>
  <c r="T230" i="108" a="1"/>
  <c r="T230" i="108" s="1"/>
  <c r="T229" i="108" a="1"/>
  <c r="T229" i="108" s="1"/>
  <c r="T228" i="108" a="1"/>
  <c r="T228" i="108" s="1"/>
  <c r="T227" i="108" a="1"/>
  <c r="T227" i="108" s="1"/>
  <c r="T226" i="108" a="1"/>
  <c r="T226" i="108" s="1"/>
  <c r="T225" i="108" a="1"/>
  <c r="T225" i="108" s="1"/>
  <c r="T224" i="108" a="1"/>
  <c r="T224" i="108" s="1"/>
  <c r="T223" i="108" a="1"/>
  <c r="T223" i="108" s="1"/>
  <c r="T222" i="108" a="1"/>
  <c r="T222" i="108" s="1"/>
  <c r="T221" i="108" a="1"/>
  <c r="T221" i="108" s="1"/>
  <c r="T220" i="108" a="1"/>
  <c r="T220" i="108" s="1"/>
  <c r="T219" i="108" a="1"/>
  <c r="T219" i="108" s="1"/>
  <c r="T218" i="108" a="1"/>
  <c r="T218" i="108" s="1"/>
  <c r="T217" i="108" a="1"/>
  <c r="T217" i="108" s="1"/>
  <c r="T216" i="108" a="1"/>
  <c r="T216" i="108" s="1"/>
  <c r="T215" i="108" a="1"/>
  <c r="T215" i="108" s="1"/>
  <c r="T214" i="108" a="1"/>
  <c r="T214" i="108" s="1"/>
  <c r="T213" i="108" a="1"/>
  <c r="T213" i="108" s="1"/>
  <c r="T212" i="108" a="1"/>
  <c r="T212" i="108" s="1"/>
  <c r="T211" i="108" a="1"/>
  <c r="T211" i="108" s="1"/>
  <c r="T210" i="108" a="1"/>
  <c r="T210" i="108" s="1"/>
  <c r="T209" i="108" a="1"/>
  <c r="T209" i="108" s="1"/>
  <c r="T208" i="108" a="1"/>
  <c r="T208" i="108" s="1"/>
  <c r="T114" i="108" a="1"/>
  <c r="T114" i="108" s="1"/>
  <c r="T113" i="108" a="1"/>
  <c r="T113" i="108" s="1"/>
  <c r="T112" i="108" a="1"/>
  <c r="T112" i="108" s="1"/>
  <c r="T111" i="108" a="1"/>
  <c r="T111" i="108" s="1"/>
  <c r="T110" i="108" a="1"/>
  <c r="T110" i="108" s="1"/>
  <c r="T109" i="108" a="1"/>
  <c r="T109" i="108" s="1"/>
  <c r="T108" i="108" a="1"/>
  <c r="T108" i="108" s="1"/>
  <c r="T107" i="108" a="1"/>
  <c r="T107" i="108" s="1"/>
  <c r="T106" i="108" a="1"/>
  <c r="T106" i="108" s="1"/>
  <c r="T105" i="108" a="1"/>
  <c r="T105" i="108" s="1"/>
  <c r="T104" i="108" a="1"/>
  <c r="T104" i="108" s="1"/>
  <c r="T102" i="108" a="1"/>
  <c r="T102" i="108" s="1"/>
  <c r="T101" i="108" a="1"/>
  <c r="T101" i="108" s="1"/>
  <c r="T100" i="108" a="1"/>
  <c r="T100" i="108" s="1"/>
  <c r="T99" i="108" a="1"/>
  <c r="T99" i="108" s="1"/>
  <c r="T98" i="108" a="1"/>
  <c r="T98" i="108" s="1"/>
  <c r="T97" i="108" a="1"/>
  <c r="T97" i="108" s="1"/>
  <c r="T96" i="108" a="1"/>
  <c r="T96" i="108" s="1"/>
  <c r="T95" i="108" a="1"/>
  <c r="T95" i="108" s="1"/>
  <c r="T94" i="108" a="1"/>
  <c r="T94" i="108" s="1"/>
  <c r="T93" i="108" a="1"/>
  <c r="T93" i="108" s="1"/>
  <c r="T92" i="108" a="1"/>
  <c r="T92" i="108" s="1"/>
  <c r="T91" i="108" a="1"/>
  <c r="T91" i="108" s="1"/>
  <c r="T90" i="108" a="1"/>
  <c r="T90" i="108" s="1"/>
  <c r="T89" i="108" a="1"/>
  <c r="T89" i="108" s="1"/>
  <c r="T88" i="108" a="1"/>
  <c r="T88" i="108" s="1"/>
  <c r="T87" i="108" a="1"/>
  <c r="T87" i="108" s="1"/>
  <c r="T86" i="108" a="1"/>
  <c r="T86" i="108" s="1"/>
  <c r="T85" i="108" a="1"/>
  <c r="T85" i="108" s="1"/>
  <c r="T84" i="108" a="1"/>
  <c r="T84" i="108" s="1"/>
  <c r="T83" i="108" a="1"/>
  <c r="T83" i="108" s="1"/>
  <c r="T80" i="108" a="1"/>
  <c r="T80" i="108" s="1"/>
  <c r="T79" i="108" a="1"/>
  <c r="T79" i="108" s="1"/>
  <c r="T78" i="108" a="1"/>
  <c r="T78" i="108" s="1"/>
  <c r="T77" i="108" a="1"/>
  <c r="T77" i="108" s="1"/>
  <c r="T76" i="108" a="1"/>
  <c r="T76" i="108" s="1"/>
  <c r="T75" i="108" a="1"/>
  <c r="T75" i="108" s="1"/>
  <c r="T74" i="108" a="1"/>
  <c r="T74" i="108" s="1"/>
  <c r="T73" i="108" a="1"/>
  <c r="T73" i="108" s="1"/>
  <c r="T72" i="108" a="1"/>
  <c r="T72" i="108" s="1"/>
  <c r="T71" i="108" a="1"/>
  <c r="T71" i="108" s="1"/>
  <c r="T70" i="108" a="1"/>
  <c r="T70" i="108" s="1"/>
  <c r="T69" i="108" a="1"/>
  <c r="T69" i="108" s="1"/>
  <c r="T68" i="108" a="1"/>
  <c r="T68" i="108" s="1"/>
  <c r="T67" i="108" a="1"/>
  <c r="T67" i="108" s="1"/>
  <c r="T66" i="108" a="1"/>
  <c r="T66" i="108" s="1"/>
  <c r="T65" i="108" a="1"/>
  <c r="T65" i="108" s="1"/>
  <c r="T64" i="108" a="1"/>
  <c r="T64" i="108" s="1"/>
  <c r="T63" i="108" a="1"/>
  <c r="T63" i="108" s="1"/>
  <c r="T62" i="108" a="1"/>
  <c r="T62" i="108" s="1"/>
  <c r="T61" i="108" a="1"/>
  <c r="T61" i="108" s="1"/>
  <c r="T59" i="108" a="1"/>
  <c r="T59" i="108" s="1"/>
  <c r="T57" i="108" a="1"/>
  <c r="T57" i="108" s="1"/>
  <c r="T56" i="108" a="1"/>
  <c r="T56" i="108" s="1"/>
  <c r="T55" i="108" a="1"/>
  <c r="T55" i="108" s="1"/>
  <c r="T54" i="108" a="1"/>
  <c r="T54" i="108" s="1"/>
  <c r="T52" i="108" a="1"/>
  <c r="T52" i="108" s="1"/>
  <c r="T51" i="108" a="1"/>
  <c r="T51" i="108" s="1"/>
  <c r="T50" i="108" a="1"/>
  <c r="T50" i="108" s="1"/>
  <c r="T49" i="108" a="1"/>
  <c r="T49" i="108" s="1"/>
  <c r="T48" i="108" a="1"/>
  <c r="T48" i="108" s="1"/>
  <c r="T47" i="108" a="1"/>
  <c r="T47" i="108" s="1"/>
  <c r="T46" i="108" a="1"/>
  <c r="T46" i="108" s="1"/>
  <c r="T44" i="108" a="1"/>
  <c r="T44" i="108" s="1"/>
  <c r="T43" i="108" a="1"/>
  <c r="T43" i="108" s="1"/>
  <c r="T42" i="108" a="1"/>
  <c r="T42" i="108" s="1"/>
  <c r="T41" i="108" a="1"/>
  <c r="T41" i="108" s="1"/>
  <c r="T40" i="108" a="1"/>
  <c r="T40" i="108" s="1"/>
  <c r="T39" i="108" a="1"/>
  <c r="T39" i="108" s="1"/>
  <c r="T38" i="108" a="1"/>
  <c r="T38" i="108" s="1"/>
  <c r="T37" i="108" a="1"/>
  <c r="T37" i="108" s="1"/>
  <c r="T36" i="108" a="1"/>
  <c r="T36" i="108" s="1"/>
  <c r="T35" i="108" a="1"/>
  <c r="T35" i="108" s="1"/>
  <c r="T34" i="108" a="1"/>
  <c r="T34" i="108" s="1"/>
  <c r="T33" i="108" a="1"/>
  <c r="T33" i="108" s="1"/>
  <c r="T32" i="108" a="1"/>
  <c r="T32" i="108" s="1"/>
  <c r="T31" i="108" a="1"/>
  <c r="T31" i="108" s="1"/>
  <c r="T30" i="108" a="1"/>
  <c r="T30" i="108" s="1"/>
  <c r="T28" i="108" a="1"/>
  <c r="T28" i="108" s="1"/>
  <c r="T27" i="108" a="1"/>
  <c r="T27" i="108" s="1"/>
  <c r="T26" i="108" a="1"/>
  <c r="T26" i="108" s="1"/>
  <c r="T25" i="108" a="1"/>
  <c r="T25" i="108" s="1"/>
  <c r="T19" i="108" a="1"/>
  <c r="T19" i="108" s="1"/>
  <c r="T18" i="108" a="1"/>
  <c r="T18" i="108" s="1"/>
  <c r="T17" i="108" a="1"/>
  <c r="T17" i="108" s="1"/>
  <c r="T16" i="108" a="1"/>
  <c r="T16" i="108" s="1"/>
  <c r="T15" i="108" a="1"/>
  <c r="T15" i="108" s="1"/>
  <c r="T14" i="108" a="1"/>
  <c r="T14" i="108" s="1"/>
  <c r="T13" i="108" a="1"/>
  <c r="T13" i="108" s="1"/>
  <c r="T12" i="108" a="1"/>
  <c r="T12" i="108" s="1"/>
  <c r="T11" i="108" a="1"/>
  <c r="T11" i="108" s="1"/>
  <c r="T10" i="108" a="1"/>
  <c r="T10" i="108" s="1"/>
  <c r="T60" i="108" a="1"/>
  <c r="T60" i="108" s="1"/>
  <c r="T58" i="108" a="1"/>
  <c r="T58" i="108" s="1"/>
  <c r="T53" i="108" a="1"/>
  <c r="T53" i="108" s="1"/>
  <c r="T45" i="108" a="1"/>
  <c r="T45" i="108" s="1"/>
  <c r="T214" i="107" a="1"/>
  <c r="T214" i="107" s="1"/>
  <c r="T213" i="107" a="1"/>
  <c r="T213" i="107" s="1"/>
  <c r="T212" i="107" a="1"/>
  <c r="T212" i="107" s="1"/>
  <c r="T211" i="107" a="1"/>
  <c r="T211" i="107" s="1"/>
  <c r="T210" i="107" a="1"/>
  <c r="T210" i="107" s="1"/>
  <c r="T209" i="107" a="1"/>
  <c r="T209" i="107" s="1"/>
  <c r="T208" i="107" a="1"/>
  <c r="T208" i="107" s="1"/>
  <c r="T207" i="107" a="1"/>
  <c r="T207" i="107" s="1"/>
  <c r="T206" i="107" a="1"/>
  <c r="T206" i="107" s="1"/>
  <c r="T205" i="107" a="1"/>
  <c r="T205" i="107" s="1"/>
  <c r="T204" i="107" a="1"/>
  <c r="T204" i="107" s="1"/>
  <c r="T203" i="107" a="1"/>
  <c r="T203" i="107" s="1"/>
  <c r="T202" i="107" a="1"/>
  <c r="T202" i="107" s="1"/>
  <c r="T201" i="107" a="1"/>
  <c r="T201" i="107" s="1"/>
  <c r="T200" i="107" a="1"/>
  <c r="T200" i="107" s="1"/>
  <c r="T199" i="107" a="1"/>
  <c r="T199" i="107" s="1"/>
  <c r="T198" i="107" a="1"/>
  <c r="T198" i="107" s="1"/>
  <c r="T197" i="107" a="1"/>
  <c r="T197" i="107" s="1"/>
  <c r="T196" i="107" a="1"/>
  <c r="T196" i="107" s="1"/>
  <c r="T195" i="107" a="1"/>
  <c r="T195" i="107" s="1"/>
  <c r="T194" i="107" a="1"/>
  <c r="T194" i="107" s="1"/>
  <c r="T193" i="107" a="1"/>
  <c r="T193" i="107" s="1"/>
  <c r="T192" i="107" a="1"/>
  <c r="T192" i="107" s="1"/>
  <c r="T191" i="107" a="1"/>
  <c r="T191" i="107" s="1"/>
  <c r="T190" i="107" a="1"/>
  <c r="T190" i="107" s="1"/>
  <c r="T187" i="107" a="1"/>
  <c r="T187" i="107" s="1"/>
  <c r="T186" i="107" a="1"/>
  <c r="T186" i="107" s="1"/>
  <c r="T185" i="107" a="1"/>
  <c r="T185" i="107" s="1"/>
  <c r="T184" i="107" a="1"/>
  <c r="T184" i="107" s="1"/>
  <c r="T183" i="107" a="1"/>
  <c r="T183" i="107" s="1"/>
  <c r="T182" i="107" a="1"/>
  <c r="T182" i="107" s="1"/>
  <c r="T181" i="107" a="1"/>
  <c r="T181" i="107" s="1"/>
  <c r="T180" i="107" a="1"/>
  <c r="T180" i="107" s="1"/>
  <c r="T179" i="107" a="1"/>
  <c r="T179" i="107" s="1"/>
  <c r="T177" i="107" a="1"/>
  <c r="T177" i="107" s="1"/>
  <c r="T176" i="107" a="1"/>
  <c r="T176" i="107" s="1"/>
  <c r="T175" i="107" a="1"/>
  <c r="T175" i="107" s="1"/>
  <c r="T174" i="107" a="1"/>
  <c r="T174" i="107" s="1"/>
  <c r="T107" i="107" a="1"/>
  <c r="T107" i="107" s="1"/>
  <c r="T106" i="107" a="1"/>
  <c r="T106" i="107" s="1"/>
  <c r="T105" i="107" a="1"/>
  <c r="T105" i="107" s="1"/>
  <c r="T104" i="107" a="1"/>
  <c r="T104" i="107" s="1"/>
  <c r="T103" i="107" a="1"/>
  <c r="T103" i="107" s="1"/>
  <c r="T102" i="107" a="1"/>
  <c r="T102" i="107" s="1"/>
  <c r="T101" i="107" a="1"/>
  <c r="T101" i="107" s="1"/>
  <c r="T100" i="107" a="1"/>
  <c r="T100" i="107" s="1"/>
  <c r="T99" i="107" a="1"/>
  <c r="T99" i="107" s="1"/>
  <c r="T98" i="107" a="1"/>
  <c r="T98" i="107" s="1"/>
  <c r="T97" i="107" a="1"/>
  <c r="T97" i="107" s="1"/>
  <c r="T96" i="107" a="1"/>
  <c r="T96" i="107" s="1"/>
  <c r="T95" i="107" a="1"/>
  <c r="T95" i="107" s="1"/>
  <c r="T94" i="107" a="1"/>
  <c r="T94" i="107" s="1"/>
  <c r="T93" i="107" a="1"/>
  <c r="T93" i="107" s="1"/>
  <c r="T92" i="107" a="1"/>
  <c r="T92" i="107" s="1"/>
  <c r="T91" i="107" a="1"/>
  <c r="T91" i="107" s="1"/>
  <c r="T90" i="107" a="1"/>
  <c r="T90" i="107" s="1"/>
  <c r="T89" i="107" a="1"/>
  <c r="T89" i="107" s="1"/>
  <c r="T88" i="107" a="1"/>
  <c r="T88" i="107" s="1"/>
  <c r="T87" i="107" a="1"/>
  <c r="T87" i="107" s="1"/>
  <c r="T86" i="107" a="1"/>
  <c r="T86" i="107" s="1"/>
  <c r="T85" i="107" a="1"/>
  <c r="T85" i="107" s="1"/>
  <c r="T84" i="107" a="1"/>
  <c r="T84" i="107" s="1"/>
  <c r="T83" i="107" a="1"/>
  <c r="T83" i="107" s="1"/>
  <c r="T82" i="107" a="1"/>
  <c r="T82" i="107" s="1"/>
  <c r="T81" i="107" a="1"/>
  <c r="T81" i="107" s="1"/>
  <c r="T80" i="107" a="1"/>
  <c r="T80" i="107" s="1"/>
  <c r="T79" i="107" a="1"/>
  <c r="T79" i="107" s="1"/>
  <c r="T78" i="107" a="1"/>
  <c r="T78" i="107" s="1"/>
  <c r="T75" i="107" a="1"/>
  <c r="T75" i="107" s="1"/>
  <c r="T69" i="107" a="1"/>
  <c r="T69" i="107" s="1"/>
  <c r="T68" i="107" a="1"/>
  <c r="T68" i="107" s="1"/>
  <c r="T67" i="107" a="1"/>
  <c r="T67" i="107" s="1"/>
  <c r="T66" i="107" a="1"/>
  <c r="T66" i="107" s="1"/>
  <c r="T65" i="107" a="1"/>
  <c r="T65" i="107" s="1"/>
  <c r="T64" i="107" a="1"/>
  <c r="T64" i="107" s="1"/>
  <c r="T63" i="107" a="1"/>
  <c r="T63" i="107" s="1"/>
  <c r="T62" i="107" a="1"/>
  <c r="T62" i="107" s="1"/>
  <c r="T61" i="107" a="1"/>
  <c r="T61" i="107" s="1"/>
  <c r="T59" i="107" a="1"/>
  <c r="T59" i="107" s="1"/>
  <c r="T58" i="107" a="1"/>
  <c r="T58" i="107" s="1"/>
  <c r="T56" i="107" a="1"/>
  <c r="T56" i="107" s="1"/>
  <c r="T55" i="107" a="1"/>
  <c r="T55" i="107" s="1"/>
  <c r="T54" i="107" a="1"/>
  <c r="T54" i="107" s="1"/>
  <c r="T53" i="107" a="1"/>
  <c r="T53" i="107" s="1"/>
  <c r="T52" i="107" a="1"/>
  <c r="T52" i="107" s="1"/>
  <c r="T51" i="107" a="1"/>
  <c r="T51" i="107" s="1"/>
  <c r="T50" i="107" a="1"/>
  <c r="T50" i="107" s="1"/>
  <c r="T49" i="107" a="1"/>
  <c r="T49" i="107" s="1"/>
  <c r="T48" i="107" a="1"/>
  <c r="T48" i="107" s="1"/>
  <c r="T47" i="107" a="1"/>
  <c r="T47" i="107" s="1"/>
  <c r="T46" i="107" a="1"/>
  <c r="T46" i="107" s="1"/>
  <c r="T45" i="107" a="1"/>
  <c r="T45" i="107" s="1"/>
  <c r="T44" i="107" a="1"/>
  <c r="T44" i="107" s="1"/>
  <c r="T43" i="107" a="1"/>
  <c r="T43" i="107" s="1"/>
  <c r="T42" i="107" a="1"/>
  <c r="T42" i="107" s="1"/>
  <c r="T41" i="107" a="1"/>
  <c r="T41" i="107" s="1"/>
  <c r="T40" i="107" a="1"/>
  <c r="T40" i="107" s="1"/>
  <c r="T39" i="107" a="1"/>
  <c r="T39" i="107" s="1"/>
  <c r="T38" i="107" a="1"/>
  <c r="T38" i="107" s="1"/>
  <c r="T37" i="107" a="1"/>
  <c r="T37" i="107" s="1"/>
  <c r="T36" i="107" a="1"/>
  <c r="T36" i="107" s="1"/>
  <c r="T35" i="107" a="1"/>
  <c r="T35" i="107" s="1"/>
  <c r="T34" i="107" a="1"/>
  <c r="T34" i="107" s="1"/>
  <c r="T33" i="107" a="1"/>
  <c r="T33" i="107" s="1"/>
  <c r="T32" i="107" a="1"/>
  <c r="T32" i="107" s="1"/>
  <c r="T31" i="107" a="1"/>
  <c r="T31" i="107" s="1"/>
  <c r="T30" i="107" a="1"/>
  <c r="T30" i="107" s="1"/>
  <c r="T29" i="107" a="1"/>
  <c r="T29" i="107" s="1"/>
  <c r="T28" i="107" a="1"/>
  <c r="T28" i="107" s="1"/>
  <c r="T27" i="107" a="1"/>
  <c r="T27" i="107" s="1"/>
  <c r="T26" i="107" a="1"/>
  <c r="T26" i="107" s="1"/>
  <c r="T25" i="107" a="1"/>
  <c r="T25" i="107" s="1"/>
  <c r="T19" i="107" a="1"/>
  <c r="T19" i="107" s="1"/>
  <c r="T18" i="107" a="1"/>
  <c r="T18" i="107" s="1"/>
  <c r="T17" i="107" a="1"/>
  <c r="T17" i="107" s="1"/>
  <c r="T16" i="107" a="1"/>
  <c r="T16" i="107" s="1"/>
  <c r="T15" i="107" a="1"/>
  <c r="T15" i="107" s="1"/>
  <c r="T14" i="107" a="1"/>
  <c r="T14" i="107" s="1"/>
  <c r="T13" i="107" a="1"/>
  <c r="T13" i="107" s="1"/>
  <c r="T11" i="107" a="1"/>
  <c r="T11" i="107" s="1"/>
  <c r="T10" i="107" a="1"/>
  <c r="T10" i="107" s="1"/>
  <c r="P204" i="111"/>
  <c r="P212" i="111"/>
  <c r="P177" i="111"/>
  <c r="P169" i="111"/>
  <c r="P163" i="111"/>
  <c r="P156" i="111"/>
  <c r="P131" i="111"/>
  <c r="P39" i="111"/>
  <c r="O268" i="108"/>
  <c r="O258" i="108"/>
  <c r="O249" i="108"/>
  <c r="O244" i="108"/>
  <c r="O238" i="108"/>
  <c r="O22" i="108"/>
  <c r="O205" i="108"/>
  <c r="AQ99" i="108"/>
  <c r="AA99" i="108"/>
  <c r="AC99" i="108"/>
  <c r="AE99" i="108"/>
  <c r="AG99" i="108"/>
  <c r="AI99" i="108"/>
  <c r="AK99" i="108"/>
  <c r="AM99" i="108"/>
  <c r="AO99" i="108"/>
  <c r="AA98" i="108"/>
  <c r="AC98" i="108"/>
  <c r="AE98" i="108"/>
  <c r="AG98" i="108"/>
  <c r="AI98" i="108"/>
  <c r="AK98" i="108"/>
  <c r="AM98" i="108"/>
  <c r="AO98" i="108"/>
  <c r="AQ98" i="108"/>
  <c r="S9" i="107" a="1"/>
  <c r="S9" i="107" s="1"/>
  <c r="N222" i="107"/>
  <c r="M222" i="107"/>
  <c r="N228" i="107"/>
  <c r="M228" i="107"/>
  <c r="N233" i="107"/>
  <c r="M233" i="107"/>
  <c r="N239" i="107"/>
  <c r="M239" i="107"/>
  <c r="AQ114" i="108"/>
  <c r="AA114" i="108"/>
  <c r="AC114" i="108"/>
  <c r="AE114" i="108"/>
  <c r="AG114" i="108"/>
  <c r="AI114" i="108"/>
  <c r="AK114" i="108"/>
  <c r="AM114" i="108"/>
  <c r="AO114" i="108"/>
  <c r="AQ113" i="108"/>
  <c r="AA113" i="108"/>
  <c r="AC113" i="108"/>
  <c r="AE113" i="108"/>
  <c r="AG113" i="108"/>
  <c r="AI113" i="108"/>
  <c r="AK113" i="108"/>
  <c r="AM113" i="108"/>
  <c r="AO113" i="108"/>
  <c r="AQ112" i="108"/>
  <c r="AA112" i="108"/>
  <c r="AC112" i="108"/>
  <c r="AE112" i="108"/>
  <c r="AG112" i="108"/>
  <c r="AI112" i="108"/>
  <c r="AK112" i="108"/>
  <c r="AM112" i="108"/>
  <c r="AO112" i="108"/>
  <c r="AQ111" i="108"/>
  <c r="AA111" i="108"/>
  <c r="AC111" i="108"/>
  <c r="AE111" i="108"/>
  <c r="AG111" i="108"/>
  <c r="AI111" i="108"/>
  <c r="AK111" i="108"/>
  <c r="AM111" i="108"/>
  <c r="AO111" i="108"/>
  <c r="AQ110" i="108"/>
  <c r="AA110" i="108"/>
  <c r="AC110" i="108"/>
  <c r="AE110" i="108"/>
  <c r="AG110" i="108"/>
  <c r="AI110" i="108"/>
  <c r="AK110" i="108"/>
  <c r="AM110" i="108"/>
  <c r="AO110" i="108"/>
  <c r="AQ109" i="108"/>
  <c r="AA109" i="108"/>
  <c r="AC109" i="108"/>
  <c r="AE109" i="108"/>
  <c r="AG109" i="108"/>
  <c r="AI109" i="108"/>
  <c r="AK109" i="108"/>
  <c r="AM109" i="108"/>
  <c r="AO109" i="108"/>
  <c r="AO80" i="108"/>
  <c r="AM80" i="108"/>
  <c r="AK80" i="108"/>
  <c r="AI80" i="108"/>
  <c r="AG80" i="108"/>
  <c r="AE80" i="108"/>
  <c r="AC80" i="108"/>
  <c r="AA80" i="108"/>
  <c r="AO79" i="108"/>
  <c r="AM79" i="108"/>
  <c r="AK79" i="108"/>
  <c r="AI79" i="108"/>
  <c r="AG79" i="108"/>
  <c r="AE79" i="108"/>
  <c r="AC79" i="108"/>
  <c r="AA79" i="108"/>
  <c r="M205" i="108"/>
  <c r="M238" i="108"/>
  <c r="AB74" i="107"/>
  <c r="AD74" i="107"/>
  <c r="AF74" i="107"/>
  <c r="AH74" i="107"/>
  <c r="AJ74" i="107"/>
  <c r="AL74" i="107"/>
  <c r="AN74" i="107"/>
  <c r="AP74" i="107"/>
  <c r="AR74" i="107"/>
  <c r="AT74" i="107"/>
  <c r="AV74" i="107"/>
  <c r="AX74" i="107"/>
  <c r="AZ74" i="107"/>
  <c r="AB73" i="107"/>
  <c r="AD73" i="107"/>
  <c r="AF73" i="107"/>
  <c r="AH73" i="107"/>
  <c r="AJ73" i="107"/>
  <c r="AL73" i="107"/>
  <c r="AN73" i="107"/>
  <c r="AP73" i="107"/>
  <c r="AR73" i="107"/>
  <c r="AT73" i="107"/>
  <c r="AV73" i="107"/>
  <c r="AX73" i="107"/>
  <c r="AZ73" i="107"/>
  <c r="AO78" i="108"/>
  <c r="AM78" i="108"/>
  <c r="AK78" i="108"/>
  <c r="AI78" i="108"/>
  <c r="AG78" i="108"/>
  <c r="AE78" i="108"/>
  <c r="AC78" i="108"/>
  <c r="AA78" i="108"/>
  <c r="AO97" i="108"/>
  <c r="AO100" i="108"/>
  <c r="AO101" i="108"/>
  <c r="AO102" i="108"/>
  <c r="AO104" i="108"/>
  <c r="AO105" i="108"/>
  <c r="AO106" i="108"/>
  <c r="AO107" i="108"/>
  <c r="AO108" i="108"/>
  <c r="AO95" i="108"/>
  <c r="AO96" i="108"/>
  <c r="AO77" i="108"/>
  <c r="AO83" i="108"/>
  <c r="AO84" i="108"/>
  <c r="AO85" i="108"/>
  <c r="AO86" i="108"/>
  <c r="AO87" i="108"/>
  <c r="AO88" i="108"/>
  <c r="AO89" i="108"/>
  <c r="AO90" i="108"/>
  <c r="AO91" i="108"/>
  <c r="AO92" i="108"/>
  <c r="AO93" i="108"/>
  <c r="AO94" i="108"/>
  <c r="AO69" i="108"/>
  <c r="AO70" i="108"/>
  <c r="AO71" i="108"/>
  <c r="AO72" i="108"/>
  <c r="AO73" i="108"/>
  <c r="AO74" i="108"/>
  <c r="AO75" i="108"/>
  <c r="AO76" i="108"/>
  <c r="AO58" i="108"/>
  <c r="AO59" i="108"/>
  <c r="AO60" i="108"/>
  <c r="AO61" i="108"/>
  <c r="AO62" i="108"/>
  <c r="AO63" i="108"/>
  <c r="AO64" i="108"/>
  <c r="AO65" i="108"/>
  <c r="AO66" i="108"/>
  <c r="AO67" i="108"/>
  <c r="AO68" i="108"/>
  <c r="AO53" i="108"/>
  <c r="AO54" i="108"/>
  <c r="AO55" i="108"/>
  <c r="AO56" i="108"/>
  <c r="AO57" i="108"/>
  <c r="AO45" i="108"/>
  <c r="AO46" i="108"/>
  <c r="AO47" i="108"/>
  <c r="AO48" i="108"/>
  <c r="AO49" i="108"/>
  <c r="AO50" i="108"/>
  <c r="AO51" i="108"/>
  <c r="AO52" i="108"/>
  <c r="AO26" i="108"/>
  <c r="AO27" i="108"/>
  <c r="AO28" i="108"/>
  <c r="AO29" i="108"/>
  <c r="AO30" i="108"/>
  <c r="AO31" i="108"/>
  <c r="AO32" i="108"/>
  <c r="AO33" i="108"/>
  <c r="AO34" i="108"/>
  <c r="AO35" i="108"/>
  <c r="AO36" i="108"/>
  <c r="AO37" i="108"/>
  <c r="AO38" i="108"/>
  <c r="AO39" i="108"/>
  <c r="AO40" i="108"/>
  <c r="AO41" i="108"/>
  <c r="AO42" i="108"/>
  <c r="AO43" i="108"/>
  <c r="AO44" i="108"/>
  <c r="AO25" i="108"/>
  <c r="AM25" i="108"/>
  <c r="AA94" i="108"/>
  <c r="AC94" i="108"/>
  <c r="AE94" i="108"/>
  <c r="AG94" i="108"/>
  <c r="AI94" i="108"/>
  <c r="AK94" i="108"/>
  <c r="AM94" i="108"/>
  <c r="AA92" i="108"/>
  <c r="AC92" i="108"/>
  <c r="AE92" i="108"/>
  <c r="AG92" i="108"/>
  <c r="AI92" i="108"/>
  <c r="AK92" i="108"/>
  <c r="AM92" i="108"/>
  <c r="AQ108" i="108"/>
  <c r="AM108" i="108"/>
  <c r="AK108" i="108"/>
  <c r="AI108" i="108"/>
  <c r="AG108" i="108"/>
  <c r="AE108" i="108"/>
  <c r="AC108" i="108"/>
  <c r="AA108" i="108"/>
  <c r="AQ107" i="108"/>
  <c r="AM107" i="108"/>
  <c r="AK107" i="108"/>
  <c r="AI107" i="108"/>
  <c r="AG107" i="108"/>
  <c r="AE107" i="108"/>
  <c r="AC107" i="108"/>
  <c r="AA107" i="108"/>
  <c r="AQ106" i="108"/>
  <c r="AM106" i="108"/>
  <c r="AK106" i="108"/>
  <c r="AI106" i="108"/>
  <c r="AG106" i="108"/>
  <c r="AE106" i="108"/>
  <c r="AC106" i="108"/>
  <c r="AA106" i="108"/>
  <c r="AQ105" i="108"/>
  <c r="AM105" i="108"/>
  <c r="AK105" i="108"/>
  <c r="AI105" i="108"/>
  <c r="AG105" i="108"/>
  <c r="AE105" i="108"/>
  <c r="AC105" i="108"/>
  <c r="AA105" i="108"/>
  <c r="AQ104" i="108"/>
  <c r="AM104" i="108"/>
  <c r="AK104" i="108"/>
  <c r="AI104" i="108"/>
  <c r="AG104" i="108"/>
  <c r="AE104" i="108"/>
  <c r="AC104" i="108"/>
  <c r="AA104" i="108"/>
  <c r="AQ101" i="108"/>
  <c r="AA101" i="108"/>
  <c r="AC101" i="108"/>
  <c r="AE101" i="108"/>
  <c r="AG101" i="108"/>
  <c r="AI101" i="108"/>
  <c r="AK101" i="108"/>
  <c r="AM101" i="108"/>
  <c r="L205" i="108"/>
  <c r="M22" i="108"/>
  <c r="N205" i="108"/>
  <c r="A18" i="109"/>
  <c r="W18" i="109" s="1" a="1"/>
  <c r="W18" i="109" s="1"/>
  <c r="E18" i="109"/>
  <c r="A19" i="109"/>
  <c r="W19" i="109" s="1" a="1"/>
  <c r="W19" i="109" s="1"/>
  <c r="E19" i="109"/>
  <c r="A19" i="111"/>
  <c r="W19" i="111" s="1" a="1"/>
  <c r="W19" i="111" s="1"/>
  <c r="E19" i="111"/>
  <c r="AC18" i="108"/>
  <c r="AE18" i="108"/>
  <c r="AG18" i="108"/>
  <c r="AI18" i="108"/>
  <c r="AK18" i="108"/>
  <c r="AM18" i="108"/>
  <c r="AO18" i="108"/>
  <c r="AC19" i="108"/>
  <c r="AE19" i="108"/>
  <c r="AG19" i="108"/>
  <c r="AI19" i="108"/>
  <c r="AK19" i="108"/>
  <c r="AM19" i="108"/>
  <c r="AO19" i="108"/>
  <c r="AB18" i="107"/>
  <c r="AD18" i="107"/>
  <c r="AF18" i="107"/>
  <c r="AH18" i="107"/>
  <c r="AJ18" i="107"/>
  <c r="AL18" i="107"/>
  <c r="AN18" i="107"/>
  <c r="AP18" i="107"/>
  <c r="AR18" i="107"/>
  <c r="AT18" i="107"/>
  <c r="AV18" i="107"/>
  <c r="AX18" i="107"/>
  <c r="AZ18" i="107"/>
  <c r="AB19" i="107"/>
  <c r="AD19" i="107"/>
  <c r="AF19" i="107"/>
  <c r="AH19" i="107"/>
  <c r="AJ19" i="107"/>
  <c r="AL19" i="107"/>
  <c r="AN19" i="107"/>
  <c r="AP19" i="107"/>
  <c r="AR19" i="107"/>
  <c r="AT19" i="107"/>
  <c r="AV19" i="107"/>
  <c r="AX19" i="107"/>
  <c r="AZ19" i="107"/>
  <c r="A17" i="109"/>
  <c r="W17" i="109" s="1" a="1"/>
  <c r="W17" i="109" s="1"/>
  <c r="E17" i="109"/>
  <c r="A17" i="111"/>
  <c r="W17" i="111" s="1" a="1"/>
  <c r="W17" i="111" s="1"/>
  <c r="E17" i="111"/>
  <c r="AC17" i="108"/>
  <c r="AE17" i="108"/>
  <c r="AG17" i="108"/>
  <c r="AI17" i="108"/>
  <c r="AK17" i="108"/>
  <c r="AM17" i="108"/>
  <c r="AO17" i="108"/>
  <c r="AB17" i="107"/>
  <c r="AD17" i="107"/>
  <c r="AF17" i="107"/>
  <c r="AH17" i="107"/>
  <c r="AJ17" i="107"/>
  <c r="AL17" i="107"/>
  <c r="AN17" i="107"/>
  <c r="AP17" i="107"/>
  <c r="AR17" i="107"/>
  <c r="AT17" i="107"/>
  <c r="AV17" i="107"/>
  <c r="AX17" i="107"/>
  <c r="AZ17" i="107"/>
  <c r="K205" i="108"/>
  <c r="J205" i="108"/>
  <c r="I205" i="108"/>
  <c r="H205" i="108"/>
  <c r="G205" i="108"/>
  <c r="F205" i="108"/>
  <c r="O127" i="109"/>
  <c r="N127" i="109"/>
  <c r="M127" i="109"/>
  <c r="L127" i="109"/>
  <c r="K127" i="109"/>
  <c r="J127" i="109"/>
  <c r="I127" i="109"/>
  <c r="G127" i="109"/>
  <c r="AQ102" i="108"/>
  <c r="AA102" i="108"/>
  <c r="AC102" i="108"/>
  <c r="AE102" i="108"/>
  <c r="AG102" i="108"/>
  <c r="AI102" i="108"/>
  <c r="AK102" i="108"/>
  <c r="AM102" i="108"/>
  <c r="AQ100" i="108"/>
  <c r="AA100" i="108"/>
  <c r="AC100" i="108"/>
  <c r="AE100" i="108"/>
  <c r="AG100" i="108"/>
  <c r="AI100" i="108"/>
  <c r="AK100" i="108"/>
  <c r="AM100" i="108"/>
  <c r="M164" i="109"/>
  <c r="N164" i="109"/>
  <c r="O164" i="109"/>
  <c r="Q164" i="109"/>
  <c r="S164" i="109"/>
  <c r="N131" i="111"/>
  <c r="F175" i="107"/>
  <c r="H175" i="107"/>
  <c r="I175" i="107"/>
  <c r="J175" i="107"/>
  <c r="K175" i="107"/>
  <c r="L175" i="107"/>
  <c r="F239" i="107"/>
  <c r="H239" i="107"/>
  <c r="I239" i="107"/>
  <c r="J239" i="107"/>
  <c r="K239" i="107"/>
  <c r="L239" i="107"/>
  <c r="F233" i="107"/>
  <c r="H233" i="107"/>
  <c r="I233" i="107"/>
  <c r="J233" i="107"/>
  <c r="K233" i="107"/>
  <c r="L233" i="107"/>
  <c r="F228" i="107"/>
  <c r="H228" i="107"/>
  <c r="I228" i="107"/>
  <c r="J228" i="107"/>
  <c r="K228" i="107"/>
  <c r="L228" i="107"/>
  <c r="H222" i="107"/>
  <c r="I222" i="107"/>
  <c r="J222" i="107"/>
  <c r="K222" i="107"/>
  <c r="L222" i="107"/>
  <c r="F222" i="107"/>
  <c r="H216" i="107"/>
  <c r="I216" i="107"/>
  <c r="J216" i="107"/>
  <c r="K216" i="107"/>
  <c r="L216" i="107"/>
  <c r="M175" i="107"/>
  <c r="N175" i="107"/>
  <c r="P175" i="107"/>
  <c r="F55" i="107"/>
  <c r="H55" i="107"/>
  <c r="I55" i="107"/>
  <c r="J55" i="107"/>
  <c r="K55" i="107"/>
  <c r="L55" i="107"/>
  <c r="M55" i="107"/>
  <c r="N55" i="107"/>
  <c r="F216" i="107"/>
  <c r="E26" i="109"/>
  <c r="E121" i="109"/>
  <c r="S127" i="109"/>
  <c r="Q127" i="109"/>
  <c r="AG57" i="108"/>
  <c r="AE57" i="108"/>
  <c r="AG87" i="108"/>
  <c r="AG88" i="108"/>
  <c r="AG90" i="108"/>
  <c r="AG96" i="108"/>
  <c r="AG97" i="108"/>
  <c r="AG70" i="108"/>
  <c r="AG71" i="108"/>
  <c r="AG73" i="108"/>
  <c r="AG74" i="108"/>
  <c r="AG75" i="108"/>
  <c r="AG77" i="108"/>
  <c r="AG83" i="108"/>
  <c r="AG85" i="108"/>
  <c r="AG59" i="108"/>
  <c r="AG61" i="108"/>
  <c r="AG62" i="108"/>
  <c r="AG63" i="108"/>
  <c r="AG64" i="108"/>
  <c r="AG65" i="108"/>
  <c r="AG67" i="108"/>
  <c r="AG68" i="108"/>
  <c r="AG55" i="108"/>
  <c r="AG56" i="108"/>
  <c r="AG54" i="108"/>
  <c r="AG47" i="108"/>
  <c r="AG48" i="108"/>
  <c r="AG49" i="108"/>
  <c r="AG50" i="108"/>
  <c r="AG51" i="108"/>
  <c r="AG52" i="108"/>
  <c r="AG46" i="108"/>
  <c r="AG32" i="108"/>
  <c r="AG33" i="108"/>
  <c r="AG34" i="108"/>
  <c r="AG35" i="108"/>
  <c r="AG36" i="108"/>
  <c r="AG37" i="108"/>
  <c r="AG38" i="108"/>
  <c r="AG39" i="108"/>
  <c r="AG40" i="108"/>
  <c r="AG41" i="108"/>
  <c r="AG42" i="108"/>
  <c r="AG43" i="108"/>
  <c r="AG44" i="108"/>
  <c r="AG26" i="108"/>
  <c r="AG27" i="108"/>
  <c r="AG28" i="108"/>
  <c r="AG29" i="108"/>
  <c r="AG30" i="108"/>
  <c r="AG31" i="108"/>
  <c r="AG11" i="108"/>
  <c r="AG12" i="108"/>
  <c r="AG13" i="108"/>
  <c r="AG14" i="108"/>
  <c r="AG15" i="108"/>
  <c r="AG16" i="108"/>
  <c r="AE26" i="108"/>
  <c r="AG25" i="108"/>
  <c r="AC41" i="108"/>
  <c r="AC42" i="108"/>
  <c r="AC43" i="108"/>
  <c r="AC44" i="108"/>
  <c r="AE41" i="108"/>
  <c r="AE42" i="108"/>
  <c r="AE43" i="108"/>
  <c r="AE44" i="108"/>
  <c r="AO271" i="108" l="1"/>
  <c r="O270" i="108"/>
  <c r="H242" i="107"/>
  <c r="AG271" i="108"/>
  <c r="L242" i="107"/>
  <c r="K242" i="107"/>
  <c r="J242" i="107"/>
  <c r="I242" i="107"/>
  <c r="F242" i="107"/>
  <c r="BC173" i="107"/>
  <c r="BA173" i="107"/>
  <c r="AW173" i="107"/>
  <c r="AU173" i="107"/>
  <c r="AS173" i="107"/>
  <c r="AQ173" i="107"/>
  <c r="AO173" i="107"/>
  <c r="AM173" i="107"/>
  <c r="AK173" i="107"/>
  <c r="AI173" i="107"/>
  <c r="AG173" i="107"/>
  <c r="AE173" i="107"/>
  <c r="BC172" i="107"/>
  <c r="BA172" i="107"/>
  <c r="AW172" i="107"/>
  <c r="AU172" i="107"/>
  <c r="AS172" i="107"/>
  <c r="AQ172" i="107"/>
  <c r="AO172" i="107"/>
  <c r="AM172" i="107"/>
  <c r="AK172" i="107"/>
  <c r="AI172" i="107"/>
  <c r="AG172" i="107"/>
  <c r="AE172" i="107"/>
  <c r="BC171" i="107"/>
  <c r="BA171" i="107"/>
  <c r="AW171" i="107"/>
  <c r="AU171" i="107"/>
  <c r="AS171" i="107"/>
  <c r="AQ171" i="107"/>
  <c r="AO171" i="107"/>
  <c r="AM171" i="107"/>
  <c r="AK171" i="107"/>
  <c r="AI171" i="107"/>
  <c r="AG171" i="107"/>
  <c r="AE171" i="107"/>
  <c r="BC170" i="107"/>
  <c r="BA170" i="107"/>
  <c r="AW170" i="107"/>
  <c r="AU170" i="107"/>
  <c r="AS170" i="107"/>
  <c r="AQ170" i="107"/>
  <c r="AO170" i="107"/>
  <c r="AM170" i="107"/>
  <c r="AK170" i="107"/>
  <c r="AI170" i="107"/>
  <c r="AG170" i="107"/>
  <c r="AE170" i="107"/>
  <c r="BC169" i="107"/>
  <c r="BA169" i="107"/>
  <c r="AW169" i="107"/>
  <c r="AU169" i="107"/>
  <c r="AS169" i="107"/>
  <c r="AQ169" i="107"/>
  <c r="AO169" i="107"/>
  <c r="AM169" i="107"/>
  <c r="AK169" i="107"/>
  <c r="AI169" i="107"/>
  <c r="AG169" i="107"/>
  <c r="AE169" i="107"/>
  <c r="BC168" i="107"/>
  <c r="BA168" i="107"/>
  <c r="AW168" i="107"/>
  <c r="AU168" i="107"/>
  <c r="AS168" i="107"/>
  <c r="AQ168" i="107"/>
  <c r="AO168" i="107"/>
  <c r="AM168" i="107"/>
  <c r="AK168" i="107"/>
  <c r="AI168" i="107"/>
  <c r="AG168" i="107"/>
  <c r="AE168" i="107"/>
  <c r="BC167" i="107"/>
  <c r="BA167" i="107"/>
  <c r="AW167" i="107"/>
  <c r="AU167" i="107"/>
  <c r="AS167" i="107"/>
  <c r="AQ167" i="107"/>
  <c r="AO167" i="107"/>
  <c r="AM167" i="107"/>
  <c r="AK167" i="107"/>
  <c r="AI167" i="107"/>
  <c r="AG167" i="107"/>
  <c r="AE167" i="107"/>
  <c r="BC166" i="107"/>
  <c r="BC165" i="107"/>
  <c r="BA165" i="107"/>
  <c r="AW165" i="107"/>
  <c r="AU165" i="107"/>
  <c r="AS165" i="107"/>
  <c r="AQ165" i="107"/>
  <c r="AO165" i="107"/>
  <c r="AM165" i="107"/>
  <c r="AK165" i="107"/>
  <c r="AI165" i="107"/>
  <c r="AG165" i="107"/>
  <c r="AE165" i="107"/>
  <c r="BC164" i="107"/>
  <c r="BA164" i="107"/>
  <c r="AW164" i="107"/>
  <c r="AU164" i="107"/>
  <c r="AS164" i="107"/>
  <c r="AQ164" i="107"/>
  <c r="AO164" i="107"/>
  <c r="AM164" i="107"/>
  <c r="AK164" i="107"/>
  <c r="AI164" i="107"/>
  <c r="AG164" i="107"/>
  <c r="AE164" i="107"/>
  <c r="BC162" i="107"/>
  <c r="BA162" i="107"/>
  <c r="AW162" i="107"/>
  <c r="AU162" i="107"/>
  <c r="AS162" i="107"/>
  <c r="AQ162" i="107"/>
  <c r="AO162" i="107"/>
  <c r="AM162" i="107"/>
  <c r="AK162" i="107"/>
  <c r="AI162" i="107"/>
  <c r="AG162" i="107"/>
  <c r="AE162" i="107"/>
  <c r="BC161" i="107"/>
  <c r="BA161" i="107"/>
  <c r="AW161" i="107"/>
  <c r="AU161" i="107"/>
  <c r="AS161" i="107"/>
  <c r="AQ161" i="107"/>
  <c r="AO161" i="107"/>
  <c r="AM161" i="107"/>
  <c r="AK161" i="107"/>
  <c r="AI161" i="107"/>
  <c r="AG161" i="107"/>
  <c r="AE161" i="107"/>
  <c r="BC160" i="107"/>
  <c r="BA160" i="107"/>
  <c r="AW160" i="107"/>
  <c r="AU160" i="107"/>
  <c r="AS160" i="107"/>
  <c r="AQ160" i="107"/>
  <c r="AO160" i="107"/>
  <c r="AM160" i="107"/>
  <c r="AK160" i="107"/>
  <c r="AI160" i="107"/>
  <c r="AG160" i="107"/>
  <c r="AE160" i="107"/>
  <c r="BC159" i="107"/>
  <c r="BA159" i="107"/>
  <c r="AW159" i="107"/>
  <c r="AU159" i="107"/>
  <c r="AS159" i="107"/>
  <c r="AQ159" i="107"/>
  <c r="AO159" i="107"/>
  <c r="AM159" i="107"/>
  <c r="AK159" i="107"/>
  <c r="AI159" i="107"/>
  <c r="AG159" i="107"/>
  <c r="AE159" i="107"/>
  <c r="BC158" i="107"/>
  <c r="BA158" i="107"/>
  <c r="AW158" i="107"/>
  <c r="AU158" i="107"/>
  <c r="AS158" i="107"/>
  <c r="AQ158" i="107"/>
  <c r="AO158" i="107"/>
  <c r="AM158" i="107"/>
  <c r="AK158" i="107"/>
  <c r="AI158" i="107"/>
  <c r="AG158" i="107"/>
  <c r="AE158" i="107"/>
  <c r="BC157" i="107"/>
  <c r="BA157" i="107"/>
  <c r="AW157" i="107"/>
  <c r="AU157" i="107"/>
  <c r="AS157" i="107"/>
  <c r="AQ157" i="107"/>
  <c r="AO157" i="107"/>
  <c r="AM157" i="107"/>
  <c r="AK157" i="107"/>
  <c r="AI157" i="107"/>
  <c r="AG157" i="107"/>
  <c r="AE157" i="107"/>
  <c r="BC156" i="107"/>
  <c r="BA156" i="107"/>
  <c r="AW156" i="107"/>
  <c r="AU156" i="107"/>
  <c r="AS156" i="107"/>
  <c r="AQ156" i="107"/>
  <c r="AO156" i="107"/>
  <c r="AM156" i="107"/>
  <c r="AK156" i="107"/>
  <c r="AI156" i="107"/>
  <c r="AG156" i="107"/>
  <c r="AE156" i="107"/>
  <c r="BC155" i="107"/>
  <c r="BA155" i="107"/>
  <c r="AW155" i="107"/>
  <c r="AU155" i="107"/>
  <c r="AS155" i="107"/>
  <c r="AQ155" i="107"/>
  <c r="AO155" i="107"/>
  <c r="AM155" i="107"/>
  <c r="AK155" i="107"/>
  <c r="AI155" i="107"/>
  <c r="AG155" i="107"/>
  <c r="AE155" i="107"/>
  <c r="BC154" i="107"/>
  <c r="BA154" i="107"/>
  <c r="AW154" i="107"/>
  <c r="AU154" i="107"/>
  <c r="AS154" i="107"/>
  <c r="AQ154" i="107"/>
  <c r="AO154" i="107"/>
  <c r="AM154" i="107"/>
  <c r="AK154" i="107"/>
  <c r="AI154" i="107"/>
  <c r="AG154" i="107"/>
  <c r="AE154" i="107"/>
  <c r="BC153" i="107"/>
  <c r="BA153" i="107"/>
  <c r="AW153" i="107"/>
  <c r="AU153" i="107"/>
  <c r="AS153" i="107"/>
  <c r="AQ153" i="107"/>
  <c r="AO153" i="107"/>
  <c r="AM153" i="107"/>
  <c r="AK153" i="107"/>
  <c r="AI153" i="107"/>
  <c r="AG153" i="107"/>
  <c r="AE153" i="107"/>
  <c r="BC152" i="107"/>
  <c r="BA152" i="107"/>
  <c r="AW152" i="107"/>
  <c r="AU152" i="107"/>
  <c r="AS152" i="107"/>
  <c r="AQ152" i="107"/>
  <c r="AO152" i="107"/>
  <c r="AM152" i="107"/>
  <c r="AK152" i="107"/>
  <c r="AI152" i="107"/>
  <c r="AG152" i="107"/>
  <c r="AE152" i="107"/>
  <c r="BC151" i="107"/>
  <c r="BC150" i="107"/>
  <c r="BA150" i="107"/>
  <c r="AW150" i="107"/>
  <c r="AU150" i="107"/>
  <c r="AS150" i="107"/>
  <c r="AQ150" i="107"/>
  <c r="AO150" i="107"/>
  <c r="AM150" i="107"/>
  <c r="AK150" i="107"/>
  <c r="AI150" i="107"/>
  <c r="AG150" i="107"/>
  <c r="AE150" i="107"/>
  <c r="BC149" i="107"/>
  <c r="BA149" i="107"/>
  <c r="AW149" i="107"/>
  <c r="AU149" i="107"/>
  <c r="AS149" i="107"/>
  <c r="AQ149" i="107"/>
  <c r="AO149" i="107"/>
  <c r="AM149" i="107"/>
  <c r="AK149" i="107"/>
  <c r="AI149" i="107"/>
  <c r="AG149" i="107"/>
  <c r="AE149" i="107"/>
  <c r="BC148" i="107"/>
  <c r="BA148" i="107"/>
  <c r="AW148" i="107"/>
  <c r="AU148" i="107"/>
  <c r="AS148" i="107"/>
  <c r="AQ148" i="107"/>
  <c r="AO148" i="107"/>
  <c r="AM148" i="107"/>
  <c r="AK148" i="107"/>
  <c r="AI148" i="107"/>
  <c r="AG148" i="107"/>
  <c r="AE148" i="107"/>
  <c r="BC147" i="107"/>
  <c r="BA147" i="107"/>
  <c r="AW147" i="107"/>
  <c r="AU147" i="107"/>
  <c r="AS147" i="107"/>
  <c r="AQ147" i="107"/>
  <c r="AO147" i="107"/>
  <c r="AM147" i="107"/>
  <c r="AK147" i="107"/>
  <c r="AI147" i="107"/>
  <c r="AG147" i="107"/>
  <c r="AE147" i="107"/>
  <c r="BC146" i="107"/>
  <c r="BA146" i="107"/>
  <c r="AW146" i="107"/>
  <c r="AU146" i="107"/>
  <c r="AS146" i="107"/>
  <c r="AQ146" i="107"/>
  <c r="AO146" i="107"/>
  <c r="AM146" i="107"/>
  <c r="AK146" i="107"/>
  <c r="AI146" i="107"/>
  <c r="AG146" i="107"/>
  <c r="AE146" i="107"/>
  <c r="BC145" i="107"/>
  <c r="BA145" i="107"/>
  <c r="AW145" i="107"/>
  <c r="AU145" i="107"/>
  <c r="AS145" i="107"/>
  <c r="AQ145" i="107"/>
  <c r="AO145" i="107"/>
  <c r="AM145" i="107"/>
  <c r="AK145" i="107"/>
  <c r="AI145" i="107"/>
  <c r="AG145" i="107"/>
  <c r="AE145" i="107"/>
  <c r="BC144" i="107"/>
  <c r="BC143" i="107"/>
  <c r="BA143" i="107"/>
  <c r="AW143" i="107"/>
  <c r="AU143" i="107"/>
  <c r="AS143" i="107"/>
  <c r="AQ143" i="107"/>
  <c r="AO143" i="107"/>
  <c r="AM143" i="107"/>
  <c r="AK143" i="107"/>
  <c r="AI143" i="107"/>
  <c r="AG143" i="107"/>
  <c r="AE143" i="107"/>
  <c r="BC142" i="107"/>
  <c r="BA142" i="107"/>
  <c r="AW142" i="107"/>
  <c r="AU142" i="107"/>
  <c r="AS142" i="107"/>
  <c r="AQ142" i="107"/>
  <c r="AO142" i="107"/>
  <c r="AM142" i="107"/>
  <c r="AK142" i="107"/>
  <c r="AI142" i="107"/>
  <c r="AG142" i="107"/>
  <c r="AE142" i="107"/>
  <c r="BC141" i="107"/>
  <c r="BA141" i="107"/>
  <c r="AW141" i="107"/>
  <c r="AU141" i="107"/>
  <c r="AS141" i="107"/>
  <c r="AQ141" i="107"/>
  <c r="AO141" i="107"/>
  <c r="AM141" i="107"/>
  <c r="AK141" i="107"/>
  <c r="AI141" i="107"/>
  <c r="AG141" i="107"/>
  <c r="AE141" i="107"/>
  <c r="BC140" i="107"/>
  <c r="BA140" i="107"/>
  <c r="AW140" i="107"/>
  <c r="AU140" i="107"/>
  <c r="AS140" i="107"/>
  <c r="AQ140" i="107"/>
  <c r="AO140" i="107"/>
  <c r="AM140" i="107"/>
  <c r="AK140" i="107"/>
  <c r="AI140" i="107"/>
  <c r="AG140" i="107"/>
  <c r="AE140" i="107"/>
  <c r="BC139" i="107"/>
  <c r="BC138" i="107"/>
  <c r="BA138" i="107"/>
  <c r="AW138" i="107"/>
  <c r="AU138" i="107"/>
  <c r="AS138" i="107"/>
  <c r="AQ138" i="107"/>
  <c r="AO138" i="107"/>
  <c r="AM138" i="107"/>
  <c r="AK138" i="107"/>
  <c r="AI138" i="107"/>
  <c r="AG138" i="107"/>
  <c r="AE138" i="107"/>
  <c r="BC137" i="107"/>
  <c r="BA137" i="107"/>
  <c r="AW137" i="107"/>
  <c r="AU137" i="107"/>
  <c r="AS137" i="107"/>
  <c r="AQ137" i="107"/>
  <c r="AO137" i="107"/>
  <c r="AM137" i="107"/>
  <c r="AK137" i="107"/>
  <c r="AI137" i="107"/>
  <c r="AG137" i="107"/>
  <c r="AE137" i="107"/>
  <c r="BC136" i="107"/>
  <c r="BA136" i="107"/>
  <c r="AW136" i="107"/>
  <c r="AU136" i="107"/>
  <c r="AS136" i="107"/>
  <c r="AQ136" i="107"/>
  <c r="AO136" i="107"/>
  <c r="AM136" i="107"/>
  <c r="AK136" i="107"/>
  <c r="AI136" i="107"/>
  <c r="AG136" i="107"/>
  <c r="AE136" i="107"/>
  <c r="BC135" i="107"/>
  <c r="BA135" i="107"/>
  <c r="AW135" i="107"/>
  <c r="AU135" i="107"/>
  <c r="AS135" i="107"/>
  <c r="AQ135" i="107"/>
  <c r="AO135" i="107"/>
  <c r="AM135" i="107"/>
  <c r="AK135" i="107"/>
  <c r="AI135" i="107"/>
  <c r="AG135" i="107"/>
  <c r="AE135" i="107"/>
  <c r="BC134" i="107"/>
  <c r="BA134" i="107"/>
  <c r="AW134" i="107"/>
  <c r="AU134" i="107"/>
  <c r="AS134" i="107"/>
  <c r="AQ134" i="107"/>
  <c r="AO134" i="107"/>
  <c r="AM134" i="107"/>
  <c r="AK134" i="107"/>
  <c r="AI134" i="107"/>
  <c r="AG134" i="107"/>
  <c r="AE134" i="107"/>
  <c r="BC133" i="107"/>
  <c r="BC132" i="107"/>
  <c r="BA132" i="107"/>
  <c r="AW132" i="107"/>
  <c r="AU132" i="107"/>
  <c r="AS132" i="107"/>
  <c r="AQ132" i="107"/>
  <c r="AO132" i="107"/>
  <c r="AM132" i="107"/>
  <c r="AK132" i="107"/>
  <c r="AI132" i="107"/>
  <c r="AG132" i="107"/>
  <c r="AE132" i="107"/>
  <c r="BC131" i="107"/>
  <c r="BC130" i="107"/>
  <c r="BA130" i="107"/>
  <c r="AW130" i="107"/>
  <c r="AU130" i="107"/>
  <c r="AS130" i="107"/>
  <c r="AQ130" i="107"/>
  <c r="AO130" i="107"/>
  <c r="AM130" i="107"/>
  <c r="AK130" i="107"/>
  <c r="AI130" i="107"/>
  <c r="AG130" i="107"/>
  <c r="AE130" i="107"/>
  <c r="BC129" i="107"/>
  <c r="BA129" i="107"/>
  <c r="AW129" i="107"/>
  <c r="AU129" i="107"/>
  <c r="AS129" i="107"/>
  <c r="AQ129" i="107"/>
  <c r="AO129" i="107"/>
  <c r="AM129" i="107"/>
  <c r="AK129" i="107"/>
  <c r="AI129" i="107"/>
  <c r="AG129" i="107"/>
  <c r="AE129" i="107"/>
  <c r="BC128" i="107"/>
  <c r="BA128" i="107"/>
  <c r="AW128" i="107"/>
  <c r="AU128" i="107"/>
  <c r="AS128" i="107"/>
  <c r="AQ128" i="107"/>
  <c r="AO128" i="107"/>
  <c r="AM128" i="107"/>
  <c r="AK128" i="107"/>
  <c r="AI128" i="107"/>
  <c r="AG128" i="107"/>
  <c r="AE128" i="107"/>
  <c r="BC127" i="107"/>
  <c r="BA127" i="107"/>
  <c r="AW127" i="107"/>
  <c r="AU127" i="107"/>
  <c r="AS127" i="107"/>
  <c r="AQ127" i="107"/>
  <c r="AO127" i="107"/>
  <c r="AM127" i="107"/>
  <c r="AK127" i="107"/>
  <c r="AI127" i="107"/>
  <c r="AG127" i="107"/>
  <c r="AE127" i="107"/>
  <c r="BC126" i="107"/>
  <c r="BC125" i="107"/>
  <c r="BA125" i="107"/>
  <c r="AW125" i="107"/>
  <c r="AU125" i="107"/>
  <c r="AS125" i="107"/>
  <c r="AQ125" i="107"/>
  <c r="AO125" i="107"/>
  <c r="AM125" i="107"/>
  <c r="AK125" i="107"/>
  <c r="AI125" i="107"/>
  <c r="AG125" i="107"/>
  <c r="AE125" i="107"/>
  <c r="BC124" i="107"/>
  <c r="BA124" i="107"/>
  <c r="AW124" i="107"/>
  <c r="AU124" i="107"/>
  <c r="AS124" i="107"/>
  <c r="AQ124" i="107"/>
  <c r="AO124" i="107"/>
  <c r="AM124" i="107"/>
  <c r="AK124" i="107"/>
  <c r="AI124" i="107"/>
  <c r="AG124" i="107"/>
  <c r="AE124" i="107"/>
  <c r="BC123" i="107"/>
  <c r="BA123" i="107"/>
  <c r="AW123" i="107"/>
  <c r="AU123" i="107"/>
  <c r="AS123" i="107"/>
  <c r="AQ123" i="107"/>
  <c r="AO123" i="107"/>
  <c r="AM123" i="107"/>
  <c r="AK123" i="107"/>
  <c r="AI123" i="107"/>
  <c r="AG123" i="107"/>
  <c r="AE123" i="107"/>
  <c r="BC122" i="107"/>
  <c r="BA122" i="107"/>
  <c r="AW122" i="107"/>
  <c r="AU122" i="107"/>
  <c r="AS122" i="107"/>
  <c r="AQ122" i="107"/>
  <c r="AO122" i="107"/>
  <c r="AM122" i="107"/>
  <c r="AK122" i="107"/>
  <c r="AI122" i="107"/>
  <c r="AG122" i="107"/>
  <c r="AE122" i="107"/>
  <c r="BC121" i="107"/>
  <c r="BA121" i="107"/>
  <c r="AW121" i="107"/>
  <c r="AU121" i="107"/>
  <c r="AS121" i="107"/>
  <c r="AQ121" i="107"/>
  <c r="AO121" i="107"/>
  <c r="AM121" i="107"/>
  <c r="AK121" i="107"/>
  <c r="AI121" i="107"/>
  <c r="AG121" i="107"/>
  <c r="AE121" i="107"/>
  <c r="BC119" i="107"/>
  <c r="BA119" i="107"/>
  <c r="AW119" i="107"/>
  <c r="AU119" i="107"/>
  <c r="AS119" i="107"/>
  <c r="AQ119" i="107"/>
  <c r="AO119" i="107"/>
  <c r="AM119" i="107"/>
  <c r="AK119" i="107"/>
  <c r="AI119" i="107"/>
  <c r="AG119" i="107"/>
  <c r="AE119" i="107"/>
  <c r="BC118" i="107"/>
  <c r="BA118" i="107"/>
  <c r="AW118" i="107"/>
  <c r="AU118" i="107"/>
  <c r="AS118" i="107"/>
  <c r="AQ118" i="107"/>
  <c r="AO118" i="107"/>
  <c r="AM118" i="107"/>
  <c r="AK118" i="107"/>
  <c r="AI118" i="107"/>
  <c r="AG118" i="107"/>
  <c r="AE118" i="107"/>
  <c r="BC117" i="107"/>
  <c r="BA117" i="107"/>
  <c r="AW117" i="107"/>
  <c r="AU117" i="107"/>
  <c r="AS117" i="107"/>
  <c r="AQ117" i="107"/>
  <c r="AO117" i="107"/>
  <c r="AM117" i="107"/>
  <c r="AK117" i="107"/>
  <c r="AI117" i="107"/>
  <c r="AG117" i="107"/>
  <c r="AE117" i="107"/>
  <c r="BC116" i="107"/>
  <c r="BA116" i="107"/>
  <c r="AW116" i="107"/>
  <c r="AU116" i="107"/>
  <c r="AS116" i="107"/>
  <c r="AQ116" i="107"/>
  <c r="AO116" i="107"/>
  <c r="AM116" i="107"/>
  <c r="AK116" i="107"/>
  <c r="AI116" i="107"/>
  <c r="AG116" i="107"/>
  <c r="AE116" i="107"/>
  <c r="BC115" i="107"/>
  <c r="BA115" i="107"/>
  <c r="AW115" i="107"/>
  <c r="AU115" i="107"/>
  <c r="AS115" i="107"/>
  <c r="AQ115" i="107"/>
  <c r="AO115" i="107"/>
  <c r="AM115" i="107"/>
  <c r="AK115" i="107"/>
  <c r="AI115" i="107"/>
  <c r="AG115" i="107"/>
  <c r="AE115" i="107"/>
  <c r="BC114" i="107"/>
  <c r="BA114" i="107"/>
  <c r="AW114" i="107"/>
  <c r="AU114" i="107"/>
  <c r="AS114" i="107"/>
  <c r="AQ114" i="107"/>
  <c r="AO114" i="107"/>
  <c r="AM114" i="107"/>
  <c r="AK114" i="107"/>
  <c r="AI114" i="107"/>
  <c r="AG114" i="107"/>
  <c r="AE114" i="107"/>
  <c r="BC113" i="107"/>
  <c r="BA113" i="107"/>
  <c r="AW113" i="107"/>
  <c r="AU113" i="107"/>
  <c r="AS113" i="107"/>
  <c r="AQ113" i="107"/>
  <c r="AO113" i="107"/>
  <c r="AM113" i="107"/>
  <c r="AK113" i="107"/>
  <c r="AI113" i="107"/>
  <c r="AG113" i="107"/>
  <c r="AE113" i="107"/>
  <c r="BC111" i="107"/>
  <c r="BA111" i="107"/>
  <c r="AW111" i="107"/>
  <c r="AU111" i="107"/>
  <c r="AS111" i="107"/>
  <c r="AQ111" i="107"/>
  <c r="AO111" i="107"/>
  <c r="AM111" i="107"/>
  <c r="AK111" i="107"/>
  <c r="AI111" i="107"/>
  <c r="AG111" i="107"/>
  <c r="AE111" i="107"/>
  <c r="AE25" i="108"/>
  <c r="AC26" i="108"/>
  <c r="AC25" i="108"/>
  <c r="Y271" i="108"/>
  <c r="AO7" i="108" s="1"/>
  <c r="AA54" i="108"/>
  <c r="AA55" i="108"/>
  <c r="AA56" i="108"/>
  <c r="AA57" i="108"/>
  <c r="AA41" i="108"/>
  <c r="E88" i="109"/>
  <c r="A88" i="109"/>
  <c r="W88" i="109" s="1" a="1"/>
  <c r="W88" i="109" s="1"/>
  <c r="E41" i="109"/>
  <c r="A41" i="109"/>
  <c r="W41" i="109" s="1" a="1"/>
  <c r="W41" i="109" s="1"/>
  <c r="S138" i="109"/>
  <c r="S150" i="109"/>
  <c r="S170" i="109"/>
  <c r="S179" i="109"/>
  <c r="S187" i="109"/>
  <c r="E157" i="109"/>
  <c r="A157" i="109"/>
  <c r="W157" i="109" s="1" a="1"/>
  <c r="W157" i="109" s="1"/>
  <c r="AA38" i="108"/>
  <c r="AC38" i="108"/>
  <c r="AE38" i="108"/>
  <c r="AI38" i="108"/>
  <c r="AK38" i="108"/>
  <c r="AM38" i="108"/>
  <c r="AA39" i="108"/>
  <c r="AC39" i="108"/>
  <c r="AE39" i="108"/>
  <c r="AI39" i="108"/>
  <c r="AK39" i="108"/>
  <c r="AM39" i="108"/>
  <c r="AA42" i="108"/>
  <c r="AA43" i="108"/>
  <c r="AA44" i="108"/>
  <c r="AA45" i="108"/>
  <c r="AA46" i="108"/>
  <c r="AA47" i="108"/>
  <c r="AA48" i="108"/>
  <c r="AA49" i="108"/>
  <c r="AA50" i="108"/>
  <c r="AA51" i="108"/>
  <c r="AA52" i="108"/>
  <c r="AA84" i="108"/>
  <c r="AA85" i="108"/>
  <c r="AA86" i="108"/>
  <c r="AA87" i="108"/>
  <c r="AA88" i="108"/>
  <c r="AA89" i="108"/>
  <c r="AA90" i="108"/>
  <c r="AA95" i="108"/>
  <c r="AA96" i="108"/>
  <c r="AA97" i="108"/>
  <c r="AA72" i="108"/>
  <c r="AA73" i="108"/>
  <c r="AA74" i="108"/>
  <c r="AA75" i="108"/>
  <c r="AA76" i="108"/>
  <c r="AA77" i="108"/>
  <c r="AA83" i="108"/>
  <c r="S212" i="111"/>
  <c r="R212" i="111"/>
  <c r="N212" i="111"/>
  <c r="M212" i="111"/>
  <c r="S204" i="111"/>
  <c r="R204" i="111"/>
  <c r="N204" i="111"/>
  <c r="M204" i="111"/>
  <c r="S177" i="111"/>
  <c r="R177" i="111"/>
  <c r="N177" i="111"/>
  <c r="M177" i="111"/>
  <c r="S169" i="111"/>
  <c r="R169" i="111"/>
  <c r="N169" i="111"/>
  <c r="M169" i="111"/>
  <c r="S163" i="111"/>
  <c r="R163" i="111"/>
  <c r="M163" i="111"/>
  <c r="S156" i="111"/>
  <c r="R156" i="111"/>
  <c r="N156" i="111"/>
  <c r="M156" i="111"/>
  <c r="S131" i="111"/>
  <c r="R131" i="111"/>
  <c r="M131" i="111"/>
  <c r="S39" i="111"/>
  <c r="R39" i="111"/>
  <c r="N39" i="111"/>
  <c r="M39" i="111"/>
  <c r="AZ62" i="107"/>
  <c r="O138" i="109"/>
  <c r="N138" i="109"/>
  <c r="E66" i="109"/>
  <c r="E67" i="109"/>
  <c r="A174" i="109"/>
  <c r="W174" i="109" s="1" a="1"/>
  <c r="W174" i="109" s="1"/>
  <c r="E174" i="109"/>
  <c r="A175" i="109"/>
  <c r="E175" i="109"/>
  <c r="A176" i="109"/>
  <c r="W176" i="109" s="1" a="1"/>
  <c r="W176" i="109" s="1"/>
  <c r="E176" i="109"/>
  <c r="A177" i="109"/>
  <c r="W177" i="109" s="1" a="1"/>
  <c r="W177" i="109" s="1"/>
  <c r="E177" i="109"/>
  <c r="E179" i="109"/>
  <c r="F179" i="109"/>
  <c r="G179" i="109"/>
  <c r="H179" i="109"/>
  <c r="I179" i="109"/>
  <c r="J179" i="109"/>
  <c r="K179" i="109"/>
  <c r="L179" i="109"/>
  <c r="M179" i="109"/>
  <c r="N179" i="109"/>
  <c r="Q179" i="109"/>
  <c r="A183" i="109"/>
  <c r="W183" i="109" s="1" a="1"/>
  <c r="W183" i="109" s="1"/>
  <c r="E183" i="109"/>
  <c r="A184" i="109"/>
  <c r="W184" i="109" s="1" a="1"/>
  <c r="W184" i="109" s="1"/>
  <c r="E184" i="109"/>
  <c r="A185" i="109"/>
  <c r="W185" i="109" s="1" a="1"/>
  <c r="W185" i="109" s="1"/>
  <c r="E185" i="109"/>
  <c r="E187" i="109"/>
  <c r="F187" i="109"/>
  <c r="G187" i="109"/>
  <c r="H187" i="109"/>
  <c r="I187" i="109"/>
  <c r="J187" i="109"/>
  <c r="K187" i="109"/>
  <c r="L187" i="109"/>
  <c r="M187" i="109"/>
  <c r="N187" i="109"/>
  <c r="Q187" i="109"/>
  <c r="Q170" i="109"/>
  <c r="E170" i="109"/>
  <c r="F170" i="109"/>
  <c r="G170" i="109"/>
  <c r="H170" i="109"/>
  <c r="I170" i="109"/>
  <c r="J170" i="109"/>
  <c r="K170" i="109"/>
  <c r="L170" i="109"/>
  <c r="M170" i="109"/>
  <c r="N170" i="109"/>
  <c r="E168" i="109"/>
  <c r="A168" i="109"/>
  <c r="W168" i="109" s="1" a="1"/>
  <c r="W168" i="109" s="1"/>
  <c r="E164" i="109"/>
  <c r="F164" i="109"/>
  <c r="G164" i="109"/>
  <c r="H164" i="109"/>
  <c r="I164" i="109"/>
  <c r="J164" i="109"/>
  <c r="K164" i="109"/>
  <c r="L164" i="109"/>
  <c r="A155" i="109"/>
  <c r="E155" i="109"/>
  <c r="A156" i="109"/>
  <c r="E156" i="109"/>
  <c r="A158" i="109"/>
  <c r="W158" i="109" s="1" a="1"/>
  <c r="W158" i="109" s="1"/>
  <c r="E158" i="109"/>
  <c r="A159" i="109"/>
  <c r="W159" i="109" s="1" a="1"/>
  <c r="W159" i="109" s="1"/>
  <c r="E159" i="109"/>
  <c r="A160" i="109"/>
  <c r="W160" i="109" s="1" a="1"/>
  <c r="W160" i="109" s="1"/>
  <c r="E160" i="109"/>
  <c r="A161" i="109"/>
  <c r="W161" i="109" s="1" a="1"/>
  <c r="W161" i="109" s="1"/>
  <c r="E161" i="109"/>
  <c r="A162" i="109"/>
  <c r="W162" i="109" s="1" a="1"/>
  <c r="W162" i="109" s="1"/>
  <c r="E162" i="109"/>
  <c r="E150" i="109"/>
  <c r="F150" i="109"/>
  <c r="G150" i="109"/>
  <c r="H150" i="109"/>
  <c r="I150" i="109"/>
  <c r="J150" i="109"/>
  <c r="K150" i="109"/>
  <c r="L150" i="109"/>
  <c r="M150" i="109"/>
  <c r="N150" i="109"/>
  <c r="O150" i="109"/>
  <c r="Q150" i="109"/>
  <c r="A142" i="109"/>
  <c r="W142" i="109" s="1" a="1"/>
  <c r="W142" i="109" s="1"/>
  <c r="E142" i="109"/>
  <c r="A143" i="109"/>
  <c r="W143" i="109" s="1" a="1"/>
  <c r="W143" i="109" s="1"/>
  <c r="E143" i="109"/>
  <c r="A144" i="109"/>
  <c r="W144" i="109" s="1" a="1"/>
  <c r="W144" i="109" s="1"/>
  <c r="E144" i="109"/>
  <c r="A145" i="109"/>
  <c r="W145" i="109" s="1" a="1"/>
  <c r="W145" i="109" s="1"/>
  <c r="E145" i="109"/>
  <c r="A146" i="109"/>
  <c r="W146" i="109" s="1" a="1"/>
  <c r="W146" i="109" s="1"/>
  <c r="E146" i="109"/>
  <c r="A147" i="109"/>
  <c r="W147" i="109" s="1" a="1"/>
  <c r="W147" i="109" s="1"/>
  <c r="E147" i="109"/>
  <c r="A148" i="109"/>
  <c r="W148" i="109" s="1" a="1"/>
  <c r="W148" i="109" s="1"/>
  <c r="E148" i="109"/>
  <c r="A131" i="109"/>
  <c r="W131" i="109" s="1" a="1"/>
  <c r="W131" i="109" s="1"/>
  <c r="E131" i="109"/>
  <c r="A132" i="109"/>
  <c r="W132" i="109" s="1" a="1"/>
  <c r="W132" i="109" s="1"/>
  <c r="E132" i="109"/>
  <c r="A133" i="109"/>
  <c r="W133" i="109" s="1" a="1"/>
  <c r="W133" i="109" s="1"/>
  <c r="E133" i="109"/>
  <c r="A134" i="109"/>
  <c r="W134" i="109" s="1" a="1"/>
  <c r="W134" i="109" s="1"/>
  <c r="E134" i="109"/>
  <c r="A135" i="109"/>
  <c r="W135" i="109" s="1" a="1"/>
  <c r="W135" i="109" s="1"/>
  <c r="E135" i="109"/>
  <c r="A136" i="109"/>
  <c r="W136" i="109" s="1" a="1"/>
  <c r="W136" i="109" s="1"/>
  <c r="E136" i="109"/>
  <c r="E138" i="109"/>
  <c r="F138" i="109"/>
  <c r="G138" i="109"/>
  <c r="H138" i="109"/>
  <c r="I138" i="109"/>
  <c r="J138" i="109"/>
  <c r="K138" i="109"/>
  <c r="L138" i="109"/>
  <c r="M138" i="109"/>
  <c r="Q138" i="109"/>
  <c r="A33" i="109"/>
  <c r="W33" i="109" s="1" a="1"/>
  <c r="W33" i="109" s="1"/>
  <c r="E33" i="109"/>
  <c r="A34" i="109"/>
  <c r="W34" i="109" s="1" a="1"/>
  <c r="W34" i="109" s="1"/>
  <c r="E34" i="109"/>
  <c r="A35" i="109"/>
  <c r="W35" i="109" s="1" a="1"/>
  <c r="W35" i="109" s="1"/>
  <c r="E35" i="109"/>
  <c r="A36" i="109"/>
  <c r="W36" i="109" s="1" a="1"/>
  <c r="W36" i="109" s="1"/>
  <c r="E36" i="109"/>
  <c r="A37" i="109"/>
  <c r="W37" i="109" s="1" a="1"/>
  <c r="W37" i="109" s="1"/>
  <c r="E37" i="109"/>
  <c r="A38" i="109"/>
  <c r="W38" i="109" s="1" a="1"/>
  <c r="W38" i="109" s="1"/>
  <c r="E38" i="109"/>
  <c r="A39" i="109"/>
  <c r="W39" i="109" s="1" a="1"/>
  <c r="W39" i="109" s="1"/>
  <c r="E39" i="109"/>
  <c r="A40" i="109"/>
  <c r="W40" i="109" s="1" a="1"/>
  <c r="W40" i="109" s="1"/>
  <c r="E40" i="109"/>
  <c r="A21" i="109"/>
  <c r="E21" i="109"/>
  <c r="A22" i="109"/>
  <c r="W22" i="109" s="1" a="1"/>
  <c r="W22" i="109" s="1"/>
  <c r="E22" i="109"/>
  <c r="A23" i="109"/>
  <c r="W23" i="109" s="1" a="1"/>
  <c r="W23" i="109" s="1"/>
  <c r="E23" i="109"/>
  <c r="A24" i="109"/>
  <c r="W24" i="109" s="1" a="1"/>
  <c r="W24" i="109" s="1"/>
  <c r="E24" i="109"/>
  <c r="A25" i="109"/>
  <c r="W25" i="109" s="1" a="1"/>
  <c r="W25" i="109" s="1"/>
  <c r="E25" i="109"/>
  <c r="A26" i="109"/>
  <c r="W26" i="109" s="1" a="1"/>
  <c r="W26" i="109" s="1"/>
  <c r="A27" i="109"/>
  <c r="W27" i="109" s="1" a="1"/>
  <c r="W27" i="109" s="1"/>
  <c r="E27" i="109"/>
  <c r="A28" i="109"/>
  <c r="W28" i="109" s="1" a="1"/>
  <c r="W28" i="109" s="1"/>
  <c r="E28" i="109"/>
  <c r="A29" i="109"/>
  <c r="W29" i="109" s="1" a="1"/>
  <c r="W29" i="109" s="1"/>
  <c r="E29" i="109"/>
  <c r="A30" i="109"/>
  <c r="E30" i="109"/>
  <c r="A31" i="109"/>
  <c r="W31" i="109" s="1" a="1"/>
  <c r="W31" i="109" s="1"/>
  <c r="E31" i="109"/>
  <c r="A11" i="109"/>
  <c r="W11" i="109" s="1" a="1"/>
  <c r="W11" i="109" s="1"/>
  <c r="E11" i="109"/>
  <c r="A12" i="109"/>
  <c r="W12" i="109" s="1" a="1"/>
  <c r="W12" i="109" s="1"/>
  <c r="E12" i="109"/>
  <c r="A13" i="109"/>
  <c r="W13" i="109" s="1" a="1"/>
  <c r="W13" i="109" s="1"/>
  <c r="E13" i="109"/>
  <c r="A14" i="109"/>
  <c r="W14" i="109" s="1" a="1"/>
  <c r="W14" i="109" s="1"/>
  <c r="E14" i="109"/>
  <c r="A15" i="109"/>
  <c r="W15" i="109" s="1" a="1"/>
  <c r="W15" i="109" s="1"/>
  <c r="E15" i="109"/>
  <c r="A16" i="109"/>
  <c r="W16" i="109" s="1" a="1"/>
  <c r="W16" i="109" s="1"/>
  <c r="E16" i="109"/>
  <c r="F211" i="109"/>
  <c r="G211" i="109"/>
  <c r="H211" i="109"/>
  <c r="I211" i="109"/>
  <c r="F203" i="109"/>
  <c r="G203" i="109"/>
  <c r="H203" i="109"/>
  <c r="I203" i="109"/>
  <c r="F127" i="109"/>
  <c r="H127" i="109"/>
  <c r="F43" i="109"/>
  <c r="G43" i="109"/>
  <c r="H43" i="109"/>
  <c r="I43" i="109"/>
  <c r="J211" i="109"/>
  <c r="K211" i="109"/>
  <c r="J203" i="109"/>
  <c r="K203" i="109"/>
  <c r="J43" i="109"/>
  <c r="K43" i="109"/>
  <c r="L211" i="109"/>
  <c r="L203" i="109"/>
  <c r="L43" i="109"/>
  <c r="M211" i="109"/>
  <c r="M203" i="109"/>
  <c r="M43" i="109"/>
  <c r="A47" i="109"/>
  <c r="E47" i="109"/>
  <c r="A48" i="109"/>
  <c r="E48" i="109"/>
  <c r="A49" i="109"/>
  <c r="E49" i="109"/>
  <c r="A50" i="109"/>
  <c r="E50" i="109"/>
  <c r="A51" i="109"/>
  <c r="E51" i="109"/>
  <c r="A52" i="109"/>
  <c r="E52" i="109"/>
  <c r="A53" i="109"/>
  <c r="E53" i="109"/>
  <c r="A54" i="109"/>
  <c r="E54" i="109"/>
  <c r="A55" i="109"/>
  <c r="E55" i="109"/>
  <c r="A56" i="109"/>
  <c r="E56" i="109"/>
  <c r="A57" i="109"/>
  <c r="E57" i="109"/>
  <c r="A58" i="109"/>
  <c r="E58" i="109"/>
  <c r="A59" i="109"/>
  <c r="E59" i="109"/>
  <c r="A60" i="109"/>
  <c r="E60" i="109"/>
  <c r="A61" i="109"/>
  <c r="E61" i="109"/>
  <c r="A62" i="109"/>
  <c r="E62" i="109"/>
  <c r="A63" i="109"/>
  <c r="E63" i="109"/>
  <c r="A64" i="109"/>
  <c r="E64" i="109"/>
  <c r="A65" i="109"/>
  <c r="E65" i="109"/>
  <c r="A68" i="109"/>
  <c r="E68" i="109"/>
  <c r="A69" i="109"/>
  <c r="E69" i="109"/>
  <c r="A70" i="109"/>
  <c r="E70" i="109"/>
  <c r="A71" i="109"/>
  <c r="E71" i="109"/>
  <c r="A72" i="109"/>
  <c r="E72" i="109"/>
  <c r="A73" i="109"/>
  <c r="E73" i="109"/>
  <c r="A74" i="109"/>
  <c r="E74" i="109"/>
  <c r="A75" i="109"/>
  <c r="E75" i="109"/>
  <c r="A76" i="109"/>
  <c r="E76" i="109"/>
  <c r="A77" i="109"/>
  <c r="E77" i="109"/>
  <c r="A78" i="109"/>
  <c r="E78" i="109"/>
  <c r="A79" i="109"/>
  <c r="E79" i="109"/>
  <c r="A80" i="109"/>
  <c r="E80" i="109"/>
  <c r="A81" i="109"/>
  <c r="E81" i="109"/>
  <c r="A82" i="109"/>
  <c r="E82" i="109"/>
  <c r="A83" i="109"/>
  <c r="E83" i="109"/>
  <c r="E43" i="109"/>
  <c r="N43" i="109"/>
  <c r="O43" i="109"/>
  <c r="Q43" i="109"/>
  <c r="S43" i="109"/>
  <c r="A86" i="109"/>
  <c r="W86" i="109" s="1" a="1"/>
  <c r="W86" i="109" s="1"/>
  <c r="E86" i="109"/>
  <c r="AL216" i="111"/>
  <c r="AJ216" i="111"/>
  <c r="AH216" i="111"/>
  <c r="AF216" i="111"/>
  <c r="AD216" i="111"/>
  <c r="L212" i="111"/>
  <c r="K212" i="111"/>
  <c r="J212" i="111"/>
  <c r="I212" i="111"/>
  <c r="H212" i="111"/>
  <c r="G212" i="111"/>
  <c r="F212" i="111"/>
  <c r="E212" i="111"/>
  <c r="E208" i="111"/>
  <c r="A208" i="111"/>
  <c r="W208" i="111" s="1" a="1"/>
  <c r="W208" i="111" s="1"/>
  <c r="L204" i="111"/>
  <c r="K204" i="111"/>
  <c r="J204" i="111"/>
  <c r="I204" i="111"/>
  <c r="H204" i="111"/>
  <c r="G204" i="111"/>
  <c r="F204" i="111"/>
  <c r="E204" i="111"/>
  <c r="A197" i="111"/>
  <c r="W197" i="111" s="1" a="1"/>
  <c r="W197" i="111" s="1"/>
  <c r="E196" i="111"/>
  <c r="A196" i="111"/>
  <c r="W196" i="111" s="1" a="1"/>
  <c r="W196" i="111" s="1"/>
  <c r="E195" i="111"/>
  <c r="A195" i="111"/>
  <c r="W195" i="111" s="1" a="1"/>
  <c r="W195" i="111" s="1"/>
  <c r="E194" i="111"/>
  <c r="A194" i="111"/>
  <c r="W194" i="111" s="1" a="1"/>
  <c r="W194" i="111" s="1"/>
  <c r="E193" i="111"/>
  <c r="A193" i="111"/>
  <c r="W193" i="111" s="1" a="1"/>
  <c r="W193" i="111" s="1"/>
  <c r="A192" i="111"/>
  <c r="W192" i="111" s="1" a="1"/>
  <c r="W192" i="111" s="1"/>
  <c r="A189" i="111"/>
  <c r="W189" i="111" s="1" a="1"/>
  <c r="W189" i="111" s="1"/>
  <c r="A188" i="111"/>
  <c r="W188" i="111" s="1" a="1"/>
  <c r="W188" i="111" s="1"/>
  <c r="A187" i="111"/>
  <c r="W187" i="111" s="1" a="1"/>
  <c r="W187" i="111" s="1"/>
  <c r="A186" i="111"/>
  <c r="W186" i="111" s="1" a="1"/>
  <c r="W186" i="111" s="1"/>
  <c r="A185" i="111"/>
  <c r="W185" i="111" s="1" a="1"/>
  <c r="W185" i="111" s="1"/>
  <c r="A184" i="111"/>
  <c r="W184" i="111" s="1" a="1"/>
  <c r="W184" i="111" s="1"/>
  <c r="A183" i="111"/>
  <c r="W183" i="111" s="1" a="1"/>
  <c r="W183" i="111" s="1"/>
  <c r="A182" i="111"/>
  <c r="W182" i="111" s="1" a="1"/>
  <c r="W182" i="111" s="1"/>
  <c r="A181" i="111"/>
  <c r="W181" i="111" s="1" a="1"/>
  <c r="W181" i="111" s="1"/>
  <c r="A180" i="111"/>
  <c r="W180" i="111" s="1" a="1"/>
  <c r="W180" i="111" s="1"/>
  <c r="L177" i="111"/>
  <c r="K177" i="111"/>
  <c r="J177" i="111"/>
  <c r="I177" i="111"/>
  <c r="H177" i="111"/>
  <c r="G177" i="111"/>
  <c r="F177" i="111"/>
  <c r="E177" i="111"/>
  <c r="A175" i="111"/>
  <c r="W175" i="111" s="1" a="1"/>
  <c r="W175" i="111" s="1"/>
  <c r="A174" i="111"/>
  <c r="W174" i="111" s="1" a="1"/>
  <c r="W174" i="111" s="1"/>
  <c r="A173" i="111"/>
  <c r="W173" i="111" s="1" a="1"/>
  <c r="W173" i="111" s="1"/>
  <c r="A172" i="111"/>
  <c r="W172" i="111" s="1" a="1"/>
  <c r="W172" i="111" s="1"/>
  <c r="L169" i="111"/>
  <c r="K169" i="111"/>
  <c r="J169" i="111"/>
  <c r="I169" i="111"/>
  <c r="H169" i="111"/>
  <c r="G169" i="111"/>
  <c r="F169" i="111"/>
  <c r="E169" i="111"/>
  <c r="L163" i="111"/>
  <c r="K163" i="111"/>
  <c r="J163" i="111"/>
  <c r="I163" i="111"/>
  <c r="H163" i="111"/>
  <c r="G163" i="111"/>
  <c r="F163" i="111"/>
  <c r="E163" i="111"/>
  <c r="A161" i="111"/>
  <c r="E160" i="111"/>
  <c r="A160" i="111"/>
  <c r="W160" i="111" s="1" a="1"/>
  <c r="W160" i="111" s="1"/>
  <c r="E159" i="111"/>
  <c r="A159" i="111"/>
  <c r="W159" i="111" s="1" a="1"/>
  <c r="W159" i="111" s="1"/>
  <c r="L156" i="111"/>
  <c r="K156" i="111"/>
  <c r="J156" i="111"/>
  <c r="I156" i="111"/>
  <c r="H156" i="111"/>
  <c r="G156" i="111"/>
  <c r="F156" i="111"/>
  <c r="E156" i="111"/>
  <c r="E135" i="111"/>
  <c r="A135" i="111"/>
  <c r="W135" i="111" s="1" a="1"/>
  <c r="W135" i="111" s="1"/>
  <c r="E134" i="111"/>
  <c r="A134" i="111"/>
  <c r="W134" i="111" s="1" a="1"/>
  <c r="W134" i="111" s="1"/>
  <c r="L131" i="111"/>
  <c r="K131" i="111"/>
  <c r="J131" i="111"/>
  <c r="I131" i="111"/>
  <c r="H131" i="111"/>
  <c r="G131" i="111"/>
  <c r="F131" i="111"/>
  <c r="E131" i="111"/>
  <c r="E59" i="111"/>
  <c r="A59" i="111"/>
  <c r="W59" i="111" s="1" a="1"/>
  <c r="W59" i="111" s="1"/>
  <c r="E58" i="111"/>
  <c r="A58" i="111"/>
  <c r="W58" i="111" s="1" a="1"/>
  <c r="W58" i="111" s="1"/>
  <c r="A56" i="111"/>
  <c r="W56" i="111" s="1" a="1"/>
  <c r="W56" i="111" s="1"/>
  <c r="E55" i="111"/>
  <c r="A55" i="111"/>
  <c r="W55" i="111" s="1" a="1"/>
  <c r="W55" i="111" s="1"/>
  <c r="E53" i="111"/>
  <c r="A53" i="111"/>
  <c r="W53" i="111" s="1" a="1"/>
  <c r="W53" i="111" s="1"/>
  <c r="E52" i="111"/>
  <c r="A52" i="111"/>
  <c r="W52" i="111" s="1" a="1"/>
  <c r="W52" i="111" s="1"/>
  <c r="E50" i="111"/>
  <c r="A50" i="111"/>
  <c r="W50" i="111" s="1" a="1"/>
  <c r="W50" i="111" s="1"/>
  <c r="E49" i="111"/>
  <c r="A49" i="111"/>
  <c r="W49" i="111" s="1" a="1"/>
  <c r="W49" i="111" s="1"/>
  <c r="E48" i="111"/>
  <c r="A48" i="111"/>
  <c r="W48" i="111" s="1" a="1"/>
  <c r="W48" i="111" s="1"/>
  <c r="E47" i="111"/>
  <c r="A47" i="111"/>
  <c r="W47" i="111" s="1" a="1"/>
  <c r="W47" i="111" s="1"/>
  <c r="E46" i="111"/>
  <c r="A46" i="111"/>
  <c r="W46" i="111" s="1" a="1"/>
  <c r="W46" i="111" s="1"/>
  <c r="E44" i="111"/>
  <c r="A44" i="111"/>
  <c r="W44" i="111" s="1" a="1"/>
  <c r="W44" i="111" s="1"/>
  <c r="E43" i="111"/>
  <c r="A43" i="111"/>
  <c r="W43" i="111" s="1" a="1"/>
  <c r="W43" i="111" s="1"/>
  <c r="E42" i="111"/>
  <c r="A42" i="111"/>
  <c r="W42" i="111" s="1" a="1"/>
  <c r="W42" i="111" s="1"/>
  <c r="L39" i="111"/>
  <c r="K39" i="111"/>
  <c r="J39" i="111"/>
  <c r="I39" i="111"/>
  <c r="H39" i="111"/>
  <c r="G39" i="111"/>
  <c r="F39" i="111"/>
  <c r="E39" i="111"/>
  <c r="E35" i="111"/>
  <c r="A35" i="111"/>
  <c r="W35" i="111" s="1" a="1"/>
  <c r="W35" i="111" s="1"/>
  <c r="E33" i="111"/>
  <c r="A33" i="111"/>
  <c r="W33" i="111" s="1" a="1"/>
  <c r="W33" i="111" s="1"/>
  <c r="E30" i="111"/>
  <c r="A30" i="111"/>
  <c r="W30" i="111" s="1" a="1"/>
  <c r="W30" i="111" s="1"/>
  <c r="E28" i="111"/>
  <c r="A28" i="111"/>
  <c r="W28" i="111" s="1" a="1"/>
  <c r="W28" i="111" s="1"/>
  <c r="E27" i="111"/>
  <c r="A27" i="111"/>
  <c r="W27" i="111" s="1" a="1"/>
  <c r="W27" i="111" s="1"/>
  <c r="E26" i="111"/>
  <c r="A26" i="111"/>
  <c r="W26" i="111" s="1" a="1"/>
  <c r="W26" i="111" s="1"/>
  <c r="E25" i="111"/>
  <c r="A25" i="111"/>
  <c r="W25" i="111" s="1" a="1"/>
  <c r="W25" i="111" s="1"/>
  <c r="E23" i="111"/>
  <c r="A23" i="111"/>
  <c r="W23" i="111" s="1" a="1"/>
  <c r="W23" i="111" s="1"/>
  <c r="E22" i="111"/>
  <c r="A22" i="111"/>
  <c r="W22" i="111" s="1" a="1"/>
  <c r="W22" i="111" s="1"/>
  <c r="E21" i="111"/>
  <c r="A21" i="111"/>
  <c r="W21" i="111" s="1" a="1"/>
  <c r="W21" i="111" s="1"/>
  <c r="E20" i="111"/>
  <c r="A20" i="111"/>
  <c r="W20" i="111" s="1" a="1"/>
  <c r="W20" i="111" s="1"/>
  <c r="E16" i="111"/>
  <c r="A16" i="111"/>
  <c r="W16" i="111" s="1" a="1"/>
  <c r="W16" i="111" s="1"/>
  <c r="E15" i="111"/>
  <c r="A15" i="111"/>
  <c r="W15" i="111" s="1" a="1"/>
  <c r="W15" i="111" s="1"/>
  <c r="E14" i="111"/>
  <c r="A14" i="111"/>
  <c r="W14" i="111" s="1" a="1"/>
  <c r="W14" i="111" s="1"/>
  <c r="E13" i="111"/>
  <c r="A13" i="111"/>
  <c r="W13" i="111" s="1" a="1"/>
  <c r="W13" i="111" s="1"/>
  <c r="A3" i="111" a="1"/>
  <c r="A3" i="111" s="1"/>
  <c r="AD2" i="111"/>
  <c r="Q215" i="111" l="1"/>
  <c r="P215" i="111"/>
  <c r="K214" i="109"/>
  <c r="AF6" i="111"/>
  <c r="AJ6" i="111"/>
  <c r="M214" i="109"/>
  <c r="AL6" i="111"/>
  <c r="AH6" i="111"/>
  <c r="AG7" i="108"/>
  <c r="G214" i="109"/>
  <c r="J214" i="109"/>
  <c r="N215" i="111"/>
  <c r="L214" i="109"/>
  <c r="I214" i="109"/>
  <c r="AG272" i="108"/>
  <c r="J215" i="111"/>
  <c r="S215" i="111"/>
  <c r="I215" i="111"/>
  <c r="L215" i="111"/>
  <c r="K215" i="111"/>
  <c r="M215" i="111"/>
  <c r="R215" i="111"/>
  <c r="AF217" i="111"/>
  <c r="H215" i="111"/>
  <c r="AH217" i="111"/>
  <c r="AJ217" i="111"/>
  <c r="AL217" i="111"/>
  <c r="X203" i="108"/>
  <c r="Z203" i="108"/>
  <c r="AB203" i="108"/>
  <c r="AD203" i="108"/>
  <c r="AF203" i="108"/>
  <c r="AH203" i="108"/>
  <c r="AJ203" i="108"/>
  <c r="AL203" i="108"/>
  <c r="X179" i="108"/>
  <c r="Z179" i="108"/>
  <c r="AB179" i="108"/>
  <c r="AD179" i="108"/>
  <c r="AF179" i="108"/>
  <c r="AH179" i="108"/>
  <c r="AJ179" i="108"/>
  <c r="AL179" i="108"/>
  <c r="AN179" i="108"/>
  <c r="X180" i="108"/>
  <c r="Z180" i="108"/>
  <c r="AB180" i="108"/>
  <c r="AD180" i="108"/>
  <c r="AF180" i="108"/>
  <c r="AH180" i="108"/>
  <c r="AJ180" i="108"/>
  <c r="AL180" i="108"/>
  <c r="AN180" i="108"/>
  <c r="X181" i="108"/>
  <c r="Z181" i="108"/>
  <c r="AB181" i="108"/>
  <c r="AD181" i="108"/>
  <c r="AF181" i="108"/>
  <c r="AH181" i="108"/>
  <c r="AJ181" i="108"/>
  <c r="AL181" i="108"/>
  <c r="AN181" i="108"/>
  <c r="X182" i="108"/>
  <c r="Z182" i="108"/>
  <c r="AB182" i="108"/>
  <c r="AD182" i="108"/>
  <c r="AF182" i="108"/>
  <c r="AH182" i="108"/>
  <c r="AJ182" i="108"/>
  <c r="AL182" i="108"/>
  <c r="AN182" i="108"/>
  <c r="X183" i="108"/>
  <c r="Z183" i="108"/>
  <c r="AB183" i="108"/>
  <c r="AD183" i="108"/>
  <c r="AF183" i="108"/>
  <c r="AH183" i="108"/>
  <c r="AJ183" i="108"/>
  <c r="AL183" i="108"/>
  <c r="AN183" i="108"/>
  <c r="X184" i="108"/>
  <c r="Z184" i="108"/>
  <c r="AB184" i="108"/>
  <c r="AD184" i="108"/>
  <c r="AF184" i="108"/>
  <c r="AH184" i="108"/>
  <c r="AJ184" i="108"/>
  <c r="AL184" i="108"/>
  <c r="AN184" i="108"/>
  <c r="X185" i="108"/>
  <c r="Z185" i="108"/>
  <c r="AB185" i="108"/>
  <c r="AD185" i="108"/>
  <c r="AF185" i="108"/>
  <c r="AH185" i="108"/>
  <c r="AJ185" i="108"/>
  <c r="AL185" i="108"/>
  <c r="AN185" i="108"/>
  <c r="X186" i="108"/>
  <c r="Z186" i="108"/>
  <c r="AB186" i="108"/>
  <c r="AD186" i="108"/>
  <c r="AF186" i="108"/>
  <c r="AH186" i="108"/>
  <c r="AJ186" i="108"/>
  <c r="AL186" i="108"/>
  <c r="AN186" i="108"/>
  <c r="X187" i="108"/>
  <c r="Z187" i="108"/>
  <c r="AB187" i="108"/>
  <c r="AD187" i="108"/>
  <c r="AF187" i="108"/>
  <c r="AH187" i="108"/>
  <c r="AJ187" i="108"/>
  <c r="AL187" i="108"/>
  <c r="AN187" i="108"/>
  <c r="X188" i="108"/>
  <c r="Z188" i="108"/>
  <c r="AB188" i="108"/>
  <c r="AD188" i="108"/>
  <c r="AF188" i="108"/>
  <c r="AH188" i="108"/>
  <c r="AJ188" i="108"/>
  <c r="AL188" i="108"/>
  <c r="AN188" i="108"/>
  <c r="X189" i="108"/>
  <c r="Z189" i="108"/>
  <c r="AB189" i="108"/>
  <c r="AD189" i="108"/>
  <c r="AF189" i="108"/>
  <c r="AH189" i="108"/>
  <c r="AJ189" i="108"/>
  <c r="AL189" i="108"/>
  <c r="AN189" i="108"/>
  <c r="X190" i="108"/>
  <c r="Z190" i="108"/>
  <c r="AB190" i="108"/>
  <c r="AD190" i="108"/>
  <c r="AF190" i="108"/>
  <c r="AH190" i="108"/>
  <c r="AJ190" i="108"/>
  <c r="AL190" i="108"/>
  <c r="AN190" i="108"/>
  <c r="X191" i="108"/>
  <c r="Z191" i="108"/>
  <c r="AB191" i="108"/>
  <c r="AD191" i="108"/>
  <c r="AF191" i="108"/>
  <c r="AH191" i="108"/>
  <c r="AJ191" i="108"/>
  <c r="AL191" i="108"/>
  <c r="AN191" i="108"/>
  <c r="X192" i="108"/>
  <c r="Z192" i="108"/>
  <c r="AB192" i="108"/>
  <c r="AD192" i="108"/>
  <c r="AF192" i="108"/>
  <c r="AH192" i="108"/>
  <c r="AJ192" i="108"/>
  <c r="AL192" i="108"/>
  <c r="AN192" i="108"/>
  <c r="X193" i="108"/>
  <c r="Z193" i="108"/>
  <c r="AB193" i="108"/>
  <c r="AD193" i="108"/>
  <c r="AF193" i="108"/>
  <c r="AH193" i="108"/>
  <c r="AJ193" i="108"/>
  <c r="AL193" i="108"/>
  <c r="AN193" i="108"/>
  <c r="X194" i="108"/>
  <c r="Z194" i="108"/>
  <c r="AB194" i="108"/>
  <c r="AD194" i="108"/>
  <c r="AF194" i="108"/>
  <c r="AH194" i="108"/>
  <c r="AJ194" i="108"/>
  <c r="AL194" i="108"/>
  <c r="AN194" i="108"/>
  <c r="X195" i="108"/>
  <c r="Z195" i="108"/>
  <c r="AB195" i="108"/>
  <c r="AD195" i="108"/>
  <c r="AF195" i="108"/>
  <c r="AH195" i="108"/>
  <c r="AJ195" i="108"/>
  <c r="AL195" i="108"/>
  <c r="AN195" i="108"/>
  <c r="X196" i="108"/>
  <c r="Z196" i="108"/>
  <c r="AB196" i="108"/>
  <c r="AD196" i="108"/>
  <c r="AF196" i="108"/>
  <c r="AH196" i="108"/>
  <c r="AJ196" i="108"/>
  <c r="AL196" i="108"/>
  <c r="AN196" i="108"/>
  <c r="X197" i="108"/>
  <c r="Z197" i="108"/>
  <c r="AB197" i="108"/>
  <c r="AD197" i="108"/>
  <c r="AF197" i="108"/>
  <c r="AH197" i="108"/>
  <c r="AJ197" i="108"/>
  <c r="AL197" i="108"/>
  <c r="AN197" i="108"/>
  <c r="X198" i="108"/>
  <c r="Z198" i="108"/>
  <c r="AB198" i="108"/>
  <c r="AD198" i="108"/>
  <c r="AF198" i="108"/>
  <c r="AH198" i="108"/>
  <c r="AJ198" i="108"/>
  <c r="AL198" i="108"/>
  <c r="AN198" i="108"/>
  <c r="X199" i="108"/>
  <c r="Z199" i="108"/>
  <c r="AB199" i="108"/>
  <c r="AD199" i="108"/>
  <c r="AF199" i="108"/>
  <c r="AH199" i="108"/>
  <c r="AJ199" i="108"/>
  <c r="AL199" i="108"/>
  <c r="AN199" i="108"/>
  <c r="X200" i="108"/>
  <c r="Z200" i="108"/>
  <c r="AB200" i="108"/>
  <c r="AD200" i="108"/>
  <c r="AF200" i="108"/>
  <c r="AH200" i="108"/>
  <c r="AJ200" i="108"/>
  <c r="AL200" i="108"/>
  <c r="AN200" i="108"/>
  <c r="X201" i="108"/>
  <c r="Z201" i="108"/>
  <c r="AB201" i="108"/>
  <c r="AD201" i="108"/>
  <c r="AF201" i="108"/>
  <c r="AH201" i="108"/>
  <c r="AJ201" i="108"/>
  <c r="AL201" i="108"/>
  <c r="AN201" i="108"/>
  <c r="X160" i="108"/>
  <c r="Z160" i="108"/>
  <c r="AB160" i="108"/>
  <c r="AD160" i="108"/>
  <c r="AF160" i="108"/>
  <c r="AH160" i="108"/>
  <c r="AJ160" i="108"/>
  <c r="AL160" i="108"/>
  <c r="X161" i="108"/>
  <c r="Z161" i="108"/>
  <c r="AB161" i="108"/>
  <c r="AD161" i="108"/>
  <c r="AF161" i="108"/>
  <c r="AH161" i="108"/>
  <c r="AJ161" i="108"/>
  <c r="AL161" i="108"/>
  <c r="X162" i="108"/>
  <c r="Z162" i="108"/>
  <c r="AB162" i="108"/>
  <c r="AD162" i="108"/>
  <c r="AF162" i="108"/>
  <c r="AH162" i="108"/>
  <c r="AJ162" i="108"/>
  <c r="AL162" i="108"/>
  <c r="Z163" i="108"/>
  <c r="X164" i="108"/>
  <c r="Z164" i="108"/>
  <c r="AB164" i="108"/>
  <c r="AD164" i="108"/>
  <c r="AF164" i="108"/>
  <c r="AH164" i="108"/>
  <c r="AJ164" i="108"/>
  <c r="AL164" i="108"/>
  <c r="X165" i="108"/>
  <c r="Z165" i="108"/>
  <c r="AB165" i="108"/>
  <c r="AD165" i="108"/>
  <c r="AF165" i="108"/>
  <c r="AH165" i="108"/>
  <c r="AJ165" i="108"/>
  <c r="AL165" i="108"/>
  <c r="Z166" i="108"/>
  <c r="X167" i="108"/>
  <c r="Z167" i="108"/>
  <c r="AB167" i="108"/>
  <c r="AD167" i="108"/>
  <c r="AF167" i="108"/>
  <c r="AH167" i="108"/>
  <c r="AJ167" i="108"/>
  <c r="AL167" i="108"/>
  <c r="X168" i="108"/>
  <c r="Z168" i="108"/>
  <c r="AB168" i="108"/>
  <c r="AD168" i="108"/>
  <c r="AF168" i="108"/>
  <c r="AH168" i="108"/>
  <c r="AJ168" i="108"/>
  <c r="AL168" i="108"/>
  <c r="X169" i="108"/>
  <c r="Z169" i="108"/>
  <c r="AB169" i="108"/>
  <c r="AD169" i="108"/>
  <c r="AF169" i="108"/>
  <c r="AH169" i="108"/>
  <c r="AJ169" i="108"/>
  <c r="AL169" i="108"/>
  <c r="X170" i="108"/>
  <c r="Z170" i="108"/>
  <c r="AB170" i="108"/>
  <c r="AD170" i="108"/>
  <c r="AF170" i="108"/>
  <c r="AH170" i="108"/>
  <c r="AJ170" i="108"/>
  <c r="AL170" i="108"/>
  <c r="X171" i="108"/>
  <c r="Z171" i="108"/>
  <c r="AB171" i="108"/>
  <c r="AD171" i="108"/>
  <c r="AF171" i="108"/>
  <c r="AH171" i="108"/>
  <c r="AJ171" i="108"/>
  <c r="AL171" i="108"/>
  <c r="X172" i="108"/>
  <c r="Z172" i="108"/>
  <c r="AB172" i="108"/>
  <c r="AD172" i="108"/>
  <c r="AF172" i="108"/>
  <c r="AH172" i="108"/>
  <c r="AJ172" i="108"/>
  <c r="AL172" i="108"/>
  <c r="Z173" i="108"/>
  <c r="X174" i="108"/>
  <c r="Z174" i="108"/>
  <c r="AB174" i="108"/>
  <c r="AD174" i="108"/>
  <c r="AF174" i="108"/>
  <c r="AH174" i="108"/>
  <c r="AJ174" i="108"/>
  <c r="AL174" i="108"/>
  <c r="X175" i="108"/>
  <c r="Z175" i="108"/>
  <c r="AB175" i="108"/>
  <c r="AD175" i="108"/>
  <c r="AF175" i="108"/>
  <c r="AH175" i="108"/>
  <c r="AJ175" i="108"/>
  <c r="AL175" i="108"/>
  <c r="Z176" i="108"/>
  <c r="X177" i="108"/>
  <c r="Z177" i="108"/>
  <c r="AB177" i="108"/>
  <c r="AD177" i="108"/>
  <c r="AF177" i="108"/>
  <c r="AH177" i="108"/>
  <c r="AJ177" i="108"/>
  <c r="AL177" i="108"/>
  <c r="X116" i="108"/>
  <c r="Z116" i="108"/>
  <c r="AB116" i="108"/>
  <c r="AD116" i="108"/>
  <c r="AF116" i="108"/>
  <c r="AH116" i="108"/>
  <c r="AJ116" i="108"/>
  <c r="AL116" i="108"/>
  <c r="X117" i="108"/>
  <c r="Z117" i="108"/>
  <c r="AB117" i="108"/>
  <c r="AD117" i="108"/>
  <c r="AF117" i="108"/>
  <c r="AH117" i="108"/>
  <c r="AJ117" i="108"/>
  <c r="AL117" i="108"/>
  <c r="X118" i="108"/>
  <c r="Z118" i="108"/>
  <c r="AB118" i="108"/>
  <c r="AD118" i="108"/>
  <c r="AF118" i="108"/>
  <c r="AH118" i="108"/>
  <c r="AJ118" i="108"/>
  <c r="AL118" i="108"/>
  <c r="X119" i="108"/>
  <c r="Z119" i="108"/>
  <c r="AB119" i="108"/>
  <c r="AD119" i="108"/>
  <c r="AF119" i="108"/>
  <c r="AH119" i="108"/>
  <c r="AJ119" i="108"/>
  <c r="AL119" i="108"/>
  <c r="X120" i="108"/>
  <c r="Z120" i="108"/>
  <c r="AB120" i="108"/>
  <c r="AD120" i="108"/>
  <c r="AF120" i="108"/>
  <c r="AH120" i="108"/>
  <c r="AJ120" i="108"/>
  <c r="AL120" i="108"/>
  <c r="X121" i="108"/>
  <c r="Z121" i="108"/>
  <c r="AB121" i="108"/>
  <c r="AD121" i="108"/>
  <c r="AF121" i="108"/>
  <c r="AH121" i="108"/>
  <c r="AJ121" i="108"/>
  <c r="AL121" i="108"/>
  <c r="X122" i="108"/>
  <c r="Z122" i="108"/>
  <c r="AB122" i="108"/>
  <c r="AD122" i="108"/>
  <c r="AF122" i="108"/>
  <c r="AH122" i="108"/>
  <c r="AJ122" i="108"/>
  <c r="AL122" i="108"/>
  <c r="X123" i="108"/>
  <c r="Z123" i="108"/>
  <c r="AB123" i="108"/>
  <c r="AD123" i="108"/>
  <c r="AF123" i="108"/>
  <c r="AH123" i="108"/>
  <c r="AJ123" i="108"/>
  <c r="AL123" i="108"/>
  <c r="X124" i="108"/>
  <c r="Z124" i="108"/>
  <c r="AB124" i="108"/>
  <c r="AD124" i="108"/>
  <c r="AF124" i="108"/>
  <c r="AH124" i="108"/>
  <c r="AJ124" i="108"/>
  <c r="AL124" i="108"/>
  <c r="X125" i="108"/>
  <c r="Z125" i="108"/>
  <c r="AB125" i="108"/>
  <c r="AD125" i="108"/>
  <c r="AF125" i="108"/>
  <c r="AH125" i="108"/>
  <c r="AJ125" i="108"/>
  <c r="AL125" i="108"/>
  <c r="X126" i="108"/>
  <c r="Z126" i="108"/>
  <c r="AB126" i="108"/>
  <c r="AD126" i="108"/>
  <c r="AF126" i="108"/>
  <c r="AH126" i="108"/>
  <c r="AJ126" i="108"/>
  <c r="AL126" i="108"/>
  <c r="X127" i="108"/>
  <c r="Z127" i="108"/>
  <c r="AB127" i="108"/>
  <c r="AD127" i="108"/>
  <c r="AF127" i="108"/>
  <c r="AH127" i="108"/>
  <c r="AJ127" i="108"/>
  <c r="AL127" i="108"/>
  <c r="X128" i="108"/>
  <c r="Z128" i="108"/>
  <c r="AB128" i="108"/>
  <c r="AD128" i="108"/>
  <c r="AF128" i="108"/>
  <c r="AH128" i="108"/>
  <c r="AJ128" i="108"/>
  <c r="AL128" i="108"/>
  <c r="X129" i="108"/>
  <c r="Z129" i="108"/>
  <c r="AB129" i="108"/>
  <c r="AD129" i="108"/>
  <c r="AF129" i="108"/>
  <c r="AH129" i="108"/>
  <c r="AJ129" i="108"/>
  <c r="AL129" i="108"/>
  <c r="X130" i="108"/>
  <c r="Z130" i="108"/>
  <c r="AB130" i="108"/>
  <c r="AD130" i="108"/>
  <c r="AF130" i="108"/>
  <c r="AH130" i="108"/>
  <c r="AJ130" i="108"/>
  <c r="AL130" i="108"/>
  <c r="X131" i="108"/>
  <c r="Z131" i="108"/>
  <c r="AB131" i="108"/>
  <c r="AD131" i="108"/>
  <c r="AF131" i="108"/>
  <c r="AH131" i="108"/>
  <c r="AJ131" i="108"/>
  <c r="AL131" i="108"/>
  <c r="X132" i="108"/>
  <c r="Z132" i="108"/>
  <c r="AB132" i="108"/>
  <c r="AD132" i="108"/>
  <c r="AF132" i="108"/>
  <c r="AH132" i="108"/>
  <c r="AJ132" i="108"/>
  <c r="AL132" i="108"/>
  <c r="X133" i="108"/>
  <c r="Z133" i="108"/>
  <c r="AB133" i="108"/>
  <c r="AD133" i="108"/>
  <c r="AF133" i="108"/>
  <c r="AH133" i="108"/>
  <c r="AJ133" i="108"/>
  <c r="AL133" i="108"/>
  <c r="Z134" i="108"/>
  <c r="X135" i="108"/>
  <c r="Z135" i="108"/>
  <c r="AB135" i="108"/>
  <c r="AD135" i="108"/>
  <c r="AF135" i="108"/>
  <c r="AH135" i="108"/>
  <c r="AJ135" i="108"/>
  <c r="AL135" i="108"/>
  <c r="X136" i="108"/>
  <c r="Z136" i="108"/>
  <c r="AB136" i="108"/>
  <c r="AD136" i="108"/>
  <c r="AF136" i="108"/>
  <c r="AH136" i="108"/>
  <c r="AJ136" i="108"/>
  <c r="AL136" i="108"/>
  <c r="X137" i="108"/>
  <c r="Z137" i="108"/>
  <c r="AB137" i="108"/>
  <c r="AD137" i="108"/>
  <c r="AF137" i="108"/>
  <c r="AH137" i="108"/>
  <c r="AJ137" i="108"/>
  <c r="AL137" i="108"/>
  <c r="X138" i="108"/>
  <c r="Z138" i="108"/>
  <c r="AB138" i="108"/>
  <c r="AD138" i="108"/>
  <c r="AF138" i="108"/>
  <c r="AH138" i="108"/>
  <c r="AJ138" i="108"/>
  <c r="AL138" i="108"/>
  <c r="X139" i="108"/>
  <c r="Z139" i="108"/>
  <c r="AB139" i="108"/>
  <c r="AD139" i="108"/>
  <c r="AF139" i="108"/>
  <c r="AH139" i="108"/>
  <c r="AJ139" i="108"/>
  <c r="AL139" i="108"/>
  <c r="X140" i="108"/>
  <c r="Z140" i="108"/>
  <c r="AB140" i="108"/>
  <c r="AD140" i="108"/>
  <c r="AF140" i="108"/>
  <c r="AH140" i="108"/>
  <c r="AJ140" i="108"/>
  <c r="AL140" i="108"/>
  <c r="X141" i="108"/>
  <c r="Z141" i="108"/>
  <c r="AB141" i="108"/>
  <c r="AD141" i="108"/>
  <c r="AF141" i="108"/>
  <c r="AH141" i="108"/>
  <c r="AJ141" i="108"/>
  <c r="AL141" i="108"/>
  <c r="X142" i="108"/>
  <c r="Z142" i="108"/>
  <c r="AB142" i="108"/>
  <c r="AD142" i="108"/>
  <c r="AF142" i="108"/>
  <c r="AH142" i="108"/>
  <c r="AJ142" i="108"/>
  <c r="AL142" i="108"/>
  <c r="X143" i="108"/>
  <c r="Z143" i="108"/>
  <c r="AB143" i="108"/>
  <c r="AD143" i="108"/>
  <c r="AF143" i="108"/>
  <c r="AH143" i="108"/>
  <c r="AJ143" i="108"/>
  <c r="AL143" i="108"/>
  <c r="X144" i="108"/>
  <c r="Z144" i="108"/>
  <c r="AB144" i="108"/>
  <c r="AD144" i="108"/>
  <c r="AF144" i="108"/>
  <c r="AH144" i="108"/>
  <c r="AJ144" i="108"/>
  <c r="AL144" i="108"/>
  <c r="Z145" i="108"/>
  <c r="X146" i="108"/>
  <c r="Z146" i="108"/>
  <c r="AB146" i="108"/>
  <c r="AD146" i="108"/>
  <c r="AF146" i="108"/>
  <c r="AH146" i="108"/>
  <c r="AJ146" i="108"/>
  <c r="AL146" i="108"/>
  <c r="X147" i="108"/>
  <c r="Z147" i="108"/>
  <c r="AB147" i="108"/>
  <c r="AD147" i="108"/>
  <c r="AF147" i="108"/>
  <c r="AH147" i="108"/>
  <c r="AJ147" i="108"/>
  <c r="AL147" i="108"/>
  <c r="X148" i="108"/>
  <c r="Z148" i="108"/>
  <c r="AB148" i="108"/>
  <c r="AD148" i="108"/>
  <c r="AF148" i="108"/>
  <c r="AH148" i="108"/>
  <c r="AJ148" i="108"/>
  <c r="AL148" i="108"/>
  <c r="Z149" i="108"/>
  <c r="X150" i="108"/>
  <c r="Z150" i="108"/>
  <c r="AB150" i="108"/>
  <c r="AD150" i="108"/>
  <c r="AF150" i="108"/>
  <c r="AH150" i="108"/>
  <c r="AJ150" i="108"/>
  <c r="AL150" i="108"/>
  <c r="X151" i="108"/>
  <c r="Z151" i="108"/>
  <c r="AB151" i="108"/>
  <c r="AD151" i="108"/>
  <c r="AF151" i="108"/>
  <c r="AH151" i="108"/>
  <c r="AJ151" i="108"/>
  <c r="AL151" i="108"/>
  <c r="X152" i="108"/>
  <c r="Z152" i="108"/>
  <c r="AB152" i="108"/>
  <c r="AD152" i="108"/>
  <c r="AF152" i="108"/>
  <c r="AH152" i="108"/>
  <c r="AJ152" i="108"/>
  <c r="AL152" i="108"/>
  <c r="X153" i="108"/>
  <c r="Z153" i="108"/>
  <c r="AB153" i="108"/>
  <c r="AD153" i="108"/>
  <c r="AF153" i="108"/>
  <c r="AH153" i="108"/>
  <c r="AJ153" i="108"/>
  <c r="AL153" i="108"/>
  <c r="X154" i="108"/>
  <c r="Z154" i="108"/>
  <c r="AB154" i="108"/>
  <c r="AD154" i="108"/>
  <c r="AF154" i="108"/>
  <c r="AH154" i="108"/>
  <c r="AJ154" i="108"/>
  <c r="AL154" i="108"/>
  <c r="X155" i="108"/>
  <c r="Z155" i="108"/>
  <c r="AB155" i="108"/>
  <c r="AD155" i="108"/>
  <c r="AF155" i="108"/>
  <c r="AH155" i="108"/>
  <c r="AJ155" i="108"/>
  <c r="AL155" i="108"/>
  <c r="X156" i="108"/>
  <c r="Z156" i="108"/>
  <c r="AB156" i="108"/>
  <c r="AD156" i="108"/>
  <c r="AF156" i="108"/>
  <c r="AH156" i="108"/>
  <c r="AJ156" i="108"/>
  <c r="AL156" i="108"/>
  <c r="X157" i="108"/>
  <c r="Z157" i="108"/>
  <c r="AB157" i="108"/>
  <c r="AD157" i="108"/>
  <c r="AF157" i="108"/>
  <c r="AH157" i="108"/>
  <c r="AJ157" i="108"/>
  <c r="AL157" i="108"/>
  <c r="X158" i="108"/>
  <c r="Z158" i="108"/>
  <c r="AB158" i="108"/>
  <c r="AD158" i="108"/>
  <c r="AF158" i="108"/>
  <c r="AH158" i="108"/>
  <c r="AJ158" i="108"/>
  <c r="AL158" i="108"/>
  <c r="A121" i="109" l="1"/>
  <c r="W121" i="109" s="1" a="1"/>
  <c r="W121" i="109" s="1"/>
  <c r="E113" i="109"/>
  <c r="A113" i="109"/>
  <c r="W113" i="109" s="1" a="1"/>
  <c r="W113" i="109" s="1"/>
  <c r="E111" i="109"/>
  <c r="A111" i="109"/>
  <c r="W111" i="109" s="1" a="1"/>
  <c r="W111" i="109" s="1"/>
  <c r="E109" i="109"/>
  <c r="A109" i="109"/>
  <c r="W109" i="109" s="1" a="1"/>
  <c r="W109" i="109" s="1"/>
  <c r="E108" i="109"/>
  <c r="A108" i="109"/>
  <c r="W108" i="109" s="1" a="1"/>
  <c r="W108" i="109" s="1"/>
  <c r="E104" i="109"/>
  <c r="A104" i="109"/>
  <c r="W104" i="109" s="1" a="1"/>
  <c r="W104" i="109" s="1"/>
  <c r="E99" i="109"/>
  <c r="A99" i="109"/>
  <c r="W99" i="109" s="1" a="1"/>
  <c r="W99" i="109" s="1"/>
  <c r="E93" i="109"/>
  <c r="A93" i="109"/>
  <c r="W93" i="109" s="1" a="1"/>
  <c r="W93" i="109" s="1"/>
  <c r="E89" i="109"/>
  <c r="AQ96" i="108"/>
  <c r="AQ97" i="108"/>
  <c r="AI77" i="108"/>
  <c r="AI83" i="108"/>
  <c r="AI85" i="108"/>
  <c r="AI87" i="108"/>
  <c r="AI88" i="108"/>
  <c r="AI90" i="108"/>
  <c r="AI96" i="108"/>
  <c r="AI97" i="108"/>
  <c r="AE77" i="108"/>
  <c r="AE83" i="108"/>
  <c r="AE85" i="108"/>
  <c r="AE87" i="108"/>
  <c r="AE88" i="108"/>
  <c r="AE90" i="108"/>
  <c r="AE96" i="108"/>
  <c r="AE97" i="108"/>
  <c r="AM59" i="108"/>
  <c r="AM61" i="108"/>
  <c r="AM62" i="108"/>
  <c r="AM63" i="108"/>
  <c r="AM64" i="108"/>
  <c r="AM65" i="108"/>
  <c r="AM67" i="108"/>
  <c r="AM68" i="108"/>
  <c r="AM70" i="108"/>
  <c r="AM71" i="108"/>
  <c r="AK59" i="108"/>
  <c r="AK61" i="108"/>
  <c r="AK62" i="108"/>
  <c r="AK63" i="108"/>
  <c r="AK64" i="108"/>
  <c r="AK65" i="108"/>
  <c r="AK67" i="108"/>
  <c r="AK68" i="108"/>
  <c r="AK70" i="108"/>
  <c r="AK71" i="108"/>
  <c r="AK73" i="108"/>
  <c r="AK74" i="108"/>
  <c r="AI59" i="108"/>
  <c r="AI61" i="108"/>
  <c r="AI62" i="108"/>
  <c r="AI63" i="108"/>
  <c r="AI64" i="108"/>
  <c r="AI65" i="108"/>
  <c r="AI67" i="108"/>
  <c r="AI68" i="108"/>
  <c r="AI70" i="108"/>
  <c r="AI71" i="108"/>
  <c r="AE59" i="108"/>
  <c r="AE61" i="108"/>
  <c r="AE62" i="108"/>
  <c r="AE63" i="108"/>
  <c r="AE64" i="108"/>
  <c r="AE65" i="108"/>
  <c r="AE67" i="108"/>
  <c r="AE68" i="108"/>
  <c r="AE70" i="108"/>
  <c r="AE71" i="108"/>
  <c r="AC59" i="108"/>
  <c r="AC61" i="108"/>
  <c r="AC62" i="108"/>
  <c r="AC63" i="108"/>
  <c r="AC64" i="108"/>
  <c r="AC65" i="108"/>
  <c r="AC67" i="108"/>
  <c r="AC68" i="108"/>
  <c r="AC70" i="108"/>
  <c r="AC71" i="108"/>
  <c r="AA59" i="108"/>
  <c r="AA61" i="108"/>
  <c r="AA62" i="108"/>
  <c r="AA63" i="108"/>
  <c r="AA64" i="108"/>
  <c r="AA65" i="108"/>
  <c r="AA67" i="108"/>
  <c r="AA68" i="108"/>
  <c r="AA70" i="108"/>
  <c r="AA71" i="108"/>
  <c r="AA26" i="108"/>
  <c r="AA27" i="108"/>
  <c r="AA28" i="108"/>
  <c r="AA29" i="108"/>
  <c r="AA30" i="108"/>
  <c r="AA31" i="108"/>
  <c r="AA32" i="108"/>
  <c r="AA33" i="108"/>
  <c r="AA34" i="108"/>
  <c r="AA35" i="108"/>
  <c r="AA36" i="108"/>
  <c r="AA37" i="108"/>
  <c r="AA40" i="108"/>
  <c r="AC253" i="108"/>
  <c r="AC254" i="108"/>
  <c r="AC255" i="108"/>
  <c r="AC252" i="108"/>
  <c r="AC247" i="108"/>
  <c r="AC242" i="108"/>
  <c r="AC241" i="108"/>
  <c r="AC223" i="108"/>
  <c r="AC224" i="108"/>
  <c r="AC225" i="108"/>
  <c r="AC226" i="108"/>
  <c r="AC227" i="108"/>
  <c r="AC228" i="108"/>
  <c r="AC229" i="108"/>
  <c r="AC230" i="108"/>
  <c r="AC231" i="108"/>
  <c r="AC232" i="108"/>
  <c r="AC233" i="108"/>
  <c r="AC234" i="108"/>
  <c r="AC235" i="108"/>
  <c r="AC236" i="108"/>
  <c r="AC222" i="108"/>
  <c r="AC209" i="108"/>
  <c r="AC210" i="108"/>
  <c r="AC211" i="108"/>
  <c r="AC212" i="108"/>
  <c r="AC213" i="108"/>
  <c r="AC214" i="108"/>
  <c r="AC215" i="108"/>
  <c r="AC216" i="108"/>
  <c r="AC217" i="108"/>
  <c r="AC208" i="108"/>
  <c r="AC77" i="108"/>
  <c r="AC83" i="108"/>
  <c r="AC85" i="108"/>
  <c r="AC87" i="108"/>
  <c r="AC88" i="108"/>
  <c r="AC90" i="108"/>
  <c r="AC96" i="108"/>
  <c r="AC97" i="108"/>
  <c r="AC73" i="108"/>
  <c r="AC74" i="108"/>
  <c r="AC75" i="108"/>
  <c r="AC51" i="108"/>
  <c r="AC52" i="108"/>
  <c r="AC54" i="108"/>
  <c r="AC55" i="108"/>
  <c r="AC56" i="108"/>
  <c r="AC57" i="108"/>
  <c r="AC27" i="108"/>
  <c r="AC28" i="108"/>
  <c r="AC29" i="108"/>
  <c r="AC30" i="108"/>
  <c r="AC31" i="108"/>
  <c r="AC32" i="108"/>
  <c r="AC33" i="108"/>
  <c r="AC34" i="108"/>
  <c r="AC35" i="108"/>
  <c r="AC36" i="108"/>
  <c r="AC37" i="108"/>
  <c r="AC40" i="108"/>
  <c r="AC45" i="108"/>
  <c r="AC46" i="108"/>
  <c r="AC47" i="108"/>
  <c r="AC48" i="108"/>
  <c r="AC49" i="108"/>
  <c r="AC50" i="108"/>
  <c r="AC11" i="108"/>
  <c r="AC12" i="108"/>
  <c r="AC13" i="108"/>
  <c r="AC14" i="108"/>
  <c r="AC15" i="108"/>
  <c r="AC16" i="108"/>
  <c r="AC10" i="108"/>
  <c r="AA226" i="108"/>
  <c r="AE226" i="108"/>
  <c r="AG226" i="108"/>
  <c r="AI226" i="108"/>
  <c r="AK226" i="108"/>
  <c r="AM226" i="108"/>
  <c r="AO226" i="108"/>
  <c r="AA227" i="108"/>
  <c r="AE227" i="108"/>
  <c r="AG227" i="108"/>
  <c r="AI227" i="108"/>
  <c r="AK227" i="108"/>
  <c r="AM227" i="108"/>
  <c r="AO227" i="108"/>
  <c r="AA228" i="108"/>
  <c r="AE228" i="108"/>
  <c r="AG228" i="108"/>
  <c r="AI228" i="108"/>
  <c r="AK228" i="108"/>
  <c r="AM228" i="108"/>
  <c r="AO228" i="108"/>
  <c r="AA229" i="108"/>
  <c r="AE229" i="108"/>
  <c r="AG229" i="108"/>
  <c r="AI229" i="108"/>
  <c r="AK229" i="108"/>
  <c r="AM229" i="108"/>
  <c r="AO229" i="108"/>
  <c r="AA231" i="108"/>
  <c r="AE231" i="108"/>
  <c r="AG231" i="108"/>
  <c r="AI231" i="108"/>
  <c r="AK231" i="108"/>
  <c r="AM231" i="108"/>
  <c r="AO231" i="108"/>
  <c r="AA232" i="108"/>
  <c r="AE232" i="108"/>
  <c r="AG232" i="108"/>
  <c r="AI232" i="108"/>
  <c r="AK232" i="108"/>
  <c r="AM232" i="108"/>
  <c r="AO232" i="108"/>
  <c r="AA233" i="108"/>
  <c r="AE233" i="108"/>
  <c r="AG233" i="108"/>
  <c r="AI233" i="108"/>
  <c r="AK233" i="108"/>
  <c r="AM233" i="108"/>
  <c r="AO233" i="108"/>
  <c r="AA234" i="108"/>
  <c r="AE234" i="108"/>
  <c r="AG234" i="108"/>
  <c r="AI234" i="108"/>
  <c r="AK234" i="108"/>
  <c r="AM234" i="108"/>
  <c r="AO234" i="108"/>
  <c r="AA235" i="108"/>
  <c r="AE235" i="108"/>
  <c r="AG235" i="108"/>
  <c r="AI235" i="108"/>
  <c r="AK235" i="108"/>
  <c r="AM235" i="108"/>
  <c r="AO235" i="108"/>
  <c r="AA236" i="108"/>
  <c r="AE236" i="108"/>
  <c r="AG236" i="108"/>
  <c r="AI236" i="108"/>
  <c r="AK236" i="108"/>
  <c r="AM236" i="108"/>
  <c r="AO236" i="108"/>
  <c r="AA241" i="108"/>
  <c r="AE241" i="108"/>
  <c r="AG241" i="108"/>
  <c r="AI241" i="108"/>
  <c r="AK241" i="108"/>
  <c r="AM241" i="108"/>
  <c r="AO241" i="108"/>
  <c r="AA242" i="108"/>
  <c r="AE242" i="108"/>
  <c r="AG242" i="108"/>
  <c r="AI242" i="108"/>
  <c r="AK242" i="108"/>
  <c r="AM242" i="108"/>
  <c r="AO242" i="108"/>
  <c r="AA247" i="108"/>
  <c r="AE247" i="108"/>
  <c r="AG247" i="108"/>
  <c r="AI247" i="108"/>
  <c r="AK247" i="108"/>
  <c r="AM247" i="108"/>
  <c r="AO247" i="108"/>
  <c r="AA252" i="108"/>
  <c r="AE252" i="108"/>
  <c r="AG252" i="108"/>
  <c r="AI252" i="108"/>
  <c r="AK252" i="108"/>
  <c r="AM252" i="108"/>
  <c r="AO252" i="108"/>
  <c r="AA253" i="108"/>
  <c r="AE253" i="108"/>
  <c r="AG253" i="108"/>
  <c r="AI253" i="108"/>
  <c r="AK253" i="108"/>
  <c r="AM253" i="108"/>
  <c r="AO253" i="108"/>
  <c r="AA254" i="108"/>
  <c r="AE254" i="108"/>
  <c r="AG254" i="108"/>
  <c r="AI254" i="108"/>
  <c r="AK254" i="108"/>
  <c r="AM254" i="108"/>
  <c r="AO254" i="108"/>
  <c r="AA255" i="108"/>
  <c r="AE255" i="108"/>
  <c r="AG255" i="108"/>
  <c r="AI255" i="108"/>
  <c r="AK255" i="108"/>
  <c r="AM255" i="108"/>
  <c r="AO255" i="108"/>
  <c r="AA224" i="108"/>
  <c r="AE224" i="108"/>
  <c r="AG224" i="108"/>
  <c r="AI224" i="108"/>
  <c r="AK224" i="108"/>
  <c r="AM224" i="108"/>
  <c r="AO224" i="108"/>
  <c r="AA222" i="108"/>
  <c r="AE222" i="108"/>
  <c r="AG222" i="108"/>
  <c r="AI222" i="108"/>
  <c r="AK222" i="108"/>
  <c r="AM222" i="108"/>
  <c r="AO222" i="108"/>
  <c r="AA216" i="108"/>
  <c r="AE216" i="108"/>
  <c r="AG216" i="108"/>
  <c r="AI216" i="108"/>
  <c r="AK216" i="108"/>
  <c r="AM216" i="108"/>
  <c r="AO216" i="108"/>
  <c r="AA217" i="108"/>
  <c r="AE217" i="108"/>
  <c r="AG217" i="108"/>
  <c r="AI217" i="108"/>
  <c r="AK217" i="108"/>
  <c r="AM217" i="108"/>
  <c r="AO217" i="108"/>
  <c r="AA208" i="108"/>
  <c r="AE208" i="108"/>
  <c r="AG208" i="108"/>
  <c r="AI208" i="108"/>
  <c r="AK208" i="108"/>
  <c r="AM208" i="108"/>
  <c r="AO208" i="108"/>
  <c r="AA209" i="108"/>
  <c r="AE209" i="108"/>
  <c r="AG209" i="108"/>
  <c r="AI209" i="108"/>
  <c r="AK209" i="108"/>
  <c r="AM209" i="108"/>
  <c r="AO209" i="108"/>
  <c r="AA210" i="108"/>
  <c r="AE210" i="108"/>
  <c r="AG210" i="108"/>
  <c r="AI210" i="108"/>
  <c r="AK210" i="108"/>
  <c r="AM210" i="108"/>
  <c r="AO210" i="108"/>
  <c r="AA211" i="108"/>
  <c r="AE211" i="108"/>
  <c r="AG211" i="108"/>
  <c r="AI211" i="108"/>
  <c r="AK211" i="108"/>
  <c r="AM211" i="108"/>
  <c r="AO211" i="108"/>
  <c r="AA212" i="108"/>
  <c r="AE212" i="108"/>
  <c r="AG212" i="108"/>
  <c r="AI212" i="108"/>
  <c r="AK212" i="108"/>
  <c r="AM212" i="108"/>
  <c r="AO212" i="108"/>
  <c r="AA213" i="108"/>
  <c r="AE213" i="108"/>
  <c r="AG213" i="108"/>
  <c r="AI213" i="108"/>
  <c r="AK213" i="108"/>
  <c r="AM213" i="108"/>
  <c r="AO213" i="108"/>
  <c r="AA214" i="108"/>
  <c r="AE214" i="108"/>
  <c r="AG214" i="108"/>
  <c r="AI214" i="108"/>
  <c r="AK214" i="108"/>
  <c r="AM214" i="108"/>
  <c r="AO214" i="108"/>
  <c r="AK87" i="108"/>
  <c r="AM87" i="108"/>
  <c r="AK88" i="108"/>
  <c r="AM88" i="108"/>
  <c r="AK90" i="108"/>
  <c r="AM90" i="108"/>
  <c r="AK96" i="108"/>
  <c r="AM96" i="108"/>
  <c r="AK97" i="108"/>
  <c r="AM97" i="108"/>
  <c r="AK77" i="108"/>
  <c r="AM77" i="108"/>
  <c r="AK83" i="108"/>
  <c r="AM83" i="108"/>
  <c r="AK85" i="108"/>
  <c r="AM85" i="108"/>
  <c r="AE73" i="108"/>
  <c r="AI73" i="108"/>
  <c r="AM73" i="108"/>
  <c r="AE74" i="108"/>
  <c r="AI74" i="108"/>
  <c r="AM74" i="108"/>
  <c r="AE75" i="108"/>
  <c r="AI75" i="108"/>
  <c r="AK75" i="108"/>
  <c r="AM75" i="108"/>
  <c r="AA25" i="108"/>
  <c r="AI25" i="108"/>
  <c r="AK25" i="108"/>
  <c r="AI26" i="108"/>
  <c r="AK26" i="108"/>
  <c r="AM26" i="108"/>
  <c r="AE27" i="108"/>
  <c r="AI27" i="108"/>
  <c r="AK27" i="108"/>
  <c r="AM27" i="108"/>
  <c r="AE28" i="108"/>
  <c r="AI28" i="108"/>
  <c r="AK28" i="108"/>
  <c r="AM28" i="108"/>
  <c r="AE29" i="108"/>
  <c r="AI29" i="108"/>
  <c r="AK29" i="108"/>
  <c r="AM29" i="108"/>
  <c r="AE30" i="108"/>
  <c r="AI30" i="108"/>
  <c r="AK30" i="108"/>
  <c r="AM30" i="108"/>
  <c r="AE31" i="108"/>
  <c r="AI31" i="108"/>
  <c r="AK31" i="108"/>
  <c r="AM31" i="108"/>
  <c r="AE32" i="108"/>
  <c r="AI32" i="108"/>
  <c r="AK32" i="108"/>
  <c r="AM32" i="108"/>
  <c r="AE33" i="108"/>
  <c r="AI33" i="108"/>
  <c r="AK33" i="108"/>
  <c r="AM33" i="108"/>
  <c r="AE34" i="108"/>
  <c r="AI34" i="108"/>
  <c r="AK34" i="108"/>
  <c r="AM34" i="108"/>
  <c r="AE35" i="108"/>
  <c r="AI35" i="108"/>
  <c r="AK35" i="108"/>
  <c r="AM35" i="108"/>
  <c r="AE36" i="108"/>
  <c r="AI36" i="108"/>
  <c r="AK36" i="108"/>
  <c r="AM36" i="108"/>
  <c r="AE37" i="108"/>
  <c r="AI37" i="108"/>
  <c r="AK37" i="108"/>
  <c r="AM37" i="108"/>
  <c r="AE40" i="108"/>
  <c r="AI40" i="108"/>
  <c r="AK40" i="108"/>
  <c r="AM40" i="108"/>
  <c r="AI41" i="108"/>
  <c r="AK41" i="108"/>
  <c r="AM41" i="108"/>
  <c r="AI42" i="108"/>
  <c r="AK42" i="108"/>
  <c r="AM42" i="108"/>
  <c r="AI43" i="108"/>
  <c r="AK43" i="108"/>
  <c r="AM43" i="108"/>
  <c r="AI44" i="108"/>
  <c r="AK44" i="108"/>
  <c r="AM44" i="108"/>
  <c r="AE46" i="108"/>
  <c r="AI46" i="108"/>
  <c r="AK46" i="108"/>
  <c r="AM46" i="108"/>
  <c r="AE47" i="108"/>
  <c r="AI47" i="108"/>
  <c r="AK47" i="108"/>
  <c r="AM47" i="108"/>
  <c r="AE48" i="108"/>
  <c r="AI48" i="108"/>
  <c r="AK48" i="108"/>
  <c r="AM48" i="108"/>
  <c r="AE49" i="108"/>
  <c r="AI49" i="108"/>
  <c r="AK49" i="108"/>
  <c r="AM49" i="108"/>
  <c r="AE50" i="108"/>
  <c r="AI50" i="108"/>
  <c r="AK50" i="108"/>
  <c r="AM50" i="108"/>
  <c r="AE51" i="108"/>
  <c r="AI51" i="108"/>
  <c r="AK51" i="108"/>
  <c r="AM51" i="108"/>
  <c r="AE52" i="108"/>
  <c r="AI52" i="108"/>
  <c r="AK52" i="108"/>
  <c r="AM52" i="108"/>
  <c r="AE54" i="108"/>
  <c r="AI54" i="108"/>
  <c r="AK54" i="108"/>
  <c r="AM54" i="108"/>
  <c r="AE55" i="108"/>
  <c r="AI55" i="108"/>
  <c r="AK55" i="108"/>
  <c r="AM55" i="108"/>
  <c r="AE56" i="108"/>
  <c r="AI56" i="108"/>
  <c r="AK56" i="108"/>
  <c r="AM56" i="108"/>
  <c r="AI57" i="108"/>
  <c r="AK57" i="108"/>
  <c r="AM57" i="108"/>
  <c r="AE10" i="108"/>
  <c r="AG10" i="108"/>
  <c r="AI10" i="108"/>
  <c r="AK10" i="108"/>
  <c r="AM10" i="108"/>
  <c r="AO10" i="108"/>
  <c r="AE11" i="108"/>
  <c r="AI11" i="108"/>
  <c r="AK11" i="108"/>
  <c r="AM11" i="108"/>
  <c r="AO11" i="108"/>
  <c r="AE12" i="108"/>
  <c r="AI12" i="108"/>
  <c r="AK12" i="108"/>
  <c r="AM12" i="108"/>
  <c r="AO12" i="108"/>
  <c r="AE13" i="108"/>
  <c r="AI13" i="108"/>
  <c r="AK13" i="108"/>
  <c r="AM13" i="108"/>
  <c r="AO13" i="108"/>
  <c r="AE14" i="108"/>
  <c r="AI14" i="108"/>
  <c r="AK14" i="108"/>
  <c r="AM14" i="108"/>
  <c r="AO14" i="108"/>
  <c r="AE15" i="108"/>
  <c r="AI15" i="108"/>
  <c r="AK15" i="108"/>
  <c r="AM15" i="108"/>
  <c r="AO15" i="108"/>
  <c r="AE16" i="108"/>
  <c r="AI16" i="108"/>
  <c r="AK16" i="108"/>
  <c r="AM16" i="108"/>
  <c r="AO16" i="108"/>
  <c r="AX62" i="107"/>
  <c r="AV62" i="107"/>
  <c r="AT62" i="107"/>
  <c r="AR62" i="107"/>
  <c r="AP62" i="107"/>
  <c r="AN62" i="107"/>
  <c r="AL62" i="107"/>
  <c r="AJ62" i="107"/>
  <c r="AH62" i="107"/>
  <c r="AF62" i="107"/>
  <c r="AD62" i="107"/>
  <c r="AB62" i="107"/>
  <c r="O211" i="109"/>
  <c r="N211" i="109"/>
  <c r="O203" i="109"/>
  <c r="N203" i="109"/>
  <c r="AI215" i="109"/>
  <c r="AG215" i="109"/>
  <c r="AE215" i="109"/>
  <c r="AC215" i="109"/>
  <c r="AA215" i="109"/>
  <c r="S211" i="109"/>
  <c r="Q211" i="109"/>
  <c r="E211" i="109"/>
  <c r="E207" i="109"/>
  <c r="A207" i="109"/>
  <c r="W207" i="109" s="1" a="1"/>
  <c r="W207" i="109" s="1"/>
  <c r="S203" i="109"/>
  <c r="Q203" i="109"/>
  <c r="E203" i="109"/>
  <c r="E199" i="109"/>
  <c r="A199" i="109"/>
  <c r="W199" i="109" s="1" a="1"/>
  <c r="W199" i="109" s="1"/>
  <c r="E198" i="109"/>
  <c r="A198" i="109"/>
  <c r="W198" i="109" s="1" a="1"/>
  <c r="W198" i="109" s="1"/>
  <c r="E197" i="109"/>
  <c r="A197" i="109"/>
  <c r="W197" i="109" s="1" a="1"/>
  <c r="W197" i="109" s="1"/>
  <c r="E196" i="109"/>
  <c r="A196" i="109"/>
  <c r="W196" i="109" s="1" a="1"/>
  <c r="W196" i="109" s="1"/>
  <c r="E195" i="109"/>
  <c r="A195" i="109"/>
  <c r="W195" i="109" s="1" a="1"/>
  <c r="W195" i="109" s="1"/>
  <c r="E194" i="109"/>
  <c r="A194" i="109"/>
  <c r="W194" i="109" s="1" a="1"/>
  <c r="W194" i="109" s="1"/>
  <c r="E193" i="109"/>
  <c r="A193" i="109"/>
  <c r="W193" i="109" s="1" a="1"/>
  <c r="W193" i="109" s="1"/>
  <c r="E192" i="109"/>
  <c r="A192" i="109"/>
  <c r="W192" i="109" s="1" a="1"/>
  <c r="W192" i="109" s="1"/>
  <c r="E191" i="109"/>
  <c r="A191" i="109"/>
  <c r="W191" i="109" s="1" a="1"/>
  <c r="W191" i="109" s="1"/>
  <c r="E127" i="109"/>
  <c r="E125" i="109"/>
  <c r="A125" i="109"/>
  <c r="E122" i="109"/>
  <c r="A122" i="109"/>
  <c r="W122" i="109" s="1" a="1"/>
  <c r="W122" i="109" s="1"/>
  <c r="E120" i="109"/>
  <c r="A120" i="109"/>
  <c r="W120" i="109" s="1" a="1"/>
  <c r="W120" i="109" s="1"/>
  <c r="E119" i="109"/>
  <c r="A119" i="109"/>
  <c r="W119" i="109" s="1" a="1"/>
  <c r="W119" i="109" s="1"/>
  <c r="E118" i="109"/>
  <c r="A118" i="109"/>
  <c r="W118" i="109" s="1" a="1"/>
  <c r="W118" i="109" s="1"/>
  <c r="E117" i="109"/>
  <c r="A117" i="109"/>
  <c r="W117" i="109" s="1" a="1"/>
  <c r="W117" i="109" s="1"/>
  <c r="E116" i="109"/>
  <c r="A116" i="109"/>
  <c r="W116" i="109" s="1" a="1"/>
  <c r="W116" i="109" s="1"/>
  <c r="E114" i="109"/>
  <c r="A114" i="109"/>
  <c r="W114" i="109" s="1" a="1"/>
  <c r="W114" i="109" s="1"/>
  <c r="E112" i="109"/>
  <c r="A112" i="109"/>
  <c r="W112" i="109" s="1" a="1"/>
  <c r="W112" i="109" s="1"/>
  <c r="E110" i="109"/>
  <c r="A110" i="109"/>
  <c r="W110" i="109" s="1" a="1"/>
  <c r="W110" i="109" s="1"/>
  <c r="E107" i="109"/>
  <c r="A107" i="109"/>
  <c r="W107" i="109" s="1" a="1"/>
  <c r="W107" i="109" s="1"/>
  <c r="E106" i="109"/>
  <c r="A106" i="109"/>
  <c r="W106" i="109" s="1" a="1"/>
  <c r="W106" i="109" s="1"/>
  <c r="E105" i="109"/>
  <c r="A105" i="109"/>
  <c r="W105" i="109" s="1" a="1"/>
  <c r="W105" i="109" s="1"/>
  <c r="E103" i="109"/>
  <c r="A103" i="109"/>
  <c r="W103" i="109" s="1" a="1"/>
  <c r="W103" i="109" s="1"/>
  <c r="E102" i="109"/>
  <c r="A102" i="109"/>
  <c r="W102" i="109" s="1" a="1"/>
  <c r="W102" i="109" s="1"/>
  <c r="E101" i="109"/>
  <c r="A101" i="109"/>
  <c r="W101" i="109" s="1" a="1"/>
  <c r="W101" i="109" s="1"/>
  <c r="E100" i="109"/>
  <c r="A100" i="109"/>
  <c r="W100" i="109" s="1" a="1"/>
  <c r="W100" i="109" s="1"/>
  <c r="E98" i="109"/>
  <c r="A98" i="109"/>
  <c r="W98" i="109" s="1" a="1"/>
  <c r="W98" i="109" s="1"/>
  <c r="E97" i="109"/>
  <c r="A97" i="109"/>
  <c r="W97" i="109" s="1" a="1"/>
  <c r="W97" i="109" s="1"/>
  <c r="E96" i="109"/>
  <c r="A96" i="109"/>
  <c r="W96" i="109" s="1" a="1"/>
  <c r="W96" i="109" s="1"/>
  <c r="E95" i="109"/>
  <c r="A95" i="109"/>
  <c r="W95" i="109" s="1" a="1"/>
  <c r="W95" i="109" s="1"/>
  <c r="E94" i="109"/>
  <c r="A94" i="109"/>
  <c r="W94" i="109" s="1" a="1"/>
  <c r="W94" i="109" s="1"/>
  <c r="E92" i="109"/>
  <c r="A92" i="109"/>
  <c r="W92" i="109" s="1" a="1"/>
  <c r="W92" i="109" s="1"/>
  <c r="E91" i="109"/>
  <c r="A91" i="109"/>
  <c r="W91" i="109" s="1" a="1"/>
  <c r="W91" i="109" s="1"/>
  <c r="E90" i="109"/>
  <c r="A90" i="109"/>
  <c r="W90" i="109" s="1" a="1"/>
  <c r="W90" i="109" s="1"/>
  <c r="A89" i="109"/>
  <c r="W89" i="109" s="1" a="1"/>
  <c r="W89" i="109" s="1"/>
  <c r="E87" i="109"/>
  <c r="A87" i="109"/>
  <c r="W87" i="109" s="1" a="1"/>
  <c r="W87" i="109" s="1"/>
  <c r="A3" i="109" a="1"/>
  <c r="A3" i="109" s="1"/>
  <c r="AA2" i="109"/>
  <c r="L268" i="108"/>
  <c r="N268" i="108"/>
  <c r="P268" i="108"/>
  <c r="J258" i="108"/>
  <c r="K258" i="108"/>
  <c r="L258" i="108"/>
  <c r="N258" i="108"/>
  <c r="P258" i="108"/>
  <c r="J249" i="108"/>
  <c r="K249" i="108"/>
  <c r="L249" i="108"/>
  <c r="N249" i="108"/>
  <c r="P249" i="108"/>
  <c r="J244" i="108"/>
  <c r="K244" i="108"/>
  <c r="L244" i="108"/>
  <c r="N244" i="108"/>
  <c r="P244" i="108"/>
  <c r="J238" i="108"/>
  <c r="K238" i="108"/>
  <c r="L238" i="108"/>
  <c r="N238" i="108"/>
  <c r="P238" i="108"/>
  <c r="P205" i="108"/>
  <c r="L22" i="108"/>
  <c r="N22" i="108"/>
  <c r="J22" i="108"/>
  <c r="K22" i="108"/>
  <c r="P22" i="108"/>
  <c r="K268" i="108"/>
  <c r="J268" i="108"/>
  <c r="I268" i="108"/>
  <c r="H268" i="108"/>
  <c r="G268" i="108"/>
  <c r="F268" i="108"/>
  <c r="E268" i="108"/>
  <c r="I258" i="108"/>
  <c r="H258" i="108"/>
  <c r="G258" i="108"/>
  <c r="F258" i="108"/>
  <c r="E258" i="108"/>
  <c r="I249" i="108"/>
  <c r="H249" i="108"/>
  <c r="G249" i="108"/>
  <c r="F249" i="108"/>
  <c r="E249" i="108"/>
  <c r="I244" i="108"/>
  <c r="H244" i="108"/>
  <c r="G244" i="108"/>
  <c r="F244" i="108"/>
  <c r="E244" i="108"/>
  <c r="I238" i="108"/>
  <c r="H238" i="108"/>
  <c r="G238" i="108"/>
  <c r="F238" i="108"/>
  <c r="E238" i="108"/>
  <c r="AQ229" i="108"/>
  <c r="AQ228" i="108"/>
  <c r="E205" i="108"/>
  <c r="I22" i="108"/>
  <c r="H22" i="108"/>
  <c r="G22" i="108"/>
  <c r="F22" i="108"/>
  <c r="E22" i="108"/>
  <c r="A3" i="108" a="1"/>
  <c r="A3" i="108" s="1"/>
  <c r="Y2" i="108"/>
  <c r="AZ65" i="107"/>
  <c r="AM271" i="108" l="1"/>
  <c r="AI6" i="109"/>
  <c r="N214" i="109"/>
  <c r="O214" i="109"/>
  <c r="AC6" i="109"/>
  <c r="AE6" i="109"/>
  <c r="AG6" i="109"/>
  <c r="G270" i="108"/>
  <c r="P270" i="108"/>
  <c r="H270" i="108"/>
  <c r="I270" i="108"/>
  <c r="N270" i="108"/>
  <c r="F270" i="108"/>
  <c r="K270" i="108"/>
  <c r="J270" i="108"/>
  <c r="L270" i="108"/>
  <c r="AA271" i="108"/>
  <c r="AC271" i="108"/>
  <c r="AK271" i="108"/>
  <c r="AK7" i="108" s="1"/>
  <c r="AI271" i="108"/>
  <c r="AE271" i="108"/>
  <c r="AE7" i="108" s="1"/>
  <c r="H214" i="109"/>
  <c r="F214" i="109"/>
  <c r="S214" i="109"/>
  <c r="Q214" i="109"/>
  <c r="AC216" i="109"/>
  <c r="AC7" i="109" s="1"/>
  <c r="AE216" i="109"/>
  <c r="AE7" i="109" s="1"/>
  <c r="AG216" i="109"/>
  <c r="AG7" i="109" s="1"/>
  <c r="AI216" i="109"/>
  <c r="AI7" i="109" s="1"/>
  <c r="AZ67" i="107"/>
  <c r="AZ64" i="107"/>
  <c r="Z243" i="107"/>
  <c r="AZ241" i="107"/>
  <c r="AZ240" i="107"/>
  <c r="E239" i="107"/>
  <c r="AZ238" i="107"/>
  <c r="AZ236" i="107"/>
  <c r="AZ234" i="107"/>
  <c r="E233" i="107"/>
  <c r="AZ232" i="107"/>
  <c r="AZ231" i="107"/>
  <c r="AZ229" i="107"/>
  <c r="E228" i="107"/>
  <c r="AZ227" i="107"/>
  <c r="AZ225" i="107"/>
  <c r="E222" i="107"/>
  <c r="AZ221" i="107"/>
  <c r="AZ220" i="107"/>
  <c r="AZ219" i="107"/>
  <c r="AZ217" i="107"/>
  <c r="P216" i="107"/>
  <c r="N216" i="107"/>
  <c r="M216" i="107"/>
  <c r="M242" i="107" s="1"/>
  <c r="E216" i="107"/>
  <c r="AZ215" i="107"/>
  <c r="AZ214" i="107"/>
  <c r="AX214" i="107"/>
  <c r="AV214" i="107"/>
  <c r="AT214" i="107"/>
  <c r="AR214" i="107"/>
  <c r="AP214" i="107"/>
  <c r="AN214" i="107"/>
  <c r="AL214" i="107"/>
  <c r="AJ214" i="107"/>
  <c r="AH214" i="107"/>
  <c r="AF214" i="107"/>
  <c r="AD214" i="107"/>
  <c r="AB214" i="107"/>
  <c r="AZ213" i="107"/>
  <c r="AX213" i="107"/>
  <c r="AV213" i="107"/>
  <c r="AT213" i="107"/>
  <c r="AR213" i="107"/>
  <c r="AP213" i="107"/>
  <c r="AN213" i="107"/>
  <c r="AL213" i="107"/>
  <c r="AJ213" i="107"/>
  <c r="AH213" i="107"/>
  <c r="AF213" i="107"/>
  <c r="AD213" i="107"/>
  <c r="AB213" i="107"/>
  <c r="AZ212" i="107"/>
  <c r="AX212" i="107"/>
  <c r="AV212" i="107"/>
  <c r="AT212" i="107"/>
  <c r="AR212" i="107"/>
  <c r="AP212" i="107"/>
  <c r="AN212" i="107"/>
  <c r="AL212" i="107"/>
  <c r="AJ212" i="107"/>
  <c r="AH212" i="107"/>
  <c r="AF212" i="107"/>
  <c r="AD212" i="107"/>
  <c r="AB212" i="107"/>
  <c r="AZ210" i="107"/>
  <c r="AX210" i="107"/>
  <c r="AV210" i="107"/>
  <c r="AT210" i="107"/>
  <c r="AR210" i="107"/>
  <c r="AP210" i="107"/>
  <c r="AN210" i="107"/>
  <c r="AL210" i="107"/>
  <c r="AJ210" i="107"/>
  <c r="AH210" i="107"/>
  <c r="AF210" i="107"/>
  <c r="AD210" i="107"/>
  <c r="AB210" i="107"/>
  <c r="AZ209" i="107"/>
  <c r="AX209" i="107"/>
  <c r="AV209" i="107"/>
  <c r="AT209" i="107"/>
  <c r="AR209" i="107"/>
  <c r="AP209" i="107"/>
  <c r="AN209" i="107"/>
  <c r="AL209" i="107"/>
  <c r="AJ209" i="107"/>
  <c r="AH209" i="107"/>
  <c r="AF209" i="107"/>
  <c r="AD209" i="107"/>
  <c r="AB209" i="107"/>
  <c r="AZ208" i="107"/>
  <c r="AX208" i="107"/>
  <c r="AV208" i="107"/>
  <c r="AT208" i="107"/>
  <c r="AR208" i="107"/>
  <c r="AP208" i="107"/>
  <c r="AN208" i="107"/>
  <c r="AL208" i="107"/>
  <c r="AJ208" i="107"/>
  <c r="AH208" i="107"/>
  <c r="AF208" i="107"/>
  <c r="AD208" i="107"/>
  <c r="AB208" i="107"/>
  <c r="AZ206" i="107"/>
  <c r="AX206" i="107"/>
  <c r="AV206" i="107"/>
  <c r="AT206" i="107"/>
  <c r="AR206" i="107"/>
  <c r="AP206" i="107"/>
  <c r="AN206" i="107"/>
  <c r="AL206" i="107"/>
  <c r="AJ206" i="107"/>
  <c r="AH206" i="107"/>
  <c r="AF206" i="107"/>
  <c r="AD206" i="107"/>
  <c r="AB206" i="107"/>
  <c r="AZ205" i="107"/>
  <c r="AX205" i="107"/>
  <c r="AV205" i="107"/>
  <c r="AT205" i="107"/>
  <c r="AR205" i="107"/>
  <c r="AP205" i="107"/>
  <c r="AN205" i="107"/>
  <c r="AL205" i="107"/>
  <c r="AJ205" i="107"/>
  <c r="AH205" i="107"/>
  <c r="AF205" i="107"/>
  <c r="AD205" i="107"/>
  <c r="AB205" i="107"/>
  <c r="AZ203" i="107"/>
  <c r="AX203" i="107"/>
  <c r="AV203" i="107"/>
  <c r="AT203" i="107"/>
  <c r="AR203" i="107"/>
  <c r="AP203" i="107"/>
  <c r="AN203" i="107"/>
  <c r="AL203" i="107"/>
  <c r="AJ203" i="107"/>
  <c r="AH203" i="107"/>
  <c r="AF203" i="107"/>
  <c r="AD203" i="107"/>
  <c r="AB203" i="107"/>
  <c r="AZ202" i="107"/>
  <c r="AX202" i="107"/>
  <c r="AV202" i="107"/>
  <c r="AT202" i="107"/>
  <c r="AR202" i="107"/>
  <c r="AP202" i="107"/>
  <c r="AN202" i="107"/>
  <c r="AL202" i="107"/>
  <c r="AJ202" i="107"/>
  <c r="AH202" i="107"/>
  <c r="AF202" i="107"/>
  <c r="AD202" i="107"/>
  <c r="AB202" i="107"/>
  <c r="AZ201" i="107"/>
  <c r="AX201" i="107"/>
  <c r="AV201" i="107"/>
  <c r="AT201" i="107"/>
  <c r="AR201" i="107"/>
  <c r="AP201" i="107"/>
  <c r="AN201" i="107"/>
  <c r="AL201" i="107"/>
  <c r="AJ201" i="107"/>
  <c r="AH201" i="107"/>
  <c r="AF201" i="107"/>
  <c r="AD201" i="107"/>
  <c r="AB201" i="107"/>
  <c r="AZ200" i="107"/>
  <c r="AZ199" i="107"/>
  <c r="AX199" i="107"/>
  <c r="AV199" i="107"/>
  <c r="AT199" i="107"/>
  <c r="AR199" i="107"/>
  <c r="AP199" i="107"/>
  <c r="AN199" i="107"/>
  <c r="AL199" i="107"/>
  <c r="AJ199" i="107"/>
  <c r="AH199" i="107"/>
  <c r="AF199" i="107"/>
  <c r="AD199" i="107"/>
  <c r="AB199" i="107"/>
  <c r="AZ198" i="107"/>
  <c r="AX198" i="107"/>
  <c r="AV198" i="107"/>
  <c r="AT198" i="107"/>
  <c r="AR198" i="107"/>
  <c r="AP198" i="107"/>
  <c r="AN198" i="107"/>
  <c r="AL198" i="107"/>
  <c r="AJ198" i="107"/>
  <c r="AH198" i="107"/>
  <c r="AF198" i="107"/>
  <c r="AD198" i="107"/>
  <c r="AB198" i="107"/>
  <c r="AZ197" i="107"/>
  <c r="AX197" i="107"/>
  <c r="AV197" i="107"/>
  <c r="AT197" i="107"/>
  <c r="AR197" i="107"/>
  <c r="AP197" i="107"/>
  <c r="AN197" i="107"/>
  <c r="AL197" i="107"/>
  <c r="AJ197" i="107"/>
  <c r="AH197" i="107"/>
  <c r="AF197" i="107"/>
  <c r="AD197" i="107"/>
  <c r="AB197" i="107"/>
  <c r="AZ195" i="107"/>
  <c r="AX195" i="107"/>
  <c r="AV195" i="107"/>
  <c r="AT195" i="107"/>
  <c r="AR195" i="107"/>
  <c r="AP195" i="107"/>
  <c r="AN195" i="107"/>
  <c r="AL195" i="107"/>
  <c r="AJ195" i="107"/>
  <c r="AH195" i="107"/>
  <c r="AF195" i="107"/>
  <c r="AD195" i="107"/>
  <c r="AB195" i="107"/>
  <c r="AZ194" i="107"/>
  <c r="AX194" i="107"/>
  <c r="AV194" i="107"/>
  <c r="AT194" i="107"/>
  <c r="AR194" i="107"/>
  <c r="AP194" i="107"/>
  <c r="AN194" i="107"/>
  <c r="AL194" i="107"/>
  <c r="AJ194" i="107"/>
  <c r="AH194" i="107"/>
  <c r="AF194" i="107"/>
  <c r="AD194" i="107"/>
  <c r="AB194" i="107"/>
  <c r="AZ192" i="107"/>
  <c r="AX192" i="107"/>
  <c r="AV192" i="107"/>
  <c r="AT192" i="107"/>
  <c r="AR192" i="107"/>
  <c r="AP192" i="107"/>
  <c r="AN192" i="107"/>
  <c r="AL192" i="107"/>
  <c r="AJ192" i="107"/>
  <c r="AH192" i="107"/>
  <c r="AF192" i="107"/>
  <c r="AD192" i="107"/>
  <c r="AB192" i="107"/>
  <c r="AZ191" i="107"/>
  <c r="AX191" i="107"/>
  <c r="AV191" i="107"/>
  <c r="AT191" i="107"/>
  <c r="AR191" i="107"/>
  <c r="AP191" i="107"/>
  <c r="AN191" i="107"/>
  <c r="AL191" i="107"/>
  <c r="AJ191" i="107"/>
  <c r="AH191" i="107"/>
  <c r="AF191" i="107"/>
  <c r="AD191" i="107"/>
  <c r="AB191" i="107"/>
  <c r="AZ189" i="107"/>
  <c r="AX189" i="107"/>
  <c r="AV189" i="107"/>
  <c r="AT189" i="107"/>
  <c r="AR189" i="107"/>
  <c r="AP189" i="107"/>
  <c r="AN189" i="107"/>
  <c r="AL189" i="107"/>
  <c r="AJ189" i="107"/>
  <c r="AH189" i="107"/>
  <c r="AF189" i="107"/>
  <c r="AD189" i="107"/>
  <c r="AB189" i="107"/>
  <c r="AZ188" i="107"/>
  <c r="AX188" i="107"/>
  <c r="AV188" i="107"/>
  <c r="AT188" i="107"/>
  <c r="AR188" i="107"/>
  <c r="AP188" i="107"/>
  <c r="AN188" i="107"/>
  <c r="AL188" i="107"/>
  <c r="AJ188" i="107"/>
  <c r="AH188" i="107"/>
  <c r="AF188" i="107"/>
  <c r="AD188" i="107"/>
  <c r="AB188" i="107"/>
  <c r="AZ186" i="107"/>
  <c r="AX186" i="107"/>
  <c r="AV186" i="107"/>
  <c r="AT186" i="107"/>
  <c r="AR186" i="107"/>
  <c r="AP186" i="107"/>
  <c r="AN186" i="107"/>
  <c r="AL186" i="107"/>
  <c r="AJ186" i="107"/>
  <c r="AH186" i="107"/>
  <c r="AF186" i="107"/>
  <c r="AD186" i="107"/>
  <c r="AB186" i="107"/>
  <c r="AZ184" i="107"/>
  <c r="AX184" i="107"/>
  <c r="AV184" i="107"/>
  <c r="AT184" i="107"/>
  <c r="AR184" i="107"/>
  <c r="AP184" i="107"/>
  <c r="AN184" i="107"/>
  <c r="AL184" i="107"/>
  <c r="AJ184" i="107"/>
  <c r="AH184" i="107"/>
  <c r="AF184" i="107"/>
  <c r="AD184" i="107"/>
  <c r="AB184" i="107"/>
  <c r="AZ183" i="107"/>
  <c r="AX183" i="107"/>
  <c r="AV183" i="107"/>
  <c r="AT183" i="107"/>
  <c r="AR183" i="107"/>
  <c r="AP183" i="107"/>
  <c r="AN183" i="107"/>
  <c r="AL183" i="107"/>
  <c r="AJ183" i="107"/>
  <c r="AH183" i="107"/>
  <c r="AF183" i="107"/>
  <c r="AD183" i="107"/>
  <c r="AB183" i="107"/>
  <c r="AZ182" i="107"/>
  <c r="AX182" i="107"/>
  <c r="AV182" i="107"/>
  <c r="AT182" i="107"/>
  <c r="AR182" i="107"/>
  <c r="AP182" i="107"/>
  <c r="AN182" i="107"/>
  <c r="AL182" i="107"/>
  <c r="AJ182" i="107"/>
  <c r="AH182" i="107"/>
  <c r="AF182" i="107"/>
  <c r="AD182" i="107"/>
  <c r="AB182" i="107"/>
  <c r="AZ180" i="107"/>
  <c r="AX180" i="107"/>
  <c r="AV180" i="107"/>
  <c r="AT180" i="107"/>
  <c r="AR180" i="107"/>
  <c r="AP180" i="107"/>
  <c r="AN180" i="107"/>
  <c r="AL180" i="107"/>
  <c r="AJ180" i="107"/>
  <c r="AH180" i="107"/>
  <c r="AF180" i="107"/>
  <c r="AD180" i="107"/>
  <c r="AB180" i="107"/>
  <c r="AZ179" i="107"/>
  <c r="AZ177" i="107"/>
  <c r="E175" i="107"/>
  <c r="AZ110" i="107"/>
  <c r="AZ109" i="107"/>
  <c r="AX109" i="107"/>
  <c r="AV109" i="107"/>
  <c r="AT109" i="107"/>
  <c r="AR109" i="107"/>
  <c r="AP109" i="107"/>
  <c r="AN109" i="107"/>
  <c r="AL109" i="107"/>
  <c r="AJ109" i="107"/>
  <c r="AH109" i="107"/>
  <c r="AF109" i="107"/>
  <c r="AD109" i="107"/>
  <c r="AB109" i="107"/>
  <c r="AZ108" i="107"/>
  <c r="AX108" i="107"/>
  <c r="AV108" i="107"/>
  <c r="AT108" i="107"/>
  <c r="AR108" i="107"/>
  <c r="AP108" i="107"/>
  <c r="AN108" i="107"/>
  <c r="AL108" i="107"/>
  <c r="AJ108" i="107"/>
  <c r="AH108" i="107"/>
  <c r="AF108" i="107"/>
  <c r="AD108" i="107"/>
  <c r="AB108" i="107"/>
  <c r="AZ107" i="107"/>
  <c r="AX107" i="107"/>
  <c r="AV107" i="107"/>
  <c r="AT107" i="107"/>
  <c r="AR107" i="107"/>
  <c r="AP107" i="107"/>
  <c r="AN107" i="107"/>
  <c r="AL107" i="107"/>
  <c r="AJ107" i="107"/>
  <c r="AH107" i="107"/>
  <c r="AF107" i="107"/>
  <c r="AD107" i="107"/>
  <c r="AB107" i="107"/>
  <c r="AZ106" i="107"/>
  <c r="AX106" i="107"/>
  <c r="AV106" i="107"/>
  <c r="AT106" i="107"/>
  <c r="AR106" i="107"/>
  <c r="AP106" i="107"/>
  <c r="AN106" i="107"/>
  <c r="AL106" i="107"/>
  <c r="AJ106" i="107"/>
  <c r="AH106" i="107"/>
  <c r="AF106" i="107"/>
  <c r="AD106" i="107"/>
  <c r="AB106" i="107"/>
  <c r="AZ105" i="107"/>
  <c r="AZ104" i="107"/>
  <c r="AX104" i="107"/>
  <c r="AV104" i="107"/>
  <c r="AT104" i="107"/>
  <c r="AR104" i="107"/>
  <c r="AP104" i="107"/>
  <c r="AN104" i="107"/>
  <c r="AL104" i="107"/>
  <c r="AJ104" i="107"/>
  <c r="AH104" i="107"/>
  <c r="AF104" i="107"/>
  <c r="AD104" i="107"/>
  <c r="AB104" i="107"/>
  <c r="AZ103" i="107"/>
  <c r="AX103" i="107"/>
  <c r="AV103" i="107"/>
  <c r="AT103" i="107"/>
  <c r="AR103" i="107"/>
  <c r="AP103" i="107"/>
  <c r="AN103" i="107"/>
  <c r="AL103" i="107"/>
  <c r="AJ103" i="107"/>
  <c r="AH103" i="107"/>
  <c r="AF103" i="107"/>
  <c r="AD103" i="107"/>
  <c r="AB103" i="107"/>
  <c r="AZ101" i="107"/>
  <c r="AX101" i="107"/>
  <c r="AV101" i="107"/>
  <c r="AT101" i="107"/>
  <c r="AR101" i="107"/>
  <c r="AP101" i="107"/>
  <c r="AN101" i="107"/>
  <c r="AL101" i="107"/>
  <c r="AJ101" i="107"/>
  <c r="AH101" i="107"/>
  <c r="AF101" i="107"/>
  <c r="AD101" i="107"/>
  <c r="AB101" i="107"/>
  <c r="AZ100" i="107"/>
  <c r="AX100" i="107"/>
  <c r="AV100" i="107"/>
  <c r="AT100" i="107"/>
  <c r="AR100" i="107"/>
  <c r="AP100" i="107"/>
  <c r="AN100" i="107"/>
  <c r="AL100" i="107"/>
  <c r="AJ100" i="107"/>
  <c r="AH100" i="107"/>
  <c r="AF100" i="107"/>
  <c r="AD100" i="107"/>
  <c r="AB100" i="107"/>
  <c r="AZ99" i="107"/>
  <c r="AX99" i="107"/>
  <c r="AV99" i="107"/>
  <c r="AT99" i="107"/>
  <c r="AR99" i="107"/>
  <c r="AP99" i="107"/>
  <c r="AN99" i="107"/>
  <c r="AL99" i="107"/>
  <c r="AJ99" i="107"/>
  <c r="AH99" i="107"/>
  <c r="AF99" i="107"/>
  <c r="AD99" i="107"/>
  <c r="AB99" i="107"/>
  <c r="AZ98" i="107"/>
  <c r="AX98" i="107"/>
  <c r="AV98" i="107"/>
  <c r="AT98" i="107"/>
  <c r="AR98" i="107"/>
  <c r="AP98" i="107"/>
  <c r="AN98" i="107"/>
  <c r="AL98" i="107"/>
  <c r="AJ98" i="107"/>
  <c r="AH98" i="107"/>
  <c r="AF98" i="107"/>
  <c r="AD98" i="107"/>
  <c r="AB98" i="107"/>
  <c r="AZ97" i="107"/>
  <c r="AX97" i="107"/>
  <c r="AV97" i="107"/>
  <c r="AT97" i="107"/>
  <c r="AR97" i="107"/>
  <c r="AP97" i="107"/>
  <c r="AN97" i="107"/>
  <c r="AL97" i="107"/>
  <c r="AJ97" i="107"/>
  <c r="AH97" i="107"/>
  <c r="AF97" i="107"/>
  <c r="AD97" i="107"/>
  <c r="AB97" i="107"/>
  <c r="AZ96" i="107"/>
  <c r="AX96" i="107"/>
  <c r="AV96" i="107"/>
  <c r="AT96" i="107"/>
  <c r="AR96" i="107"/>
  <c r="AP96" i="107"/>
  <c r="AN96" i="107"/>
  <c r="AL96" i="107"/>
  <c r="AJ96" i="107"/>
  <c r="AH96" i="107"/>
  <c r="AF96" i="107"/>
  <c r="AD96" i="107"/>
  <c r="AB96" i="107"/>
  <c r="AZ95" i="107"/>
  <c r="AX95" i="107"/>
  <c r="AV95" i="107"/>
  <c r="AT95" i="107"/>
  <c r="AR95" i="107"/>
  <c r="AP95" i="107"/>
  <c r="AN95" i="107"/>
  <c r="AL95" i="107"/>
  <c r="AJ95" i="107"/>
  <c r="AH95" i="107"/>
  <c r="AF95" i="107"/>
  <c r="AD95" i="107"/>
  <c r="AB95" i="107"/>
  <c r="AZ94" i="107"/>
  <c r="AX94" i="107"/>
  <c r="AV94" i="107"/>
  <c r="AT94" i="107"/>
  <c r="AR94" i="107"/>
  <c r="AP94" i="107"/>
  <c r="AN94" i="107"/>
  <c r="AL94" i="107"/>
  <c r="AJ94" i="107"/>
  <c r="AH94" i="107"/>
  <c r="AF94" i="107"/>
  <c r="AD94" i="107"/>
  <c r="AB94" i="107"/>
  <c r="AZ93" i="107"/>
  <c r="AZ92" i="107"/>
  <c r="AX92" i="107"/>
  <c r="AV92" i="107"/>
  <c r="AT92" i="107"/>
  <c r="AR92" i="107"/>
  <c r="AP92" i="107"/>
  <c r="AN92" i="107"/>
  <c r="AL92" i="107"/>
  <c r="AJ92" i="107"/>
  <c r="AH92" i="107"/>
  <c r="AF92" i="107"/>
  <c r="AD92" i="107"/>
  <c r="AB92" i="107"/>
  <c r="AZ91" i="107"/>
  <c r="AX91" i="107"/>
  <c r="AV91" i="107"/>
  <c r="AT91" i="107"/>
  <c r="AR91" i="107"/>
  <c r="AP91" i="107"/>
  <c r="AN91" i="107"/>
  <c r="AL91" i="107"/>
  <c r="AJ91" i="107"/>
  <c r="AH91" i="107"/>
  <c r="AF91" i="107"/>
  <c r="AD91" i="107"/>
  <c r="AB91" i="107"/>
  <c r="AZ90" i="107"/>
  <c r="AX90" i="107"/>
  <c r="AV90" i="107"/>
  <c r="AT90" i="107"/>
  <c r="AR90" i="107"/>
  <c r="AP90" i="107"/>
  <c r="AN90" i="107"/>
  <c r="AL90" i="107"/>
  <c r="AJ90" i="107"/>
  <c r="AH90" i="107"/>
  <c r="AF90" i="107"/>
  <c r="AD90" i="107"/>
  <c r="AB90" i="107"/>
  <c r="AZ89" i="107"/>
  <c r="AX89" i="107"/>
  <c r="AV89" i="107"/>
  <c r="AT89" i="107"/>
  <c r="AR89" i="107"/>
  <c r="AP89" i="107"/>
  <c r="AN89" i="107"/>
  <c r="AL89" i="107"/>
  <c r="AJ89" i="107"/>
  <c r="AH89" i="107"/>
  <c r="AF89" i="107"/>
  <c r="AD89" i="107"/>
  <c r="AB89" i="107"/>
  <c r="AZ88" i="107"/>
  <c r="AZ87" i="107"/>
  <c r="AX87" i="107"/>
  <c r="AV87" i="107"/>
  <c r="AT87" i="107"/>
  <c r="AR87" i="107"/>
  <c r="AP87" i="107"/>
  <c r="AN87" i="107"/>
  <c r="AL87" i="107"/>
  <c r="AJ87" i="107"/>
  <c r="AH87" i="107"/>
  <c r="AF87" i="107"/>
  <c r="AD87" i="107"/>
  <c r="AB87" i="107"/>
  <c r="AZ86" i="107"/>
  <c r="AX86" i="107"/>
  <c r="AV86" i="107"/>
  <c r="AT86" i="107"/>
  <c r="AR86" i="107"/>
  <c r="AP86" i="107"/>
  <c r="AN86" i="107"/>
  <c r="AL86" i="107"/>
  <c r="AJ86" i="107"/>
  <c r="AH86" i="107"/>
  <c r="AF86" i="107"/>
  <c r="AD86" i="107"/>
  <c r="AB86" i="107"/>
  <c r="AZ85" i="107"/>
  <c r="AX85" i="107"/>
  <c r="AV85" i="107"/>
  <c r="AT85" i="107"/>
  <c r="AR85" i="107"/>
  <c r="AP85" i="107"/>
  <c r="AN85" i="107"/>
  <c r="AL85" i="107"/>
  <c r="AJ85" i="107"/>
  <c r="AH85" i="107"/>
  <c r="AF85" i="107"/>
  <c r="AD85" i="107"/>
  <c r="AB85" i="107"/>
  <c r="AZ84" i="107"/>
  <c r="AX84" i="107"/>
  <c r="AV84" i="107"/>
  <c r="AT84" i="107"/>
  <c r="AR84" i="107"/>
  <c r="AP84" i="107"/>
  <c r="AN84" i="107"/>
  <c r="AL84" i="107"/>
  <c r="AJ84" i="107"/>
  <c r="AH84" i="107"/>
  <c r="AF84" i="107"/>
  <c r="AD84" i="107"/>
  <c r="AB84" i="107"/>
  <c r="AZ83" i="107"/>
  <c r="AZ82" i="107"/>
  <c r="AX82" i="107"/>
  <c r="AV82" i="107"/>
  <c r="AT82" i="107"/>
  <c r="AR82" i="107"/>
  <c r="AP82" i="107"/>
  <c r="AN82" i="107"/>
  <c r="AL82" i="107"/>
  <c r="AJ82" i="107"/>
  <c r="AH82" i="107"/>
  <c r="AF82" i="107"/>
  <c r="AD82" i="107"/>
  <c r="AB82" i="107"/>
  <c r="AZ81" i="107"/>
  <c r="AX81" i="107"/>
  <c r="AV81" i="107"/>
  <c r="AT81" i="107"/>
  <c r="AR81" i="107"/>
  <c r="AP81" i="107"/>
  <c r="AN81" i="107"/>
  <c r="AL81" i="107"/>
  <c r="AJ81" i="107"/>
  <c r="AH81" i="107"/>
  <c r="AF81" i="107"/>
  <c r="AD81" i="107"/>
  <c r="AB81" i="107"/>
  <c r="AZ80" i="107"/>
  <c r="AX80" i="107"/>
  <c r="AV80" i="107"/>
  <c r="AT80" i="107"/>
  <c r="AR80" i="107"/>
  <c r="AP80" i="107"/>
  <c r="AN80" i="107"/>
  <c r="AL80" i="107"/>
  <c r="AJ80" i="107"/>
  <c r="AH80" i="107"/>
  <c r="AF80" i="107"/>
  <c r="AD80" i="107"/>
  <c r="AB80" i="107"/>
  <c r="AZ79" i="107"/>
  <c r="AX79" i="107"/>
  <c r="AV79" i="107"/>
  <c r="AT79" i="107"/>
  <c r="AR79" i="107"/>
  <c r="AP79" i="107"/>
  <c r="AN79" i="107"/>
  <c r="AL79" i="107"/>
  <c r="AJ79" i="107"/>
  <c r="AH79" i="107"/>
  <c r="AF79" i="107"/>
  <c r="AD79" i="107"/>
  <c r="AB79" i="107"/>
  <c r="AZ78" i="107"/>
  <c r="AZ77" i="107"/>
  <c r="AX77" i="107"/>
  <c r="AV77" i="107"/>
  <c r="AT77" i="107"/>
  <c r="AR77" i="107"/>
  <c r="AP77" i="107"/>
  <c r="AN77" i="107"/>
  <c r="AL77" i="107"/>
  <c r="AJ77" i="107"/>
  <c r="AH77" i="107"/>
  <c r="AF77" i="107"/>
  <c r="AD77" i="107"/>
  <c r="AB77" i="107"/>
  <c r="AZ76" i="107"/>
  <c r="AX76" i="107"/>
  <c r="AV76" i="107"/>
  <c r="AT76" i="107"/>
  <c r="AR76" i="107"/>
  <c r="AP76" i="107"/>
  <c r="AN76" i="107"/>
  <c r="AL76" i="107"/>
  <c r="AJ76" i="107"/>
  <c r="AH76" i="107"/>
  <c r="AF76" i="107"/>
  <c r="AD76" i="107"/>
  <c r="AB76" i="107"/>
  <c r="AZ75" i="107"/>
  <c r="AZ72" i="107"/>
  <c r="AX72" i="107"/>
  <c r="AV72" i="107"/>
  <c r="AT72" i="107"/>
  <c r="AR72" i="107"/>
  <c r="AP72" i="107"/>
  <c r="AN72" i="107"/>
  <c r="AL72" i="107"/>
  <c r="AJ72" i="107"/>
  <c r="AH72" i="107"/>
  <c r="AF72" i="107"/>
  <c r="AD72" i="107"/>
  <c r="AB72" i="107"/>
  <c r="AZ71" i="107"/>
  <c r="AX71" i="107"/>
  <c r="AV71" i="107"/>
  <c r="AT71" i="107"/>
  <c r="AR71" i="107"/>
  <c r="AP71" i="107"/>
  <c r="AN71" i="107"/>
  <c r="AL71" i="107"/>
  <c r="AJ71" i="107"/>
  <c r="AH71" i="107"/>
  <c r="AF71" i="107"/>
  <c r="AD71" i="107"/>
  <c r="AB71" i="107"/>
  <c r="AZ70" i="107"/>
  <c r="AX70" i="107"/>
  <c r="AV70" i="107"/>
  <c r="AT70" i="107"/>
  <c r="AR70" i="107"/>
  <c r="AP70" i="107"/>
  <c r="AN70" i="107"/>
  <c r="AL70" i="107"/>
  <c r="AJ70" i="107"/>
  <c r="AH70" i="107"/>
  <c r="AF70" i="107"/>
  <c r="AD70" i="107"/>
  <c r="AB70" i="107"/>
  <c r="AZ68" i="107"/>
  <c r="AX68" i="107"/>
  <c r="AV68" i="107"/>
  <c r="AT68" i="107"/>
  <c r="AR68" i="107"/>
  <c r="AP68" i="107"/>
  <c r="AN68" i="107"/>
  <c r="AL68" i="107"/>
  <c r="AJ68" i="107"/>
  <c r="AH68" i="107"/>
  <c r="AF68" i="107"/>
  <c r="AD68" i="107"/>
  <c r="AB68" i="107"/>
  <c r="AZ66" i="107"/>
  <c r="AX66" i="107"/>
  <c r="AV66" i="107"/>
  <c r="AT66" i="107"/>
  <c r="AR66" i="107"/>
  <c r="AP66" i="107"/>
  <c r="AN66" i="107"/>
  <c r="AL66" i="107"/>
  <c r="AJ66" i="107"/>
  <c r="AH66" i="107"/>
  <c r="AF66" i="107"/>
  <c r="AD66" i="107"/>
  <c r="AB66" i="107"/>
  <c r="AZ63" i="107"/>
  <c r="AX63" i="107"/>
  <c r="AV63" i="107"/>
  <c r="AT63" i="107"/>
  <c r="AR63" i="107"/>
  <c r="AP63" i="107"/>
  <c r="AN63" i="107"/>
  <c r="AL63" i="107"/>
  <c r="AJ63" i="107"/>
  <c r="AH63" i="107"/>
  <c r="AF63" i="107"/>
  <c r="AD63" i="107"/>
  <c r="AB63" i="107"/>
  <c r="AZ61" i="107"/>
  <c r="AX61" i="107"/>
  <c r="AV61" i="107"/>
  <c r="AT61" i="107"/>
  <c r="AR61" i="107"/>
  <c r="AP61" i="107"/>
  <c r="AN61" i="107"/>
  <c r="AL61" i="107"/>
  <c r="AJ61" i="107"/>
  <c r="AH61" i="107"/>
  <c r="AF61" i="107"/>
  <c r="AD61" i="107"/>
  <c r="AB61" i="107"/>
  <c r="AZ59" i="107"/>
  <c r="AX59" i="107"/>
  <c r="AV59" i="107"/>
  <c r="AT59" i="107"/>
  <c r="AR59" i="107"/>
  <c r="AP59" i="107"/>
  <c r="AN59" i="107"/>
  <c r="AL59" i="107"/>
  <c r="AJ59" i="107"/>
  <c r="AH59" i="107"/>
  <c r="AF59" i="107"/>
  <c r="AD59" i="107"/>
  <c r="AB59" i="107"/>
  <c r="AZ58" i="107"/>
  <c r="AZ56" i="107"/>
  <c r="E55" i="107"/>
  <c r="AZ54" i="107"/>
  <c r="AZ53" i="107"/>
  <c r="AX53" i="107"/>
  <c r="AV53" i="107"/>
  <c r="AT53" i="107"/>
  <c r="AR53" i="107"/>
  <c r="AP53" i="107"/>
  <c r="AN53" i="107"/>
  <c r="AL53" i="107"/>
  <c r="AJ53" i="107"/>
  <c r="AH53" i="107"/>
  <c r="AF53" i="107"/>
  <c r="AD53" i="107"/>
  <c r="AB53" i="107"/>
  <c r="AZ52" i="107"/>
  <c r="AX52" i="107"/>
  <c r="AV52" i="107"/>
  <c r="AT52" i="107"/>
  <c r="AR52" i="107"/>
  <c r="AP52" i="107"/>
  <c r="AN52" i="107"/>
  <c r="AL52" i="107"/>
  <c r="AJ52" i="107"/>
  <c r="AH52" i="107"/>
  <c r="AF52" i="107"/>
  <c r="AD52" i="107"/>
  <c r="AB52" i="107"/>
  <c r="AZ51" i="107"/>
  <c r="AX51" i="107"/>
  <c r="AV51" i="107"/>
  <c r="AT51" i="107"/>
  <c r="AR51" i="107"/>
  <c r="AP51" i="107"/>
  <c r="AN51" i="107"/>
  <c r="AL51" i="107"/>
  <c r="AJ51" i="107"/>
  <c r="AH51" i="107"/>
  <c r="AF51" i="107"/>
  <c r="AD51" i="107"/>
  <c r="AB51" i="107"/>
  <c r="AZ50" i="107"/>
  <c r="AX50" i="107"/>
  <c r="AV50" i="107"/>
  <c r="AT50" i="107"/>
  <c r="AR50" i="107"/>
  <c r="AP50" i="107"/>
  <c r="AN50" i="107"/>
  <c r="AL50" i="107"/>
  <c r="AJ50" i="107"/>
  <c r="AH50" i="107"/>
  <c r="AF50" i="107"/>
  <c r="AD50" i="107"/>
  <c r="AB50" i="107"/>
  <c r="AZ49" i="107"/>
  <c r="AX49" i="107"/>
  <c r="AV49" i="107"/>
  <c r="AT49" i="107"/>
  <c r="AR49" i="107"/>
  <c r="AP49" i="107"/>
  <c r="AN49" i="107"/>
  <c r="AL49" i="107"/>
  <c r="AJ49" i="107"/>
  <c r="AH49" i="107"/>
  <c r="AF49" i="107"/>
  <c r="AD49" i="107"/>
  <c r="AB49" i="107"/>
  <c r="AZ48" i="107"/>
  <c r="AX48" i="107"/>
  <c r="AV48" i="107"/>
  <c r="AT48" i="107"/>
  <c r="AR48" i="107"/>
  <c r="AP48" i="107"/>
  <c r="AN48" i="107"/>
  <c r="AL48" i="107"/>
  <c r="AJ48" i="107"/>
  <c r="AH48" i="107"/>
  <c r="AF48" i="107"/>
  <c r="AD48" i="107"/>
  <c r="AB48" i="107"/>
  <c r="AZ47" i="107"/>
  <c r="AX47" i="107"/>
  <c r="AV47" i="107"/>
  <c r="AT47" i="107"/>
  <c r="AR47" i="107"/>
  <c r="AP47" i="107"/>
  <c r="AN47" i="107"/>
  <c r="AL47" i="107"/>
  <c r="AJ47" i="107"/>
  <c r="AH47" i="107"/>
  <c r="AF47" i="107"/>
  <c r="AD47" i="107"/>
  <c r="AB47" i="107"/>
  <c r="AZ46" i="107"/>
  <c r="AX46" i="107"/>
  <c r="AV46" i="107"/>
  <c r="AT46" i="107"/>
  <c r="AR46" i="107"/>
  <c r="AP46" i="107"/>
  <c r="AN46" i="107"/>
  <c r="AL46" i="107"/>
  <c r="AJ46" i="107"/>
  <c r="AH46" i="107"/>
  <c r="AF46" i="107"/>
  <c r="AD46" i="107"/>
  <c r="AB46" i="107"/>
  <c r="AZ45" i="107"/>
  <c r="AX45" i="107"/>
  <c r="AV45" i="107"/>
  <c r="AT45" i="107"/>
  <c r="AR45" i="107"/>
  <c r="AP45" i="107"/>
  <c r="AN45" i="107"/>
  <c r="AL45" i="107"/>
  <c r="AJ45" i="107"/>
  <c r="AH45" i="107"/>
  <c r="AF45" i="107"/>
  <c r="AD45" i="107"/>
  <c r="AB45" i="107"/>
  <c r="AZ44" i="107"/>
  <c r="AX44" i="107"/>
  <c r="AV44" i="107"/>
  <c r="AT44" i="107"/>
  <c r="AR44" i="107"/>
  <c r="AP44" i="107"/>
  <c r="AN44" i="107"/>
  <c r="AL44" i="107"/>
  <c r="AJ44" i="107"/>
  <c r="AH44" i="107"/>
  <c r="AF44" i="107"/>
  <c r="AD44" i="107"/>
  <c r="AB44" i="107"/>
  <c r="AZ43" i="107"/>
  <c r="AX43" i="107"/>
  <c r="AV43" i="107"/>
  <c r="AT43" i="107"/>
  <c r="AR43" i="107"/>
  <c r="AP43" i="107"/>
  <c r="AN43" i="107"/>
  <c r="AL43" i="107"/>
  <c r="AJ43" i="107"/>
  <c r="AH43" i="107"/>
  <c r="AF43" i="107"/>
  <c r="AD43" i="107"/>
  <c r="AB43" i="107"/>
  <c r="AZ39" i="107"/>
  <c r="AX39" i="107"/>
  <c r="AV39" i="107"/>
  <c r="AT39" i="107"/>
  <c r="AR39" i="107"/>
  <c r="AP39" i="107"/>
  <c r="AN39" i="107"/>
  <c r="AL39" i="107"/>
  <c r="AJ39" i="107"/>
  <c r="AH39" i="107"/>
  <c r="AF39" i="107"/>
  <c r="AD39" i="107"/>
  <c r="AB39" i="107"/>
  <c r="AZ38" i="107"/>
  <c r="AX38" i="107"/>
  <c r="AV38" i="107"/>
  <c r="AT38" i="107"/>
  <c r="AR38" i="107"/>
  <c r="AP38" i="107"/>
  <c r="AN38" i="107"/>
  <c r="AL38" i="107"/>
  <c r="AJ38" i="107"/>
  <c r="AH38" i="107"/>
  <c r="AF38" i="107"/>
  <c r="AD38" i="107"/>
  <c r="AB38" i="107"/>
  <c r="AZ37" i="107"/>
  <c r="AX37" i="107"/>
  <c r="AV37" i="107"/>
  <c r="AT37" i="107"/>
  <c r="AR37" i="107"/>
  <c r="AP37" i="107"/>
  <c r="AN37" i="107"/>
  <c r="AL37" i="107"/>
  <c r="AJ37" i="107"/>
  <c r="AH37" i="107"/>
  <c r="AF37" i="107"/>
  <c r="AD37" i="107"/>
  <c r="AB37" i="107"/>
  <c r="AZ36" i="107"/>
  <c r="AX36" i="107"/>
  <c r="AV36" i="107"/>
  <c r="AT36" i="107"/>
  <c r="AR36" i="107"/>
  <c r="AP36" i="107"/>
  <c r="AN36" i="107"/>
  <c r="AL36" i="107"/>
  <c r="AJ36" i="107"/>
  <c r="AH36" i="107"/>
  <c r="AF36" i="107"/>
  <c r="AD36" i="107"/>
  <c r="AB36" i="107"/>
  <c r="AZ35" i="107"/>
  <c r="AZ34" i="107"/>
  <c r="AX34" i="107"/>
  <c r="AV34" i="107"/>
  <c r="AT34" i="107"/>
  <c r="AR34" i="107"/>
  <c r="AP34" i="107"/>
  <c r="AN34" i="107"/>
  <c r="AL34" i="107"/>
  <c r="AJ34" i="107"/>
  <c r="AH34" i="107"/>
  <c r="AF34" i="107"/>
  <c r="AD34" i="107"/>
  <c r="AB34" i="107"/>
  <c r="AZ33" i="107"/>
  <c r="AX33" i="107"/>
  <c r="AV33" i="107"/>
  <c r="AT33" i="107"/>
  <c r="AR33" i="107"/>
  <c r="AP33" i="107"/>
  <c r="AN33" i="107"/>
  <c r="AL33" i="107"/>
  <c r="AJ33" i="107"/>
  <c r="AH33" i="107"/>
  <c r="AF33" i="107"/>
  <c r="AD33" i="107"/>
  <c r="AB33" i="107"/>
  <c r="AZ31" i="107"/>
  <c r="AX31" i="107"/>
  <c r="AV31" i="107"/>
  <c r="AT31" i="107"/>
  <c r="AR31" i="107"/>
  <c r="AP31" i="107"/>
  <c r="AN31" i="107"/>
  <c r="AL31" i="107"/>
  <c r="AJ31" i="107"/>
  <c r="AH31" i="107"/>
  <c r="AF31" i="107"/>
  <c r="AD31" i="107"/>
  <c r="AB31" i="107"/>
  <c r="AZ29" i="107"/>
  <c r="AX29" i="107"/>
  <c r="AV29" i="107"/>
  <c r="AT29" i="107"/>
  <c r="AR29" i="107"/>
  <c r="AP29" i="107"/>
  <c r="AN29" i="107"/>
  <c r="AL29" i="107"/>
  <c r="AJ29" i="107"/>
  <c r="AH29" i="107"/>
  <c r="AF29" i="107"/>
  <c r="AD29" i="107"/>
  <c r="AB29" i="107"/>
  <c r="AZ28" i="107"/>
  <c r="AX28" i="107"/>
  <c r="AV28" i="107"/>
  <c r="AT28" i="107"/>
  <c r="AR28" i="107"/>
  <c r="AP28" i="107"/>
  <c r="AN28" i="107"/>
  <c r="AL28" i="107"/>
  <c r="AJ28" i="107"/>
  <c r="AH28" i="107"/>
  <c r="AF28" i="107"/>
  <c r="AD28" i="107"/>
  <c r="AB28" i="107"/>
  <c r="AZ27" i="107"/>
  <c r="AX27" i="107"/>
  <c r="AV27" i="107"/>
  <c r="AT27" i="107"/>
  <c r="AR27" i="107"/>
  <c r="AP27" i="107"/>
  <c r="AN27" i="107"/>
  <c r="AL27" i="107"/>
  <c r="AJ27" i="107"/>
  <c r="AH27" i="107"/>
  <c r="AF27" i="107"/>
  <c r="AD27" i="107"/>
  <c r="AB27" i="107"/>
  <c r="AZ26" i="107"/>
  <c r="AX26" i="107"/>
  <c r="AV26" i="107"/>
  <c r="AT26" i="107"/>
  <c r="AR26" i="107"/>
  <c r="AP26" i="107"/>
  <c r="AN26" i="107"/>
  <c r="AL26" i="107"/>
  <c r="AJ26" i="107"/>
  <c r="AH26" i="107"/>
  <c r="AF26" i="107"/>
  <c r="AD26" i="107"/>
  <c r="AB26" i="107"/>
  <c r="AZ16" i="107"/>
  <c r="AZ15" i="107"/>
  <c r="AX15" i="107"/>
  <c r="AV15" i="107"/>
  <c r="AT15" i="107"/>
  <c r="AR15" i="107"/>
  <c r="AP15" i="107"/>
  <c r="AN15" i="107"/>
  <c r="AL15" i="107"/>
  <c r="AJ15" i="107"/>
  <c r="AH15" i="107"/>
  <c r="AF15" i="107"/>
  <c r="AD15" i="107"/>
  <c r="AB15" i="107"/>
  <c r="AZ13" i="107"/>
  <c r="AX13" i="107"/>
  <c r="AV13" i="107"/>
  <c r="AT13" i="107"/>
  <c r="AR13" i="107"/>
  <c r="AP13" i="107"/>
  <c r="AN13" i="107"/>
  <c r="AL13" i="107"/>
  <c r="AJ13" i="107"/>
  <c r="AH13" i="107"/>
  <c r="AF13" i="107"/>
  <c r="AD13" i="107"/>
  <c r="AB13" i="107"/>
  <c r="AZ12" i="107"/>
  <c r="AX12" i="107"/>
  <c r="AV12" i="107"/>
  <c r="AT12" i="107"/>
  <c r="AR12" i="107"/>
  <c r="AP12" i="107"/>
  <c r="AN12" i="107"/>
  <c r="AL12" i="107"/>
  <c r="AJ12" i="107"/>
  <c r="AH12" i="107"/>
  <c r="AF12" i="107"/>
  <c r="AD12" i="107"/>
  <c r="AB12" i="107"/>
  <c r="AZ11" i="107"/>
  <c r="AX11" i="107"/>
  <c r="AV11" i="107"/>
  <c r="AT11" i="107"/>
  <c r="AR11" i="107"/>
  <c r="AP11" i="107"/>
  <c r="AN11" i="107"/>
  <c r="AL11" i="107"/>
  <c r="AJ11" i="107"/>
  <c r="AH11" i="107"/>
  <c r="AF11" i="107"/>
  <c r="AD11" i="107"/>
  <c r="AB11" i="107"/>
  <c r="AZ10" i="107"/>
  <c r="AX10" i="107"/>
  <c r="AV10" i="107"/>
  <c r="AT10" i="107"/>
  <c r="AR10" i="107"/>
  <c r="AP10" i="107"/>
  <c r="AN10" i="107"/>
  <c r="AL10" i="107"/>
  <c r="AJ10" i="107"/>
  <c r="AH10" i="107"/>
  <c r="AF10" i="107"/>
  <c r="AD10" i="107"/>
  <c r="AB10" i="107"/>
  <c r="Z2" i="107"/>
  <c r="AA272" i="108" l="1"/>
  <c r="AA7" i="108"/>
  <c r="AM272" i="108"/>
  <c r="AM7" i="108"/>
  <c r="AC272" i="108"/>
  <c r="AC7" i="108"/>
  <c r="AI272" i="108"/>
  <c r="AI7" i="108"/>
  <c r="AO272" i="108"/>
  <c r="AE272" i="108"/>
  <c r="AK272" i="108"/>
  <c r="AB243" i="107"/>
  <c r="AB6" i="107" s="1"/>
  <c r="AJ243" i="107"/>
  <c r="AJ6" i="107" s="1"/>
  <c r="AL243" i="107"/>
  <c r="AL6" i="107" s="1"/>
  <c r="AN243" i="107"/>
  <c r="AN6" i="107" s="1"/>
  <c r="AR243" i="107"/>
  <c r="AR6" i="107" s="1"/>
  <c r="AX243" i="107"/>
  <c r="AX6" i="107" s="1"/>
  <c r="AD243" i="107"/>
  <c r="AD6" i="107" s="1"/>
  <c r="AF243" i="107"/>
  <c r="AF6" i="107" s="1"/>
  <c r="AH243" i="107"/>
  <c r="AH6" i="107" s="1"/>
  <c r="AP243" i="107"/>
  <c r="AP6" i="107" s="1"/>
  <c r="AT243" i="107"/>
  <c r="AT6" i="107" s="1"/>
  <c r="AV243" i="107"/>
  <c r="AV6" i="107" s="1"/>
  <c r="N242" i="107"/>
  <c r="P242" i="107"/>
  <c r="S103" i="106"/>
  <c r="S103" i="105"/>
  <c r="S103" i="104"/>
  <c r="S103" i="103"/>
  <c r="AT244" i="107" l="1"/>
  <c r="AD244" i="107"/>
  <c r="AR244" i="107"/>
  <c r="AL244" i="107"/>
  <c r="AH244" i="107"/>
  <c r="AX244" i="107"/>
  <c r="AN244" i="107"/>
  <c r="AJ244" i="107"/>
  <c r="AV244" i="107"/>
  <c r="AP244" i="107"/>
  <c r="AF244" i="107"/>
  <c r="AB244" i="10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tc={A738F943-75C3-4465-B974-B1B0B519EBD8}</author>
    <author>tc={8468B355-B70B-41F8-A051-E81BF7390114}</author>
    <author>tc={70149BC3-2535-45BE-945A-399B2E93F293}</author>
    <author>tc={1DCBC19B-8CCC-4303-9B93-513384332F96}</author>
    <author>tc={FD9A3863-CA69-4337-86F1-D62A21A5BC03}</author>
    <author>tc={A4D0EEF4-154E-4703-BA33-5475E94608BD}</author>
    <author>tc={ADEC45F0-9D27-4853-B922-C988E5D7D16E}</author>
  </authors>
  <commentList>
    <comment ref="E20" authorId="0" shapeId="0" xr:uid="{A738F943-75C3-4465-B974-B1B0B519EB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อันนี้ต้องแก้เสกลให้เห็นทั้งหมด </t>
      </text>
    </comment>
    <comment ref="V59" authorId="1" shapeId="0" xr:uid="{8468B355-B70B-41F8-A051-E81BF739011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@Paweena Thanawutchirawat 
ของเมื่อวานส่งไปแล้ว อย่าลืมแก้ย้อนหลังงับ</t>
      </text>
    </comment>
    <comment ref="V85" authorId="2" shapeId="0" xr:uid="{70149BC3-2535-45BE-945A-399B2E93F2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@Paweena Thanawutchirawat 
ของเมื่อวานส่งไปแล้ว อย่าลืมแก้ย้อนหลังงับ</t>
      </text>
    </comment>
    <comment ref="S91" authorId="3" shapeId="0" xr:uid="{1DCBC19B-8CCC-4303-9B93-513384332F96}">
      <text>
        <t>[Threaded comment]
Your version of Excel allows you to read this threaded comment; however, any edits to it will get removed if the file is opened in a newer version of Excel. Learn more: https://go.microsoft.com/fwlink/?linkid=870924
Comment:
    @Parkpoom Kaewmee  อันนี้ขอโน้ตไว้แบบนี้นะ</t>
      </text>
    </comment>
    <comment ref="Y111" authorId="4" shapeId="0" xr:uid="{FD9A3863-CA69-4337-86F1-D62A21A5BC0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@Paweena Thanawutchirawat 
ของเมื่อวานส่งไปแล้ว อย่าลืมแก้ย้อนหลังงับ</t>
      </text>
    </comment>
    <comment ref="Y141" authorId="5" shapeId="0" xr:uid="{A4D0EEF4-154E-4703-BA33-5475E94608B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@Paweena Thanawutchirawat 
ของเมื่อวานส่งไปแล้ว อย่าลืมแก้ย้อนหลังงับ</t>
      </text>
    </comment>
    <comment ref="U218" authorId="6" shapeId="0" xr:uid="{ADEC45F0-9D27-4853-B922-C988E5D7D1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@Krittin Siripokakorn  ของเตคตั้งแต่ตรงนี้ลงไป hide หมดเลย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Khemmatat Thanachai</author>
  </authors>
  <commentList>
    <comment ref="P7" authorId="0" shapeId="0" xr:uid="{63E3E0D0-238D-4E4A-A752-A88A36EBAD96}">
      <text>
        <r>
          <rPr>
            <sz val="11"/>
            <color indexed="8"/>
            <rFont val="Calibri"/>
            <family val="2"/>
          </rPr>
          <t>Highlight = revision add 10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<sst xmlns="http://schemas.openxmlformats.org/spreadsheetml/2006/main" count="6675" uniqueCount="1381">
  <si>
    <r>
      <rPr>
        <b/>
        <u/>
        <sz val="10"/>
        <color rgb="FF000000"/>
        <rFont val="Arial"/>
        <family val="2"/>
      </rPr>
      <t xml:space="preserve">LMC PF1 ROR PROJECT
</t>
    </r>
    <r>
      <rPr>
        <sz val="10"/>
        <color rgb="FF000000"/>
        <rFont val="Arial"/>
        <family val="2"/>
      </rPr>
      <t>LAEM CHABANG CHONBURI, THAILAND</t>
    </r>
  </si>
  <si>
    <t>Insert project name, project location, and client's company logo</t>
  </si>
  <si>
    <t>Add7</t>
  </si>
  <si>
    <t>7 Nov</t>
  </si>
  <si>
    <t>DRAWING LIST</t>
  </si>
  <si>
    <t>To input progress for each deliverable submission (optional)</t>
  </si>
  <si>
    <t>Addendum 8</t>
  </si>
  <si>
    <t>Krittin S.</t>
  </si>
  <si>
    <t>Addendum 7</t>
  </si>
  <si>
    <t>Addendum 6</t>
  </si>
  <si>
    <t>Addendum 5</t>
  </si>
  <si>
    <t>Addendum 3</t>
  </si>
  <si>
    <t>Addendum 2</t>
  </si>
  <si>
    <t>Addendum 1</t>
  </si>
  <si>
    <t>For Bidding</t>
  </si>
  <si>
    <t>To register revision of drawing list for each submission.</t>
  </si>
  <si>
    <t>No.</t>
  </si>
  <si>
    <t>Description</t>
  </si>
  <si>
    <t>By</t>
  </si>
  <si>
    <t>Date</t>
  </si>
  <si>
    <t>Remarks</t>
  </si>
  <si>
    <t>DOCUMENT NUMBER</t>
  </si>
  <si>
    <t>CREATED</t>
  </si>
  <si>
    <t>REVIEWED</t>
  </si>
  <si>
    <t>APPROVED</t>
  </si>
  <si>
    <t>2412-PM-LST-02-RH</t>
  </si>
  <si>
    <t>Pimprapa K.</t>
  </si>
  <si>
    <t>Document project number. XXXX indicates Metric's project number. If a project number is 2023-21, XXXX is to be 2321.</t>
  </si>
  <si>
    <t>F</t>
  </si>
  <si>
    <t>18043-LM646 01708</t>
  </si>
  <si>
    <t>Steel Stair Details Sheet8</t>
  </si>
  <si>
    <t>C</t>
  </si>
  <si>
    <t>18043-LM646 01709</t>
  </si>
  <si>
    <t>Steel Stair Details Sheet9</t>
  </si>
  <si>
    <t>B</t>
  </si>
  <si>
    <t>Steel Connection Details Sheet 20 (X1-X7)</t>
  </si>
  <si>
    <t>18043-LM646 01791</t>
  </si>
  <si>
    <t>Steel Miscellaneous Details</t>
  </si>
  <si>
    <t>E</t>
  </si>
  <si>
    <t>LMC PF1 ROR PROJECT</t>
  </si>
  <si>
    <t>ARCHITECTURAL WORK</t>
  </si>
  <si>
    <r>
      <rPr>
        <b/>
        <u/>
        <sz val="11"/>
        <rFont val="Arial"/>
        <family val="2"/>
      </rPr>
      <t xml:space="preserve">LMC PF1 ROR PROJECT
</t>
    </r>
    <r>
      <rPr>
        <sz val="11"/>
        <rFont val="Arial"/>
        <family val="2"/>
      </rPr>
      <t>LAEM CHABANG CHONBURI, THAILAND</t>
    </r>
  </si>
  <si>
    <t>MID คือเอาตัวหนังสือเริ่มต้นตัวที่ xxx และ นับไปอีก (จากสูตรคือ 100 ตัวอักษร)</t>
  </si>
  <si>
    <t>FIND คือหาตัวอักษร return มาเป็นตำแหน่งที่เท่าไร เช่นจากสูตร " " คือเว้นวรรค,  21 ในสูตรคือเริ่มหาจะตัวอักษรที่เท่าไร</t>
  </si>
  <si>
    <t>Architectural Work</t>
  </si>
  <si>
    <t>Scale</t>
  </si>
  <si>
    <t>Responsible</t>
  </si>
  <si>
    <t>Weight</t>
  </si>
  <si>
    <t>DD-SUBMISSION - 60%</t>
  </si>
  <si>
    <t>For Bidding Dwg Submission</t>
  </si>
  <si>
    <t>Permit Dwg Submission</t>
  </si>
  <si>
    <t>DD-SUBMISSION - 100%</t>
  </si>
  <si>
    <t>Last Addendum</t>
  </si>
  <si>
    <t>Z19 คือ cell ของข้อความต้นฉบับ</t>
  </si>
  <si>
    <t>1:_____</t>
  </si>
  <si>
    <t>Leader</t>
  </si>
  <si>
    <t>Execute</t>
  </si>
  <si>
    <t>Drawing number</t>
  </si>
  <si>
    <t>Descriptions</t>
  </si>
  <si>
    <t>Rv.</t>
  </si>
  <si>
    <t>Size</t>
  </si>
  <si>
    <t>type</t>
  </si>
  <si>
    <t>Remark</t>
  </si>
  <si>
    <t>Latest Rv.</t>
  </si>
  <si>
    <t>internal note</t>
  </si>
  <si>
    <t>60DDR Check</t>
  </si>
  <si>
    <t>For Bid</t>
  </si>
  <si>
    <t>Permit</t>
  </si>
  <si>
    <t>Add1</t>
  </si>
  <si>
    <t>Add2</t>
  </si>
  <si>
    <t>Add3</t>
  </si>
  <si>
    <t>Add5</t>
  </si>
  <si>
    <t>Add8</t>
  </si>
  <si>
    <t>Add9</t>
  </si>
  <si>
    <t>For Con</t>
  </si>
  <si>
    <t>Plan</t>
  </si>
  <si>
    <t>Actual</t>
  </si>
  <si>
    <t>ULL
Review</t>
  </si>
  <si>
    <t>30
Jun</t>
  </si>
  <si>
    <t>15
Jul</t>
  </si>
  <si>
    <t>22
Jul</t>
  </si>
  <si>
    <t>21
Aug</t>
  </si>
  <si>
    <t>19
Sep</t>
  </si>
  <si>
    <t>17
Oct</t>
  </si>
  <si>
    <t>12
Feb</t>
  </si>
  <si>
    <t>26
Feb</t>
  </si>
  <si>
    <t>10
Mar</t>
  </si>
  <si>
    <t>20
Mar</t>
  </si>
  <si>
    <t>28
Apr</t>
  </si>
  <si>
    <t>Can submit</t>
  </si>
  <si>
    <t>General &amp; Several building drawing</t>
  </si>
  <si>
    <t>Master list checked</t>
  </si>
  <si>
    <t>ต้นฉบับ กรณีขี้เกียจพิมพ์</t>
  </si>
  <si>
    <t>18043-LM000 01001</t>
  </si>
  <si>
    <t>-</t>
  </si>
  <si>
    <t>DDD</t>
  </si>
  <si>
    <t>Overall Demolition Work Sheet 1 (Plot Plan)</t>
  </si>
  <si>
    <t>A</t>
  </si>
  <si>
    <t>A0</t>
  </si>
  <si>
    <t>dwg</t>
  </si>
  <si>
    <t>2022-43 Rv.V</t>
  </si>
  <si>
    <t>1:750</t>
  </si>
  <si>
    <t>PPK</t>
  </si>
  <si>
    <t>KJD</t>
  </si>
  <si>
    <t>18043-LM000 01002</t>
  </si>
  <si>
    <t>Overall Demolition Work Sheet 2 (Layout)</t>
  </si>
  <si>
    <t>มี -DDD เอาออกด้วย</t>
  </si>
  <si>
    <t>1:200</t>
  </si>
  <si>
    <t>18043-LM000 01001-P</t>
  </si>
  <si>
    <t>Overall Demolition Work Layout</t>
  </si>
  <si>
    <t>18043-LM000 01003</t>
  </si>
  <si>
    <t>Overall Demolition Work Sheet 3 (Sections)</t>
  </si>
  <si>
    <t>18043-LM000 01101</t>
  </si>
  <si>
    <t>Plot Plan</t>
  </si>
  <si>
    <t>18043-LMBME 01001</t>
  </si>
  <si>
    <t>Design Outline &amp; Area Diagram</t>
  </si>
  <si>
    <t>D</t>
  </si>
  <si>
    <t>NTS</t>
  </si>
  <si>
    <t>18043-LMBME 01002</t>
  </si>
  <si>
    <t>Abbreviation &amp; Finishing Material list</t>
  </si>
  <si>
    <t>1614B LM646 01102 Rv.2 Demolition And Modification Work Sheet 1</t>
  </si>
  <si>
    <t>18043-LMBME 01003</t>
  </si>
  <si>
    <t>Overall Ground Floor Plan</t>
  </si>
  <si>
    <t>18043-LMBME 01003-P</t>
  </si>
  <si>
    <t>18043-LMBME 01004-P</t>
  </si>
  <si>
    <t>Overall Roof plan</t>
  </si>
  <si>
    <t>18043-LMBME 01005-P</t>
  </si>
  <si>
    <t>Overall Cross Section</t>
  </si>
  <si>
    <t>18043-LMBME 01006-P</t>
  </si>
  <si>
    <t>Overall Longitudinal Section</t>
  </si>
  <si>
    <t>18043-LMBME 01007-P</t>
  </si>
  <si>
    <t>Overall Elevation</t>
  </si>
  <si>
    <t>18043-LMBME 01101</t>
  </si>
  <si>
    <t>B642 - Demolition Work Sheet 1</t>
  </si>
  <si>
    <t>LM642 01101 Rv.2</t>
  </si>
  <si>
    <t>1:50</t>
  </si>
  <si>
    <t>18043-LMBME 01102</t>
  </si>
  <si>
    <t>B642 - Demolition Work Sheet 2</t>
  </si>
  <si>
    <t>18043-LMBME 01103</t>
  </si>
  <si>
    <t>B642 - Demolition Work Sheet 3</t>
  </si>
  <si>
    <t>LM642 01102 Rv.2</t>
  </si>
  <si>
    <t>18043-LMBME 01104</t>
  </si>
  <si>
    <t>B642 - Demolition Work Sheet 4</t>
  </si>
  <si>
    <t>18043-LMBME 01111</t>
  </si>
  <si>
    <t>B190-642 - Demolition Work Sheet 1</t>
  </si>
  <si>
    <t>18043-LMBME 01121</t>
  </si>
  <si>
    <t>B561-521 - Modification Work Sheet 1</t>
  </si>
  <si>
    <t>1614B LM646 01103 Rv.2 Demolition And Modification Work Sheet 3</t>
  </si>
  <si>
    <t>18043-LMBME 01131</t>
  </si>
  <si>
    <t>B190 - Demolition Work Sheet 1 (Ground Floor Plan &amp; Roof Plan)</t>
  </si>
  <si>
    <t>18043-LMBME 01132</t>
  </si>
  <si>
    <t>B190 - Demolition Work Sheet 2 (Section &amp; Elevation)</t>
  </si>
  <si>
    <t>1614B LM646 01102 Rv.2 Demolition And Modification Work Sheet 2</t>
  </si>
  <si>
    <t>18043-LMBMS 01101</t>
  </si>
  <si>
    <t>Typical Details Sheet 1 (Metal roof &amp; Siding)</t>
  </si>
  <si>
    <t>18043-LMBMS 01102</t>
  </si>
  <si>
    <t>Typical Details Sheet 2 (Metal roof &amp; Siding)</t>
  </si>
  <si>
    <t>18043-LMBMS 01103</t>
  </si>
  <si>
    <t>Typical Details Sheet 3 (Roof Drainage &amp; Downspout)</t>
  </si>
  <si>
    <t>18043-LMBMS 01104</t>
  </si>
  <si>
    <t>Typical Details Sheet 4 (Masonry Work 1)</t>
  </si>
  <si>
    <t>18043-LMBMS 01105</t>
  </si>
  <si>
    <t>Typical Details Sheet 5 (Masonry Work 2)</t>
  </si>
  <si>
    <t>18043-LMBMS 01106</t>
  </si>
  <si>
    <t>Typical Details Sheet 6 (Masonry Work 3)</t>
  </si>
  <si>
    <t>18043-LMBMS 01107</t>
  </si>
  <si>
    <t>Typical Details Sheet 7 (Masonry Work 4)</t>
  </si>
  <si>
    <t>18043-LMBMS 01108</t>
  </si>
  <si>
    <t>Typical Details Sheet 8 (External Sandwich Panel)</t>
  </si>
  <si>
    <t>18043-LMBMS 01109</t>
  </si>
  <si>
    <t>Typical Details Sheet 9 (Internal Sandwich Panel)</t>
  </si>
  <si>
    <t>18043-LMBMS 01110</t>
  </si>
  <si>
    <t>Typical Details Sheet 10 (Sandwich Panel-Horizontal Installation)</t>
  </si>
  <si>
    <t>18043-LMBMS 01111</t>
  </si>
  <si>
    <t>Typical Details Sheet 11 (Sandwich Panel-Vertical Installation)</t>
  </si>
  <si>
    <t>18043-LMBMS 01112</t>
  </si>
  <si>
    <t>Typical Details Sheet 12 (Penetration for M&amp;E Work)</t>
  </si>
  <si>
    <t>18043-LMBMS 01113</t>
  </si>
  <si>
    <t>Typical Details Sheet 13 (Dry Wall &amp; Joinery)</t>
  </si>
  <si>
    <t>18043-LMBMS 01114</t>
  </si>
  <si>
    <t>Typical Details Sheet 14 (Steel Handrail &amp; Stair 1)</t>
  </si>
  <si>
    <t>18043-LMBMS 01115</t>
  </si>
  <si>
    <t>Typical Details Sheet 15 (Steel Handrail &amp; Stair 2)</t>
  </si>
  <si>
    <t>18043-LMBMS 01116</t>
  </si>
  <si>
    <t>Typical Details Sheet 16 (Building Protection &amp; Traffic Paint)</t>
  </si>
  <si>
    <t>18043-LMBMS 01117</t>
  </si>
  <si>
    <t>Typical Details Sheet 17 (Fire proof joint &amp; Fire Rate Details)</t>
  </si>
  <si>
    <t>18043-LMBMS 01118</t>
  </si>
  <si>
    <t>Typical Details Sheet 18 (Toilet &amp; Sanitary Ware Installation)</t>
  </si>
  <si>
    <t>ASRS Building (B646)</t>
  </si>
  <si>
    <t>18043-LM646 11001</t>
  </si>
  <si>
    <t>Room Schedule Sheet 1</t>
  </si>
  <si>
    <t>rvt</t>
  </si>
  <si>
    <t>PNT</t>
  </si>
  <si>
    <t>แก้ title block</t>
  </si>
  <si>
    <t>1:100</t>
  </si>
  <si>
    <t>18043-LM646 11101</t>
  </si>
  <si>
    <t>Ground Floor Plan EL.+0.00</t>
  </si>
  <si>
    <t>18043-LM646 11102</t>
  </si>
  <si>
    <t>AHU PLATFORM 1 EL.+7.40</t>
  </si>
  <si>
    <t>18043-LM646 11103</t>
  </si>
  <si>
    <t>2nd Floor Plan EL.+12.00</t>
  </si>
  <si>
    <t>18043-LM646 11104</t>
  </si>
  <si>
    <t>2.1nd Floor Plan EL.+15.50</t>
  </si>
  <si>
    <t>18043-LM646 11105</t>
  </si>
  <si>
    <t>AHU PLATFORM 2 EL.+19.00</t>
  </si>
  <si>
    <t>18043-LM646 11106</t>
  </si>
  <si>
    <t>3rd Floor Plan EL.+24.00 &amp; 3.1rd Floor Plan EL.+27.50</t>
  </si>
  <si>
    <t>18043-LM646 11107</t>
  </si>
  <si>
    <t>AHU PLATFORM 3 EL.+31.00</t>
  </si>
  <si>
    <t>18043-LM646 11108</t>
  </si>
  <si>
    <t>Roof Plan</t>
  </si>
  <si>
    <t>18043-LM646 11111</t>
  </si>
  <si>
    <t>Reflected Ceiling Ground Floor Plan EL.+0.00</t>
  </si>
  <si>
    <t>To be provided</t>
  </si>
  <si>
    <t xml:space="preserve">wait </t>
  </si>
  <si>
    <t>18043-LM646 11112</t>
  </si>
  <si>
    <t>Reflected Ceiling AHU PLATFORM 1 EL.+7.40 &amp; 2nd Floor Plan EL.+12.00</t>
  </si>
  <si>
    <t>18043-LM646 11113</t>
  </si>
  <si>
    <t>Reflected Ceiling 2.1nd Floor Plan EL.+15.50 &amp; AHU PLATFORM 2 EL.+19.00</t>
  </si>
  <si>
    <t>18043-LM646 11114</t>
  </si>
  <si>
    <t>Reflected Ceiling 3rd Floor Plan EL.+24.00 &amp; 3.1rd Floor Plan EL.+27.50</t>
  </si>
  <si>
    <t>18043-LM646 11115</t>
  </si>
  <si>
    <t>Reflected Ceiling AHU PLATFORM 3 EL.+31.00</t>
  </si>
  <si>
    <t>18043-LM646 11121</t>
  </si>
  <si>
    <t>Fire Compartment &amp; Evacuation Plan Ground Floor &amp; 2nd Floor Plan</t>
  </si>
  <si>
    <t>18043-LM646 11122</t>
  </si>
  <si>
    <t>Fire Compartment &amp; Evacuation Plan 3rd Floor &amp; Roof Deck Plan</t>
  </si>
  <si>
    <t>18043-LM646 11201</t>
  </si>
  <si>
    <t>Sections Sheet 1</t>
  </si>
  <si>
    <t>18043-LM646 11202</t>
  </si>
  <si>
    <t>Sections Sheet 2</t>
  </si>
  <si>
    <t>18043-LM646 11203</t>
  </si>
  <si>
    <t>Sections Sheet 3</t>
  </si>
  <si>
    <t>18043-LM646 11204</t>
  </si>
  <si>
    <t>Sections Sheet 4</t>
  </si>
  <si>
    <t>18043-LM646 11301</t>
  </si>
  <si>
    <t>Elevation Sheet 1</t>
  </si>
  <si>
    <t>18043-LM646 11302</t>
  </si>
  <si>
    <t>Elevation Sheet 2</t>
  </si>
  <si>
    <t>Elevation ไม่มีตัว s</t>
  </si>
  <si>
    <t>18043-LM646 11303</t>
  </si>
  <si>
    <t>Elevation Sheet 3</t>
  </si>
  <si>
    <t>18043-LM646 11304</t>
  </si>
  <si>
    <t>Elevation Sheet 4</t>
  </si>
  <si>
    <t>18043-LM646 11401</t>
  </si>
  <si>
    <t>Wall Section &amp; Section Details sheet 1</t>
  </si>
  <si>
    <t>18043-LM646 11402</t>
  </si>
  <si>
    <t>Wall Section &amp; Section Details sheet 2</t>
  </si>
  <si>
    <t>18043-LM646 11403</t>
  </si>
  <si>
    <t>Wall Section &amp; Section Details sheet 3</t>
  </si>
  <si>
    <t>รอแบบ add 8</t>
  </si>
  <si>
    <t>18043-LM646 11404</t>
  </si>
  <si>
    <t>Wall Section &amp; Section Details sheet 4</t>
  </si>
  <si>
    <t>18043-LM646 11501</t>
  </si>
  <si>
    <t>Stair ST-1 Details Sheet 1</t>
  </si>
  <si>
    <t>PNI</t>
  </si>
  <si>
    <t>NMR</t>
  </si>
  <si>
    <t>18043-LM646 11502</t>
  </si>
  <si>
    <t>Stair ST-1 Details Sheet 2</t>
  </si>
  <si>
    <t>18043-LM646 11503</t>
  </si>
  <si>
    <t>Stair ST-2 Details Sheet 1</t>
  </si>
  <si>
    <t>18043-LM646 11504</t>
  </si>
  <si>
    <t>Stair ST-2 ,ST-3 ,ST-4 Details Sheet 2</t>
  </si>
  <si>
    <t>18043-LM646 11505</t>
  </si>
  <si>
    <t>Stair ST-5 ,ST-6, ST-7, ST-8 Details</t>
  </si>
  <si>
    <t>18043-LM646 11506</t>
  </si>
  <si>
    <t>Fireman Lift Details Sheet 1</t>
  </si>
  <si>
    <t>18043-LM646 11507</t>
  </si>
  <si>
    <t>Fireman Lift Details Sheet 2</t>
  </si>
  <si>
    <t>18043-LM646 11508</t>
  </si>
  <si>
    <t>Steel Ladder Details Sheet 1</t>
  </si>
  <si>
    <t>18043-LM646 11700</t>
  </si>
  <si>
    <t>Door Equipment List</t>
  </si>
  <si>
    <t>18043-LM646 11701</t>
  </si>
  <si>
    <t xml:space="preserve">Door and Window Details </t>
  </si>
  <si>
    <t>18043-LM646 11801</t>
  </si>
  <si>
    <t>Enlarge Detail sheet 1</t>
  </si>
  <si>
    <t>18043-LM646 11802</t>
  </si>
  <si>
    <t>Enlarge Detail sheet 2</t>
  </si>
  <si>
    <t>18043-LM646 11803</t>
  </si>
  <si>
    <t>Enlarge Detail sheet 3</t>
  </si>
  <si>
    <t>รอแบบ add 9</t>
  </si>
  <si>
    <t>18043-LM646 11804</t>
  </si>
  <si>
    <t>Enlarge Detail sheet 4 (Inbound Conveyor)</t>
  </si>
  <si>
    <t>18043-LM646 01001</t>
  </si>
  <si>
    <t>CANCELLED</t>
  </si>
  <si>
    <t>revise in for con</t>
  </si>
  <si>
    <t>18043-LM646 01101</t>
  </si>
  <si>
    <t>G</t>
  </si>
  <si>
    <t>H</t>
  </si>
  <si>
    <t>18043-LM646 01102</t>
  </si>
  <si>
    <t>1.1st Floor Plan EL.+9.00</t>
  </si>
  <si>
    <t>18043-LM646 01103</t>
  </si>
  <si>
    <t>1.2st Floor Plan EL.+14.00</t>
  </si>
  <si>
    <t>18043-LM646 01106</t>
  </si>
  <si>
    <t>Roof Deck EL.+40.00</t>
  </si>
  <si>
    <t>18043-LM646 01107</t>
  </si>
  <si>
    <t>Roof Plan EL.+43.50</t>
  </si>
  <si>
    <t>18043-LM646 01111</t>
  </si>
  <si>
    <t>18043-LM646 01112</t>
  </si>
  <si>
    <t>Reflected Ceiling 1.1st Floor Plan EL.+9.00</t>
  </si>
  <si>
    <t>18043-LM646 01113</t>
  </si>
  <si>
    <t>Reflected Ceiling 1.2st Floor Plan EL.+14.00</t>
  </si>
  <si>
    <t>18043-LM646 01114</t>
  </si>
  <si>
    <t>Reflected Ceiling 2nd Floor plan EL.+22.00</t>
  </si>
  <si>
    <t>18043-LM646 01115</t>
  </si>
  <si>
    <t>Reflected Ceiling 2.1nd Floor Plan EL.+27.00 &amp; 2.2nd Floor Plan EL.+32.00</t>
  </si>
  <si>
    <t>18043-LM646 01121</t>
  </si>
  <si>
    <t>Fire Compartment &amp; Evacuation Plan Ground Floor &amp; 1.1st Floor</t>
  </si>
  <si>
    <t>18043-LM646 01122</t>
  </si>
  <si>
    <t>Fire Compartment &amp; Evacuation Plan 1.2st Floor &amp; 2nd Floor</t>
  </si>
  <si>
    <t>18043-LM646 01123</t>
  </si>
  <si>
    <t>Fire Compartment &amp; Evacuation Plan 2.1nd Floor &amp; 2.2nd Floor</t>
  </si>
  <si>
    <t>18043-LM646 01124</t>
  </si>
  <si>
    <t>Fire Compartment &amp; Evacuation Plan Roof Deck</t>
  </si>
  <si>
    <t>18043-LM646 01141</t>
  </si>
  <si>
    <t>Process Clear Height Plan Ground Floor &amp; 2nd Floor</t>
  </si>
  <si>
    <t>18043-LM646 01201</t>
  </si>
  <si>
    <t>18043-LM646 01202</t>
  </si>
  <si>
    <t>18043-LM646 01203</t>
  </si>
  <si>
    <t>18043-LM646 01204</t>
  </si>
  <si>
    <t>18043-LM646 01205</t>
  </si>
  <si>
    <t>Sections Sheet 5</t>
  </si>
  <si>
    <t>18043-LM646 01301</t>
  </si>
  <si>
    <t>Elevations Sheet 1</t>
  </si>
  <si>
    <t>18043-LM646 01302</t>
  </si>
  <si>
    <t>Elevations Sheet 2</t>
  </si>
  <si>
    <t>18043-LM646 01303</t>
  </si>
  <si>
    <t>Elevations Sheet 3</t>
  </si>
  <si>
    <t>18043-LM646 01304</t>
  </si>
  <si>
    <t>Elevations Sheet 4</t>
  </si>
  <si>
    <t>18043-LM646 01401</t>
  </si>
  <si>
    <t>18043-LM646 01402</t>
  </si>
  <si>
    <t>18043-LM646 01403</t>
  </si>
  <si>
    <t>18043-LM646 01404</t>
  </si>
  <si>
    <t>18043-LM646 01405</t>
  </si>
  <si>
    <t>Wall Section &amp; Section Details sheet 5</t>
  </si>
  <si>
    <t>18043-LM646 01406</t>
  </si>
  <si>
    <t>Wall Section &amp; Section Details sheet 6</t>
  </si>
  <si>
    <t>18043-LM646 01501</t>
  </si>
  <si>
    <t>18043-LM646 01502</t>
  </si>
  <si>
    <t>18043-LM646 01503</t>
  </si>
  <si>
    <t>18043-LM646 01504</t>
  </si>
  <si>
    <t>Stair ST-2 Details Sheet 2</t>
  </si>
  <si>
    <t>18043-LM646 01505</t>
  </si>
  <si>
    <t>Service Stair ST-3, ST-4, ST-5, ST-6, ST-7 Details</t>
  </si>
  <si>
    <t>18043-LM646 01506</t>
  </si>
  <si>
    <t>18043-LM646 01507</t>
  </si>
  <si>
    <t>18043-LM646 01508</t>
  </si>
  <si>
    <t>18043-LM646 01509</t>
  </si>
  <si>
    <t>18043-LM646 01510</t>
  </si>
  <si>
    <t>Stair ST-3 Details Sheet 1</t>
  </si>
  <si>
    <t>18043-LM646 01700</t>
  </si>
  <si>
    <t>18043-LM646 01701</t>
  </si>
  <si>
    <t>18043-LM646 01801</t>
  </si>
  <si>
    <t>18043-LM646 01802</t>
  </si>
  <si>
    <t>18043-LM646 01803</t>
  </si>
  <si>
    <t>18043-LM646 01804</t>
  </si>
  <si>
    <t>Enlarge Detail sheet 4 (Outbound Conveyor)</t>
  </si>
  <si>
    <t>18043-LM646 01805</t>
  </si>
  <si>
    <t>Enlarge Detail sheet 5 (Outbound Conveyor)</t>
  </si>
  <si>
    <t>18043-LM646 01806</t>
  </si>
  <si>
    <t>Enlarge Detail sheet 6 (Inbound Conveyor)</t>
  </si>
  <si>
    <t>18043-LM646 01807</t>
  </si>
  <si>
    <t>Enlarge Detail sheet 7 (Inbound Conveyor)</t>
  </si>
  <si>
    <t>Curing Office &amp; Workshop (B231)</t>
  </si>
  <si>
    <t>18043-LM231 01001</t>
  </si>
  <si>
    <t>Update Room Requirement</t>
  </si>
  <si>
    <t>1614B LM191-1 01101 Rv.2 Demolition And Modification Work Sheet 1</t>
  </si>
  <si>
    <t>18043-LM231 01101</t>
  </si>
  <si>
    <t>1st Floor and Mezzanine Floor Plan</t>
  </si>
  <si>
    <t>1:75</t>
  </si>
  <si>
    <t>18043-LM231 01102</t>
  </si>
  <si>
    <t>2nd - 3rd Floor Plan</t>
  </si>
  <si>
    <t>18043-LM231 01103</t>
  </si>
  <si>
    <t>Roof Deck and Roof Plan</t>
  </si>
  <si>
    <t>1614B LM191-1 01102 Rv.2 Demolition And Modification Work Sheet 2</t>
  </si>
  <si>
    <t>18043-LM231 01111</t>
  </si>
  <si>
    <t>Reflected Ceiling Plan</t>
  </si>
  <si>
    <t>18043-LM231 01121</t>
  </si>
  <si>
    <t>Fire Compartment &amp; Evacuation Plan 1st Floor and Mezzanine Floor Plan</t>
  </si>
  <si>
    <t>ยังไม่มีแบบ</t>
  </si>
  <si>
    <t>18043-LM231 01122</t>
  </si>
  <si>
    <t>Fire Compartment &amp; Evacuation Plan 2nd - 3rd Floor Plan and Roof Deck</t>
  </si>
  <si>
    <t>18043-LM231 01201</t>
  </si>
  <si>
    <t>ชื่อโครงการแก้เป็น LMC</t>
  </si>
  <si>
    <t>plot pdf หน้าดเบี๊ยว</t>
  </si>
  <si>
    <t>18043-LM231 01202</t>
  </si>
  <si>
    <t>18043-LM231 01301</t>
  </si>
  <si>
    <t>1614B LM191-1 01103 Rv.3 Ground Floor Plan And Floor Plan At EL.+00</t>
  </si>
  <si>
    <t>18043-LM231 01302</t>
  </si>
  <si>
    <t>18043-LM231 01401</t>
  </si>
  <si>
    <t>18043-LM231 01402</t>
  </si>
  <si>
    <t>18043-LM231 01403</t>
  </si>
  <si>
    <t>18043-LM231 01501</t>
  </si>
  <si>
    <t>ST-1, ST-2, Passenger Lift, Connecting Details Sheet 1</t>
  </si>
  <si>
    <t>18043-LM231 01502</t>
  </si>
  <si>
    <t>ST-1, ST-2, Passenger Lift, Connecting Details Sheet 2</t>
  </si>
  <si>
    <t>18043-LM231 01503</t>
  </si>
  <si>
    <t>Ladder Detail</t>
  </si>
  <si>
    <t>18043-LM231 01601</t>
  </si>
  <si>
    <t>Toilet Details Sheet 1</t>
  </si>
  <si>
    <t>18043-LM231 01602</t>
  </si>
  <si>
    <t>Toilet Details Sheet 2</t>
  </si>
  <si>
    <t>18043-LM231 01700</t>
  </si>
  <si>
    <t>18043-LM231 01701</t>
  </si>
  <si>
    <t>Door and Window Details Sheet 1</t>
  </si>
  <si>
    <t>18043-LM231 01702</t>
  </si>
  <si>
    <t>Door and Window Details Sheet 2</t>
  </si>
  <si>
    <t>18043-LM231 01801</t>
  </si>
  <si>
    <t>18043-LM231 01802</t>
  </si>
  <si>
    <t>18043-LM231 01803</t>
  </si>
  <si>
    <t>Office &amp; Workshop (B190)</t>
  </si>
  <si>
    <t>Cold Preparation Workshop (B520)</t>
  </si>
  <si>
    <t>None</t>
  </si>
  <si>
    <t>TBM Workshop (B561)</t>
  </si>
  <si>
    <t>After Cure Workshop (B191)</t>
  </si>
  <si>
    <t>GRAND-TOTAL DRAWINGS</t>
  </si>
  <si>
    <t>CIVIL &amp; STRUCTURAL WORK</t>
  </si>
  <si>
    <r>
      <rPr>
        <b/>
        <u/>
        <sz val="11"/>
        <color rgb="FF000000"/>
        <rFont val="Arial"/>
        <family val="2"/>
      </rPr>
      <t xml:space="preserve">LMC PF1 ROR PROJECT
</t>
    </r>
    <r>
      <rPr>
        <sz val="11"/>
        <color rgb="FF000000"/>
        <rFont val="Arial"/>
        <family val="2"/>
      </rPr>
      <t>LAEM CHABANG CHONBURI, THAILAND</t>
    </r>
  </si>
  <si>
    <t>27 Dec</t>
  </si>
  <si>
    <t>.............</t>
  </si>
  <si>
    <t>DD-SUBMISSION - 50%</t>
  </si>
  <si>
    <t>DD-SUBMISSION - 70%</t>
  </si>
  <si>
    <t>2/xx/2026</t>
  </si>
  <si>
    <t>Add6</t>
  </si>
  <si>
    <t>For con</t>
  </si>
  <si>
    <t>15
Aug</t>
  </si>
  <si>
    <t>22 Oct</t>
  </si>
  <si>
    <t>3
Apr</t>
  </si>
  <si>
    <t>Detailed Design Development</t>
  </si>
  <si>
    <t>GENERAL DRAWINGS</t>
  </si>
  <si>
    <t>18043-LMBMS 01501</t>
  </si>
  <si>
    <t>Typical Structural Details &amp; General Notes Sheet 1</t>
  </si>
  <si>
    <t>NPS</t>
  </si>
  <si>
    <t>PTF</t>
  </si>
  <si>
    <t>18043-LMBMS 01502</t>
  </si>
  <si>
    <t>Typical Structural Details &amp; General Notes Sheet 2</t>
  </si>
  <si>
    <t>18043-LMBMS 01503</t>
  </si>
  <si>
    <t>Typical Structural Details &amp; General Notes Sheet 3</t>
  </si>
  <si>
    <t>18043-LMBMS 01701</t>
  </si>
  <si>
    <t>Typical Steel Connection Sheet 1</t>
  </si>
  <si>
    <t>18043-LMBMS 01702</t>
  </si>
  <si>
    <t>Typical Steel Connection Sheet 2</t>
  </si>
  <si>
    <t>18043-LMBMS 01703</t>
  </si>
  <si>
    <t>Typical Steel Connection Sheet 3</t>
  </si>
  <si>
    <t>18043-LMBMS 01703A</t>
  </si>
  <si>
    <t>Typical Steel Connection Sheet 4</t>
  </si>
  <si>
    <t>18043-LMBMS 01703B</t>
  </si>
  <si>
    <t>Typical Steel Connection Sheet 5</t>
  </si>
  <si>
    <t>18043-LMBMS 01704</t>
  </si>
  <si>
    <t>Typical Support Detail for Roof Purlin</t>
  </si>
  <si>
    <t>18043-LMBMS 01705</t>
  </si>
  <si>
    <t>Typical Support Detail for Side Purlin</t>
  </si>
  <si>
    <t>18043-LM646 12501</t>
  </si>
  <si>
    <t>Piling Plan</t>
  </si>
  <si>
    <t>18043-LM646 12502</t>
  </si>
  <si>
    <t>Ground Floor Loading Plan EL.+0.00</t>
  </si>
  <si>
    <t>18043-LM646 12503</t>
  </si>
  <si>
    <t>Foundation Plan &amp; Ground Floor Framing Plan EL.+0.00</t>
  </si>
  <si>
    <t>18043-LM646 12504</t>
  </si>
  <si>
    <t xml:space="preserve">AHU Platform 1 Floor Loading Plan EL.+7.40 </t>
  </si>
  <si>
    <t>18043-LM646 12505</t>
  </si>
  <si>
    <t xml:space="preserve">AHU Platform 1 Floor Framing Plan EL.+7.40 </t>
  </si>
  <si>
    <t>PTF/VCY/NPP</t>
  </si>
  <si>
    <t>18043-LM646 12506</t>
  </si>
  <si>
    <t>2nd Floor Loading Plan EL.+12.00</t>
  </si>
  <si>
    <t>18043-LM646 12507</t>
  </si>
  <si>
    <t>2nd  Floor Framing Plan EL.+12.00</t>
  </si>
  <si>
    <t>18043-LM646 12508</t>
  </si>
  <si>
    <t xml:space="preserve">2.1nd  Floor Loading Plan EL.+15.50 &amp; AHU Platform 2 Floor Loading Plan EL.+19.00 </t>
  </si>
  <si>
    <t>18043-LM646 12509</t>
  </si>
  <si>
    <t xml:space="preserve">2.1nd  Floor Framing Plan EL.+15.50 &amp; AHU Platform 2 Floor Framing Plan EL.+19.00 </t>
  </si>
  <si>
    <t>VCY</t>
  </si>
  <si>
    <t>18043-LM646 12510</t>
  </si>
  <si>
    <t>3rd Floor Loading Plan EL.+24.00</t>
  </si>
  <si>
    <t>18043-LM646 12511</t>
  </si>
  <si>
    <t>3rd  Floor Framing Plan EL.+24.00</t>
  </si>
  <si>
    <t>18043-LM646 12512</t>
  </si>
  <si>
    <t xml:space="preserve">3.1rd  Floor Loading Plan EL.+27.50 &amp; AHU Platform 3 Floor Loading Plan EL.+31.00 </t>
  </si>
  <si>
    <t>18043-LM646 12513</t>
  </si>
  <si>
    <t xml:space="preserve">3.1rd  Floor Framing Plan EL.+27.50 &amp; AHU Platform 3 Floor Framing Plan EL.+31.00 </t>
  </si>
  <si>
    <t>18043-LM646 12514</t>
  </si>
  <si>
    <t>Top Roof Loading Plan &amp; Service Platform Loading Plan EL.+33.30</t>
  </si>
  <si>
    <t>18043-LM646 12515</t>
  </si>
  <si>
    <t>Roof Slab Framing Plan &amp; Service Platform Floor Framing Plan EL.+33.30</t>
  </si>
  <si>
    <t>18043-LM646 12516</t>
  </si>
  <si>
    <t>Top Roof Framing Plan &amp; Roof Purlin Framing Plan</t>
  </si>
  <si>
    <t>NPP</t>
  </si>
  <si>
    <t>18043-LM646 12517</t>
  </si>
  <si>
    <t>Framing Elevation Sheet 1 (GL.r1 - GL.r7)</t>
  </si>
  <si>
    <t>18043-LM646 12518</t>
  </si>
  <si>
    <t>Framing Elevation Sheet 2 (GL.r8 - GL.r14)</t>
  </si>
  <si>
    <t>18043-LM646 12519</t>
  </si>
  <si>
    <t>Framing Elevation Sheet 3 (GL.rA - GL.rD)</t>
  </si>
  <si>
    <t>18043-LM646 12520</t>
  </si>
  <si>
    <t>Framing Elevation Sheet 4 (GL.rE - GL.rG')</t>
  </si>
  <si>
    <t>18043-LM646 12531</t>
  </si>
  <si>
    <t>Foundation Details Sheet 1</t>
  </si>
  <si>
    <t>18043-LM646 12532</t>
  </si>
  <si>
    <t>Foundation Details Sheet 2</t>
  </si>
  <si>
    <t>18043-LM646 12533</t>
  </si>
  <si>
    <t>Foundation Details Sheet 3</t>
  </si>
  <si>
    <t>18043-LM646 12534</t>
  </si>
  <si>
    <t>Foundation Details Sheet 4</t>
  </si>
  <si>
    <t>18043-LM646 12535</t>
  </si>
  <si>
    <t>Foundation Details Sheet 5</t>
  </si>
  <si>
    <t>18043-LM646 12536</t>
  </si>
  <si>
    <t>Foundation Details Sheet 6</t>
  </si>
  <si>
    <t>18043-LM646 12537</t>
  </si>
  <si>
    <t>Foundation Details Sheet 7</t>
  </si>
  <si>
    <t>18043-LM646 12541</t>
  </si>
  <si>
    <t>Ground Floor Slab Reinforcement Plan EL.+0.00</t>
  </si>
  <si>
    <t>18043-LM646 12542</t>
  </si>
  <si>
    <t>AHU Platform 1 Floor EL.+7.40 &amp; 2nd Floor EL.+12.00 Reinforcement Plan</t>
  </si>
  <si>
    <t>18043-LM646 12543</t>
  </si>
  <si>
    <t>3rd Floor EL.+24.00 &amp; Roof Slab EL.+36.80 Reinforcement Plan</t>
  </si>
  <si>
    <t>18043-LM646 12544</t>
  </si>
  <si>
    <t>Slab Reinforcement Sections</t>
  </si>
  <si>
    <t>18043-LM646 12551</t>
  </si>
  <si>
    <t>Column Details</t>
  </si>
  <si>
    <t>18043-LM646 12561</t>
  </si>
  <si>
    <t xml:space="preserve">General Reinforcement in RC Beam </t>
  </si>
  <si>
    <t>18043-LM646 12562</t>
  </si>
  <si>
    <t>General Precast Concrete in RC Column and Beam</t>
  </si>
  <si>
    <t>18043-LM646 12563</t>
  </si>
  <si>
    <t>RC Beam Table Sheet 1</t>
  </si>
  <si>
    <t>18043-LM646 12564</t>
  </si>
  <si>
    <t>RC Beam Table Sheet 2</t>
  </si>
  <si>
    <t>18043-LM646 12565</t>
  </si>
  <si>
    <t>RC Beam Details</t>
  </si>
  <si>
    <t>18043-LM646 12571</t>
  </si>
  <si>
    <t>RC Stair Details Sheet 1 (ST-1)</t>
  </si>
  <si>
    <t>18043-LM646 12572</t>
  </si>
  <si>
    <t>RC Stair Details Sheet 2 (ST-1)</t>
  </si>
  <si>
    <t>18043-LM646 12581</t>
  </si>
  <si>
    <t>Lift Details Sheet 1</t>
  </si>
  <si>
    <t>18043-LM646 12582</t>
  </si>
  <si>
    <t>Lift Details Sheet 2</t>
  </si>
  <si>
    <t>18043-LM646 12701</t>
  </si>
  <si>
    <t xml:space="preserve">Steel Stair Details Sheet 1 (ST-2) </t>
  </si>
  <si>
    <t>KTT</t>
  </si>
  <si>
    <t>18043-LM646 12702</t>
  </si>
  <si>
    <t xml:space="preserve">Steel Stair Details Sheet 2 (ST-2) </t>
  </si>
  <si>
    <t>18043-LM646 12703</t>
  </si>
  <si>
    <t>Steel Stair Details Sheet 3 (ST-3 ,ST-4 ,ST-5 ,ST-6 ,ST-7 and ST-8)</t>
  </si>
  <si>
    <t>18043-LM646 12712</t>
  </si>
  <si>
    <t>Steel Stair Connection Details Sheet 1 (S1-S2)</t>
  </si>
  <si>
    <t>To be provided.</t>
  </si>
  <si>
    <t>18043-LM646 12713</t>
  </si>
  <si>
    <t>Steel Stair Connection Details Sheet 2 (S3-S4)</t>
  </si>
  <si>
    <t>18043-LM646 12714</t>
  </si>
  <si>
    <t>Steel Stair Connection Details Sheet 3 (S5-S7)</t>
  </si>
  <si>
    <t>18043-LM646 12715</t>
  </si>
  <si>
    <t>Steel Stair Connection Details Sheet 4 (S8-S10)</t>
  </si>
  <si>
    <t>18043-LM646 12716</t>
  </si>
  <si>
    <t>Steel Stair Connection Details Sheet 5 (S11-S15)</t>
  </si>
  <si>
    <t>18043-LM646 12717</t>
  </si>
  <si>
    <t>Steel Stair Connection Details Sheet 6 (S16-S18)</t>
  </si>
  <si>
    <t>18043-LM646 12718</t>
  </si>
  <si>
    <t>Steel Stair Connection Details Sheet 7 (S19)</t>
  </si>
  <si>
    <t>18043-LM646 12721</t>
  </si>
  <si>
    <t>Pipe and Cable Rack Details</t>
  </si>
  <si>
    <t>18043-LM646 12731</t>
  </si>
  <si>
    <t>Steel Roof Gutter and Parapet Details Sheet 1</t>
  </si>
  <si>
    <t>18043-LM646 12732</t>
  </si>
  <si>
    <t>Steel Roof Gutter and Parapet Details Sheet 2</t>
  </si>
  <si>
    <t>18043-LM646 12741</t>
  </si>
  <si>
    <t>Column Base Plate Details</t>
  </si>
  <si>
    <t>18043-LM646 12751</t>
  </si>
  <si>
    <t>Modification Work of Existing Conveyor Support Outside Building (LM000)</t>
  </si>
  <si>
    <t>18043-LM646 12761</t>
  </si>
  <si>
    <t>Steel &amp; RC Miscellaneous Details Sheet 1</t>
  </si>
  <si>
    <t>KTT/VCY/NPP</t>
  </si>
  <si>
    <t>18043-LM646 12771</t>
  </si>
  <si>
    <t>Steel Connection Details Sheet 1 (E1-E6)</t>
  </si>
  <si>
    <t>18043-LM646 12772</t>
  </si>
  <si>
    <t>Steel Connection Details Sheet 2 (E7-E8A)</t>
  </si>
  <si>
    <t>18043-LM646 12773</t>
  </si>
  <si>
    <t>Steel Connection Details Sheet 3 (E9-E11)</t>
  </si>
  <si>
    <t>18043-LM646 12774</t>
  </si>
  <si>
    <t>Steel Connection Details Sheet 4 (E12-E13)</t>
  </si>
  <si>
    <t>18043-LM646 12775</t>
  </si>
  <si>
    <t>Steel Connection Details Sheet 5 (R1-R3)</t>
  </si>
  <si>
    <t>18043-LM646 12776</t>
  </si>
  <si>
    <t>Steel Connection Details Sheet 6 (R3-R4)</t>
  </si>
  <si>
    <t>18043-LM646 12777</t>
  </si>
  <si>
    <t>Steel Connection Details Sheet 7 (R5-R6)</t>
  </si>
  <si>
    <t>18043-LM646 12777A</t>
  </si>
  <si>
    <t>Steel Connection Details Sheet 7A (R7)</t>
  </si>
  <si>
    <t>18043-LM646 12778</t>
  </si>
  <si>
    <t>Steel Connection Details Sheet 8 (A1-A6)</t>
  </si>
  <si>
    <t>18043-LM646 12779</t>
  </si>
  <si>
    <t>Steel Connection Details Sheet 9 (A7-A14)</t>
  </si>
  <si>
    <t>18043-LM646 12780</t>
  </si>
  <si>
    <t>Steel Connection Details Sheet 10 (B1-B6)</t>
  </si>
  <si>
    <t>18043-LM646 12781</t>
  </si>
  <si>
    <t>Steel Connection Details Sheet 11 (C1-C6)</t>
  </si>
  <si>
    <t>18043-LM646 12782</t>
  </si>
  <si>
    <t>Steel Connection Details Sheet 12 (C7-C14)</t>
  </si>
  <si>
    <t>18043-LM646 12783</t>
  </si>
  <si>
    <t>Steel Connection Details Sheet 13 (D1-D10)</t>
  </si>
  <si>
    <t>18043-LM646 12784</t>
  </si>
  <si>
    <t>Steel Connection Details Sheet 14 (G1-G10)</t>
  </si>
  <si>
    <t>18043-LM646 12785</t>
  </si>
  <si>
    <t>Steel Connection Details Sheet 15 (G11-G15)</t>
  </si>
  <si>
    <t>18043-LM646 12786</t>
  </si>
  <si>
    <t>Steel Connection Details Sheet 16 (G16-G17)</t>
  </si>
  <si>
    <t>18043-LM646 12787</t>
  </si>
  <si>
    <t>Steel Connection Details Sheet 17 (H1-H3)</t>
  </si>
  <si>
    <t>18043-LM646 12788</t>
  </si>
  <si>
    <t>Steel Connection Details Sheet 18 (I1-I6, P1)</t>
  </si>
  <si>
    <t>1.1st  Floor Loading Plan EL.+9.00 &amp; 1.2st  Floor Loading Plan EL.+14.00</t>
  </si>
  <si>
    <t>TTK</t>
  </si>
  <si>
    <t>1.1st  Floor Framing Plan EL.+9.00 &amp; 1.2st Floor Framing Plan EL.+14.00</t>
  </si>
  <si>
    <t>2nd Floor Loading Plan EL.+22.00</t>
  </si>
  <si>
    <t>2nd  Floor Framing Plan EL.+22.00</t>
  </si>
  <si>
    <t>2.1nd Floor Loading Plan EL.+27.00 &amp; 2.2nd Floor Loading Plan EL.+32.00</t>
  </si>
  <si>
    <t>2.1nd Floor Framing Plan EL.+27.00 &amp; 2.2nd Floor Framing Plan EL.+32.00</t>
  </si>
  <si>
    <t>Roof Slab Loading Plan EL.+40.00</t>
  </si>
  <si>
    <t>18043-LM646 01511</t>
  </si>
  <si>
    <t>Roof Slab Framing Plan EL.+40.00</t>
  </si>
  <si>
    <t>18043-LM646 01512</t>
  </si>
  <si>
    <t>Top Roof Loading Plan EL.+43.50</t>
  </si>
  <si>
    <t>18043-LM646 01513</t>
  </si>
  <si>
    <t>Top Roof Framing Plan EL.+43.50 &amp; Roof Purlin Framing Plan</t>
  </si>
  <si>
    <t>18043-LM646 01514</t>
  </si>
  <si>
    <t>Framing Elevation Sheet1 (GL.r1 - GL.r8)</t>
  </si>
  <si>
    <t>18043-LM646 01515</t>
  </si>
  <si>
    <t>Framing Elevation Sheet2 (GL.r9 - GL.r14 + 2900)</t>
  </si>
  <si>
    <t>18043-LM646 01516</t>
  </si>
  <si>
    <t>Framing Elevation Sheet3 (GL.rA - GL.rB)</t>
  </si>
  <si>
    <t>18043-LM646 01517</t>
  </si>
  <si>
    <t>Framing Elevation Sheet4 (GL.rC - GL.rD)</t>
  </si>
  <si>
    <t>18043-LM646 01518</t>
  </si>
  <si>
    <t>Framing Elevation Sheet5 (GL.rF - GL.rH)</t>
  </si>
  <si>
    <t>18043-LM646 01531</t>
  </si>
  <si>
    <t>18043-LM646 01532</t>
  </si>
  <si>
    <t>18043-LM646 01533</t>
  </si>
  <si>
    <t>18043-LM646 01534</t>
  </si>
  <si>
    <t>18043-LM646 01535</t>
  </si>
  <si>
    <t>18043-LM646 01536</t>
  </si>
  <si>
    <t>18043-LM646 01537</t>
  </si>
  <si>
    <t>18043-LM646 01538</t>
  </si>
  <si>
    <t>Foundation Details Sheet 8</t>
  </si>
  <si>
    <t>18043-LM646 01539</t>
  </si>
  <si>
    <t>Foundation Details Sheet 9</t>
  </si>
  <si>
    <t>18043-LM646 01540</t>
  </si>
  <si>
    <t>Foundation Details Sheet 10</t>
  </si>
  <si>
    <t>18043-LM646 01541</t>
  </si>
  <si>
    <t>Ground Floor Slab Reinforcement Plan Sheet1</t>
  </si>
  <si>
    <t>18043-LM646 01542</t>
  </si>
  <si>
    <t>2nd Floor EL.+22.00  &amp; Roof Slab EL.+40.00 Reinforcement Plan</t>
  </si>
  <si>
    <t>18043-LM646 01543</t>
  </si>
  <si>
    <t>Steel Stair Details Sheet1</t>
  </si>
  <si>
    <t>18043-LM646 01702</t>
  </si>
  <si>
    <t>Steel Stair Details Sheet2</t>
  </si>
  <si>
    <t>18043-LM646 01703</t>
  </si>
  <si>
    <t>Steel Stair Details Sheet3</t>
  </si>
  <si>
    <t>18043-LM646 01704</t>
  </si>
  <si>
    <t>Steel Stair Details Sheet4</t>
  </si>
  <si>
    <t>18043-LM646 01705</t>
  </si>
  <si>
    <t>Steel Stair Details Sheet5</t>
  </si>
  <si>
    <t>18043-LM646 01706</t>
  </si>
  <si>
    <t>Steel Stair Details Sheet6</t>
  </si>
  <si>
    <t>18043-LM646 01707</t>
  </si>
  <si>
    <t>Steel Stair Details Sheet7</t>
  </si>
  <si>
    <t>18043-LM646 01711</t>
  </si>
  <si>
    <t>Typical Steel Stair Connection Details</t>
  </si>
  <si>
    <t>18043-LM646 01712</t>
  </si>
  <si>
    <t>Steel Stair Connection Details Sheet 1 (S1-S6)</t>
  </si>
  <si>
    <t>18043-LM646 01713</t>
  </si>
  <si>
    <t>Steel Stair Connection Details Sheet 2 (S7-S15)</t>
  </si>
  <si>
    <t>18043-LM646 01721</t>
  </si>
  <si>
    <t>Lift Details</t>
  </si>
  <si>
    <t>18043-LM646 01722</t>
  </si>
  <si>
    <t>18043-LM646 01731</t>
  </si>
  <si>
    <t>Truss Details</t>
  </si>
  <si>
    <t>18043-LM646 01732</t>
  </si>
  <si>
    <t>Outbound Conveyor Details Sheet1</t>
  </si>
  <si>
    <t>TTK &amp; VCY</t>
  </si>
  <si>
    <t>18043-LM646 01732A</t>
  </si>
  <si>
    <t>Outbound Conveyor Details Sheet2</t>
  </si>
  <si>
    <t>18043-LM646 01733</t>
  </si>
  <si>
    <t>18043-LM646 01734</t>
  </si>
  <si>
    <t>18043-LM646 01735</t>
  </si>
  <si>
    <t>18043-LM646 01741</t>
  </si>
  <si>
    <t>Column Base Plate Details Sheet1</t>
  </si>
  <si>
    <t>18043-LM646 01742</t>
  </si>
  <si>
    <t>Column Base Plate Details Sheet2</t>
  </si>
  <si>
    <t>18043-LM646 01751</t>
  </si>
  <si>
    <t>Built-Up Section</t>
  </si>
  <si>
    <t>18043-LM646 01761</t>
  </si>
  <si>
    <t>Steel Connection Details Sheet 1 (A1)</t>
  </si>
  <si>
    <t>18043-LM646 01762</t>
  </si>
  <si>
    <t>Steel Connection Details Sheet 2 (A2)</t>
  </si>
  <si>
    <t>18043-LM646 01763</t>
  </si>
  <si>
    <t>Steel Connection Details Sheet 3 (A3)</t>
  </si>
  <si>
    <t>18043-LM646 01763A</t>
  </si>
  <si>
    <t>Steel Connection Details Sheet 3A (A3)</t>
  </si>
  <si>
    <t>18043-LM646 01764</t>
  </si>
  <si>
    <t>Steel Connection Details Sheet 4 (A4-A7)</t>
  </si>
  <si>
    <t>18043-LM646 01765</t>
  </si>
  <si>
    <t>Steel Connection Details Sheet 5 (A8-A9)</t>
  </si>
  <si>
    <t>18043-LM646 01765A</t>
  </si>
  <si>
    <t>Steel Connection Details Sheet 5A (A10-A13)</t>
  </si>
  <si>
    <t>18043-LM646 01766</t>
  </si>
  <si>
    <t>Steel Connection Details Sheet 6 (B1-B2)</t>
  </si>
  <si>
    <t>18043-LM646 01767</t>
  </si>
  <si>
    <t>Steel Connection Details Sheet 7 (B3-B6)</t>
  </si>
  <si>
    <t>18043-LM646 01768</t>
  </si>
  <si>
    <t>Steel Connection Details Sheet 8 (B7)</t>
  </si>
  <si>
    <t>18043-LM646 01769</t>
  </si>
  <si>
    <t>Steel Connection Details Sheet 9 (B8)</t>
  </si>
  <si>
    <t>18043-LM646 01770</t>
  </si>
  <si>
    <t>Steel Connection Details Sheet 10 (B9-B10)</t>
  </si>
  <si>
    <t>18043-LM646 01771</t>
  </si>
  <si>
    <t>Steel Connection Details Sheet 11 (C1-C2)</t>
  </si>
  <si>
    <t>18043-LM646 01772</t>
  </si>
  <si>
    <t>Steel Connection Details Sheet 12 (C3-C5)</t>
  </si>
  <si>
    <t>18043-LM646 01773</t>
  </si>
  <si>
    <t>Steel Connection Details Sheet 13 (D1-D2)</t>
  </si>
  <si>
    <t>18043-LM646 01774</t>
  </si>
  <si>
    <t>Steel Connection Details Sheet 14 (D3-D8)</t>
  </si>
  <si>
    <t>18043-LM646 01774A</t>
  </si>
  <si>
    <t>Steel Connection Details Sheet 14A (D9-D16)</t>
  </si>
  <si>
    <t>18043-LM646 01775</t>
  </si>
  <si>
    <t>Steel Connection Details Sheet 15 (E1-E3)</t>
  </si>
  <si>
    <t>18043-LM646 01776</t>
  </si>
  <si>
    <t>Steel Connection Details Sheet 16 (E4-E5)</t>
  </si>
  <si>
    <t>18043-LM646 01777</t>
  </si>
  <si>
    <t>Steel Connection Details Sheet 17 (E6-E7)</t>
  </si>
  <si>
    <t>18043-LM646 01778</t>
  </si>
  <si>
    <t>Steel Connection Details Sheet 18 (E8)</t>
  </si>
  <si>
    <t>18043-LM646 01779</t>
  </si>
  <si>
    <t>Steel Connection Details Sheet 19 (E8-F3)</t>
  </si>
  <si>
    <t>18043-LM646 01780</t>
  </si>
  <si>
    <t>Curing Office &amp; Workshop</t>
  </si>
  <si>
    <t xml:space="preserve">Overall Loading Plan </t>
  </si>
  <si>
    <t>Piling Plan and Foundation Plan</t>
  </si>
  <si>
    <t>1st Floor and Mezzanine Framing Plan</t>
  </si>
  <si>
    <t>18043-LM231 01504</t>
  </si>
  <si>
    <t>2nd &amp; 3rd Floor Framing Plan</t>
  </si>
  <si>
    <t>18043-LM231 01505</t>
  </si>
  <si>
    <t>Roof &amp; Top Roof Framing Plan</t>
  </si>
  <si>
    <t>18043-LM231 01506</t>
  </si>
  <si>
    <t>Framing Elevation Sheet1</t>
  </si>
  <si>
    <t>18043-LM231 01507</t>
  </si>
  <si>
    <t>Framing Elevation Sheet2</t>
  </si>
  <si>
    <t>18043-LM231 01521</t>
  </si>
  <si>
    <t xml:space="preserve">Slab Reinforcement Plan </t>
  </si>
  <si>
    <t>18043-LM231 01522</t>
  </si>
  <si>
    <t>Slab Sections</t>
  </si>
  <si>
    <t>Toilet &amp; Recreation Area Details Sheet 1</t>
  </si>
  <si>
    <t>Toilet &amp; Recreation Area Details Sheet 2</t>
  </si>
  <si>
    <t>Steel Stair Details</t>
  </si>
  <si>
    <t>18043-LM231 01711</t>
  </si>
  <si>
    <t xml:space="preserve">Lift Details </t>
  </si>
  <si>
    <t>18043-LM231 01721</t>
  </si>
  <si>
    <t xml:space="preserve">Steel Gutter Details </t>
  </si>
  <si>
    <t>18043-LM231 01722</t>
  </si>
  <si>
    <t>Steel Miscellaneous Details Sheet 1</t>
  </si>
  <si>
    <t>18043-LM231 01723</t>
  </si>
  <si>
    <t>Steel Miscellaneous Details Sheet 2</t>
  </si>
  <si>
    <t>18043-LM231 01724</t>
  </si>
  <si>
    <t>Steel Miscellaneous Details Sheet 3</t>
  </si>
  <si>
    <t>18043-LM231 01741</t>
  </si>
  <si>
    <t>Steel Connection Details Sheet 1 (A1-A3b)</t>
  </si>
  <si>
    <t>18043-LM231 01742</t>
  </si>
  <si>
    <t>Steel Connection Details Sheet 2 (A4 ,A5 ,A8)</t>
  </si>
  <si>
    <t>18043-LM231 01743</t>
  </si>
  <si>
    <t>Steel Connection Details Sheet 3 (A6-A7 ,A9-A11 ,B1-B4)</t>
  </si>
  <si>
    <t>18043-LM231 01744</t>
  </si>
  <si>
    <t>Steel Connection Details Sheet 4 (B5-B11 ,D1-D2)</t>
  </si>
  <si>
    <t>18043-LM231 01745</t>
  </si>
  <si>
    <t>Steel Connection Details Sheet 5 (C1-C2, E1-E9)</t>
  </si>
  <si>
    <t>18043-LM231 01746</t>
  </si>
  <si>
    <t>Steel Connection Details Sheet 6 (Y1-Y12 ,F1-F4)</t>
  </si>
  <si>
    <t>18043-LM520 01501</t>
  </si>
  <si>
    <t>Modification Work Details Sheet 1</t>
  </si>
  <si>
    <t>18043-LM520 01502</t>
  </si>
  <si>
    <t>Modification Work Details Sheet 2</t>
  </si>
  <si>
    <t>18043-LM561 01701</t>
  </si>
  <si>
    <t>Modification Work Details</t>
  </si>
  <si>
    <t>Outside building work</t>
  </si>
  <si>
    <t>18043-LM000 01741</t>
  </si>
  <si>
    <t>Cable Rack Support from B121-2 to B191 Sheet 1</t>
  </si>
  <si>
    <t>18043-LM000 01742</t>
  </si>
  <si>
    <t>Cable Rack Support from B121-2 to B191 Sheet 2</t>
  </si>
  <si>
    <t>18043-LM000 01743</t>
  </si>
  <si>
    <t>Cable Rack Support Steel Connection Details Sheet 1</t>
  </si>
  <si>
    <t>18043-LM000 01744</t>
  </si>
  <si>
    <t>Cable Rack Support Steel Connection Details Sheet 2</t>
  </si>
  <si>
    <t>Civil Work Outside Building</t>
  </si>
  <si>
    <t>18043-LM000 01902</t>
  </si>
  <si>
    <t>Civil Work for B646 and B231 Area - Demolition Plan</t>
  </si>
  <si>
    <t>18043-LM000 01903</t>
  </si>
  <si>
    <t>Civil Work for B646 and B231 Area - New Layout Plan</t>
  </si>
  <si>
    <t>18043-LM000 01904</t>
  </si>
  <si>
    <t>Civil Work for B646 and B231 Area - Section &amp; Details Sheet 1</t>
  </si>
  <si>
    <t>18043-LM000 01905</t>
  </si>
  <si>
    <t>Civil Work for B646 and B231 Area - Section &amp; Details Sheet 2</t>
  </si>
  <si>
    <t>18043-LM000 01906</t>
  </si>
  <si>
    <t>Civil Work for B646 and B231 Area - Section &amp; Details Sheet 3</t>
  </si>
  <si>
    <t>18043-LM000 01907</t>
  </si>
  <si>
    <t>Civil Work for B646 and B231 Area - Section &amp; Details Sheet 4</t>
  </si>
  <si>
    <t>GRAND-TOTAL CIVIL DRAWINGS</t>
  </si>
  <si>
    <t>ฅ</t>
  </si>
  <si>
    <t>......</t>
  </si>
  <si>
    <t>MECHANICAL WORK</t>
  </si>
  <si>
    <t>Work Progress</t>
  </si>
  <si>
    <t>RFNO</t>
  </si>
  <si>
    <t>Draftman</t>
  </si>
  <si>
    <t>60DD</t>
  </si>
  <si>
    <t>For Permit</t>
  </si>
  <si>
    <t>50DD</t>
  </si>
  <si>
    <t>Splite package</t>
  </si>
  <si>
    <t>17
Jun</t>
  </si>
  <si>
    <t>19 Sep</t>
  </si>
  <si>
    <t>29
Jan</t>
  </si>
  <si>
    <t>23
Mar</t>
  </si>
  <si>
    <t>7
Apr</t>
  </si>
  <si>
    <t>General Drawing</t>
  </si>
  <si>
    <t>18043-LMBMS 08119</t>
  </si>
  <si>
    <t>Plumbing Typical Details</t>
  </si>
  <si>
    <t>KRJ</t>
  </si>
  <si>
    <t>PWL</t>
  </si>
  <si>
    <t>SPS</t>
  </si>
  <si>
    <t>LMBMS 08119   Rv.7A  Typical Details Sheet 1</t>
  </si>
  <si>
    <t>18043-LMBMS 08120</t>
  </si>
  <si>
    <t>Plumbing Typical Details Sheet 2</t>
  </si>
  <si>
    <t>LMBMS 08215   Rv.7A  Typical Details Sheet 2</t>
  </si>
  <si>
    <t>LMBMS 08214   Rv.7A  Typical Details Sheet 1</t>
  </si>
  <si>
    <t>LMBMS 08217   Rv.5  Fire Door Operation Typical Details</t>
  </si>
  <si>
    <t>LMBMS 08218   Rv.4A  Fire Protection Abbreviation and General Note</t>
  </si>
  <si>
    <t>LMBMS 08219   Rv.3A  Typical Details Sheet 3</t>
  </si>
  <si>
    <t>LMBMS 08311 Rv.16 Typical Details Sheet 1</t>
  </si>
  <si>
    <t>LMBMS 08312 Rv.16 Typical Details Sheet 2</t>
  </si>
  <si>
    <t>LMBMS 08313 Rv.16 Typical Details Sheet 3</t>
  </si>
  <si>
    <t xml:space="preserve">LMBMS 08314 Rv.16 Typical Details Sheet 4 </t>
  </si>
  <si>
    <t>LMBMS 08315 Rv.16 Typical Details Sheet 5</t>
  </si>
  <si>
    <t>LMBMS 08513 Rv.13 Typical Details Sheet 1</t>
  </si>
  <si>
    <t>LMBMS 08514 Rv.13 Typical Details Sheet 2</t>
  </si>
  <si>
    <t>LMBMS 08515 Rv.13 Typical Details Sheet 3</t>
  </si>
  <si>
    <t>LMBMS 08517 Rv.2 Fluids Abbreviation and General Note</t>
  </si>
  <si>
    <t>A3</t>
  </si>
  <si>
    <t>LMBMS 09301 Rv.6 Control Unit and Wiring Typical Details Sheet 1</t>
  </si>
  <si>
    <t>18043-LMBMS 09302</t>
  </si>
  <si>
    <t>Control Unit And Wiring Typical Details Sheet 2</t>
  </si>
  <si>
    <t>LMBMS 09302 Rv.9 Control Unit and Wiring Typical Details Sheet 2</t>
  </si>
  <si>
    <t xml:space="preserve">LM000 08251 Rv.10 Outside Building - Fire Protection System - Modification Plan </t>
  </si>
  <si>
    <t>LMBME 08222 Rv.1C Overall Layout - Piping Outside Building Plan</t>
  </si>
  <si>
    <t>LMBME or LM642??</t>
  </si>
  <si>
    <t xml:space="preserve">LMBME 08553   Rv.18 Main Pipe Racks Fluid Distribution Diagram </t>
  </si>
  <si>
    <t>TWK</t>
  </si>
  <si>
    <t>LM000 08253   Rv.3 Covered Passageway (190-642) - Fire Protection Plan &amp; Sections</t>
  </si>
  <si>
    <t>LM000 08504 Rv.3 Bladder Post, AFC Workshop &amp; TBM Workshop - Piping Plans &amp; Details</t>
  </si>
  <si>
    <t>LMBME or LM642?? -&gt; BME</t>
  </si>
  <si>
    <t>LMBME 08560 Rv.0c Main Pipes Rack Piping Layout</t>
  </si>
  <si>
    <t>KWS</t>
  </si>
  <si>
    <t>LM103 08201 Rv.5 Fire Water System - Plans</t>
  </si>
  <si>
    <t>LM103 08202 Rv.2 Fire Water System - Sections</t>
  </si>
  <si>
    <t>LM103 08203 Rv.A LV2 Room - Plans &amp; Diagram</t>
  </si>
  <si>
    <t>LM103 08301 Rv.3 Air Conditioning &amp; Ventilation System - P&amp;I Diagram</t>
  </si>
  <si>
    <t>เอา RFNO ออก</t>
  </si>
  <si>
    <t>LM103 08302 Rv.3 Air Conditioning &amp; Ventilation System - Plan &amp; Section</t>
  </si>
  <si>
    <t>LM263 08101 Rv.0 Plumbing Plan and Details</t>
  </si>
  <si>
    <t>LM263 08301 Rv.0 Ventilation Plans</t>
  </si>
  <si>
    <t>Section เขียนผิด</t>
  </si>
  <si>
    <t>LM642 08251   Rv.8 Fire Protection Plan &amp; Section</t>
  </si>
  <si>
    <t>HVAC System - Plan &amp; Sections</t>
  </si>
  <si>
    <t>แก้ Drawing name และชื่อไฟล์</t>
  </si>
  <si>
    <t>LM642 08302</t>
  </si>
  <si>
    <t>LM651 08201 Rv.2 Fire Water System - Plan &amp; Sections</t>
  </si>
  <si>
    <t>ไม่มี comma หลังคำว่า Plan</t>
  </si>
  <si>
    <t>LM651 08301 Rv.2 Air Conditioning System - Plan, Section And P&amp;I Diagram</t>
  </si>
  <si>
    <t>18043-LM646 08201</t>
  </si>
  <si>
    <t>Fire Protection System - Ground Floor Sprinkler Plan EL.+0.00</t>
  </si>
  <si>
    <t>KMP</t>
  </si>
  <si>
    <t>ASP</t>
  </si>
  <si>
    <t>18043-LM646 08202</t>
  </si>
  <si>
    <t>Fire Protection System - Ground Floor Sprinkler Plan EL.+9.00</t>
  </si>
  <si>
    <t>18043-LM646 08203</t>
  </si>
  <si>
    <t>Fire Protection System - Ground Floor Sprinkler Plan EL.+14.00</t>
  </si>
  <si>
    <t>18043-LM646 08204</t>
  </si>
  <si>
    <t>Fire Protection System - 2nd Floor Sprinkler Plan EL.+22.00</t>
  </si>
  <si>
    <t>18043-LM646 08205</t>
  </si>
  <si>
    <t>Fire Protection System - 2nd Floor Sprinkler Plan EL.+27.00</t>
  </si>
  <si>
    <t>18043-LM646 08206</t>
  </si>
  <si>
    <t>Fire Protection System - 2nd Floor Sprinkler Plan EL.+32.00 and Roof</t>
  </si>
  <si>
    <t>18043-LM646 08207</t>
  </si>
  <si>
    <t>Fire Protection System - Ground Floor Fire Hose Cabinet and Fire Extinguisher Plan EL.+0.00</t>
  </si>
  <si>
    <t>18043-LM646 08208</t>
  </si>
  <si>
    <t>Fire Protection System - Ground Floor Fire Hose Cabinet and Fire Extinguisher Plan EL.+9.00</t>
  </si>
  <si>
    <t>18043-LM646 08209</t>
  </si>
  <si>
    <t>Fire Protection System - Ground Floor Fire Hose Cabinet and Fire Extinguisher Plan EL.+14.00</t>
  </si>
  <si>
    <t>18043-LM646 08210</t>
  </si>
  <si>
    <t>Fire Protection System - 2nd Floor Fire Hose Cabinet and Fire Extinguisher Plan EL.+22.00</t>
  </si>
  <si>
    <t>18043-LM646 08211</t>
  </si>
  <si>
    <t>Fire Protection System - 2nd Floor Fire Hose Cabinet and Fire Extinguisher Plan EL.+27.00</t>
  </si>
  <si>
    <t>18043-LM646 08212</t>
  </si>
  <si>
    <t>Fire Protection System - 2nd Floor Fire Hose Cabinet and Fire Extinguisher Plan EL.+32.00</t>
  </si>
  <si>
    <t>18043-LM646 08213</t>
  </si>
  <si>
    <t>Fire Protection System - Sections and Details</t>
  </si>
  <si>
    <t>18043-LM646 08214</t>
  </si>
  <si>
    <t>Fire Protection System - Smoke Vent Details</t>
  </si>
  <si>
    <t>18043-LM646 08215</t>
  </si>
  <si>
    <t>Fire Protection System - Covered Passageway Sprinkler Plan and Section</t>
  </si>
  <si>
    <t>18043-LM646 08216</t>
  </si>
  <si>
    <t>Fire Protection System - Outbound Conveyor Sprinkler Plan and Section</t>
  </si>
  <si>
    <t>PTV</t>
  </si>
  <si>
    <t>18043-LM646 08301</t>
  </si>
  <si>
    <t>HVAC System - P&amp;I Flow Diagram</t>
  </si>
  <si>
    <t>18043-LM646 08302</t>
  </si>
  <si>
    <t>HVAC System - Ground Floor Plan</t>
  </si>
  <si>
    <t>แก้ Drawing name</t>
  </si>
  <si>
    <t>18043-LM646 08303</t>
  </si>
  <si>
    <t>HVAC System - 2nd Floor Plan</t>
  </si>
  <si>
    <t>18043-LM646 08304</t>
  </si>
  <si>
    <t>HVAC System - Sections and Details</t>
  </si>
  <si>
    <t>18043-LM646 08501</t>
  </si>
  <si>
    <t>Fluids System - Ground Floor Plan</t>
  </si>
  <si>
    <t>18043-LM646 08502</t>
  </si>
  <si>
    <t>Fluids System - 2nd Floor Plan</t>
  </si>
  <si>
    <t>18043-LM646 08503</t>
  </si>
  <si>
    <t>Fluids System - Sections and Details</t>
  </si>
  <si>
    <t>18043-LM646 08851</t>
  </si>
  <si>
    <t>Instrument Datasheets</t>
  </si>
  <si>
    <t>18043-LM646 09301</t>
  </si>
  <si>
    <t>Control Panel 646 AHU Wiring Diagram - CDU 2 Module</t>
  </si>
  <si>
    <t>18043-LM646 09302</t>
  </si>
  <si>
    <t>Control Panel 646 AHU Wiring Diagram - Fresh Air AHU</t>
  </si>
  <si>
    <t>18043-LM646 09303</t>
  </si>
  <si>
    <t>PLC Control Unit Schematic Wiring Diagram</t>
  </si>
  <si>
    <t>18043-LM646 09304</t>
  </si>
  <si>
    <t>Control Panel 646 EF.01.01 Wiring Diagram</t>
  </si>
  <si>
    <t>18043-LM646 09305</t>
  </si>
  <si>
    <t>Control Panel 646 AHU Wiring Diagram - CDU 3 Module</t>
  </si>
  <si>
    <t>18043-LM646 18200</t>
  </si>
  <si>
    <t>Fire Protection System - Alarm Valve and Sprinkler Requirement</t>
  </si>
  <si>
    <t>18043-LM646 18201</t>
  </si>
  <si>
    <t>18043-LM646 18202</t>
  </si>
  <si>
    <t>Fire Protection System - Ground Floor Sprinkler Plan EL.+7.40</t>
  </si>
  <si>
    <t>18043-LM646 18203</t>
  </si>
  <si>
    <t>Fire Protection System - 2nd Floor Sprinkler Plan EL.+12.00</t>
  </si>
  <si>
    <t>18043-LM646 18204</t>
  </si>
  <si>
    <t>Fire Protection System - 2nd Floor Sprinkler Plan EL.+15.50</t>
  </si>
  <si>
    <t>18043-LM646 18205</t>
  </si>
  <si>
    <t>Fire Protection System - 2nd Floor Sprinkler Plan EL.+19.00</t>
  </si>
  <si>
    <t>18043-LM646 18206</t>
  </si>
  <si>
    <t>Fire Protection System - 3rd Floor Sprinkler Plan EL.+24.00</t>
  </si>
  <si>
    <t>18043-LM646 18207</t>
  </si>
  <si>
    <t>Fire Protection System - 3rd Floor Sprinkler Plan EL.+27.50</t>
  </si>
  <si>
    <t>18043-LM646 18208</t>
  </si>
  <si>
    <t>Fire Protection System - 3rd Floor Sprinkler Plan EL.+31.00 and Roof</t>
  </si>
  <si>
    <t>18043-LM646 18209</t>
  </si>
  <si>
    <t>18043-LM646 18210</t>
  </si>
  <si>
    <t>Fire Protection System - Ground Floor Fire Hose Cabinet and Fire Extinguisher Plan EL.+7.40</t>
  </si>
  <si>
    <t>18043-LM646 18211</t>
  </si>
  <si>
    <t>Fire Protection System - 2nd Floor Fire Hose Cabinet and Fire Extinguisher Plan EL.+12.00</t>
  </si>
  <si>
    <t>18043-LM646 18212</t>
  </si>
  <si>
    <t>Fire Protection System - 2nd Floor Fire Hose Cabinet and Fire Extinguisher Plan EL.+15.50</t>
  </si>
  <si>
    <t>18043-LM646 18213</t>
  </si>
  <si>
    <t>Fire Protection System - 2nd Floor Fire Hose Cabinet and Fire Extinguisher Plan EL.+19.00</t>
  </si>
  <si>
    <t>18043-LM646 18214</t>
  </si>
  <si>
    <t>Fire Protection System - 3rd Floor Fire Hose Cabinet and Fire Extinguisher Plan EL.+24.00</t>
  </si>
  <si>
    <t>18043-LM646 18215</t>
  </si>
  <si>
    <t>Fire Protection System - 3rd Floor Fire Hose Cabinet and Fire Extinguisher Plan EL.+27.50</t>
  </si>
  <si>
    <t>18043-LM646 18216</t>
  </si>
  <si>
    <t>Fire Protection System - 3rd Floor Fire Hose Cabinet and Fire Extinguisher Plan EL.+31.00</t>
  </si>
  <si>
    <t>18043-LM646 18217</t>
  </si>
  <si>
    <t>18043-LM646 18218</t>
  </si>
  <si>
    <t>18043-LM646 18219</t>
  </si>
  <si>
    <t>18043-LM646 18301</t>
  </si>
  <si>
    <t>18043-LM646 18302</t>
  </si>
  <si>
    <t>18043-LM646 18303</t>
  </si>
  <si>
    <t>18043-LM646 18304</t>
  </si>
  <si>
    <t>HVAC System - 3rd Floor Plan</t>
  </si>
  <si>
    <t>18043-LM646 18305</t>
  </si>
  <si>
    <t>18043-LM646 18501</t>
  </si>
  <si>
    <t>18043-LM646 18502</t>
  </si>
  <si>
    <t>18043-LM646 18503</t>
  </si>
  <si>
    <t>Fluids System - 3rd Floor Plan</t>
  </si>
  <si>
    <t>18043-LM646 18504</t>
  </si>
  <si>
    <t>18043-LM646 18851</t>
  </si>
  <si>
    <t>18043-LM646 19301</t>
  </si>
  <si>
    <t>Control Panel 646 AHU Wiring Diagram - Fresh Air AHU Sheet 1</t>
  </si>
  <si>
    <t>18043-LM646 19302</t>
  </si>
  <si>
    <t>Control Panel 646 AHU Wiring Diagram - Fresh Air AHU Sheet 2</t>
  </si>
  <si>
    <t>18043-LM646 19303</t>
  </si>
  <si>
    <t>Control Panel 646 AHU Wiring Diagram - Circulation AHU Sheet 1</t>
  </si>
  <si>
    <t>18043-LM646 19304</t>
  </si>
  <si>
    <t>18043-LM646 19305</t>
  </si>
  <si>
    <t>Control Panel 646 CDU Wiring Diagram</t>
  </si>
  <si>
    <t>LM190 08210 Rv.1 Fire Protection Plan And Sections</t>
  </si>
  <si>
    <t>LM190 08305 Rv.2 Ground &amp; Second Floor - HVAC Plan and Details</t>
  </si>
  <si>
    <t>18043-LM231 08200</t>
  </si>
  <si>
    <t>LM190 08202</t>
  </si>
  <si>
    <t>18043-LM231 08201</t>
  </si>
  <si>
    <t>Fire Protection System - Sprinkler Plans</t>
  </si>
  <si>
    <t>18043-LM231 08202</t>
  </si>
  <si>
    <t>Fire Protection System - Fire Hose Cabinet and Fire Extinguisher Plans</t>
  </si>
  <si>
    <t>LM190 08206</t>
  </si>
  <si>
    <t>18043-LM231 08203</t>
  </si>
  <si>
    <t>LM190 08210</t>
  </si>
  <si>
    <t>18043-LM231 08301</t>
  </si>
  <si>
    <t>LM191 08301</t>
  </si>
  <si>
    <t>18043-LM231 08302</t>
  </si>
  <si>
    <t>HVAC System - Plans</t>
  </si>
  <si>
    <t>LM191 08303</t>
  </si>
  <si>
    <t>18043-LM231 08303</t>
  </si>
  <si>
    <t>18043-LM231 08501</t>
  </si>
  <si>
    <t>Fluids System - Plans</t>
  </si>
  <si>
    <t>18043-LM231 08502</t>
  </si>
  <si>
    <t>18043-LM231 09301</t>
  </si>
  <si>
    <t>Control Panel 231 EF00.01 Wiring Diagram</t>
  </si>
  <si>
    <t>18043-LM231 09302</t>
  </si>
  <si>
    <t>Control Panel 231 EF12.01 Wiring Diagram</t>
  </si>
  <si>
    <t>cancel</t>
  </si>
  <si>
    <t>18043-LM231 08851</t>
  </si>
  <si>
    <t>Toilet</t>
  </si>
  <si>
    <t>18043-LM231 08101</t>
  </si>
  <si>
    <t>Plumbing System - Toilet Plan</t>
  </si>
  <si>
    <t>PTL</t>
  </si>
  <si>
    <t xml:space="preserve">LM520 08209   Rv.3 Roof Plan </t>
  </si>
  <si>
    <t>แก้ Drawing no.</t>
  </si>
  <si>
    <t>LM520 08210   Rv.2 Intermediate Plan &amp; Section</t>
  </si>
  <si>
    <t>Piping Plan</t>
  </si>
  <si>
    <t>LM520 08552   Rv.2 Intermediate Plan &amp; Section</t>
  </si>
  <si>
    <t>Fire Protection Plan</t>
  </si>
  <si>
    <t>LM191 08201-A Fire Protection Plan</t>
  </si>
  <si>
    <t>B.191 &amp; 230-Roof Plan</t>
  </si>
  <si>
    <t>LMBME 08253-A B.191 &amp; 230-Roof Plan</t>
  </si>
  <si>
    <t>B.190 &amp; 640 - Roof Plan</t>
  </si>
  <si>
    <t>LMBME 08255-A B.190 &amp; 640 - Roof Plan</t>
  </si>
  <si>
    <t>B.190 &amp; 191 &amp; 230 Sprinkler Under Conveyor Plan &amp; Sections</t>
  </si>
  <si>
    <t>LMBME 08264-A B.190 &amp; 191 &amp; 230 Sprinkler Under Conveyor Plan &amp; Sections</t>
  </si>
  <si>
    <t>Hot Water Improvement (B642)</t>
  </si>
  <si>
    <t>WB Hot Water Generation P &amp; I Flow Diagram</t>
  </si>
  <si>
    <t>LM642 08551 Rv.1 WB Hot Water Generation P &amp; I Flow Diagram</t>
  </si>
  <si>
    <t>Curing Lines L &amp; M General Fluids Distribution P&amp;I Flow Diagram</t>
  </si>
  <si>
    <t>LM642 08553 Rv.0 Curing Lines L &amp; M General Fluids Distribution P&amp;I Flow Diagram</t>
  </si>
  <si>
    <t>Curing Lines N &amp; P General Fluids Distribution P&amp;I Flow Diagram</t>
  </si>
  <si>
    <t>LM642 08554 Rv.0 Curing Lines N &amp; P General Fluids Distribution P&amp;I Flow Diagram</t>
  </si>
  <si>
    <t>Building 642 Fluids Distribution Piping Layout Level +3.00 and Above</t>
  </si>
  <si>
    <t>LM642 08557 Rv.1 Building 642 Fluids Distribution Piping Layout Level +3.00 And Above</t>
  </si>
  <si>
    <t>Utilities Room - Building 642, Piping Layout</t>
  </si>
  <si>
    <t>LM642 08558 Rv.1 Utilities Room - Building 642, Piping Layout</t>
  </si>
  <si>
    <t>Fluids Distribution Sheet 1 Of 2, Piping Layout Level +3.00 and Under</t>
  </si>
  <si>
    <t>LM642 08559 Rv.0C Fluids Distribution Sheet 1 Of 2, Piping Layout Level +3.00 And Under</t>
  </si>
  <si>
    <t>Fluids Distribution Sheet 2 Of 2, Piping Layout Level +3.00 and Under</t>
  </si>
  <si>
    <t>LM642 08560 Rv.0 Fluids Distribution Sheet 2 Of 2, Piping Layout Level +3.00 And Under</t>
  </si>
  <si>
    <t>Fluids Distribution Piping Layout - Sections</t>
  </si>
  <si>
    <t>LM642 08561 Rv.0 Fluids Distribution Piping Layout - Sections</t>
  </si>
  <si>
    <t>Fluids Distribution Piping Layout Sections Level +3.00 and Under</t>
  </si>
  <si>
    <t>LM642 08562 Rv.1 Fluids Distribution Piping Layout Sections Level +3.00 And Under</t>
  </si>
  <si>
    <t>642.07 Hot Water Bladder Generation Control Unit Schematic Wiring Diagram</t>
  </si>
  <si>
    <t>A4</t>
  </si>
  <si>
    <t>LM642 09351 Rv.A2 642.07 Hot Water Bladder Generation Control Unit Schematic Wiring Diagram</t>
  </si>
  <si>
    <t>18043-LM642 09354</t>
  </si>
  <si>
    <t>Hot Water Pump Control Panel 642.P02.06 Wiring Diagram</t>
  </si>
  <si>
    <t>Curing Lines Q &amp; R General Fluids Distribution P &amp; I Flow Diagram</t>
  </si>
  <si>
    <t>LM643 08550 Rv.0 Curing Lines Q &amp; R General Fluids Distribution P &amp; I Flow Diagram</t>
  </si>
  <si>
    <t>LM643 08552 Rv.0 Building 643 Fluids Distribution Piping Layout Level +3.00 And Above</t>
  </si>
  <si>
    <t>LM643 08553 Rv.Oc Curing Lines Q, R, S &amp; T Fluids Distribution Sheet 1 of 2, Piping Layout Level +3.00 and Under</t>
  </si>
  <si>
    <t>LM643 08554 Rv.0 Curing Lines Q, R, S &amp; T Fluids Distribution Sheet 2 of 2, Piping Layout Level +3.00 and Under</t>
  </si>
  <si>
    <t>LM643 08555 Rv.0 Curing Lines Q, R, S &amp; T Fluids Distribution, Piping Layout Sections +3.00 and Under</t>
  </si>
  <si>
    <t>Curing Lines S &amp; T General Fluids Distribution P &amp; I Flow Diagram</t>
  </si>
  <si>
    <t>LM643 08556 Rv.0 Fluid Distribution P&amp;I Flow Diagram Sheet 2 of 2</t>
  </si>
  <si>
    <t>18043-LM642 08801</t>
  </si>
  <si>
    <t>18043-LM642 08254</t>
  </si>
  <si>
    <t>Fire Protection System Section</t>
  </si>
  <si>
    <t>Main Substation (B121-2)</t>
  </si>
  <si>
    <t xml:space="preserve">LM121-2 08301 Rv.D HVAC System - 2nd, 3rd Floor Plans &amp; Sections </t>
  </si>
  <si>
    <t>18043-LM121-2 09301</t>
  </si>
  <si>
    <t>Control Panel 121-2 IF01.01 Wiring Diagram</t>
  </si>
  <si>
    <t>18043-LM121-2 08851</t>
  </si>
  <si>
    <t>GRAND-TOTAL MECHANICAL DRAWINGS</t>
  </si>
  <si>
    <t>ELECTRICAL WORK</t>
  </si>
  <si>
    <t>DRAFTMAN</t>
  </si>
  <si>
    <t>21
Oct</t>
  </si>
  <si>
    <t>12 Feb</t>
  </si>
  <si>
    <t>19
Feb</t>
  </si>
  <si>
    <t>10 Mar</t>
  </si>
  <si>
    <t>3 Apr</t>
  </si>
  <si>
    <t>PPA</t>
  </si>
  <si>
    <t>SNY</t>
  </si>
  <si>
    <t>LMBMS 09017 Rv.16B Electrical Legend and Symbols</t>
  </si>
  <si>
    <t>LMBMS 09026 Rv.A Electrical Typical Details Sheet 1</t>
  </si>
  <si>
    <t>LMBMS 09027 Rv.A Electrical Typical Details Sheet 2</t>
  </si>
  <si>
    <t>LMBMS 09028 Rv.A Electrical Typical Details Sheet 3</t>
  </si>
  <si>
    <t>LMBMS 09029 Rv.A Electrical Typical Details Sheet 4</t>
  </si>
  <si>
    <t>LMBMS 09030 Rv.A Electrical Typical Details Sheet 5</t>
  </si>
  <si>
    <t>LMBMS 09031 Rv.A Electrical General Note</t>
  </si>
  <si>
    <t>NPL</t>
  </si>
  <si>
    <t>LMBMS 09032 Rv.A Lighting Specification</t>
  </si>
  <si>
    <t>LMBMS 09033 Rv.A Lighting Legend and Symbol</t>
  </si>
  <si>
    <t>Cancel</t>
  </si>
  <si>
    <t>LMBME 09032 Rv.A Modification Work For Conveyor Opening</t>
  </si>
  <si>
    <t>KSV</t>
  </si>
  <si>
    <t>LMBME 09211 Rv.A Fire Alarm Control Diagram - Overview</t>
  </si>
  <si>
    <t>LMBME 09213 Rv.A Fire Alarm Control Diagram - Node 11 Loop1 Sheet 1 of 2</t>
  </si>
  <si>
    <t>LMBME 09214 Rv.A Fire Alarm Control Diagram - Node 11 Loop1 Sheet 2 of 2</t>
  </si>
  <si>
    <t>LMBME 09224 Rv.A Fire Alarm Control Diagram - Node 12 Loop 6</t>
  </si>
  <si>
    <t>LMBME 09225 Rv.A Fire Alarm Control Diagram - Node 12 Loop 7</t>
  </si>
  <si>
    <t>LMBME 09405 Rv.2 Monitoring Information list</t>
  </si>
  <si>
    <t>LMBME 09411 Rv.A Data Network System Diagram</t>
  </si>
  <si>
    <t>LMBME 09443 Rv.2 Monitoring Main Control Diagram</t>
  </si>
  <si>
    <t>LMBME 09462 Rv.A Monitoring Informaiton List (Pi-Vision)</t>
  </si>
  <si>
    <t>LMBME 09463 Rv.A Monitoring System Diagram (Pi-Vision)</t>
  </si>
  <si>
    <t>LM000 09010 Rv.A Overall Demolition Work</t>
  </si>
  <si>
    <t>LM000 09208 Rv.A Main Fire Alarm System Layout - Integrated</t>
  </si>
  <si>
    <t>LM000 09411 Rv.A Data Network System Layout</t>
  </si>
  <si>
    <t>LM000 09459 Rv.A Monitoring System Layout (Pi-Vision)</t>
  </si>
  <si>
    <t>LM000 09558 Rv.1 General Electrical Work - Cable Tray Layout For B.191 (Modification)</t>
  </si>
  <si>
    <t>LM000 09577 Rv.A Main feeder layout plan 646 Building</t>
  </si>
  <si>
    <t>LM000 09578 Rv.A Main feeder layout plan 231 Building</t>
  </si>
  <si>
    <t>LM000 09579 Rv.A Main feeder layout plan 642-DB-2</t>
  </si>
  <si>
    <t>LM000 09580 Rv.A Emergency feeder layout plan 561 Building</t>
  </si>
  <si>
    <t>NPK</t>
  </si>
  <si>
    <t>LM646 09001 Rv.A Outbound Conveyor Lighting, Receptacle and Fire Alarm System</t>
  </si>
  <si>
    <t>LM646 09101 Rv.A List of Lighting Requirement</t>
  </si>
  <si>
    <t>LM646 09102 Rv.A Ground Floor Lighting Plan</t>
  </si>
  <si>
    <t>LM646 09103 Rv.A 1.1st Floor and 1.2st Floor Lighting Plan</t>
  </si>
  <si>
    <t>LM646 09104 Rv.A  2nd Floor Lighting Plan</t>
  </si>
  <si>
    <t>LM646 09105 Rv.A 2.1nd Floor and 2.2nd Floor Lighting Plan</t>
  </si>
  <si>
    <t>LM646 09106 Rv.A Roof Deck Lighting Plan</t>
  </si>
  <si>
    <t>LM646 09107 Rv.A Ground Floor Emergency Light and Exit Light Plan</t>
  </si>
  <si>
    <t>LM646 09108 Rv.A 1.1st Floor and 1.2st Floor Emergency Light and Exit Light Plan</t>
  </si>
  <si>
    <t>LM646 09109 Rv.A 2nd Floor Emergency Light and Exit Light Plan</t>
  </si>
  <si>
    <t>LM646 09110 Rv.A 2.1nd Floor and 2.2nd Floor Emergency Light and Exit Light Plan</t>
  </si>
  <si>
    <t>LM646 09111 Rv.A Roof Deck Emergency Light and Exit Light</t>
  </si>
  <si>
    <t>SCJ</t>
  </si>
  <si>
    <t>LM646 09112 Rv.A Ground Floor Receptacle and Power Supply Plan</t>
  </si>
  <si>
    <t>LM646 09113 Rv.A 1.1st Floor and 1.2st Floor Receptacle and Power Supply Plan</t>
  </si>
  <si>
    <t>LM646 09114 Rv.A 2nd Floor Receptacle and Power Supply Plan</t>
  </si>
  <si>
    <t>LM646 09115 Rv.A 2.1nd Floor and 2.2nd Floor Receptacle and Power Supply Plan</t>
  </si>
  <si>
    <t>LM646 09116 Rv.A Roof Deck Receptacle and Power Supply Plan</t>
  </si>
  <si>
    <t>LM646 09201 Rv.A Ground Floor Fire Alarm Plan</t>
  </si>
  <si>
    <t>LM646 09202 Rv.A 1.1st Floor and 1.2st Floor Fire Alarm Plan</t>
  </si>
  <si>
    <t>LM646 09203 Rv.A 2nd Floor Fire Alarm Plan</t>
  </si>
  <si>
    <t>LM646 09204 Rv.A 2.1nd Floor and 2.2nd Floor Fire Alarm Plan</t>
  </si>
  <si>
    <t>LM646 09205 Rv.A Roof Deck Fire Alarm Plan</t>
  </si>
  <si>
    <t>LM646 09401 Rv.A Data Network Plan</t>
  </si>
  <si>
    <t>LM646 09402 Rv.A 1.1st Floor and 1.2st Floor Telephone, and Data Network Plan</t>
  </si>
  <si>
    <t>LM646 09403 Rv.A 2nd Floor Telephone, and Data Network Plan</t>
  </si>
  <si>
    <t>LM646 09404 Rv.A 2.1nd Floor and 2.2nd Floor Telephone, and Data Network Plan</t>
  </si>
  <si>
    <t>LM646 09405 Rv.A Ground Floor Monitoring Plan</t>
  </si>
  <si>
    <t>LM646 09406 Rv.A 1.1st Floor and 1.2st Floor Monitoring Plan</t>
  </si>
  <si>
    <t>LM646 09407 Rv.A 2nd Floor Monitoring Plan</t>
  </si>
  <si>
    <t>LM646 09408 Rv.A 2.1nd Floor and 2.2nd Floor Monitoring Plan</t>
  </si>
  <si>
    <t>LM646 09501 Rv.A Single Line Diagram</t>
  </si>
  <si>
    <t>LM646 09502 Rv.A Ground Floor Power Distribution Plan</t>
  </si>
  <si>
    <t>LM646 09503 Rv.A 1.1st Floor and 1.2st Floor Power Distribution Plan</t>
  </si>
  <si>
    <t>LM646 09504 Rv.A 2nd Floor Power Distribution Plan</t>
  </si>
  <si>
    <t>LM646 09505 Rv.A 2.1nd Floor and 2.2nd Floor Power Distribution Plan</t>
  </si>
  <si>
    <t>LM646 09701 Rv.A Lightning Protection System Plan</t>
  </si>
  <si>
    <t>LM646 09702 Rv.A Grounding System Plan</t>
  </si>
  <si>
    <t>LM646 19101 Rv.A List of Lighting Requirement</t>
  </si>
  <si>
    <t>LM646 19102 Rv.A Ground Floor Lighting Plan</t>
  </si>
  <si>
    <t>LM646 19103 Rv.A AHU Platform 1 Lighting Plan</t>
  </si>
  <si>
    <t>LM646 19104 Rv.A 2nd Floor and 2.1nd Floor Lighting Plan</t>
  </si>
  <si>
    <t>LM646 19105 Rv.A AHU Platform 2 Lighting Plan</t>
  </si>
  <si>
    <t>LM646 19106 Rv.A 3rd Floor and 3.1rd Floor Lighting Plan</t>
  </si>
  <si>
    <t>LM646 19107 Rv.A AHU Platform 3 Lighting Plan</t>
  </si>
  <si>
    <t>LM646 19108 Rv.A Roof Lighting Plan</t>
  </si>
  <si>
    <t>LM646 19109 Rv.A Ground Floor and AHU Platform 1 Emergency Light and Exit Light Plan</t>
  </si>
  <si>
    <t>LM646 19110 Rv.A 2nd Floor and 2.1nd Floor Emergency Light and Exit Light Plan</t>
  </si>
  <si>
    <t>LM646 19111 Rv.A AHU Platform 2 Emergency Light and Exit Light Plan</t>
  </si>
  <si>
    <t>LM646 19112 Rv.A 3rd Floor and 3.1rd Floor Emergency Light and Exit Light Plan</t>
  </si>
  <si>
    <t>LM646 19113 Rv.A AHU Platform 3 Emergency Light and Exit Light Plan</t>
  </si>
  <si>
    <t>LM646 19114 Rv.A Roof Emergency Light and Exit Light Plan</t>
  </si>
  <si>
    <t>LM646 19115 Rv.A Ground Floor and AHU Platform 1 Receptacle and Power Supply Plan</t>
  </si>
  <si>
    <t>LM646 19116 Rv.A 2nd Floor and 2.1nd Floor Receptacle and Power Supply Plan</t>
  </si>
  <si>
    <t>LM646 19117 Rv.A AHU Platform 2 Receptacle and Power Supply Plan</t>
  </si>
  <si>
    <t>LM646 19118 Rv.A 3rd Floor and 3.1rd Floor Receptacle and Power Supply Plan</t>
  </si>
  <si>
    <t>LM646 19119 Rv.A AHU Platform 3 Receptacle and Power Supply Plan</t>
  </si>
  <si>
    <t>LM646 19120 Rv.A Roof Receptacle and Power Supply Plan</t>
  </si>
  <si>
    <t>LM646 19201 Rv.A Ground Floor and AHU Platform 1 Fire Alarm Plan</t>
  </si>
  <si>
    <t>LM646 19202 Rv.A 2nd Floor and 2.1nd Floor Fire Alarm Plan</t>
  </si>
  <si>
    <t>LM646 19203 Rv.A AHU Platform 2 Fire Alarm Plan</t>
  </si>
  <si>
    <t>LM646 19204 Rv.A 3rd Floor and 3.1rd Floor Fire Alarm Plan</t>
  </si>
  <si>
    <t>LM646 19205 Rv.A AHU Platform 3 Fire Alarm Plan</t>
  </si>
  <si>
    <t>LM646 19206 Rv.A  Roof Fire Alarm Plan</t>
  </si>
  <si>
    <t>LM646 19401 Rv.A Ground Floor and 2nd Floor Data Network Plan</t>
  </si>
  <si>
    <t>LM646 19402 Rv.A  3rd Floor Data Network Plan</t>
  </si>
  <si>
    <t>LM646 19403 Rv.A Ground Floor Monitoring Plan</t>
  </si>
  <si>
    <t>New</t>
  </si>
  <si>
    <t>LM646 19404 Rv.A AHU Platform 2 and AHU Platform 3 Monitoring Plan</t>
  </si>
  <si>
    <t>LM646 19501 Rv.A Single Line Diagram</t>
  </si>
  <si>
    <t>LM646 19502 Rv.A Ground Floor and AHU Platform 1 Power Distribution Plan</t>
  </si>
  <si>
    <t>LM646 19503 Rv.A 2nd Floor and 2.1nd Floor Power Distribution Plan</t>
  </si>
  <si>
    <t>LM646 19504 Rv.A AHU Platform 2 Power Distribution Plan</t>
  </si>
  <si>
    <t>LM646 19505 Rv.A 3rd Floor and 3.1rd Floor Power Distribution Plan</t>
  </si>
  <si>
    <t>LM646 19506 Rv.A AHU Platform 3 Power Distribution Plan</t>
  </si>
  <si>
    <t>LM646 19701 Rv.A Lightning Protection System Plan</t>
  </si>
  <si>
    <t>LM646 19702 Rv.A Grounding System Plan</t>
  </si>
  <si>
    <t>LM646 19703 Rv.A 2nd Floor and AHU Platform 2 Grounding System for Electrical Panel Plan</t>
  </si>
  <si>
    <t>LM646 19704 Rv.A 3rd Floor and AHU Platform 3 Grounding System for Electrical Panel Plan</t>
  </si>
  <si>
    <t>Curing Office &amp; Workshop (B.231)</t>
  </si>
  <si>
    <t>LM231 09101 Rv.A List of Lighting Requirement</t>
  </si>
  <si>
    <t>LM231 09102 Rv.A Lighting Plan</t>
  </si>
  <si>
    <t>LM231 09103 Rv.A Emergency Light and Exit Light Plan</t>
  </si>
  <si>
    <t>LM231 09201 Rv.A Fire Alarm System Diagram, Fire Alarm Plan</t>
  </si>
  <si>
    <t>LM231 09401 Rv.A Telephone, and Data Network Plan</t>
  </si>
  <si>
    <t>LM231 09501 Rv.A Single Line Diagram, Receptacle and Power Supply Plans</t>
  </si>
  <si>
    <t>LM520 09104 Rv.A Platform Lighting Plan</t>
  </si>
  <si>
    <t>LM520 09202 Rv.A Under Platform Fire Alarm Plan</t>
  </si>
  <si>
    <t>LM520 09505 Rv.A Modification Plan</t>
  </si>
  <si>
    <t>LM520 09506 Rv.A Load Schedule 520-P1 &amp; 520-P2</t>
  </si>
  <si>
    <t>LM520 09507 Rv.A Load Schedule 520-MDB-01</t>
  </si>
  <si>
    <t>LM520 09508 Rv.A Single Line Diagram 520-MDB-01</t>
  </si>
  <si>
    <t>LM520 09509 Rv.A Power Distribution Plan</t>
  </si>
  <si>
    <t>LM561 09120 Rv.0 Outlet, Power Supply &amp; Exit Sign Plan</t>
  </si>
  <si>
    <t>LM561 09203 Rv.0 Fire Alarm Plan</t>
  </si>
  <si>
    <t>LM561 09501 Rv.1 Electrical Equipment Layout Sections</t>
  </si>
  <si>
    <t>LM561 09501 Rv.4 Electrical Equipment Layout &amp; Sections</t>
  </si>
  <si>
    <t>LM561 09520 Rv.1 Power Supplies &amp; Cables Routing Plan View</t>
  </si>
  <si>
    <t>LM561 09531 Rv.5 Load Schedule 561-MDB01</t>
  </si>
  <si>
    <t>LM561 09532 Rv.14 Load Schedule 561-MDB02</t>
  </si>
  <si>
    <t>LM561 09534 Rv.A Modification Plan</t>
  </si>
  <si>
    <t>LM561 09535 Rv.A Single Line Diagram 561-MDB1</t>
  </si>
  <si>
    <t>After cure (B.190)</t>
  </si>
  <si>
    <t>LM190 09501 Rv.0 Cable Tray Routing &amp; Power Plan</t>
  </si>
  <si>
    <t>Curing Workshop &amp; Hot water Improvement (B642)</t>
  </si>
  <si>
    <t>LM642 09401 Rv.A Monitoring Plan</t>
  </si>
  <si>
    <t>LM642 09402 Rv.A Data Network System Plan</t>
  </si>
  <si>
    <t>LM642 09509 Rv.1 Power Supplies &amp; Cables Routing Plan View</t>
  </si>
  <si>
    <t xml:space="preserve">LM642 09514 Rv.A Sub Single Line Diagram 642-DB-2  </t>
  </si>
  <si>
    <t>B.640-1 Unit Substation</t>
  </si>
  <si>
    <t>LM640-1 09501 Rv.2 Power Balance and Load Schedule Panel</t>
  </si>
  <si>
    <t>LM640-1 09502 Rv.2 Single Line Diagram</t>
  </si>
  <si>
    <t>As indicated</t>
  </si>
  <si>
    <t>LM640-1 09503 Rv.2 Main Equipment and Cable Feeder Layout</t>
  </si>
  <si>
    <t>B.121-2 Main Substation</t>
  </si>
  <si>
    <t>50</t>
  </si>
  <si>
    <t>LM121-2 09201 Rv.2 Ground, 2nd and 3rd Floor Fire Alarm plan</t>
  </si>
  <si>
    <t>LM121-2 09402 Rv.2 Ground, 2nd and 3rd Floor Monitoring Plan</t>
  </si>
  <si>
    <t>LM121-2 09501 Rv.2 Power Balance and Load Schedule Panel</t>
  </si>
  <si>
    <t>LM121-2 09502 Rv.2 115 l 22 kV.Single Line Diagram</t>
  </si>
  <si>
    <t>LM121-2 09503 Rv.2 Main Equipment And Cable Feeder Layout</t>
  </si>
  <si>
    <t>LM121-2 09504 Rv.2 Ground, 2nd and 3rd Floor Power Outlet Plan</t>
  </si>
  <si>
    <t>LM121-2 09505 Rv.2 LV Distribution Single Line Diagram</t>
  </si>
  <si>
    <t xml:space="preserve">LM121-2 09508 Rv.A Single Line Diagram </t>
  </si>
  <si>
    <t>LM121-2 09701 Rv.2 Grounding and Lightning Protection Plan</t>
  </si>
  <si>
    <t>B.124 Substation</t>
  </si>
  <si>
    <t>LM124 09572 Rv.A Load Schedule 124-ED-01</t>
  </si>
  <si>
    <t>GRAND-TOTAL ELECTRICAL DRAWINGS</t>
  </si>
  <si>
    <t>Project : LMC PF1 ROR</t>
  </si>
  <si>
    <t>Owner : Michelin Laemchabang</t>
  </si>
  <si>
    <t>DRAWING NUMBERING CONTROL (Drawing no.)</t>
  </si>
  <si>
    <t>Proj Number</t>
  </si>
  <si>
    <t>Factory</t>
  </si>
  <si>
    <t>Bldg No.</t>
  </si>
  <si>
    <t>Discipline
/ number</t>
  </si>
  <si>
    <t>LM</t>
  </si>
  <si>
    <t>XXX</t>
  </si>
  <si>
    <t>XXXXX</t>
  </si>
  <si>
    <t>DRAWING NUMBERING CONTROL (File name)</t>
  </si>
  <si>
    <t>Revision</t>
  </si>
  <si>
    <t>Drawing name</t>
  </si>
  <si>
    <t>Rv.X</t>
  </si>
  <si>
    <t>Drawing no.</t>
  </si>
  <si>
    <t>18043-LM000 01105</t>
  </si>
  <si>
    <t>File Name</t>
  </si>
  <si>
    <t>18043-LM000 01105 Rv.A Plot plan</t>
  </si>
  <si>
    <t>Proj. Number</t>
  </si>
  <si>
    <t>กรณีแบบที่ทำต่อๆๆๆๆ กันเลขหมด หรืออะไรก็ตาม</t>
  </si>
  <si>
    <t>ไม่ต้องรันเลขต่อก็ได้ (แบบที่ปกติเราทำ)</t>
  </si>
  <si>
    <t>ให้ใช้เลขซ้ำได้เลย</t>
  </si>
  <si>
    <t>เพราะเรามีเลขโปรเจคอยู่แล้ว ไม่ซ้ำแน่นอน</t>
  </si>
  <si>
    <t>Area</t>
  </si>
  <si>
    <t>ASRS Building</t>
  </si>
  <si>
    <t>Curing office &amp; Workshop</t>
  </si>
  <si>
    <t>Cold Preparation Workshop</t>
  </si>
  <si>
    <t>TBM Workshop</t>
  </si>
  <si>
    <t>After Curing Workshop</t>
  </si>
  <si>
    <t>Modification of Hot Water Improvement</t>
  </si>
  <si>
    <t>BME</t>
  </si>
  <si>
    <t>Code used for drawing showing several buildings</t>
  </si>
  <si>
    <t>BMS</t>
  </si>
  <si>
    <t>Code used for standard details ( Typical detail)</t>
  </si>
  <si>
    <t>Discipline</t>
  </si>
  <si>
    <t>Use michelin Code</t>
  </si>
  <si>
    <t>Phase</t>
  </si>
  <si>
    <t>Detailed Design</t>
  </si>
  <si>
    <t>For Construction</t>
  </si>
  <si>
    <t>IFC</t>
  </si>
  <si>
    <t>As-built</t>
  </si>
  <si>
    <t>ASB</t>
  </si>
  <si>
    <t>Basic &amp; Detail Design &amp; Bidding &amp; Permit</t>
  </si>
  <si>
    <t>A, B, C, ….</t>
  </si>
  <si>
    <t>Notes</t>
  </si>
  <si>
    <t>กรณีเอาแบบ Detailed Design มาทำรายละเอียดเพิ่มเพื่อออก Permit ให้เติม -P ไว้ด้านหลัง (น่าจะมีแค่แบบ Architect)</t>
  </si>
  <si>
    <r>
      <t xml:space="preserve">LMC PF1 ROR PROJECT
</t>
    </r>
    <r>
      <rPr>
        <sz val="12"/>
        <color rgb="FF000000"/>
        <rFont val="Arial"/>
        <family val="2"/>
      </rPr>
      <t>LAEM CHABANG CHONBURI, THAILAND</t>
    </r>
  </si>
  <si>
    <t>0. CIVIL WORKS</t>
  </si>
  <si>
    <t>1. ARCHITECTURAL WORKS</t>
  </si>
  <si>
    <t>2. STRUCTURAL WORKS</t>
  </si>
  <si>
    <t>3. MECHANICAL WORKS</t>
  </si>
  <si>
    <t>4. ELECTRICAL WORKS</t>
  </si>
  <si>
    <t>ตรวจสอบความถูกต้องแล้ว</t>
  </si>
  <si>
    <t>prof. id</t>
  </si>
  <si>
    <t>ชื่อ-สกุล</t>
  </si>
  <si>
    <t>English Name</t>
  </si>
  <si>
    <t>Arch</t>
  </si>
  <si>
    <t>ว-สถ. 607</t>
  </si>
  <si>
    <t>อัญชลี เหล่าบุญเจริญ</t>
  </si>
  <si>
    <t>UNCHARLEE LAOBOONCHAROEN</t>
  </si>
  <si>
    <t>ภ-สถ. 22586</t>
  </si>
  <si>
    <t>ภาคภูมิ แก้วมี</t>
  </si>
  <si>
    <t>PARKPOOM KAEWMEE</t>
  </si>
  <si>
    <t>ภ-สถ. 25517</t>
  </si>
  <si>
    <t>ปวีณา ธนวุฒิจิราวัชร</t>
  </si>
  <si>
    <t>PAWEENA THANAWUTCHIRAWAT</t>
  </si>
  <si>
    <t xml:space="preserve">ภ-สถ. 21056 </t>
  </si>
  <si>
    <t>ปณัย อินทะสะระ</t>
  </si>
  <si>
    <t>Structural</t>
  </si>
  <si>
    <t/>
  </si>
  <si>
    <t>สย. 9776</t>
  </si>
  <si>
    <t>พิชิต ผาติเวทย์</t>
  </si>
  <si>
    <t>PICHIT PHATIWET</t>
  </si>
  <si>
    <t>สย.10758</t>
  </si>
  <si>
    <t>ณภัค ศรีบุญเรือง</t>
  </si>
  <si>
    <t>NAPAK SRIBOONRUENG</t>
  </si>
  <si>
    <t>ภย.53735</t>
  </si>
  <si>
    <t>พิมพ์ประภา ขวัญพ่วง</t>
  </si>
  <si>
    <t>PIMPRAPA KHWANPUANG</t>
  </si>
  <si>
    <t>สย.15836</t>
  </si>
  <si>
    <t>เพทาย ฟักทอง</t>
  </si>
  <si>
    <t>PATAI FAKTONG</t>
  </si>
  <si>
    <t>ภย.74343</t>
  </si>
  <si>
    <t>เขมทัต ธนะชัย</t>
  </si>
  <si>
    <t>KHEMMATAT THANACHAI</t>
  </si>
  <si>
    <t>ภย.89064</t>
  </si>
  <si>
    <t>ธนาธิป กลิ่นเฟื่อง</t>
  </si>
  <si>
    <t>THANATHIP KLINFUEANG</t>
  </si>
  <si>
    <t>ภย. 97104</t>
  </si>
  <si>
    <t xml:space="preserve">วิชชา ยังชินะ </t>
  </si>
  <si>
    <t>VITCHA YOUNGCHINA</t>
  </si>
  <si>
    <t>Civil</t>
  </si>
  <si>
    <t>ภย.75757</t>
  </si>
  <si>
    <t>อัรฟาน เจะอาลี</t>
  </si>
  <si>
    <t>ARFARN CHEALI</t>
  </si>
  <si>
    <t>Mech.</t>
  </si>
  <si>
    <t>สก. 3504</t>
  </si>
  <si>
    <t>คชฤทธิ์  จ่างพิพัฒน์นวกิจ</t>
  </si>
  <si>
    <t>KOTCHARIT JANGPIPATNAVAKIT</t>
  </si>
  <si>
    <t>ภก. 52671</t>
  </si>
  <si>
    <t>ธิติวุฒิ สุวรรณคาม</t>
  </si>
  <si>
    <t>THITIWUT SUWANNAKAM</t>
  </si>
  <si>
    <t>ภก. 54219</t>
  </si>
  <si>
    <t>คาวี ศรีเงิน</t>
  </si>
  <si>
    <t>KAWEE SRINGOEN</t>
  </si>
  <si>
    <t>ภก. 57198</t>
  </si>
  <si>
    <t>พันธิตร โลหกิจ</t>
  </si>
  <si>
    <t>PANTHID LOHAKIT</t>
  </si>
  <si>
    <t>ภก. 57293</t>
  </si>
  <si>
    <t>ปฐวี เหล่าสุทธิวัฒน์</t>
  </si>
  <si>
    <t>PATAWEE LAOSUTTHIWAT</t>
  </si>
  <si>
    <t>ภก. 57299</t>
  </si>
  <si>
    <t>กฤตเมธ พัฒนสุขเกษม</t>
  </si>
  <si>
    <t>KRITTAMETH PATTANASUKKASEM</t>
  </si>
  <si>
    <t>Elec.</t>
  </si>
  <si>
    <t>วฟก. 993</t>
  </si>
  <si>
    <t>ศุภชัย ลิมปนากร</t>
  </si>
  <si>
    <t>SUPACHAI LIMPANAKORN</t>
  </si>
  <si>
    <t>ภฟก. 63154</t>
  </si>
  <si>
    <t>เกียรติศักดิ์ วงศ์พานิช</t>
  </si>
  <si>
    <t>KIATTISAK VONGPHANICH</t>
  </si>
  <si>
    <t>ภฟก. 67684</t>
  </si>
  <si>
    <t>กฤติน สิริโภคากร</t>
  </si>
  <si>
    <t>KRITTIN  SIRIPOKAKORN</t>
  </si>
  <si>
    <t>ภฟก. 67463</t>
  </si>
  <si>
    <t>ภูริภัทร์ อัศวภิญโญชัย</t>
  </si>
  <si>
    <t>PURIPHAT ASAWAPINYOCHAI</t>
  </si>
  <si>
    <t>ภฟก. 68732</t>
  </si>
  <si>
    <t>ณัฐพัชร์ เหล่ากาญจนอุดม</t>
  </si>
  <si>
    <t>NATTAPAT LAOKRANJANAUDOM</t>
  </si>
  <si>
    <t>Sanitary</t>
  </si>
  <si>
    <t>ภส. 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</si>
</sst>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_-* #,##0.00\ [$€-1]_-;\-* #,##0.00\ [$€-1]_-;_-* &quot;-&quot;??\ [$€-1]_-"/>
    <numFmt numFmtId="167" formatCode="dd/mm/yyyy;@"/>
    <numFmt numFmtId="168" formatCode="[$-409]d\-mmm\-yy;@"/>
  </numFmts>
  <fonts count="130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Tahoma"/>
      <family val="2"/>
      <charset val="22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8"/>
      <color indexed="22"/>
      <name val="Calibri"/>
      <family val="2"/>
    </font>
    <font>
      <sz val="10"/>
      <color indexed="8"/>
      <name val="Calibri"/>
      <family val="2"/>
    </font>
    <font>
      <sz val="10"/>
      <color indexed="22"/>
      <name val="Calibri"/>
      <family val="2"/>
    </font>
    <font>
      <sz val="12"/>
      <name val="Arial"/>
      <family val="2"/>
    </font>
    <font>
      <sz val="10"/>
      <color indexed="12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4"/>
      <name val="Arial"/>
      <family val="2"/>
    </font>
    <font>
      <u/>
      <sz val="14"/>
      <color theme="0"/>
      <name val="Arial"/>
      <family val="2"/>
    </font>
    <font>
      <sz val="11"/>
      <color theme="1"/>
      <name val="Arial"/>
      <family val="2"/>
    </font>
    <font>
      <sz val="11"/>
      <color indexed="12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i/>
      <sz val="10"/>
      <name val="Arial"/>
      <family val="2"/>
    </font>
    <font>
      <sz val="11"/>
      <color rgb="FFFF0000"/>
      <name val="Arial"/>
      <family val="2"/>
    </font>
    <font>
      <b/>
      <sz val="11"/>
      <color rgb="FFC0000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u/>
      <sz val="12"/>
      <color indexed="8"/>
      <name val="Arial"/>
      <family val="2"/>
    </font>
    <font>
      <sz val="8"/>
      <name val="Arial"/>
      <family val="2"/>
    </font>
    <font>
      <sz val="8"/>
      <color indexed="23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b/>
      <u/>
      <sz val="11"/>
      <color rgb="FF000000"/>
      <name val="Arial"/>
      <family val="2"/>
    </font>
    <font>
      <sz val="11"/>
      <color rgb="FF000000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rgb="FFFF0000"/>
      <name val="Arial"/>
      <family val="2"/>
    </font>
    <font>
      <sz val="13.5"/>
      <color rgb="FF000000"/>
      <name val="Times New Roman"/>
      <family val="1"/>
    </font>
    <font>
      <b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rgb="FFFF0000"/>
      <name val="Arial"/>
      <family val="2"/>
    </font>
    <font>
      <b/>
      <u/>
      <sz val="12"/>
      <color rgb="FF000000"/>
      <name val="Arial"/>
      <family val="2"/>
    </font>
    <font>
      <sz val="12"/>
      <color rgb="FF000000"/>
      <name val="Arial"/>
      <family val="2"/>
    </font>
    <font>
      <u/>
      <sz val="11"/>
      <color rgb="FF000000"/>
      <name val="Arial"/>
      <family val="2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8"/>
      <color theme="1"/>
      <name val="Arial"/>
      <family val="2"/>
    </font>
    <font>
      <sz val="12"/>
      <color rgb="FF0000FF"/>
      <name val="Calibri"/>
      <family val="2"/>
    </font>
    <font>
      <sz val="11"/>
      <color rgb="FF0000FF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Arial"/>
      <family val="2"/>
    </font>
    <font>
      <b/>
      <u/>
      <sz val="14"/>
      <color indexed="8"/>
      <name val="Arial"/>
      <family val="2"/>
    </font>
    <font>
      <sz val="12"/>
      <color indexed="8"/>
      <name val="Calibri"/>
      <family val="2"/>
      <scheme val="minor"/>
    </font>
    <font>
      <sz val="8"/>
      <name val="Calibri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trike/>
      <sz val="10"/>
      <name val="Arial"/>
      <family val="2"/>
    </font>
    <font>
      <strike/>
      <sz val="10"/>
      <color indexed="12"/>
      <name val="Arial"/>
      <family val="2"/>
    </font>
    <font>
      <strike/>
      <sz val="11"/>
      <color theme="1"/>
      <name val="Arial"/>
      <family val="2"/>
    </font>
    <font>
      <strike/>
      <sz val="11"/>
      <name val="Arial"/>
      <family val="2"/>
    </font>
    <font>
      <sz val="11"/>
      <color rgb="FFFF0000"/>
      <name val="Arial"/>
      <family val="2"/>
    </font>
    <font>
      <sz val="12"/>
      <color rgb="FF000000"/>
      <name val="Calibri"/>
      <family val="2"/>
      <charset val="1"/>
    </font>
    <font>
      <strike/>
      <sz val="9"/>
      <name val="Arial"/>
      <family val="2"/>
    </font>
    <font>
      <sz val="8"/>
      <color indexed="8"/>
      <name val="Calibri"/>
      <family val="2"/>
    </font>
    <font>
      <u/>
      <sz val="13"/>
      <color rgb="FF000000"/>
      <name val="Times New Roman"/>
      <family val="1"/>
    </font>
    <font>
      <b/>
      <u/>
      <sz val="14"/>
      <color indexed="8"/>
      <name val="Calibri"/>
      <family val="2"/>
    </font>
    <font>
      <b/>
      <sz val="22"/>
      <color indexed="8"/>
      <name val="Calibri"/>
      <family val="2"/>
    </font>
    <font>
      <sz val="11"/>
      <color indexed="12"/>
      <name val="Calibri"/>
      <family val="2"/>
    </font>
    <font>
      <sz val="12"/>
      <name val="Calibri"/>
      <family val="2"/>
    </font>
    <font>
      <sz val="10"/>
      <color indexed="12"/>
      <name val="Calibri"/>
      <family val="2"/>
    </font>
    <font>
      <b/>
      <sz val="22"/>
      <color indexed="12"/>
      <name val="Calibri"/>
      <family val="2"/>
    </font>
    <font>
      <sz val="11"/>
      <name val="Arial"/>
      <family val="2"/>
    </font>
    <font>
      <strike/>
      <sz val="10"/>
      <color rgb="FFFF0000"/>
      <name val="Arial"/>
      <family val="2"/>
    </font>
    <font>
      <u/>
      <sz val="9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trike/>
      <sz val="10"/>
      <color rgb="FF000000"/>
      <name val="Arial"/>
      <family val="2"/>
    </font>
    <font>
      <sz val="10"/>
      <name val="Arial"/>
    </font>
    <font>
      <strike/>
      <sz val="10"/>
      <name val="Arial"/>
    </font>
    <font>
      <sz val="10"/>
      <color rgb="FFFF0000"/>
      <name val="Arial"/>
    </font>
    <font>
      <strike/>
      <sz val="11"/>
      <name val="Arial"/>
    </font>
    <font>
      <sz val="11"/>
      <name val="Arial"/>
    </font>
    <font>
      <b/>
      <strike/>
      <sz val="10"/>
      <name val="Arial"/>
      <family val="2"/>
    </font>
    <font>
      <strike/>
      <sz val="10"/>
      <color rgb="FFFF0000"/>
      <name val="Arial"/>
    </font>
    <font>
      <sz val="11"/>
      <color theme="1"/>
      <name val="Arial"/>
    </font>
    <font>
      <u/>
      <sz val="11"/>
      <name val="Arial"/>
      <family val="2"/>
    </font>
    <font>
      <b/>
      <u/>
      <sz val="11"/>
      <name val="Arial"/>
      <family val="2"/>
    </font>
    <font>
      <b/>
      <u/>
      <sz val="14"/>
      <name val="Arial"/>
      <family val="2"/>
    </font>
    <font>
      <sz val="11"/>
      <name val="Calibri"/>
      <family val="2"/>
    </font>
    <font>
      <strike/>
      <sz val="8"/>
      <name val="Arial"/>
      <family val="2"/>
    </font>
    <font>
      <b/>
      <sz val="10"/>
      <name val="Arial"/>
    </font>
    <font>
      <sz val="9"/>
      <name val="Arial"/>
    </font>
    <font>
      <sz val="8"/>
      <name val="Arial"/>
    </font>
    <font>
      <u/>
      <sz val="10"/>
      <name val="Arial"/>
    </font>
    <font>
      <b/>
      <u/>
      <sz val="10"/>
      <name val="Arial"/>
    </font>
    <font>
      <sz val="10"/>
      <color rgb="FF000000"/>
      <name val="Arial"/>
    </font>
    <font>
      <b/>
      <sz val="1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6" tint="0.39997558519241921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5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7" fillId="0" borderId="0"/>
    <xf numFmtId="0" fontId="24" fillId="0" borderId="0"/>
    <xf numFmtId="0" fontId="4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4" fillId="0" borderId="0"/>
    <xf numFmtId="0" fontId="3" fillId="0" borderId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4" fillId="0" borderId="0"/>
    <xf numFmtId="0" fontId="2" fillId="0" borderId="0"/>
    <xf numFmtId="0" fontId="1" fillId="0" borderId="0"/>
    <xf numFmtId="0" fontId="1" fillId="0" borderId="0"/>
  </cellStyleXfs>
  <cellXfs count="602">
    <xf numFmtId="0" fontId="0" fillId="0" borderId="0" xfId="0"/>
    <xf numFmtId="0" fontId="4" fillId="24" borderId="0" xfId="46" applyFill="1" applyAlignment="1">
      <alignment vertical="center"/>
    </xf>
    <xf numFmtId="0" fontId="25" fillId="24" borderId="0" xfId="46" applyFont="1" applyFill="1" applyAlignment="1">
      <alignment vertical="center" wrapText="1"/>
    </xf>
    <xf numFmtId="0" fontId="25" fillId="24" borderId="0" xfId="46" applyFont="1" applyFill="1" applyAlignment="1">
      <alignment vertical="center"/>
    </xf>
    <xf numFmtId="0" fontId="27" fillId="24" borderId="0" xfId="46" applyFont="1" applyFill="1" applyAlignment="1">
      <alignment vertical="center" wrapText="1"/>
    </xf>
    <xf numFmtId="0" fontId="27" fillId="24" borderId="0" xfId="46" applyFont="1" applyFill="1" applyAlignment="1">
      <alignment vertical="center"/>
    </xf>
    <xf numFmtId="0" fontId="26" fillId="24" borderId="0" xfId="46" applyFont="1" applyFill="1" applyAlignment="1">
      <alignment vertical="center"/>
    </xf>
    <xf numFmtId="0" fontId="4" fillId="24" borderId="0" xfId="46" applyFill="1" applyAlignment="1">
      <alignment horizontal="left"/>
    </xf>
    <xf numFmtId="0" fontId="4" fillId="24" borderId="0" xfId="46" applyFill="1"/>
    <xf numFmtId="0" fontId="4" fillId="24" borderId="0" xfId="46" applyFill="1" applyAlignment="1">
      <alignment horizontal="center" wrapText="1"/>
    </xf>
    <xf numFmtId="0" fontId="4" fillId="24" borderId="0" xfId="46" applyFill="1" applyAlignment="1">
      <alignment horizontal="center"/>
    </xf>
    <xf numFmtId="0" fontId="24" fillId="26" borderId="0" xfId="0" applyFont="1" applyFill="1" applyAlignment="1">
      <alignment horizontal="center" vertical="center" wrapText="1"/>
    </xf>
    <xf numFmtId="0" fontId="28" fillId="24" borderId="0" xfId="46" applyFont="1" applyFill="1" applyAlignment="1">
      <alignment horizontal="center"/>
    </xf>
    <xf numFmtId="0" fontId="31" fillId="24" borderId="0" xfId="46" applyFont="1" applyFill="1" applyAlignment="1">
      <alignment horizontal="center" vertical="center"/>
    </xf>
    <xf numFmtId="0" fontId="31" fillId="24" borderId="0" xfId="46" applyFont="1" applyFill="1" applyAlignment="1">
      <alignment horizontal="left" vertical="center"/>
    </xf>
    <xf numFmtId="0" fontId="32" fillId="24" borderId="0" xfId="46" applyFont="1" applyFill="1" applyAlignment="1">
      <alignment vertical="center" wrapText="1"/>
    </xf>
    <xf numFmtId="0" fontId="31" fillId="24" borderId="0" xfId="46" applyFont="1" applyFill="1" applyAlignment="1">
      <alignment vertical="center" wrapText="1"/>
    </xf>
    <xf numFmtId="0" fontId="50" fillId="24" borderId="15" xfId="46" applyFont="1" applyFill="1" applyBorder="1" applyAlignment="1" applyProtection="1">
      <alignment horizontal="center" vertical="center" wrapText="1"/>
      <protection locked="0"/>
    </xf>
    <xf numFmtId="0" fontId="54" fillId="24" borderId="12" xfId="46" applyFont="1" applyFill="1" applyBorder="1" applyAlignment="1">
      <alignment vertical="center"/>
    </xf>
    <xf numFmtId="0" fontId="54" fillId="24" borderId="13" xfId="46" applyFont="1" applyFill="1" applyBorder="1" applyAlignment="1">
      <alignment vertical="center"/>
    </xf>
    <xf numFmtId="0" fontId="41" fillId="24" borderId="19" xfId="46" applyFont="1" applyFill="1" applyBorder="1" applyAlignment="1">
      <alignment vertical="center"/>
    </xf>
    <xf numFmtId="0" fontId="40" fillId="24" borderId="20" xfId="46" applyFont="1" applyFill="1" applyBorder="1" applyAlignment="1">
      <alignment horizontal="center" vertical="center"/>
    </xf>
    <xf numFmtId="0" fontId="31" fillId="24" borderId="19" xfId="46" applyFont="1" applyFill="1" applyBorder="1" applyAlignment="1">
      <alignment vertical="center"/>
    </xf>
    <xf numFmtId="0" fontId="29" fillId="24" borderId="20" xfId="46" applyFont="1" applyFill="1" applyBorder="1" applyAlignment="1">
      <alignment horizontal="center" vertical="center"/>
    </xf>
    <xf numFmtId="0" fontId="41" fillId="24" borderId="20" xfId="46" applyFont="1" applyFill="1" applyBorder="1" applyAlignment="1">
      <alignment horizontal="center" vertical="center"/>
    </xf>
    <xf numFmtId="0" fontId="55" fillId="24" borderId="23" xfId="46" applyFont="1" applyFill="1" applyBorder="1" applyAlignment="1">
      <alignment horizontal="center" vertical="center"/>
    </xf>
    <xf numFmtId="0" fontId="55" fillId="24" borderId="24" xfId="46" applyFont="1" applyFill="1" applyBorder="1" applyAlignment="1">
      <alignment horizontal="center" vertical="center"/>
    </xf>
    <xf numFmtId="0" fontId="56" fillId="24" borderId="26" xfId="46" applyFont="1" applyFill="1" applyBorder="1" applyAlignment="1">
      <alignment horizontal="center" vertical="center" wrapText="1"/>
    </xf>
    <xf numFmtId="0" fontId="41" fillId="27" borderId="0" xfId="46" applyFont="1" applyFill="1" applyAlignment="1">
      <alignment vertical="center"/>
    </xf>
    <xf numFmtId="0" fontId="60" fillId="24" borderId="19" xfId="46" applyFont="1" applyFill="1" applyBorder="1" applyAlignment="1">
      <alignment vertical="center"/>
    </xf>
    <xf numFmtId="0" fontId="49" fillId="24" borderId="0" xfId="46" applyFont="1" applyFill="1" applyAlignment="1">
      <alignment horizontal="center" vertical="center"/>
    </xf>
    <xf numFmtId="0" fontId="49" fillId="24" borderId="20" xfId="46" applyFont="1" applyFill="1" applyBorder="1" applyAlignment="1">
      <alignment horizontal="center" vertical="center"/>
    </xf>
    <xf numFmtId="0" fontId="35" fillId="26" borderId="0" xfId="0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24" fillId="0" borderId="0" xfId="0" quotePrefix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right" vertical="center"/>
    </xf>
    <xf numFmtId="164" fontId="23" fillId="0" borderId="0" xfId="0" applyNumberFormat="1" applyFont="1" applyAlignment="1">
      <alignment horizontal="right" vertical="center" shrinkToFit="1"/>
    </xf>
    <xf numFmtId="15" fontId="23" fillId="0" borderId="0" xfId="0" applyNumberFormat="1" applyFont="1" applyAlignment="1">
      <alignment horizontal="center" vertical="center" shrinkToFit="1"/>
    </xf>
    <xf numFmtId="0" fontId="30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2" fontId="39" fillId="0" borderId="0" xfId="0" applyNumberFormat="1" applyFont="1" applyAlignment="1">
      <alignment horizontal="right" vertical="center"/>
    </xf>
    <xf numFmtId="0" fontId="39" fillId="0" borderId="0" xfId="0" applyFont="1" applyAlignment="1">
      <alignment horizontal="center" vertical="center" wrapText="1"/>
    </xf>
    <xf numFmtId="164" fontId="39" fillId="0" borderId="0" xfId="0" applyNumberFormat="1" applyFont="1" applyAlignment="1">
      <alignment horizontal="right" vertical="center"/>
    </xf>
    <xf numFmtId="0" fontId="39" fillId="0" borderId="0" xfId="0" applyFont="1" applyAlignment="1">
      <alignment horizontal="center" vertical="center"/>
    </xf>
    <xf numFmtId="9" fontId="39" fillId="0" borderId="0" xfId="0" applyNumberFormat="1" applyFont="1" applyAlignment="1">
      <alignment vertical="center"/>
    </xf>
    <xf numFmtId="0" fontId="23" fillId="0" borderId="0" xfId="0" applyFont="1"/>
    <xf numFmtId="0" fontId="30" fillId="0" borderId="0" xfId="0" applyFont="1"/>
    <xf numFmtId="0" fontId="39" fillId="0" borderId="0" xfId="0" applyFont="1" applyAlignment="1">
      <alignment horizontal="left"/>
    </xf>
    <xf numFmtId="2" fontId="39" fillId="0" borderId="10" xfId="0" applyNumberFormat="1" applyFont="1" applyBorder="1"/>
    <xf numFmtId="0" fontId="39" fillId="0" borderId="0" xfId="0" applyFont="1"/>
    <xf numFmtId="164" fontId="39" fillId="0" borderId="10" xfId="0" applyNumberFormat="1" applyFont="1" applyBorder="1"/>
    <xf numFmtId="0" fontId="45" fillId="0" borderId="0" xfId="0" applyFont="1" applyAlignment="1">
      <alignment horizontal="center" wrapText="1"/>
    </xf>
    <xf numFmtId="0" fontId="45" fillId="0" borderId="0" xfId="0" applyFont="1" applyAlignment="1">
      <alignment horizontal="left"/>
    </xf>
    <xf numFmtId="164" fontId="45" fillId="0" borderId="0" xfId="0" applyNumberFormat="1" applyFont="1" applyAlignment="1">
      <alignment horizontal="right"/>
    </xf>
    <xf numFmtId="9" fontId="23" fillId="0" borderId="0" xfId="41" applyFont="1" applyFill="1" applyAlignment="1">
      <alignment horizontal="right"/>
    </xf>
    <xf numFmtId="9" fontId="46" fillId="0" borderId="0" xfId="41" applyFont="1" applyFill="1" applyAlignment="1">
      <alignment horizontal="right"/>
    </xf>
    <xf numFmtId="0" fontId="4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center" wrapText="1"/>
    </xf>
    <xf numFmtId="0" fontId="47" fillId="0" borderId="0" xfId="0" applyFont="1" applyAlignment="1">
      <alignment horizontal="left"/>
    </xf>
    <xf numFmtId="0" fontId="47" fillId="0" borderId="0" xfId="0" applyFont="1"/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center" wrapText="1"/>
    </xf>
    <xf numFmtId="0" fontId="61" fillId="0" borderId="0" xfId="0" applyFont="1"/>
    <xf numFmtId="0" fontId="24" fillId="0" borderId="0" xfId="0" quotePrefix="1" applyFont="1" applyAlignment="1">
      <alignment horizontal="center" vertical="center" wrapText="1"/>
    </xf>
    <xf numFmtId="16" fontId="45" fillId="0" borderId="0" xfId="0" applyNumberFormat="1" applyFont="1" applyAlignment="1">
      <alignment vertical="center"/>
    </xf>
    <xf numFmtId="0" fontId="62" fillId="0" borderId="0" xfId="0" applyFont="1"/>
    <xf numFmtId="0" fontId="50" fillId="24" borderId="0" xfId="46" applyFont="1" applyFill="1" applyAlignment="1">
      <alignment horizontal="center"/>
    </xf>
    <xf numFmtId="0" fontId="53" fillId="0" borderId="29" xfId="54" applyFont="1" applyBorder="1" applyAlignment="1">
      <alignment vertical="center"/>
    </xf>
    <xf numFmtId="0" fontId="53" fillId="0" borderId="30" xfId="54" applyFont="1" applyBorder="1" applyAlignment="1">
      <alignment vertical="center"/>
    </xf>
    <xf numFmtId="0" fontId="53" fillId="0" borderId="30" xfId="54" applyFont="1" applyBorder="1" applyAlignment="1">
      <alignment horizontal="center" vertical="center"/>
    </xf>
    <xf numFmtId="0" fontId="53" fillId="0" borderId="31" xfId="54" applyFont="1" applyBorder="1" applyAlignment="1">
      <alignment vertical="center"/>
    </xf>
    <xf numFmtId="0" fontId="53" fillId="0" borderId="0" xfId="54" applyFont="1" applyAlignment="1">
      <alignment vertical="center"/>
    </xf>
    <xf numFmtId="0" fontId="53" fillId="0" borderId="19" xfId="54" applyFont="1" applyBorder="1" applyAlignment="1">
      <alignment vertical="center"/>
    </xf>
    <xf numFmtId="0" fontId="53" fillId="0" borderId="0" xfId="54" applyFont="1" applyAlignment="1">
      <alignment horizontal="center" vertical="center"/>
    </xf>
    <xf numFmtId="0" fontId="53" fillId="0" borderId="20" xfId="54" applyFont="1" applyBorder="1" applyAlignment="1">
      <alignment vertical="center"/>
    </xf>
    <xf numFmtId="0" fontId="53" fillId="0" borderId="19" xfId="54" applyFont="1" applyBorder="1"/>
    <xf numFmtId="0" fontId="53" fillId="0" borderId="0" xfId="54" applyFont="1"/>
    <xf numFmtId="0" fontId="53" fillId="0" borderId="20" xfId="54" applyFont="1" applyBorder="1"/>
    <xf numFmtId="0" fontId="53" fillId="0" borderId="0" xfId="54" applyFont="1" applyAlignment="1">
      <alignment horizontal="center"/>
    </xf>
    <xf numFmtId="49" fontId="53" fillId="0" borderId="0" xfId="54" applyNumberFormat="1" applyFont="1"/>
    <xf numFmtId="0" fontId="53" fillId="0" borderId="20" xfId="54" applyFont="1" applyBorder="1" applyAlignment="1">
      <alignment horizontal="center"/>
    </xf>
    <xf numFmtId="0" fontId="53" fillId="29" borderId="29" xfId="54" applyFont="1" applyFill="1" applyBorder="1"/>
    <xf numFmtId="0" fontId="53" fillId="29" borderId="30" xfId="54" applyFont="1" applyFill="1" applyBorder="1" applyAlignment="1">
      <alignment horizontal="center"/>
    </xf>
    <xf numFmtId="0" fontId="53" fillId="29" borderId="30" xfId="54" applyFont="1" applyFill="1" applyBorder="1"/>
    <xf numFmtId="0" fontId="53" fillId="29" borderId="31" xfId="54" applyFont="1" applyFill="1" applyBorder="1"/>
    <xf numFmtId="0" fontId="65" fillId="29" borderId="19" xfId="54" applyFont="1" applyFill="1" applyBorder="1" applyAlignment="1">
      <alignment horizontal="left" indent="1"/>
    </xf>
    <xf numFmtId="0" fontId="53" fillId="29" borderId="0" xfId="54" applyFont="1" applyFill="1" applyAlignment="1">
      <alignment horizontal="center"/>
    </xf>
    <xf numFmtId="0" fontId="53" fillId="29" borderId="0" xfId="54" applyFont="1" applyFill="1"/>
    <xf numFmtId="0" fontId="53" fillId="29" borderId="20" xfId="54" applyFont="1" applyFill="1" applyBorder="1"/>
    <xf numFmtId="0" fontId="53" fillId="29" borderId="19" xfId="54" applyFont="1" applyFill="1" applyBorder="1" applyAlignment="1">
      <alignment horizontal="left" indent="1"/>
    </xf>
    <xf numFmtId="0" fontId="53" fillId="29" borderId="32" xfId="54" applyFont="1" applyFill="1" applyBorder="1"/>
    <xf numFmtId="0" fontId="53" fillId="29" borderId="33" xfId="54" applyFont="1" applyFill="1" applyBorder="1" applyAlignment="1">
      <alignment horizontal="center"/>
    </xf>
    <xf numFmtId="0" fontId="53" fillId="29" borderId="33" xfId="54" applyFont="1" applyFill="1" applyBorder="1"/>
    <xf numFmtId="0" fontId="53" fillId="29" borderId="34" xfId="54" applyFont="1" applyFill="1" applyBorder="1"/>
    <xf numFmtId="0" fontId="65" fillId="0" borderId="0" xfId="54" applyFont="1"/>
    <xf numFmtId="0" fontId="53" fillId="0" borderId="0" xfId="54" quotePrefix="1" applyFont="1"/>
    <xf numFmtId="1" fontId="53" fillId="0" borderId="0" xfId="54" quotePrefix="1" applyNumberFormat="1" applyFont="1" applyAlignment="1">
      <alignment horizontal="center"/>
    </xf>
    <xf numFmtId="0" fontId="53" fillId="0" borderId="0" xfId="54" applyFont="1" applyAlignment="1">
      <alignment horizontal="left"/>
    </xf>
    <xf numFmtId="49" fontId="53" fillId="0" borderId="0" xfId="54" applyNumberFormat="1" applyFont="1" applyAlignment="1">
      <alignment horizontal="center"/>
    </xf>
    <xf numFmtId="49" fontId="53" fillId="0" borderId="0" xfId="54" applyNumberFormat="1" applyFont="1" applyAlignment="1">
      <alignment horizontal="left"/>
    </xf>
    <xf numFmtId="0" fontId="66" fillId="0" borderId="0" xfId="54" applyFont="1"/>
    <xf numFmtId="0" fontId="53" fillId="0" borderId="0" xfId="54" applyFont="1" applyAlignment="1">
      <alignment horizontal="left" indent="2"/>
    </xf>
    <xf numFmtId="0" fontId="53" fillId="0" borderId="32" xfId="54" applyFont="1" applyBorder="1"/>
    <xf numFmtId="0" fontId="53" fillId="0" borderId="33" xfId="54" applyFont="1" applyBorder="1"/>
    <xf numFmtId="0" fontId="53" fillId="0" borderId="33" xfId="54" applyFont="1" applyBorder="1" applyAlignment="1">
      <alignment horizontal="center"/>
    </xf>
    <xf numFmtId="49" fontId="53" fillId="0" borderId="33" xfId="54" applyNumberFormat="1" applyFont="1" applyBorder="1"/>
    <xf numFmtId="0" fontId="53" fillId="0" borderId="34" xfId="54" applyFont="1" applyBorder="1" applyAlignment="1">
      <alignment horizontal="center"/>
    </xf>
    <xf numFmtId="0" fontId="60" fillId="24" borderId="35" xfId="46" applyFont="1" applyFill="1" applyBorder="1" applyAlignment="1">
      <alignment vertical="center"/>
    </xf>
    <xf numFmtId="0" fontId="49" fillId="24" borderId="28" xfId="46" applyFont="1" applyFill="1" applyBorder="1" applyAlignment="1">
      <alignment horizontal="center" vertical="center"/>
    </xf>
    <xf numFmtId="0" fontId="31" fillId="24" borderId="35" xfId="46" applyFont="1" applyFill="1" applyBorder="1" applyAlignment="1">
      <alignment vertical="center"/>
    </xf>
    <xf numFmtId="0" fontId="29" fillId="24" borderId="28" xfId="46" applyFont="1" applyFill="1" applyBorder="1" applyAlignment="1">
      <alignment horizontal="center" vertical="center"/>
    </xf>
    <xf numFmtId="0" fontId="41" fillId="24" borderId="35" xfId="46" applyFont="1" applyFill="1" applyBorder="1" applyAlignment="1">
      <alignment vertical="center"/>
    </xf>
    <xf numFmtId="0" fontId="40" fillId="24" borderId="28" xfId="46" applyFont="1" applyFill="1" applyBorder="1" applyAlignment="1">
      <alignment horizontal="center" vertical="center"/>
    </xf>
    <xf numFmtId="0" fontId="31" fillId="24" borderId="11" xfId="46" applyFont="1" applyFill="1" applyBorder="1" applyAlignment="1">
      <alignment vertical="center"/>
    </xf>
    <xf numFmtId="0" fontId="28" fillId="24" borderId="12" xfId="46" applyFont="1" applyFill="1" applyBorder="1" applyAlignment="1">
      <alignment horizontal="center"/>
    </xf>
    <xf numFmtId="0" fontId="29" fillId="24" borderId="13" xfId="46" applyFont="1" applyFill="1" applyBorder="1" applyAlignment="1">
      <alignment horizontal="center" vertical="center"/>
    </xf>
    <xf numFmtId="0" fontId="23" fillId="0" borderId="0" xfId="0" quotePrefix="1" applyFont="1" applyAlignment="1">
      <alignment vertical="center"/>
    </xf>
    <xf numFmtId="0" fontId="39" fillId="0" borderId="0" xfId="0" quotePrefix="1" applyFont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70" fillId="0" borderId="0" xfId="54" applyFont="1"/>
    <xf numFmtId="165" fontId="42" fillId="0" borderId="0" xfId="0" applyNumberFormat="1" applyFont="1" applyAlignment="1">
      <alignment horizontal="center" vertical="center" shrinkToFit="1"/>
    </xf>
    <xf numFmtId="0" fontId="28" fillId="24" borderId="0" xfId="46" applyFont="1" applyFill="1" applyAlignment="1">
      <alignment horizontal="left"/>
    </xf>
    <xf numFmtId="0" fontId="28" fillId="24" borderId="0" xfId="46" applyFont="1" applyFill="1"/>
    <xf numFmtId="0" fontId="23" fillId="24" borderId="0" xfId="46" applyFont="1" applyFill="1" applyAlignment="1">
      <alignment horizontal="left"/>
    </xf>
    <xf numFmtId="0" fontId="23" fillId="24" borderId="0" xfId="46" applyFont="1" applyFill="1"/>
    <xf numFmtId="9" fontId="23" fillId="24" borderId="0" xfId="41" applyFont="1" applyFill="1" applyAlignment="1">
      <alignment horizontal="left"/>
    </xf>
    <xf numFmtId="0" fontId="7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8" fillId="0" borderId="0" xfId="0" applyFont="1" applyAlignment="1">
      <alignment horizontal="right" vertical="center"/>
    </xf>
    <xf numFmtId="0" fontId="73" fillId="24" borderId="0" xfId="46" applyFont="1" applyFill="1" applyAlignment="1">
      <alignment vertical="center"/>
    </xf>
    <xf numFmtId="0" fontId="74" fillId="24" borderId="0" xfId="46" applyFont="1" applyFill="1" applyAlignment="1">
      <alignment vertical="center"/>
    </xf>
    <xf numFmtId="0" fontId="1" fillId="28" borderId="0" xfId="55" applyFill="1"/>
    <xf numFmtId="0" fontId="75" fillId="28" borderId="0" xfId="55" applyFont="1" applyFill="1" applyAlignment="1">
      <alignment horizontal="center" vertical="center"/>
    </xf>
    <xf numFmtId="0" fontId="75" fillId="28" borderId="0" xfId="55" applyFont="1" applyFill="1" applyAlignment="1">
      <alignment vertical="center"/>
    </xf>
    <xf numFmtId="0" fontId="76" fillId="0" borderId="0" xfId="55" applyFont="1" applyAlignment="1">
      <alignment vertical="center"/>
    </xf>
    <xf numFmtId="0" fontId="1" fillId="0" borderId="0" xfId="55"/>
    <xf numFmtId="0" fontId="76" fillId="0" borderId="0" xfId="55" applyFont="1" applyAlignment="1">
      <alignment vertical="center" textRotation="90"/>
    </xf>
    <xf numFmtId="0" fontId="76" fillId="0" borderId="0" xfId="55" applyFont="1" applyAlignment="1">
      <alignment horizontal="center" vertical="center"/>
    </xf>
    <xf numFmtId="0" fontId="77" fillId="30" borderId="0" xfId="55" applyFont="1" applyFill="1" applyAlignment="1">
      <alignment vertical="center"/>
    </xf>
    <xf numFmtId="0" fontId="76" fillId="30" borderId="0" xfId="55" applyFont="1" applyFill="1" applyAlignment="1">
      <alignment vertical="center"/>
    </xf>
    <xf numFmtId="0" fontId="78" fillId="0" borderId="0" xfId="55" applyFont="1" applyAlignment="1">
      <alignment vertical="center"/>
    </xf>
    <xf numFmtId="0" fontId="79" fillId="0" borderId="0" xfId="55" applyFont="1" applyAlignment="1">
      <alignment vertical="center"/>
    </xf>
    <xf numFmtId="0" fontId="58" fillId="0" borderId="0" xfId="55" applyFont="1"/>
    <xf numFmtId="0" fontId="76" fillId="0" borderId="14" xfId="55" applyFont="1" applyBorder="1" applyAlignment="1">
      <alignment vertical="center"/>
    </xf>
    <xf numFmtId="9" fontId="42" fillId="0" borderId="0" xfId="0" applyNumberFormat="1" applyFont="1" applyAlignment="1">
      <alignment horizontal="center" vertical="center" shrinkToFit="1"/>
    </xf>
    <xf numFmtId="0" fontId="35" fillId="31" borderId="0" xfId="0" applyFont="1" applyFill="1" applyAlignment="1">
      <alignment horizontal="left" vertical="center"/>
    </xf>
    <xf numFmtId="0" fontId="20" fillId="31" borderId="0" xfId="0" quotePrefix="1" applyFont="1" applyFill="1" applyAlignment="1">
      <alignment horizontal="center" vertical="center" wrapText="1"/>
    </xf>
    <xf numFmtId="0" fontId="35" fillId="31" borderId="0" xfId="0" applyFont="1" applyFill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164" fontId="80" fillId="0" borderId="0" xfId="0" applyNumberFormat="1" applyFont="1" applyAlignment="1">
      <alignment horizontal="center" vertical="center" wrapText="1"/>
    </xf>
    <xf numFmtId="0" fontId="80" fillId="0" borderId="0" xfId="0" applyFont="1" applyAlignment="1">
      <alignment vertical="center"/>
    </xf>
    <xf numFmtId="0" fontId="81" fillId="0" borderId="0" xfId="0" applyFont="1" applyAlignment="1">
      <alignment horizontal="left" vertical="center"/>
    </xf>
    <xf numFmtId="0" fontId="37" fillId="0" borderId="0" xfId="0" applyFont="1" applyAlignment="1">
      <alignment vertical="center" wrapText="1"/>
    </xf>
    <xf numFmtId="0" fontId="38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top"/>
    </xf>
    <xf numFmtId="0" fontId="29" fillId="0" borderId="0" xfId="0" applyFont="1" applyAlignment="1">
      <alignment horizontal="center"/>
    </xf>
    <xf numFmtId="0" fontId="39" fillId="0" borderId="0" xfId="0" applyFont="1" applyAlignment="1">
      <alignment horizontal="right" vertical="center"/>
    </xf>
    <xf numFmtId="0" fontId="33" fillId="0" borderId="0" xfId="0" applyFont="1" applyAlignment="1">
      <alignment vertical="center"/>
    </xf>
    <xf numFmtId="0" fontId="76" fillId="28" borderId="14" xfId="55" applyFont="1" applyFill="1" applyBorder="1" applyAlignment="1">
      <alignment vertical="center"/>
    </xf>
    <xf numFmtId="0" fontId="78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0" fontId="76" fillId="32" borderId="14" xfId="55" applyFont="1" applyFill="1" applyBorder="1" applyAlignment="1">
      <alignment vertical="center"/>
    </xf>
    <xf numFmtId="0" fontId="82" fillId="0" borderId="0" xfId="0" applyFont="1"/>
    <xf numFmtId="0" fontId="50" fillId="24" borderId="36" xfId="46" applyFont="1" applyFill="1" applyBorder="1" applyAlignment="1" applyProtection="1">
      <alignment horizontal="center" vertical="center"/>
      <protection locked="0"/>
    </xf>
    <xf numFmtId="0" fontId="50" fillId="24" borderId="37" xfId="46" applyFont="1" applyFill="1" applyBorder="1" applyAlignment="1" applyProtection="1">
      <alignment horizontal="left" vertical="center"/>
      <protection locked="0"/>
    </xf>
    <xf numFmtId="0" fontId="50" fillId="24" borderId="38" xfId="46" applyFont="1" applyFill="1" applyBorder="1" applyAlignment="1" applyProtection="1">
      <alignment horizontal="left" vertical="center"/>
      <protection locked="0"/>
    </xf>
    <xf numFmtId="0" fontId="50" fillId="24" borderId="39" xfId="46" applyFont="1" applyFill="1" applyBorder="1" applyAlignment="1" applyProtection="1">
      <alignment horizontal="left" vertical="center"/>
      <protection locked="0"/>
    </xf>
    <xf numFmtId="167" fontId="50" fillId="24" borderId="36" xfId="46" applyNumberFormat="1" applyFont="1" applyFill="1" applyBorder="1" applyAlignment="1" applyProtection="1">
      <alignment horizontal="center" vertical="center" wrapText="1"/>
      <protection locked="0"/>
    </xf>
    <xf numFmtId="0" fontId="50" fillId="24" borderId="36" xfId="46" applyFont="1" applyFill="1" applyBorder="1" applyAlignment="1" applyProtection="1">
      <alignment horizontal="center" vertical="center" wrapText="1"/>
      <protection locked="0"/>
    </xf>
    <xf numFmtId="0" fontId="51" fillId="24" borderId="38" xfId="46" applyFont="1" applyFill="1" applyBorder="1" applyAlignment="1" applyProtection="1">
      <alignment horizontal="left" vertical="center"/>
      <protection locked="0"/>
    </xf>
    <xf numFmtId="0" fontId="51" fillId="24" borderId="39" xfId="46" applyFont="1" applyFill="1" applyBorder="1" applyAlignment="1" applyProtection="1">
      <alignment horizontal="left" vertical="center"/>
      <protection locked="0"/>
    </xf>
    <xf numFmtId="0" fontId="51" fillId="24" borderId="36" xfId="46" applyFont="1" applyFill="1" applyBorder="1" applyAlignment="1" applyProtection="1">
      <alignment horizontal="center" vertical="center" wrapText="1"/>
      <protection locked="0"/>
    </xf>
    <xf numFmtId="0" fontId="51" fillId="25" borderId="36" xfId="46" applyFont="1" applyFill="1" applyBorder="1" applyAlignment="1">
      <alignment horizontal="center" vertical="center"/>
    </xf>
    <xf numFmtId="0" fontId="51" fillId="25" borderId="37" xfId="46" applyFont="1" applyFill="1" applyBorder="1" applyAlignment="1">
      <alignment horizontal="center" vertical="center"/>
    </xf>
    <xf numFmtId="0" fontId="51" fillId="25" borderId="38" xfId="46" applyFont="1" applyFill="1" applyBorder="1" applyAlignment="1">
      <alignment horizontal="center" vertical="center"/>
    </xf>
    <xf numFmtId="0" fontId="51" fillId="25" borderId="39" xfId="46" applyFont="1" applyFill="1" applyBorder="1" applyAlignment="1">
      <alignment horizontal="center" vertical="center"/>
    </xf>
    <xf numFmtId="0" fontId="51" fillId="25" borderId="36" xfId="46" applyFont="1" applyFill="1" applyBorder="1" applyAlignment="1">
      <alignment horizontal="center" vertical="center" wrapText="1"/>
    </xf>
    <xf numFmtId="0" fontId="52" fillId="25" borderId="41" xfId="46" applyFont="1" applyFill="1" applyBorder="1" applyAlignment="1">
      <alignment horizontal="center" vertical="center"/>
    </xf>
    <xf numFmtId="0" fontId="52" fillId="25" borderId="42" xfId="46" applyFont="1" applyFill="1" applyBorder="1" applyAlignment="1">
      <alignment horizontal="center" vertical="center"/>
    </xf>
    <xf numFmtId="0" fontId="48" fillId="25" borderId="44" xfId="46" applyFont="1" applyFill="1" applyBorder="1" applyAlignment="1">
      <alignment horizontal="center" vertical="center" wrapText="1"/>
    </xf>
    <xf numFmtId="0" fontId="54" fillId="24" borderId="40" xfId="46" applyFont="1" applyFill="1" applyBorder="1" applyAlignment="1">
      <alignment vertical="center"/>
    </xf>
    <xf numFmtId="0" fontId="41" fillId="0" borderId="44" xfId="0" applyFont="1" applyBorder="1" applyAlignment="1">
      <alignment horizontal="center" vertical="center" wrapText="1"/>
    </xf>
    <xf numFmtId="168" fontId="23" fillId="0" borderId="44" xfId="48" applyNumberFormat="1" applyFont="1" applyFill="1" applyBorder="1" applyAlignment="1">
      <alignment horizontal="center" vertical="center" wrapText="1"/>
    </xf>
    <xf numFmtId="168" fontId="23" fillId="0" borderId="42" xfId="48" quotePrefix="1" applyNumberFormat="1" applyFont="1" applyFill="1" applyBorder="1" applyAlignment="1">
      <alignment horizontal="center" vertical="center" wrapText="1"/>
    </xf>
    <xf numFmtId="168" fontId="23" fillId="0" borderId="44" xfId="48" quotePrefix="1" applyNumberFormat="1" applyFont="1" applyFill="1" applyBorder="1" applyAlignment="1">
      <alignment horizontal="center" vertical="center" wrapText="1"/>
    </xf>
    <xf numFmtId="0" fontId="0" fillId="0" borderId="44" xfId="0" quotePrefix="1" applyBorder="1" applyAlignment="1">
      <alignment horizontal="center" vertical="center" wrapText="1"/>
    </xf>
    <xf numFmtId="9" fontId="42" fillId="0" borderId="44" xfId="0" applyNumberFormat="1" applyFont="1" applyBorder="1" applyAlignment="1">
      <alignment horizontal="center" vertical="center" shrinkToFit="1"/>
    </xf>
    <xf numFmtId="165" fontId="42" fillId="0" borderId="44" xfId="0" applyNumberFormat="1" applyFont="1" applyBorder="1" applyAlignment="1">
      <alignment horizontal="center" vertical="center" shrinkToFit="1"/>
    </xf>
    <xf numFmtId="9" fontId="42" fillId="0" borderId="42" xfId="0" applyNumberFormat="1" applyFont="1" applyBorder="1" applyAlignment="1">
      <alignment horizontal="center" vertical="center" shrinkToFit="1"/>
    </xf>
    <xf numFmtId="0" fontId="64" fillId="26" borderId="44" xfId="54" applyFont="1" applyFill="1" applyBorder="1" applyAlignment="1">
      <alignment horizontal="center"/>
    </xf>
    <xf numFmtId="0" fontId="53" fillId="0" borderId="44" xfId="54" applyFont="1" applyBorder="1" applyAlignment="1">
      <alignment horizontal="center"/>
    </xf>
    <xf numFmtId="0" fontId="53" fillId="0" borderId="44" xfId="54" quotePrefix="1" applyFont="1" applyBorder="1" applyAlignment="1">
      <alignment horizontal="center"/>
    </xf>
    <xf numFmtId="49" fontId="53" fillId="0" borderId="44" xfId="54" applyNumberFormat="1" applyFont="1" applyBorder="1" applyAlignment="1">
      <alignment horizontal="center"/>
    </xf>
    <xf numFmtId="0" fontId="76" fillId="28" borderId="44" xfId="55" applyFont="1" applyFill="1" applyBorder="1" applyAlignment="1">
      <alignment horizontal="center" textRotation="90"/>
    </xf>
    <xf numFmtId="0" fontId="76" fillId="28" borderId="44" xfId="55" applyFont="1" applyFill="1" applyBorder="1" applyAlignment="1">
      <alignment vertical="center"/>
    </xf>
    <xf numFmtId="0" fontId="76" fillId="0" borderId="44" xfId="55" applyFont="1" applyBorder="1" applyAlignment="1">
      <alignment vertical="center"/>
    </xf>
    <xf numFmtId="0" fontId="24" fillId="0" borderId="0" xfId="0" applyFont="1" applyAlignment="1">
      <alignment vertical="center" wrapText="1"/>
    </xf>
    <xf numFmtId="0" fontId="66" fillId="0" borderId="0" xfId="54" applyFont="1" applyAlignment="1">
      <alignment horizontal="left"/>
    </xf>
    <xf numFmtId="0" fontId="53" fillId="0" borderId="0" xfId="54" quotePrefix="1" applyFont="1" applyAlignment="1">
      <alignment horizontal="center"/>
    </xf>
    <xf numFmtId="0" fontId="53" fillId="28" borderId="0" xfId="54" applyFont="1" applyFill="1"/>
    <xf numFmtId="49" fontId="64" fillId="26" borderId="44" xfId="54" applyNumberFormat="1" applyFont="1" applyFill="1" applyBorder="1"/>
    <xf numFmtId="49" fontId="64" fillId="26" borderId="44" xfId="54" applyNumberFormat="1" applyFont="1" applyFill="1" applyBorder="1" applyAlignment="1">
      <alignment horizontal="center" wrapText="1"/>
    </xf>
    <xf numFmtId="49" fontId="53" fillId="28" borderId="0" xfId="54" applyNumberFormat="1" applyFont="1" applyFill="1"/>
    <xf numFmtId="0" fontId="53" fillId="28" borderId="29" xfId="54" applyFont="1" applyFill="1" applyBorder="1"/>
    <xf numFmtId="0" fontId="53" fillId="28" borderId="30" xfId="54" applyFont="1" applyFill="1" applyBorder="1"/>
    <xf numFmtId="49" fontId="53" fillId="28" borderId="30" xfId="54" applyNumberFormat="1" applyFont="1" applyFill="1" applyBorder="1"/>
    <xf numFmtId="0" fontId="53" fillId="28" borderId="31" xfId="54" applyFont="1" applyFill="1" applyBorder="1"/>
    <xf numFmtId="0" fontId="53" fillId="28" borderId="19" xfId="54" applyFont="1" applyFill="1" applyBorder="1"/>
    <xf numFmtId="0" fontId="53" fillId="28" borderId="20" xfId="54" applyFont="1" applyFill="1" applyBorder="1"/>
    <xf numFmtId="0" fontId="53" fillId="28" borderId="32" xfId="54" applyFont="1" applyFill="1" applyBorder="1"/>
    <xf numFmtId="0" fontId="53" fillId="28" borderId="33" xfId="54" applyFont="1" applyFill="1" applyBorder="1"/>
    <xf numFmtId="49" fontId="53" fillId="28" borderId="33" xfId="54" applyNumberFormat="1" applyFont="1" applyFill="1" applyBorder="1"/>
    <xf numFmtId="0" fontId="53" fillId="28" borderId="34" xfId="54" applyFont="1" applyFill="1" applyBorder="1"/>
    <xf numFmtId="0" fontId="64" fillId="0" borderId="0" xfId="54" applyFont="1" applyAlignment="1">
      <alignment vertical="center"/>
    </xf>
    <xf numFmtId="0" fontId="64" fillId="0" borderId="0" xfId="54" applyFont="1" applyAlignment="1">
      <alignment horizontal="center"/>
    </xf>
    <xf numFmtId="0" fontId="23" fillId="28" borderId="0" xfId="0" applyFont="1" applyFill="1" applyAlignment="1">
      <alignment vertical="center"/>
    </xf>
    <xf numFmtId="0" fontId="24" fillId="0" borderId="0" xfId="0" applyFont="1" applyAlignment="1">
      <alignment horizontal="left" vertical="center"/>
    </xf>
    <xf numFmtId="0" fontId="81" fillId="0" borderId="0" xfId="0" applyFont="1" applyAlignment="1">
      <alignment horizontal="center" vertical="center"/>
    </xf>
    <xf numFmtId="0" fontId="35" fillId="26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164" fontId="48" fillId="0" borderId="0" xfId="0" applyNumberFormat="1" applyFont="1" applyAlignment="1">
      <alignment horizontal="right" vertical="center"/>
    </xf>
    <xf numFmtId="0" fontId="48" fillId="0" borderId="0" xfId="0" applyFont="1" applyAlignment="1">
      <alignment horizontal="center" vertical="center"/>
    </xf>
    <xf numFmtId="0" fontId="66" fillId="0" borderId="0" xfId="54" applyFont="1" applyAlignment="1">
      <alignment horizontal="center" vertical="center"/>
    </xf>
    <xf numFmtId="0" fontId="24" fillId="0" borderId="0" xfId="0" quotePrefix="1" applyFont="1"/>
    <xf numFmtId="0" fontId="23" fillId="0" borderId="0" xfId="0" applyFont="1" applyAlignment="1">
      <alignment vertical="center" wrapText="1"/>
    </xf>
    <xf numFmtId="0" fontId="86" fillId="0" borderId="0" xfId="0" applyFont="1" applyAlignment="1">
      <alignment vertical="center"/>
    </xf>
    <xf numFmtId="0" fontId="87" fillId="0" borderId="0" xfId="0" applyFont="1"/>
    <xf numFmtId="0" fontId="88" fillId="0" borderId="0" xfId="0" quotePrefix="1" applyFont="1" applyAlignment="1">
      <alignment horizontal="center" vertical="center"/>
    </xf>
    <xf numFmtId="0" fontId="89" fillId="0" borderId="0" xfId="0" applyFont="1" applyAlignment="1">
      <alignment horizontal="center" vertical="top"/>
    </xf>
    <xf numFmtId="0" fontId="90" fillId="0" borderId="0" xfId="0" applyFont="1" applyAlignment="1">
      <alignment horizontal="center" vertical="center"/>
    </xf>
    <xf numFmtId="2" fontId="90" fillId="0" borderId="0" xfId="0" applyNumberFormat="1" applyFont="1" applyAlignment="1">
      <alignment horizontal="right" vertical="center"/>
    </xf>
    <xf numFmtId="9" fontId="90" fillId="0" borderId="0" xfId="0" applyNumberFormat="1" applyFont="1" applyAlignment="1">
      <alignment vertical="center"/>
    </xf>
    <xf numFmtId="0" fontId="90" fillId="0" borderId="0" xfId="0" applyFont="1" applyAlignment="1">
      <alignment vertical="center"/>
    </xf>
    <xf numFmtId="0" fontId="24" fillId="26" borderId="0" xfId="0" quotePrefix="1" applyFont="1" applyFill="1" applyAlignment="1">
      <alignment horizontal="center" vertical="center" wrapText="1"/>
    </xf>
    <xf numFmtId="0" fontId="24" fillId="0" borderId="0" xfId="0" quotePrefix="1" applyFont="1" applyAlignment="1">
      <alignment vertical="center"/>
    </xf>
    <xf numFmtId="0" fontId="36" fillId="0" borderId="0" xfId="0" quotePrefix="1" applyFont="1"/>
    <xf numFmtId="1" fontId="48" fillId="0" borderId="0" xfId="54" quotePrefix="1" applyNumberFormat="1" applyFont="1" applyAlignment="1">
      <alignment horizontal="center"/>
    </xf>
    <xf numFmtId="0" fontId="24" fillId="33" borderId="0" xfId="0" applyFont="1" applyFill="1" applyAlignment="1">
      <alignment horizontal="left" vertical="center"/>
    </xf>
    <xf numFmtId="20" fontId="39" fillId="0" borderId="0" xfId="0" quotePrefix="1" applyNumberFormat="1" applyFont="1" applyAlignment="1">
      <alignment horizontal="center" vertical="center"/>
    </xf>
    <xf numFmtId="0" fontId="71" fillId="29" borderId="0" xfId="46" applyFont="1" applyFill="1" applyAlignment="1">
      <alignment horizontal="left"/>
    </xf>
    <xf numFmtId="0" fontId="28" fillId="29" borderId="0" xfId="46" applyFont="1" applyFill="1" applyAlignment="1">
      <alignment horizontal="center"/>
    </xf>
    <xf numFmtId="0" fontId="23" fillId="0" borderId="0" xfId="46" applyFont="1" applyAlignment="1">
      <alignment horizontal="left" vertical="center"/>
    </xf>
    <xf numFmtId="0" fontId="0" fillId="0" borderId="44" xfId="0" quotePrefix="1" applyBorder="1" applyAlignment="1">
      <alignment horizontal="center" vertical="center" textRotation="90" wrapText="1"/>
    </xf>
    <xf numFmtId="0" fontId="34" fillId="0" borderId="0" xfId="0" applyFont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0" fillId="0" borderId="44" xfId="0" quotePrefix="1" applyBorder="1" applyAlignment="1">
      <alignment horizontal="center" vertical="center" textRotation="90"/>
    </xf>
    <xf numFmtId="2" fontId="39" fillId="0" borderId="0" xfId="0" applyNumberFormat="1" applyFont="1" applyAlignment="1">
      <alignment horizontal="center" vertical="center"/>
    </xf>
    <xf numFmtId="0" fontId="92" fillId="0" borderId="0" xfId="0" applyFont="1"/>
    <xf numFmtId="0" fontId="41" fillId="0" borderId="0" xfId="0" applyFont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0" fontId="24" fillId="28" borderId="0" xfId="0" applyFont="1" applyFill="1" applyAlignment="1">
      <alignment horizontal="center" vertical="center"/>
    </xf>
    <xf numFmtId="0" fontId="93" fillId="0" borderId="0" xfId="0" applyFont="1"/>
    <xf numFmtId="0" fontId="88" fillId="0" borderId="0" xfId="0" applyFont="1" applyAlignment="1">
      <alignment horizontal="left" vertical="center"/>
    </xf>
    <xf numFmtId="0" fontId="69" fillId="0" borderId="0" xfId="0" applyFont="1" applyAlignment="1">
      <alignment horizontal="center" vertical="center" wrapText="1"/>
    </xf>
    <xf numFmtId="0" fontId="69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35" fillId="31" borderId="0" xfId="0" applyFont="1" applyFill="1" applyAlignment="1">
      <alignment horizontal="left" vertical="center" wrapText="1"/>
    </xf>
    <xf numFmtId="0" fontId="24" fillId="26" borderId="0" xfId="0" applyFont="1" applyFill="1" applyAlignment="1">
      <alignment horizontal="left" vertical="center" wrapText="1"/>
    </xf>
    <xf numFmtId="0" fontId="24" fillId="0" borderId="0" xfId="0" quotePrefix="1" applyFont="1" applyAlignment="1">
      <alignment horizontal="left" vertical="center"/>
    </xf>
    <xf numFmtId="0" fontId="36" fillId="0" borderId="0" xfId="0" applyFont="1" applyAlignment="1">
      <alignment horizontal="left" wrapText="1"/>
    </xf>
    <xf numFmtId="0" fontId="24" fillId="0" borderId="0" xfId="0" applyFont="1" applyAlignment="1">
      <alignment horizontal="left" wrapText="1"/>
    </xf>
    <xf numFmtId="0" fontId="47" fillId="0" borderId="0" xfId="0" applyFont="1" applyAlignment="1">
      <alignment horizontal="left" wrapText="1"/>
    </xf>
    <xf numFmtId="0" fontId="94" fillId="0" borderId="0" xfId="0" quotePrefix="1" applyFont="1" applyAlignment="1">
      <alignment horizontal="center" vertical="center"/>
    </xf>
    <xf numFmtId="0" fontId="91" fillId="0" borderId="0" xfId="0" quotePrefix="1" applyFont="1" applyAlignment="1">
      <alignment vertical="center"/>
    </xf>
    <xf numFmtId="0" fontId="23" fillId="32" borderId="0" xfId="0" applyFont="1" applyFill="1" applyAlignment="1">
      <alignment vertical="center"/>
    </xf>
    <xf numFmtId="0" fontId="23" fillId="34" borderId="0" xfId="0" applyFont="1" applyFill="1" applyAlignment="1">
      <alignment horizontal="center" vertical="center" wrapText="1"/>
    </xf>
    <xf numFmtId="0" fontId="0" fillId="24" borderId="0" xfId="46" applyFont="1" applyFill="1"/>
    <xf numFmtId="0" fontId="0" fillId="24" borderId="0" xfId="46" applyFont="1" applyFill="1" applyAlignment="1">
      <alignment vertical="center"/>
    </xf>
    <xf numFmtId="0" fontId="95" fillId="24" borderId="0" xfId="46" applyFont="1" applyFill="1" applyAlignment="1">
      <alignment vertical="center"/>
    </xf>
    <xf numFmtId="0" fontId="0" fillId="24" borderId="0" xfId="46" applyFont="1" applyFill="1" applyAlignment="1">
      <alignment horizontal="left"/>
    </xf>
    <xf numFmtId="0" fontId="0" fillId="24" borderId="0" xfId="46" applyFont="1" applyFill="1" applyAlignment="1">
      <alignment horizontal="center" wrapText="1"/>
    </xf>
    <xf numFmtId="0" fontId="0" fillId="24" borderId="0" xfId="46" applyFont="1" applyFill="1" applyAlignment="1">
      <alignment horizontal="center"/>
    </xf>
    <xf numFmtId="0" fontId="0" fillId="24" borderId="53" xfId="46" applyFont="1" applyFill="1" applyBorder="1" applyAlignment="1">
      <alignment vertical="center"/>
    </xf>
    <xf numFmtId="0" fontId="97" fillId="24" borderId="53" xfId="46" applyFont="1" applyFill="1" applyBorder="1" applyAlignment="1">
      <alignment horizontal="center" vertical="center"/>
    </xf>
    <xf numFmtId="0" fontId="0" fillId="24" borderId="0" xfId="46" applyFont="1" applyFill="1" applyAlignment="1">
      <alignment horizontal="center" vertical="center"/>
    </xf>
    <xf numFmtId="0" fontId="99" fillId="24" borderId="0" xfId="46" applyFont="1" applyFill="1" applyAlignment="1">
      <alignment horizontal="center" vertical="center"/>
    </xf>
    <xf numFmtId="0" fontId="100" fillId="24" borderId="0" xfId="46" applyFont="1" applyFill="1" applyAlignment="1">
      <alignment horizontal="center"/>
    </xf>
    <xf numFmtId="0" fontId="101" fillId="24" borderId="0" xfId="46" applyFont="1" applyFill="1" applyAlignment="1">
      <alignment horizontal="center" vertical="center"/>
    </xf>
    <xf numFmtId="9" fontId="27" fillId="24" borderId="0" xfId="46" applyNumberFormat="1" applyFont="1" applyFill="1" applyAlignment="1">
      <alignment vertical="center"/>
    </xf>
    <xf numFmtId="0" fontId="95" fillId="24" borderId="0" xfId="46" applyFont="1" applyFill="1" applyAlignment="1">
      <alignment horizontal="center" vertical="center"/>
    </xf>
    <xf numFmtId="0" fontId="0" fillId="29" borderId="0" xfId="0" applyFill="1"/>
    <xf numFmtId="0" fontId="0" fillId="28" borderId="0" xfId="46" applyFont="1" applyFill="1" applyAlignment="1">
      <alignment vertical="center"/>
    </xf>
    <xf numFmtId="9" fontId="0" fillId="24" borderId="0" xfId="46" applyNumberFormat="1" applyFont="1" applyFill="1"/>
    <xf numFmtId="0" fontId="24" fillId="35" borderId="0" xfId="0" applyFont="1" applyFill="1" applyAlignment="1">
      <alignment horizontal="center" vertical="center"/>
    </xf>
    <xf numFmtId="0" fontId="48" fillId="0" borderId="0" xfId="0" quotePrefix="1" applyFont="1" applyAlignment="1">
      <alignment horizontal="center" vertical="center"/>
    </xf>
    <xf numFmtId="1" fontId="48" fillId="0" borderId="0" xfId="54" applyNumberFormat="1" applyFont="1" applyAlignment="1">
      <alignment horizontal="center"/>
    </xf>
    <xf numFmtId="0" fontId="45" fillId="0" borderId="0" xfId="0" applyFont="1" applyAlignment="1">
      <alignment horizontal="center"/>
    </xf>
    <xf numFmtId="0" fontId="0" fillId="0" borderId="42" xfId="0" quotePrefix="1" applyBorder="1" applyAlignment="1">
      <alignment horizontal="center" vertical="center" wrapText="1"/>
    </xf>
    <xf numFmtId="0" fontId="36" fillId="0" borderId="0" xfId="0" quotePrefix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103" fillId="0" borderId="0" xfId="0" applyFont="1" applyAlignment="1">
      <alignment vertical="center"/>
    </xf>
    <xf numFmtId="0" fontId="88" fillId="0" borderId="0" xfId="0" applyFont="1"/>
    <xf numFmtId="0" fontId="88" fillId="0" borderId="0" xfId="0" quotePrefix="1" applyFont="1"/>
    <xf numFmtId="0" fontId="91" fillId="0" borderId="0" xfId="0" applyFont="1"/>
    <xf numFmtId="0" fontId="91" fillId="0" borderId="0" xfId="0" applyFont="1" applyAlignment="1">
      <alignment vertical="center"/>
    </xf>
    <xf numFmtId="0" fontId="23" fillId="26" borderId="0" xfId="0" applyFont="1" applyFill="1" applyAlignment="1">
      <alignment vertical="center"/>
    </xf>
    <xf numFmtId="0" fontId="88" fillId="0" borderId="0" xfId="0" applyFont="1" applyAlignment="1">
      <alignment horizontal="right" vertical="center"/>
    </xf>
    <xf numFmtId="0" fontId="88" fillId="33" borderId="0" xfId="0" applyFont="1" applyFill="1" applyAlignment="1">
      <alignment horizontal="left" vertical="center"/>
    </xf>
    <xf numFmtId="0" fontId="91" fillId="0" borderId="0" xfId="0" quotePrefix="1" applyFont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48" fillId="26" borderId="0" xfId="0" applyFont="1" applyFill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wrapText="1"/>
    </xf>
    <xf numFmtId="0" fontId="48" fillId="0" borderId="0" xfId="0" quotePrefix="1" applyFont="1" applyAlignment="1">
      <alignment horizontal="center" vertical="center" wrapText="1"/>
    </xf>
    <xf numFmtId="0" fontId="48" fillId="0" borderId="0" xfId="0" quotePrefix="1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94" fillId="0" borderId="0" xfId="0" quotePrefix="1" applyFont="1" applyAlignment="1">
      <alignment horizontal="center" vertical="center" wrapText="1"/>
    </xf>
    <xf numFmtId="0" fontId="48" fillId="0" borderId="0" xfId="0" applyFont="1" applyAlignment="1">
      <alignment horizontal="right" vertical="center" wrapText="1"/>
    </xf>
    <xf numFmtId="0" fontId="105" fillId="0" borderId="0" xfId="0" applyFont="1" applyAlignment="1">
      <alignment horizontal="center" vertical="center" wrapText="1"/>
    </xf>
    <xf numFmtId="0" fontId="41" fillId="0" borderId="13" xfId="0" applyFont="1" applyBorder="1" applyAlignment="1">
      <alignment horizontal="center" vertical="center" wrapText="1"/>
    </xf>
    <xf numFmtId="0" fontId="58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0" fontId="24" fillId="0" borderId="12" xfId="0" applyFont="1" applyBorder="1" applyAlignment="1">
      <alignment horizontal="left" vertical="center" wrapText="1"/>
    </xf>
    <xf numFmtId="0" fontId="104" fillId="0" borderId="0" xfId="0" applyFont="1" applyAlignment="1">
      <alignment horizontal="left" vertical="center"/>
    </xf>
    <xf numFmtId="0" fontId="25" fillId="24" borderId="0" xfId="46" quotePrefix="1" applyFont="1" applyFill="1" applyAlignment="1">
      <alignment vertical="center"/>
    </xf>
    <xf numFmtId="0" fontId="4" fillId="24" borderId="0" xfId="46" quotePrefix="1" applyFill="1" applyAlignment="1">
      <alignment vertical="center"/>
    </xf>
    <xf numFmtId="0" fontId="48" fillId="0" borderId="0" xfId="0" quotePrefix="1" applyFont="1" applyAlignment="1">
      <alignment horizontal="left" vertical="center" wrapText="1"/>
    </xf>
    <xf numFmtId="0" fontId="104" fillId="0" borderId="0" xfId="0" applyFont="1" applyAlignment="1">
      <alignment horizontal="right" vertical="center"/>
    </xf>
    <xf numFmtId="0" fontId="0" fillId="36" borderId="44" xfId="0" quotePrefix="1" applyFill="1" applyBorder="1" applyAlignment="1">
      <alignment horizontal="center" vertical="center" textRotation="90"/>
    </xf>
    <xf numFmtId="0" fontId="0" fillId="36" borderId="44" xfId="0" quotePrefix="1" applyFill="1" applyBorder="1" applyAlignment="1">
      <alignment horizontal="center" vertical="center" wrapText="1"/>
    </xf>
    <xf numFmtId="0" fontId="58" fillId="0" borderId="0" xfId="0" applyFont="1"/>
    <xf numFmtId="0" fontId="107" fillId="0" borderId="0" xfId="0" applyFont="1" applyAlignment="1">
      <alignment horizontal="center"/>
    </xf>
    <xf numFmtId="0" fontId="27" fillId="29" borderId="0" xfId="46" applyFont="1" applyFill="1" applyAlignment="1">
      <alignment vertical="center" wrapText="1"/>
    </xf>
    <xf numFmtId="0" fontId="27" fillId="29" borderId="0" xfId="46" applyFont="1" applyFill="1" applyAlignment="1">
      <alignment vertical="center"/>
    </xf>
    <xf numFmtId="0" fontId="95" fillId="29" borderId="0" xfId="46" applyFont="1" applyFill="1" applyAlignment="1">
      <alignment vertical="center"/>
    </xf>
    <xf numFmtId="0" fontId="0" fillId="29" borderId="0" xfId="46" applyFont="1" applyFill="1" applyAlignment="1">
      <alignment vertical="center"/>
    </xf>
    <xf numFmtId="0" fontId="0" fillId="29" borderId="0" xfId="46" applyFont="1" applyFill="1"/>
    <xf numFmtId="9" fontId="0" fillId="29" borderId="0" xfId="46" applyNumberFormat="1" applyFont="1" applyFill="1"/>
    <xf numFmtId="0" fontId="90" fillId="0" borderId="0" xfId="0" quotePrefix="1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106" fillId="0" borderId="0" xfId="0" applyFont="1" applyAlignment="1">
      <alignment vertical="center"/>
    </xf>
    <xf numFmtId="0" fontId="108" fillId="0" borderId="0" xfId="0" applyFont="1"/>
    <xf numFmtId="0" fontId="20" fillId="31" borderId="0" xfId="0" applyFont="1" applyFill="1" applyAlignment="1">
      <alignment horizontal="center" vertical="center" wrapText="1"/>
    </xf>
    <xf numFmtId="0" fontId="109" fillId="0" borderId="0" xfId="0" applyFont="1" applyAlignment="1">
      <alignment horizontal="center" vertical="center"/>
    </xf>
    <xf numFmtId="49" fontId="91" fillId="0" borderId="0" xfId="0" applyNumberFormat="1" applyFont="1" applyAlignment="1">
      <alignment vertical="center"/>
    </xf>
    <xf numFmtId="49" fontId="88" fillId="0" borderId="0" xfId="0" applyNumberFormat="1" applyFont="1" applyAlignment="1">
      <alignment horizontal="center" vertical="center"/>
    </xf>
    <xf numFmtId="49" fontId="88" fillId="0" borderId="0" xfId="0" applyNumberFormat="1" applyFont="1" applyAlignment="1">
      <alignment horizontal="left" vertical="center"/>
    </xf>
    <xf numFmtId="49" fontId="88" fillId="0" borderId="0" xfId="0" applyNumberFormat="1" applyFont="1" applyAlignment="1">
      <alignment vertical="center" wrapText="1"/>
    </xf>
    <xf numFmtId="0" fontId="88" fillId="0" borderId="0" xfId="0" applyFont="1" applyAlignment="1">
      <alignment vertical="center" wrapText="1"/>
    </xf>
    <xf numFmtId="0" fontId="24" fillId="0" borderId="44" xfId="0" applyFont="1" applyBorder="1" applyAlignment="1">
      <alignment horizontal="center" vertical="center" wrapText="1"/>
    </xf>
    <xf numFmtId="0" fontId="48" fillId="39" borderId="0" xfId="0" applyFont="1" applyFill="1" applyAlignment="1">
      <alignment vertical="center" wrapText="1"/>
    </xf>
    <xf numFmtId="0" fontId="48" fillId="40" borderId="0" xfId="0" quotePrefix="1" applyFont="1" applyFill="1" applyAlignment="1">
      <alignment horizontal="left" vertical="center" wrapText="1"/>
    </xf>
    <xf numFmtId="0" fontId="23" fillId="42" borderId="0" xfId="0" applyFont="1" applyFill="1" applyAlignment="1">
      <alignment horizontal="center" vertical="center"/>
    </xf>
    <xf numFmtId="0" fontId="24" fillId="42" borderId="0" xfId="0" applyFont="1" applyFill="1" applyAlignment="1">
      <alignment horizontal="center" vertical="center"/>
    </xf>
    <xf numFmtId="168" fontId="23" fillId="37" borderId="42" xfId="48" applyNumberFormat="1" applyFont="1" applyFill="1" applyBorder="1" applyAlignment="1">
      <alignment horizontal="center" vertical="center" wrapText="1"/>
    </xf>
    <xf numFmtId="168" fontId="23" fillId="37" borderId="44" xfId="48" applyNumberFormat="1" applyFont="1" applyFill="1" applyBorder="1" applyAlignment="1">
      <alignment horizontal="center" vertical="center" wrapText="1"/>
    </xf>
    <xf numFmtId="9" fontId="42" fillId="37" borderId="44" xfId="0" applyNumberFormat="1" applyFont="1" applyFill="1" applyBorder="1" applyAlignment="1">
      <alignment horizontal="center" vertical="center" shrinkToFit="1"/>
    </xf>
    <xf numFmtId="165" fontId="42" fillId="37" borderId="44" xfId="0" applyNumberFormat="1" applyFont="1" applyFill="1" applyBorder="1" applyAlignment="1">
      <alignment horizontal="center" vertical="center" shrinkToFit="1"/>
    </xf>
    <xf numFmtId="9" fontId="42" fillId="37" borderId="42" xfId="0" applyNumberFormat="1" applyFont="1" applyFill="1" applyBorder="1" applyAlignment="1">
      <alignment horizontal="center" vertical="center" shrinkToFit="1"/>
    </xf>
    <xf numFmtId="9" fontId="23" fillId="0" borderId="0" xfId="41" applyFont="1" applyAlignment="1">
      <alignment horizontal="right"/>
    </xf>
    <xf numFmtId="9" fontId="46" fillId="0" borderId="0" xfId="41" applyFont="1" applyAlignment="1">
      <alignment horizontal="right"/>
    </xf>
    <xf numFmtId="0" fontId="44" fillId="0" borderId="0" xfId="0" quotePrefix="1" applyFont="1" applyAlignment="1">
      <alignment vertical="center"/>
    </xf>
    <xf numFmtId="0" fontId="24" fillId="0" borderId="0" xfId="0" quotePrefix="1" applyFont="1" applyAlignment="1">
      <alignment horizontal="right" vertical="center"/>
    </xf>
    <xf numFmtId="0" fontId="45" fillId="0" borderId="0" xfId="0" quotePrefix="1" applyFont="1" applyAlignment="1">
      <alignment vertical="center"/>
    </xf>
    <xf numFmtId="0" fontId="36" fillId="0" borderId="0" xfId="0" quotePrefix="1" applyFont="1" applyAlignment="1">
      <alignment horizontal="center"/>
    </xf>
    <xf numFmtId="0" fontId="91" fillId="0" borderId="0" xfId="0" applyFont="1" applyAlignment="1">
      <alignment vertical="center" wrapText="1"/>
    </xf>
    <xf numFmtId="0" fontId="39" fillId="28" borderId="0" xfId="0" applyFont="1" applyFill="1" applyAlignment="1">
      <alignment horizontal="center" vertical="center"/>
    </xf>
    <xf numFmtId="0" fontId="39" fillId="34" borderId="0" xfId="0" applyFont="1" applyFill="1" applyAlignment="1">
      <alignment horizontal="center" vertical="center"/>
    </xf>
    <xf numFmtId="0" fontId="39" fillId="32" borderId="0" xfId="0" applyFont="1" applyFill="1" applyAlignment="1">
      <alignment horizontal="center" vertical="center"/>
    </xf>
    <xf numFmtId="0" fontId="39" fillId="43" borderId="0" xfId="0" applyFont="1" applyFill="1" applyAlignment="1">
      <alignment horizontal="center" vertical="center"/>
    </xf>
    <xf numFmtId="0" fontId="39" fillId="44" borderId="0" xfId="0" applyFont="1" applyFill="1" applyAlignment="1">
      <alignment horizontal="center" vertical="center"/>
    </xf>
    <xf numFmtId="0" fontId="39" fillId="45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49" fontId="111" fillId="0" borderId="0" xfId="0" applyNumberFormat="1" applyFont="1" applyAlignment="1">
      <alignment horizontal="center" vertical="center"/>
    </xf>
    <xf numFmtId="0" fontId="111" fillId="0" borderId="0" xfId="0" applyFont="1" applyAlignment="1">
      <alignment horizontal="center" vertical="center"/>
    </xf>
    <xf numFmtId="49" fontId="113" fillId="0" borderId="0" xfId="0" applyNumberFormat="1" applyFont="1" applyAlignment="1">
      <alignment vertical="center"/>
    </xf>
    <xf numFmtId="49" fontId="111" fillId="0" borderId="0" xfId="0" applyNumberFormat="1" applyFont="1" applyAlignment="1">
      <alignment horizontal="left" vertical="center"/>
    </xf>
    <xf numFmtId="49" fontId="111" fillId="0" borderId="0" xfId="0" applyNumberFormat="1" applyFont="1" applyAlignment="1">
      <alignment vertical="center" wrapText="1"/>
    </xf>
    <xf numFmtId="0" fontId="114" fillId="0" borderId="0" xfId="0" applyFont="1"/>
    <xf numFmtId="0" fontId="114" fillId="0" borderId="0" xfId="0" applyFont="1" applyAlignment="1">
      <alignment vertical="center"/>
    </xf>
    <xf numFmtId="0" fontId="115" fillId="0" borderId="0" xfId="0" applyFont="1" applyAlignment="1">
      <alignment horizontal="center" vertical="center"/>
    </xf>
    <xf numFmtId="0" fontId="88" fillId="41" borderId="0" xfId="0" applyFont="1" applyFill="1" applyAlignment="1">
      <alignment horizontal="center" vertical="center"/>
    </xf>
    <xf numFmtId="0" fontId="45" fillId="0" borderId="0" xfId="0" applyFont="1" applyAlignment="1">
      <alignment vertical="center"/>
    </xf>
    <xf numFmtId="0" fontId="116" fillId="46" borderId="0" xfId="0" quotePrefix="1" applyFont="1" applyFill="1" applyAlignment="1">
      <alignment horizontal="left" vertical="center"/>
    </xf>
    <xf numFmtId="0" fontId="110" fillId="0" borderId="0" xfId="0" quotePrefix="1" applyFont="1" applyAlignment="1">
      <alignment horizontal="center" vertical="center"/>
    </xf>
    <xf numFmtId="0" fontId="116" fillId="0" borderId="0" xfId="0" quotePrefix="1" applyFont="1" applyAlignment="1">
      <alignment horizontal="left" vertical="center"/>
    </xf>
    <xf numFmtId="0" fontId="110" fillId="0" borderId="0" xfId="0" applyFont="1"/>
    <xf numFmtId="0" fontId="110" fillId="0" borderId="0" xfId="0" quotePrefix="1" applyFont="1"/>
    <xf numFmtId="0" fontId="117" fillId="0" borderId="0" xfId="0" applyFont="1" applyAlignment="1">
      <alignment horizontal="center" vertical="center"/>
    </xf>
    <xf numFmtId="2" fontId="117" fillId="0" borderId="0" xfId="0" applyNumberFormat="1" applyFont="1" applyAlignment="1">
      <alignment horizontal="right" vertical="center"/>
    </xf>
    <xf numFmtId="9" fontId="117" fillId="0" borderId="0" xfId="0" applyNumberFormat="1" applyFont="1" applyAlignment="1">
      <alignment vertical="center"/>
    </xf>
    <xf numFmtId="0" fontId="117" fillId="0" borderId="0" xfId="0" applyFont="1" applyAlignment="1">
      <alignment vertical="center"/>
    </xf>
    <xf numFmtId="0" fontId="110" fillId="0" borderId="44" xfId="0" applyFont="1" applyBorder="1" applyAlignment="1">
      <alignment horizontal="center" vertical="center" wrapText="1"/>
    </xf>
    <xf numFmtId="0" fontId="118" fillId="0" borderId="0" xfId="0" applyFont="1" applyAlignment="1">
      <alignment horizontal="center" vertical="center" wrapText="1"/>
    </xf>
    <xf numFmtId="2" fontId="23" fillId="0" borderId="0" xfId="0" applyNumberFormat="1" applyFont="1" applyAlignment="1">
      <alignment horizontal="right" vertical="center"/>
    </xf>
    <xf numFmtId="0" fontId="120" fillId="0" borderId="0" xfId="0" applyFont="1" applyAlignment="1">
      <alignment horizontal="left" vertical="center"/>
    </xf>
    <xf numFmtId="0" fontId="120" fillId="0" borderId="0" xfId="0" applyFont="1" applyAlignment="1">
      <alignment horizontal="center" vertical="center"/>
    </xf>
    <xf numFmtId="0" fontId="23" fillId="0" borderId="44" xfId="0" applyFont="1" applyBorder="1" applyAlignment="1">
      <alignment horizontal="center" vertical="center" wrapText="1"/>
    </xf>
    <xf numFmtId="0" fontId="121" fillId="0" borderId="44" xfId="0" quotePrefix="1" applyFont="1" applyBorder="1" applyAlignment="1">
      <alignment horizontal="center" vertical="center" textRotation="90" wrapText="1"/>
    </xf>
    <xf numFmtId="0" fontId="121" fillId="0" borderId="44" xfId="0" quotePrefix="1" applyFont="1" applyBorder="1" applyAlignment="1">
      <alignment horizontal="center" vertical="center" wrapText="1"/>
    </xf>
    <xf numFmtId="0" fontId="121" fillId="42" borderId="44" xfId="0" quotePrefix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" fontId="23" fillId="0" borderId="0" xfId="0" applyNumberFormat="1" applyFont="1" applyAlignment="1">
      <alignment vertical="center"/>
    </xf>
    <xf numFmtId="9" fontId="23" fillId="0" borderId="0" xfId="0" applyNumberFormat="1" applyFont="1" applyAlignment="1">
      <alignment vertical="center"/>
    </xf>
    <xf numFmtId="0" fontId="50" fillId="0" borderId="0" xfId="0" quotePrefix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2" fontId="23" fillId="28" borderId="0" xfId="0" applyNumberFormat="1" applyFont="1" applyFill="1" applyAlignment="1">
      <alignment horizontal="right" vertical="center"/>
    </xf>
    <xf numFmtId="0" fontId="24" fillId="0" borderId="0" xfId="0" applyFont="1" applyAlignment="1">
      <alignment vertical="center" textRotation="90"/>
    </xf>
    <xf numFmtId="20" fontId="50" fillId="0" borderId="0" xfId="0" applyNumberFormat="1" applyFont="1" applyAlignment="1">
      <alignment horizontal="center" vertical="center"/>
    </xf>
    <xf numFmtId="20" fontId="122" fillId="0" borderId="0" xfId="0" applyNumberFormat="1" applyFont="1" applyAlignment="1">
      <alignment horizontal="center" vertical="center"/>
    </xf>
    <xf numFmtId="2" fontId="91" fillId="0" borderId="0" xfId="0" applyNumberFormat="1" applyFont="1" applyAlignment="1">
      <alignment horizontal="right" vertical="center"/>
    </xf>
    <xf numFmtId="9" fontId="91" fillId="0" borderId="0" xfId="0" applyNumberFormat="1" applyFont="1" applyAlignment="1">
      <alignment vertical="center"/>
    </xf>
    <xf numFmtId="0" fontId="23" fillId="0" borderId="0" xfId="0" applyFont="1" applyAlignment="1">
      <alignment horizontal="left"/>
    </xf>
    <xf numFmtId="164" fontId="48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right"/>
    </xf>
    <xf numFmtId="0" fontId="48" fillId="0" borderId="0" xfId="0" applyFont="1" applyAlignment="1">
      <alignment horizontal="left"/>
    </xf>
    <xf numFmtId="2" fontId="23" fillId="0" borderId="10" xfId="0" applyNumberFormat="1" applyFont="1" applyBorder="1"/>
    <xf numFmtId="164" fontId="23" fillId="0" borderId="10" xfId="0" applyNumberFormat="1" applyFont="1" applyBorder="1"/>
    <xf numFmtId="9" fontId="80" fillId="0" borderId="0" xfId="41" applyFont="1" applyFill="1" applyAlignment="1">
      <alignment horizontal="right"/>
    </xf>
    <xf numFmtId="0" fontId="0" fillId="38" borderId="44" xfId="0" quotePrefix="1" applyFill="1" applyBorder="1" applyAlignment="1">
      <alignment horizontal="center" vertical="center" wrapText="1"/>
    </xf>
    <xf numFmtId="0" fontId="20" fillId="0" borderId="0" xfId="0" quotePrefix="1" applyFont="1" applyAlignment="1">
      <alignment horizontal="center" vertical="center" wrapText="1"/>
    </xf>
    <xf numFmtId="0" fontId="112" fillId="0" borderId="0" xfId="0" applyFont="1" applyAlignment="1">
      <alignment horizontal="center" vertical="center" textRotation="90"/>
    </xf>
    <xf numFmtId="0" fontId="123" fillId="0" borderId="0" xfId="0" applyFont="1" applyAlignment="1">
      <alignment horizontal="center" vertical="center"/>
    </xf>
    <xf numFmtId="0" fontId="121" fillId="37" borderId="44" xfId="0" quotePrefix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/>
    </xf>
    <xf numFmtId="0" fontId="24" fillId="37" borderId="0" xfId="0" applyFont="1" applyFill="1" applyAlignment="1">
      <alignment horizontal="center" vertical="center"/>
    </xf>
    <xf numFmtId="0" fontId="124" fillId="40" borderId="0" xfId="0" quotePrefix="1" applyFont="1" applyFill="1" applyAlignment="1">
      <alignment horizontal="left" vertical="center" wrapText="1"/>
    </xf>
    <xf numFmtId="0" fontId="114" fillId="26" borderId="0" xfId="0" applyFont="1" applyFill="1" applyAlignment="1">
      <alignment vertical="center"/>
    </xf>
    <xf numFmtId="0" fontId="36" fillId="0" borderId="0" xfId="0" applyFont="1" applyAlignment="1">
      <alignment horizontal="left" vertical="center"/>
    </xf>
    <xf numFmtId="0" fontId="110" fillId="0" borderId="0" xfId="0" applyFont="1" applyAlignment="1">
      <alignment horizontal="right" vertical="center"/>
    </xf>
    <xf numFmtId="0" fontId="85" fillId="0" borderId="0" xfId="0" applyFont="1" applyAlignment="1">
      <alignment vertical="center" wrapText="1"/>
    </xf>
    <xf numFmtId="15" fontId="45" fillId="0" borderId="0" xfId="0" applyNumberFormat="1" applyFont="1" applyAlignment="1">
      <alignment vertical="center"/>
    </xf>
    <xf numFmtId="0" fontId="114" fillId="28" borderId="0" xfId="0" applyFont="1" applyFill="1" applyAlignment="1">
      <alignment vertical="center"/>
    </xf>
    <xf numFmtId="0" fontId="114" fillId="37" borderId="0" xfId="0" applyFont="1" applyFill="1" applyAlignment="1">
      <alignment horizontal="center" vertical="center"/>
    </xf>
    <xf numFmtId="0" fontId="110" fillId="42" borderId="0" xfId="0" applyFont="1" applyFill="1" applyAlignment="1">
      <alignment horizontal="center" vertical="center"/>
    </xf>
    <xf numFmtId="0" fontId="24" fillId="47" borderId="0" xfId="0" applyFont="1" applyFill="1" applyAlignment="1">
      <alignment horizontal="center" vertical="center"/>
    </xf>
    <xf numFmtId="0" fontId="24" fillId="42" borderId="0" xfId="0" applyFont="1" applyFill="1" applyAlignment="1">
      <alignment horizontal="center"/>
    </xf>
    <xf numFmtId="0" fontId="110" fillId="47" borderId="0" xfId="0" applyFont="1" applyFill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vertical="center" wrapText="1"/>
    </xf>
    <xf numFmtId="0" fontId="110" fillId="0" borderId="0" xfId="0" applyFont="1" applyAlignment="1">
      <alignment vertical="center" textRotation="90"/>
    </xf>
    <xf numFmtId="0" fontId="114" fillId="0" borderId="0" xfId="0" applyFont="1" applyAlignment="1">
      <alignment horizontal="center" vertical="center"/>
    </xf>
    <xf numFmtId="0" fontId="114" fillId="0" borderId="0" xfId="0" quotePrefix="1" applyFont="1" applyAlignment="1">
      <alignment horizontal="center" vertical="center"/>
    </xf>
    <xf numFmtId="0" fontId="125" fillId="0" borderId="0" xfId="0" quotePrefix="1" applyFont="1" applyAlignment="1">
      <alignment horizontal="center" vertical="center"/>
    </xf>
    <xf numFmtId="0" fontId="124" fillId="0" borderId="0" xfId="0" applyFont="1" applyAlignment="1">
      <alignment horizontal="center" vertical="center"/>
    </xf>
    <xf numFmtId="2" fontId="114" fillId="0" borderId="0" xfId="0" applyNumberFormat="1" applyFont="1" applyAlignment="1">
      <alignment horizontal="right" vertical="center"/>
    </xf>
    <xf numFmtId="9" fontId="114" fillId="0" borderId="0" xfId="0" applyNumberFormat="1" applyFont="1" applyAlignment="1">
      <alignment vertical="center"/>
    </xf>
    <xf numFmtId="0" fontId="112" fillId="0" borderId="0" xfId="0" applyFont="1" applyAlignment="1">
      <alignment horizontal="center" vertical="center"/>
    </xf>
    <xf numFmtId="0" fontId="0" fillId="47" borderId="44" xfId="0" quotePrefix="1" applyFill="1" applyBorder="1" applyAlignment="1">
      <alignment horizontal="center" vertical="center" wrapText="1"/>
    </xf>
    <xf numFmtId="0" fontId="110" fillId="47" borderId="0" xfId="0" quotePrefix="1" applyFont="1" applyFill="1" applyAlignment="1">
      <alignment horizontal="center" vertical="center"/>
    </xf>
    <xf numFmtId="0" fontId="121" fillId="47" borderId="44" xfId="0" quotePrefix="1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0" fillId="48" borderId="44" xfId="0" quotePrefix="1" applyFill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0" fillId="45" borderId="44" xfId="0" quotePrefix="1" applyFill="1" applyBorder="1" applyAlignment="1">
      <alignment horizontal="center" vertical="center" wrapText="1"/>
    </xf>
    <xf numFmtId="0" fontId="24" fillId="45" borderId="0" xfId="0" applyFont="1" applyFill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126" fillId="0" borderId="0" xfId="0" applyFont="1" applyAlignment="1">
      <alignment vertical="center"/>
    </xf>
    <xf numFmtId="0" fontId="127" fillId="0" borderId="0" xfId="0" applyFont="1" applyAlignment="1">
      <alignment vertical="center"/>
    </xf>
    <xf numFmtId="0" fontId="110" fillId="26" borderId="0" xfId="0" applyFont="1" applyFill="1" applyAlignment="1">
      <alignment horizontal="center" vertical="center" wrapText="1"/>
    </xf>
    <xf numFmtId="0" fontId="110" fillId="0" borderId="10" xfId="0" applyFont="1" applyBorder="1" applyAlignment="1">
      <alignment horizontal="center" vertical="center"/>
    </xf>
    <xf numFmtId="0" fontId="110" fillId="0" borderId="0" xfId="0" applyFont="1" applyAlignment="1">
      <alignment horizontal="center" vertical="center" wrapText="1"/>
    </xf>
    <xf numFmtId="0" fontId="112" fillId="0" borderId="0" xfId="0" applyFont="1" applyAlignment="1">
      <alignment horizontal="center"/>
    </xf>
    <xf numFmtId="0" fontId="110" fillId="0" borderId="0" xfId="0" applyFont="1" applyAlignment="1">
      <alignment horizontal="center"/>
    </xf>
    <xf numFmtId="0" fontId="24" fillId="45" borderId="0" xfId="0" applyFont="1" applyFill="1" applyAlignment="1">
      <alignment horizontal="center"/>
    </xf>
    <xf numFmtId="0" fontId="110" fillId="45" borderId="0" xfId="0" quotePrefix="1" applyFont="1" applyFill="1" applyAlignment="1">
      <alignment horizontal="center" vertical="center"/>
    </xf>
    <xf numFmtId="0" fontId="24" fillId="45" borderId="0" xfId="0" quotePrefix="1" applyFont="1" applyFill="1" applyAlignment="1">
      <alignment horizontal="center" vertical="center"/>
    </xf>
    <xf numFmtId="0" fontId="85" fillId="45" borderId="0" xfId="0" applyFont="1" applyFill="1" applyAlignment="1">
      <alignment horizontal="center"/>
    </xf>
    <xf numFmtId="0" fontId="128" fillId="0" borderId="0" xfId="0" applyFont="1" applyAlignment="1">
      <alignment horizontal="center" vertical="center"/>
    </xf>
    <xf numFmtId="0" fontId="24" fillId="45" borderId="0" xfId="0" applyFont="1" applyFill="1" applyAlignment="1">
      <alignment vertical="center"/>
    </xf>
    <xf numFmtId="0" fontId="23" fillId="45" borderId="0" xfId="0" applyFont="1" applyFill="1" applyAlignment="1">
      <alignment vertical="center"/>
    </xf>
    <xf numFmtId="0" fontId="24" fillId="49" borderId="0" xfId="0" applyFont="1" applyFill="1" applyAlignment="1">
      <alignment horizontal="center" vertical="center"/>
    </xf>
    <xf numFmtId="0" fontId="88" fillId="49" borderId="0" xfId="0" applyFont="1" applyFill="1" applyAlignment="1">
      <alignment vertical="center"/>
    </xf>
    <xf numFmtId="0" fontId="88" fillId="49" borderId="0" xfId="0" applyFont="1" applyFill="1" applyAlignment="1">
      <alignment horizontal="center" vertical="center"/>
    </xf>
    <xf numFmtId="0" fontId="88" fillId="49" borderId="0" xfId="0" applyFont="1" applyFill="1" applyAlignment="1">
      <alignment horizontal="left" vertical="center"/>
    </xf>
    <xf numFmtId="0" fontId="91" fillId="49" borderId="0" xfId="0" applyFont="1" applyFill="1" applyAlignment="1">
      <alignment vertical="center"/>
    </xf>
    <xf numFmtId="0" fontId="88" fillId="49" borderId="0" xfId="0" quotePrefix="1" applyFont="1" applyFill="1" applyAlignment="1">
      <alignment horizontal="center" vertical="center"/>
    </xf>
    <xf numFmtId="0" fontId="110" fillId="49" borderId="0" xfId="0" applyFont="1" applyFill="1" applyAlignment="1">
      <alignment horizontal="center" vertical="center"/>
    </xf>
    <xf numFmtId="0" fontId="111" fillId="49" borderId="0" xfId="0" applyFont="1" applyFill="1" applyAlignment="1">
      <alignment vertical="center"/>
    </xf>
    <xf numFmtId="0" fontId="23" fillId="50" borderId="0" xfId="0" applyFont="1" applyFill="1" applyAlignment="1">
      <alignment horizontal="center" vertical="center"/>
    </xf>
    <xf numFmtId="0" fontId="114" fillId="50" borderId="0" xfId="0" applyFont="1" applyFill="1" applyAlignment="1">
      <alignment horizontal="center" vertical="center"/>
    </xf>
    <xf numFmtId="0" fontId="24" fillId="50" borderId="0" xfId="0" applyFont="1" applyFill="1" applyAlignment="1">
      <alignment horizontal="center" vertical="center"/>
    </xf>
    <xf numFmtId="0" fontId="104" fillId="0" borderId="0" xfId="0" applyFont="1" applyAlignment="1">
      <alignment horizontal="center"/>
    </xf>
    <xf numFmtId="0" fontId="129" fillId="31" borderId="0" xfId="0" quotePrefix="1" applyFont="1" applyFill="1" applyAlignment="1">
      <alignment horizontal="center" vertical="center" wrapText="1"/>
    </xf>
    <xf numFmtId="0" fontId="88" fillId="0" borderId="0" xfId="0" applyFont="1" applyAlignment="1">
      <alignment horizontal="center"/>
    </xf>
    <xf numFmtId="0" fontId="36" fillId="28" borderId="0" xfId="0" applyFont="1" applyFill="1" applyAlignment="1">
      <alignment horizontal="center" vertical="center"/>
    </xf>
    <xf numFmtId="0" fontId="24" fillId="0" borderId="48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164" fontId="23" fillId="0" borderId="46" xfId="0" applyNumberFormat="1" applyFont="1" applyBorder="1" applyAlignment="1">
      <alignment horizontal="center" vertical="center" wrapText="1"/>
    </xf>
    <xf numFmtId="164" fontId="23" fillId="0" borderId="35" xfId="0" applyNumberFormat="1" applyFont="1" applyBorder="1" applyAlignment="1">
      <alignment horizontal="center" vertical="center" wrapText="1"/>
    </xf>
    <xf numFmtId="164" fontId="23" fillId="0" borderId="11" xfId="0" applyNumberFormat="1" applyFont="1" applyBorder="1" applyAlignment="1">
      <alignment horizontal="center" vertical="center" wrapText="1"/>
    </xf>
    <xf numFmtId="0" fontId="41" fillId="0" borderId="44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/>
    </xf>
    <xf numFmtId="0" fontId="41" fillId="0" borderId="47" xfId="0" applyFont="1" applyBorder="1" applyAlignment="1">
      <alignment horizontal="center" vertical="center" wrapText="1"/>
    </xf>
    <xf numFmtId="0" fontId="41" fillId="0" borderId="28" xfId="0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 wrapText="1"/>
    </xf>
    <xf numFmtId="0" fontId="41" fillId="0" borderId="48" xfId="0" applyFont="1" applyBorder="1" applyAlignment="1">
      <alignment horizontal="center" vertical="center" wrapText="1"/>
    </xf>
    <xf numFmtId="0" fontId="41" fillId="0" borderId="14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168" fontId="23" fillId="0" borderId="44" xfId="48" applyNumberFormat="1" applyFont="1" applyFill="1" applyBorder="1" applyAlignment="1">
      <alignment horizontal="center" vertical="center" wrapText="1"/>
    </xf>
    <xf numFmtId="168" fontId="23" fillId="0" borderId="42" xfId="48" applyNumberFormat="1" applyFont="1" applyFill="1" applyBorder="1" applyAlignment="1">
      <alignment horizontal="center" vertical="center" wrapText="1"/>
    </xf>
    <xf numFmtId="0" fontId="41" fillId="0" borderId="43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69" fillId="0" borderId="43" xfId="0" applyFont="1" applyBorder="1" applyAlignment="1">
      <alignment horizontal="center" vertical="center" wrapText="1"/>
    </xf>
    <xf numFmtId="0" fontId="69" fillId="0" borderId="41" xfId="0" applyFont="1" applyBorder="1" applyAlignment="1">
      <alignment horizontal="center" vertical="center" wrapText="1"/>
    </xf>
    <xf numFmtId="0" fontId="69" fillId="0" borderId="42" xfId="0" applyFont="1" applyBorder="1" applyAlignment="1">
      <alignment horizontal="center" vertical="center" wrapText="1"/>
    </xf>
    <xf numFmtId="0" fontId="112" fillId="46" borderId="0" xfId="0" applyFont="1" applyFill="1" applyAlignment="1">
      <alignment horizontal="center" vertical="center" textRotation="90"/>
    </xf>
    <xf numFmtId="0" fontId="24" fillId="0" borderId="14" xfId="0" applyFont="1" applyBorder="1" applyAlignment="1">
      <alignment horizontal="center" vertical="center" wrapText="1"/>
    </xf>
    <xf numFmtId="0" fontId="84" fillId="24" borderId="16" xfId="46" applyFont="1" applyFill="1" applyBorder="1" applyAlignment="1">
      <alignment horizontal="center" vertical="center" wrapText="1"/>
    </xf>
    <xf numFmtId="0" fontId="63" fillId="24" borderId="17" xfId="46" applyFont="1" applyFill="1" applyBorder="1" applyAlignment="1">
      <alignment horizontal="center" vertical="center" wrapText="1"/>
    </xf>
    <xf numFmtId="0" fontId="63" fillId="24" borderId="18" xfId="46" applyFont="1" applyFill="1" applyBorder="1" applyAlignment="1">
      <alignment horizontal="center" vertical="center" wrapText="1"/>
    </xf>
    <xf numFmtId="0" fontId="49" fillId="24" borderId="0" xfId="46" applyFont="1" applyFill="1" applyAlignment="1">
      <alignment horizontal="center" vertical="center"/>
    </xf>
    <xf numFmtId="0" fontId="59" fillId="27" borderId="0" xfId="46" applyFont="1" applyFill="1" applyAlignment="1" applyProtection="1">
      <alignment horizontal="center" vertical="center" wrapText="1"/>
      <protection locked="0"/>
    </xf>
    <xf numFmtId="0" fontId="28" fillId="27" borderId="0" xfId="46" applyFont="1" applyFill="1" applyAlignment="1">
      <alignment horizontal="center"/>
    </xf>
    <xf numFmtId="0" fontId="28" fillId="24" borderId="0" xfId="46" applyFont="1" applyFill="1" applyAlignment="1">
      <alignment horizontal="center"/>
    </xf>
    <xf numFmtId="0" fontId="51" fillId="25" borderId="37" xfId="46" applyFont="1" applyFill="1" applyBorder="1" applyAlignment="1">
      <alignment horizontal="center" vertical="center" wrapText="1"/>
    </xf>
    <xf numFmtId="0" fontId="51" fillId="25" borderId="39" xfId="46" applyFont="1" applyFill="1" applyBorder="1" applyAlignment="1">
      <alignment horizontal="center" vertical="center" wrapText="1"/>
    </xf>
    <xf numFmtId="0" fontId="50" fillId="24" borderId="37" xfId="46" applyFont="1" applyFill="1" applyBorder="1" applyAlignment="1" applyProtection="1">
      <alignment horizontal="center" vertical="center" wrapText="1"/>
      <protection locked="0"/>
    </xf>
    <xf numFmtId="0" fontId="50" fillId="24" borderId="39" xfId="46" applyFont="1" applyFill="1" applyBorder="1" applyAlignment="1" applyProtection="1">
      <alignment horizontal="center" vertical="center" wrapText="1"/>
      <protection locked="0"/>
    </xf>
    <xf numFmtId="0" fontId="55" fillId="24" borderId="22" xfId="46" applyFont="1" applyFill="1" applyBorder="1" applyAlignment="1">
      <alignment horizontal="center" vertical="center"/>
    </xf>
    <xf numFmtId="0" fontId="55" fillId="24" borderId="23" xfId="46" applyFont="1" applyFill="1" applyBorder="1" applyAlignment="1">
      <alignment horizontal="center" vertical="center"/>
    </xf>
    <xf numFmtId="0" fontId="56" fillId="24" borderId="25" xfId="46" applyFont="1" applyFill="1" applyBorder="1" applyAlignment="1">
      <alignment horizontal="center" vertical="center" wrapText="1"/>
    </xf>
    <xf numFmtId="0" fontId="56" fillId="24" borderId="24" xfId="46" applyFont="1" applyFill="1" applyBorder="1" applyAlignment="1">
      <alignment horizontal="center" vertical="center" wrapText="1"/>
    </xf>
    <xf numFmtId="0" fontId="56" fillId="24" borderId="27" xfId="46" applyFont="1" applyFill="1" applyBorder="1" applyAlignment="1">
      <alignment horizontal="center" vertical="center" wrapText="1"/>
    </xf>
    <xf numFmtId="0" fontId="52" fillId="25" borderId="40" xfId="46" applyFont="1" applyFill="1" applyBorder="1" applyAlignment="1">
      <alignment horizontal="center" vertical="center"/>
    </xf>
    <xf numFmtId="0" fontId="48" fillId="25" borderId="43" xfId="46" applyFont="1" applyFill="1" applyBorder="1" applyAlignment="1">
      <alignment horizontal="center" vertical="center" wrapText="1"/>
    </xf>
    <xf numFmtId="0" fontId="48" fillId="25" borderId="42" xfId="46" applyFont="1" applyFill="1" applyBorder="1" applyAlignment="1">
      <alignment horizontal="center" vertical="center" wrapText="1"/>
    </xf>
    <xf numFmtId="0" fontId="48" fillId="25" borderId="45" xfId="46" applyFont="1" applyFill="1" applyBorder="1" applyAlignment="1">
      <alignment horizontal="center" vertical="center" wrapText="1"/>
    </xf>
    <xf numFmtId="0" fontId="50" fillId="24" borderId="11" xfId="46" applyFont="1" applyFill="1" applyBorder="1" applyAlignment="1" applyProtection="1">
      <alignment horizontal="center" vertical="center" wrapText="1"/>
      <protection locked="0"/>
    </xf>
    <xf numFmtId="0" fontId="50" fillId="24" borderId="13" xfId="46" applyFont="1" applyFill="1" applyBorder="1" applyAlignment="1" applyProtection="1">
      <alignment horizontal="center" vertical="center" wrapText="1"/>
      <protection locked="0"/>
    </xf>
    <xf numFmtId="0" fontId="50" fillId="24" borderId="15" xfId="46" applyFont="1" applyFill="1" applyBorder="1" applyAlignment="1" applyProtection="1">
      <alignment horizontal="center" vertical="center" wrapText="1"/>
      <protection locked="0"/>
    </xf>
    <xf numFmtId="0" fontId="50" fillId="24" borderId="21" xfId="46" applyFont="1" applyFill="1" applyBorder="1" applyAlignment="1" applyProtection="1">
      <alignment horizontal="center" vertical="center" wrapText="1"/>
      <protection locked="0"/>
    </xf>
    <xf numFmtId="0" fontId="100" fillId="24" borderId="0" xfId="46" applyFont="1" applyFill="1" applyAlignment="1">
      <alignment horizontal="center"/>
    </xf>
    <xf numFmtId="0" fontId="102" fillId="26" borderId="0" xfId="46" applyFont="1" applyFill="1" applyAlignment="1" applyProtection="1">
      <alignment horizontal="center" vertical="center" wrapText="1"/>
      <protection locked="0"/>
    </xf>
    <xf numFmtId="0" fontId="96" fillId="24" borderId="50" xfId="46" applyFont="1" applyFill="1" applyBorder="1" applyAlignment="1">
      <alignment horizontal="center" vertical="center" wrapText="1"/>
    </xf>
    <xf numFmtId="0" fontId="96" fillId="24" borderId="51" xfId="46" applyFont="1" applyFill="1" applyBorder="1" applyAlignment="1">
      <alignment horizontal="center" vertical="center" wrapText="1"/>
    </xf>
    <xf numFmtId="0" fontId="96" fillId="24" borderId="52" xfId="46" applyFont="1" applyFill="1" applyBorder="1" applyAlignment="1">
      <alignment horizontal="center" vertical="center" wrapText="1"/>
    </xf>
    <xf numFmtId="0" fontId="97" fillId="24" borderId="53" xfId="46" applyFont="1" applyFill="1" applyBorder="1" applyAlignment="1">
      <alignment horizontal="center" vertical="center"/>
    </xf>
    <xf numFmtId="0" fontId="98" fillId="24" borderId="0" xfId="46" applyFont="1" applyFill="1" applyAlignment="1">
      <alignment horizontal="center" vertical="center"/>
    </xf>
    <xf numFmtId="0" fontId="23" fillId="0" borderId="48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9" fontId="80" fillId="0" borderId="48" xfId="0" applyNumberFormat="1" applyFont="1" applyBorder="1" applyAlignment="1">
      <alignment horizontal="center" vertical="center" shrinkToFit="1"/>
    </xf>
    <xf numFmtId="9" fontId="80" fillId="0" borderId="14" xfId="0" applyNumberFormat="1" applyFont="1" applyBorder="1" applyAlignment="1">
      <alignment horizontal="center" vertical="center" shrinkToFit="1"/>
    </xf>
    <xf numFmtId="165" fontId="80" fillId="0" borderId="48" xfId="0" applyNumberFormat="1" applyFont="1" applyBorder="1" applyAlignment="1">
      <alignment horizontal="center" vertical="center" shrinkToFit="1"/>
    </xf>
    <xf numFmtId="165" fontId="80" fillId="0" borderId="14" xfId="0" applyNumberFormat="1" applyFont="1" applyBorder="1" applyAlignment="1">
      <alignment horizontal="center" vertical="center" shrinkToFit="1"/>
    </xf>
    <xf numFmtId="0" fontId="23" fillId="0" borderId="44" xfId="0" applyFont="1" applyBorder="1" applyAlignment="1">
      <alignment horizontal="center" vertical="center"/>
    </xf>
    <xf numFmtId="168" fontId="23" fillId="0" borderId="42" xfId="48" quotePrefix="1" applyNumberFormat="1" applyFont="1" applyFill="1" applyBorder="1" applyAlignment="1">
      <alignment horizontal="center" vertical="center" wrapText="1"/>
    </xf>
    <xf numFmtId="0" fontId="23" fillId="46" borderId="0" xfId="0" applyFont="1" applyFill="1" applyAlignment="1">
      <alignment horizontal="center" vertical="center" textRotation="90"/>
    </xf>
    <xf numFmtId="0" fontId="118" fillId="0" borderId="43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23" fillId="0" borderId="48" xfId="0" applyNumberFormat="1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/>
    </xf>
    <xf numFmtId="0" fontId="41" fillId="37" borderId="44" xfId="0" applyFont="1" applyFill="1" applyBorder="1" applyAlignment="1">
      <alignment horizontal="center" vertical="center"/>
    </xf>
    <xf numFmtId="168" fontId="23" fillId="37" borderId="42" xfId="48" applyNumberFormat="1" applyFont="1" applyFill="1" applyBorder="1" applyAlignment="1">
      <alignment horizontal="center" vertical="center" wrapText="1"/>
    </xf>
    <xf numFmtId="168" fontId="23" fillId="37" borderId="44" xfId="48" applyNumberFormat="1" applyFont="1" applyFill="1" applyBorder="1" applyAlignment="1">
      <alignment horizontal="center" vertical="center" wrapText="1"/>
    </xf>
    <xf numFmtId="0" fontId="41" fillId="37" borderId="41" xfId="0" applyFont="1" applyFill="1" applyBorder="1" applyAlignment="1">
      <alignment horizontal="center" vertical="center"/>
    </xf>
    <xf numFmtId="0" fontId="35" fillId="0" borderId="43" xfId="0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64" fillId="26" borderId="43" xfId="54" applyFont="1" applyFill="1" applyBorder="1" applyAlignment="1">
      <alignment horizontal="center" vertical="center"/>
    </xf>
    <xf numFmtId="0" fontId="64" fillId="26" borderId="42" xfId="54" applyFont="1" applyFill="1" applyBorder="1" applyAlignment="1">
      <alignment horizontal="center" vertical="center"/>
    </xf>
    <xf numFmtId="0" fontId="53" fillId="0" borderId="43" xfId="54" applyFont="1" applyBorder="1" applyAlignment="1">
      <alignment horizontal="center"/>
    </xf>
    <xf numFmtId="0" fontId="53" fillId="0" borderId="42" xfId="54" applyFont="1" applyBorder="1" applyAlignment="1">
      <alignment horizontal="center"/>
    </xf>
    <xf numFmtId="0" fontId="64" fillId="26" borderId="41" xfId="54" applyFont="1" applyFill="1" applyBorder="1" applyAlignment="1">
      <alignment horizontal="center" vertical="center"/>
    </xf>
    <xf numFmtId="0" fontId="64" fillId="0" borderId="30" xfId="54" applyFont="1" applyBorder="1" applyAlignment="1">
      <alignment horizontal="left" vertical="center" wrapText="1"/>
    </xf>
    <xf numFmtId="0" fontId="64" fillId="0" borderId="0" xfId="54" applyFont="1" applyAlignment="1">
      <alignment horizontal="left" vertical="center" wrapText="1"/>
    </xf>
    <xf numFmtId="0" fontId="64" fillId="0" borderId="0" xfId="54" applyFont="1" applyAlignment="1">
      <alignment horizontal="center"/>
    </xf>
    <xf numFmtId="0" fontId="53" fillId="0" borderId="0" xfId="54" applyFont="1" applyAlignment="1">
      <alignment horizontal="center"/>
    </xf>
    <xf numFmtId="0" fontId="67" fillId="24" borderId="43" xfId="46" applyFont="1" applyFill="1" applyBorder="1" applyAlignment="1">
      <alignment horizontal="center" vertical="center" wrapText="1"/>
    </xf>
    <xf numFmtId="0" fontId="49" fillId="24" borderId="41" xfId="46" applyFont="1" applyFill="1" applyBorder="1" applyAlignment="1">
      <alignment horizontal="center" vertical="center" wrapText="1"/>
    </xf>
    <xf numFmtId="0" fontId="49" fillId="24" borderId="42" xfId="46" applyFont="1" applyFill="1" applyBorder="1" applyAlignment="1">
      <alignment horizontal="center" vertical="center" wrapText="1"/>
    </xf>
    <xf numFmtId="0" fontId="53" fillId="0" borderId="41" xfId="47" applyFont="1" applyBorder="1" applyAlignment="1"/>
  </cellXfs>
  <cellStyles count="5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uro" xfId="50" xr:uid="{00000000-0005-0000-0000-00001B000000}"/>
    <cellStyle name="Euro 2" xfId="51" xr:uid="{00000000-0005-0000-0000-00001C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7000000}"/>
    <cellStyle name="Normal 2 2" xfId="46" xr:uid="{00000000-0005-0000-0000-000028000000}"/>
    <cellStyle name="Normal 2 2 2" xfId="49" xr:uid="{00000000-0005-0000-0000-000029000000}"/>
    <cellStyle name="Normal 3" xfId="38" xr:uid="{00000000-0005-0000-0000-00002A000000}"/>
    <cellStyle name="Normal 4" xfId="47" xr:uid="{00000000-0005-0000-0000-00002B000000}"/>
    <cellStyle name="Normal 5" xfId="52" xr:uid="{00000000-0005-0000-0000-00002C000000}"/>
    <cellStyle name="Normal 6" xfId="53" xr:uid="{4E727BBF-A23F-4A33-9AC9-9DBC4A083CAF}"/>
    <cellStyle name="Normal 6 2" xfId="54" xr:uid="{E3230549-B2B2-4AA4-8B97-1AD2C54F44C9}"/>
    <cellStyle name="Normal 7" xfId="55" xr:uid="{B06CDC5C-C578-47F7-880B-3577C3BC76FE}"/>
    <cellStyle name="Note" xfId="39" builtinId="10" customBuiltin="1"/>
    <cellStyle name="Output" xfId="40" builtinId="21" customBuiltin="1"/>
    <cellStyle name="Percent" xfId="41" builtinId="5"/>
    <cellStyle name="Percent 2" xfId="42" xr:uid="{00000000-0005-0000-0000-000030000000}"/>
    <cellStyle name="Percent 2 2" xfId="48" xr:uid="{00000000-0005-0000-0000-000031000000}"/>
    <cellStyle name="Title" xfId="43" builtinId="15" customBuiltin="1"/>
    <cellStyle name="Total" xfId="44" builtinId="25" customBuiltin="1"/>
    <cellStyle name="Warning Text" xfId="45" builtinId="11" customBuiltin="1"/>
  </cellStyles>
  <dxfs count="4">
    <dxf>
      <font>
        <color theme="1"/>
      </font>
      <fill>
        <patternFill patternType="solid">
          <bgColor theme="6" tint="0.59999389629810485"/>
        </patternFill>
      </fill>
    </dxf>
    <dxf>
      <font>
        <color theme="1"/>
      </font>
      <fill>
        <patternFill patternType="solid">
          <bgColor theme="6" tint="0.59999389629810485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ill>
        <patternFill patternType="solid">
          <bgColor theme="9" tint="0.59996337778862885"/>
        </patternFill>
      </fill>
    </dxf>
  </dxfs>
  <tableStyles count="0" defaultTableStyle="TableStyleMedium9" defaultPivotStyle="PivotStyleLight16"/>
  <colors>
    <mruColors>
      <color rgb="FFE6B8B7"/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documenttasks/documenttask1.xml><?xml version="1.0" encoding="utf-8"?>
<Tasks xmlns="http://schemas.microsoft.com/office/tasks/2019/documenttasks">
  <Task id="{753FDC28-CA4A-4FFA-970F-44490AA2CFB2}">
    <Anchor>
      <Comment id="{70149BC3-2535-45BE-945A-399B2E93F293}"/>
    </Anchor>
    <History>
      <Event time="2025-06-18T02:27:46.89" id="{2FF25011-D772-483C-9CDF-9AED48A146EE}">
        <Attribution userId="S::parkpoom.k@metric.co.th::a8308080-e0e8-47f6-9296-5277b77a7e00" userName="Parkpoom Kaewmee" userProvider="AD"/>
        <Anchor>
          <Comment id="{70149BC3-2535-45BE-945A-399B2E93F293}"/>
        </Anchor>
        <Create/>
      </Event>
      <Event time="2025-06-18T02:27:46.89" id="{0912FCCC-D01D-41D5-B17A-D70015C17C56}">
        <Attribution userId="S::parkpoom.k@metric.co.th::a8308080-e0e8-47f6-9296-5277b77a7e00" userName="Parkpoom Kaewmee" userProvider="AD"/>
        <Anchor>
          <Comment id="{70149BC3-2535-45BE-945A-399B2E93F293}"/>
        </Anchor>
        <Assign userId="S::Paweena.t@metric.co.th::d04f48d5-b21d-44d5-a582-779ca0f7cae3" userName="Paweena Thanawutchirawat" userProvider="AD"/>
      </Event>
      <Event time="2025-06-18T02:27:46.89" id="{9C064FFF-D4EB-4D7D-BEDC-D8569F83028E}">
        <Attribution userId="S::parkpoom.k@metric.co.th::a8308080-e0e8-47f6-9296-5277b77a7e00" userName="Parkpoom Kaewmee" userProvider="AD"/>
        <Anchor>
          <Comment id="{70149BC3-2535-45BE-945A-399B2E93F293}"/>
        </Anchor>
        <SetTitle title="@Paweena Thanawutchirawat ของเมื่อวานส่งไปแล้ว อย่าลืมแก้ย้อนหลังงับ"/>
      </Event>
    </History>
  </Task>
  <Task id="{1F52BF30-0672-4011-9305-11B2597074AD}">
    <Anchor>
      <Comment id="{A4D0EEF4-154E-4703-BA33-5475E94608BD}"/>
    </Anchor>
    <History>
      <Event time="2025-06-18T02:27:46.89" id="{2FF25011-D772-483C-9CDF-9AED48A146EE}">
        <Attribution userId="S::parkpoom.k@metric.co.th::a8308080-e0e8-47f6-9296-5277b77a7e00" userName="Parkpoom Kaewmee" userProvider="AD"/>
        <Anchor>
          <Comment id="{A4D0EEF4-154E-4703-BA33-5475E94608BD}"/>
        </Anchor>
        <Create/>
      </Event>
      <Event time="2025-06-18T02:27:46.89" id="{0912FCCC-D01D-41D5-B17A-D70015C17C56}">
        <Attribution userId="S::parkpoom.k@metric.co.th::a8308080-e0e8-47f6-9296-5277b77a7e00" userName="Parkpoom Kaewmee" userProvider="AD"/>
        <Anchor>
          <Comment id="{A4D0EEF4-154E-4703-BA33-5475E94608BD}"/>
        </Anchor>
        <Assign userId="S::Paweena.t@metric.co.th::d04f48d5-b21d-44d5-a582-779ca0f7cae3" userName="Paweena Thanawutchirawat" userProvider="AD"/>
      </Event>
      <Event time="2025-06-18T02:27:46.89" id="{9C064FFF-D4EB-4D7D-BEDC-D8569F83028E}">
        <Attribution userId="S::parkpoom.k@metric.co.th::a8308080-e0e8-47f6-9296-5277b77a7e00" userName="Parkpoom Kaewmee" userProvider="AD"/>
        <Anchor>
          <Comment id="{A4D0EEF4-154E-4703-BA33-5475E94608BD}"/>
        </Anchor>
        <SetTitle title="@Paweena Thanawutchirawat ของเมื่อวานส่งไปแล้ว อย่าลืมแก้ย้อนหลังงับ"/>
      </Event>
    </History>
  </Task>
  <Task id="{9B4EF444-2E69-4325-99CC-7378749C8383}">
    <Anchor>
      <Comment id="{8468B355-B70B-41F8-A051-E81BF7390114}"/>
    </Anchor>
    <History>
      <Event time="2025-06-18T02:27:15.98" id="{56EA63C5-9020-4012-B1DE-7BAB8A5A7DDB}">
        <Attribution userId="S::parkpoom.k@metric.co.th::a8308080-e0e8-47f6-9296-5277b77a7e00" userName="Parkpoom Kaewmee" userProvider="AD"/>
        <Anchor>
          <Comment id="{8468B355-B70B-41F8-A051-E81BF7390114}"/>
        </Anchor>
        <Create/>
      </Event>
      <Event time="2025-06-18T02:27:15.98" id="{030001D7-B376-497E-B0A6-5F77E77D1309}">
        <Attribution userId="S::parkpoom.k@metric.co.th::a8308080-e0e8-47f6-9296-5277b77a7e00" userName="Parkpoom Kaewmee" userProvider="AD"/>
        <Anchor>
          <Comment id="{8468B355-B70B-41F8-A051-E81BF7390114}"/>
        </Anchor>
        <Assign userId="S::Paweena.t@metric.co.th::d04f48d5-b21d-44d5-a582-779ca0f7cae3" userName="Paweena Thanawutchirawat" userProvider="AD"/>
      </Event>
      <Event time="2025-06-18T02:27:15.98" id="{CB778C20-8779-4A51-869B-B02A564694B4}">
        <Attribution userId="S::parkpoom.k@metric.co.th::a8308080-e0e8-47f6-9296-5277b77a7e00" userName="Parkpoom Kaewmee" userProvider="AD"/>
        <Anchor>
          <Comment id="{8468B355-B70B-41F8-A051-E81BF7390114}"/>
        </Anchor>
        <SetTitle title="@Paweena Thanawutchirawat ของเมื่อวานส่งไปแล้ว อย่าลืมแก้ย้อนหลังงับ"/>
      </Event>
    </History>
  </Task>
  <Task id="{EC376DB9-7C79-4385-ADE7-A1E0424D32C5}">
    <Anchor>
      <Comment id="{FD9A3863-CA69-4337-86F1-D62A21A5BC03}"/>
    </Anchor>
    <History>
      <Event time="2025-06-18T02:27:15.98" id="{56EA63C5-9020-4012-B1DE-7BAB8A5A7DDB}">
        <Attribution userId="S::parkpoom.k@metric.co.th::a8308080-e0e8-47f6-9296-5277b77a7e00" userName="Parkpoom Kaewmee" userProvider="AD"/>
        <Anchor>
          <Comment id="{FD9A3863-CA69-4337-86F1-D62A21A5BC03}"/>
        </Anchor>
        <Create/>
      </Event>
      <Event time="2025-06-18T02:27:15.98" id="{030001D7-B376-497E-B0A6-5F77E77D1309}">
        <Attribution userId="S::parkpoom.k@metric.co.th::a8308080-e0e8-47f6-9296-5277b77a7e00" userName="Parkpoom Kaewmee" userProvider="AD"/>
        <Anchor>
          <Comment id="{FD9A3863-CA69-4337-86F1-D62A21A5BC03}"/>
        </Anchor>
        <Assign userId="S::Paweena.t@metric.co.th::d04f48d5-b21d-44d5-a582-779ca0f7cae3" userName="Paweena Thanawutchirawat" userProvider="AD"/>
      </Event>
      <Event time="2025-06-18T02:27:15.98" id="{CB778C20-8779-4A51-869B-B02A564694B4}">
        <Attribution userId="S::parkpoom.k@metric.co.th::a8308080-e0e8-47f6-9296-5277b77a7e00" userName="Parkpoom Kaewmee" userProvider="AD"/>
        <Anchor>
          <Comment id="{FD9A3863-CA69-4337-86F1-D62A21A5BC03}"/>
        </Anchor>
        <SetTitle title="@Paweena Thanawutchirawat ของเมื่อวานส่งไปแล้ว อย่าลืมแก้ย้อนหลังงับ"/>
      </Event>
    </History>
  </Task>
</Task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1.png"/><Relationship Id="rId4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219074</xdr:colOff>
      <xdr:row>0</xdr:row>
      <xdr:rowOff>66675</xdr:rowOff>
    </xdr:from>
    <xdr:to>
      <xdr:col>9</xdr:col>
      <xdr:colOff>152399</xdr:colOff>
      <xdr:row>0</xdr:row>
      <xdr:rowOff>491490</xdr:rowOff>
    </xdr:to>
    <xdr:pic>
      <xdr:nvPicPr>
        <xdr:cNvPr id="2" name="Picture 4" descr="D:\ออฟฟิต\new logo\logo metric color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62624" y="66675"/>
          <a:ext cx="600075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106794</xdr:colOff>
      <xdr:row>0</xdr:row>
      <xdr:rowOff>148774</xdr:rowOff>
    </xdr:from>
    <xdr:to>
      <xdr:col>2</xdr:col>
      <xdr:colOff>728140</xdr:colOff>
      <xdr:row>0</xdr:row>
      <xdr:rowOff>461818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46B0DE-61E9-9BED-B80D-748439F43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794" y="148774"/>
          <a:ext cx="1174675" cy="314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39965</xdr:colOff>
      <xdr:row>0</xdr:row>
      <xdr:rowOff>47081</xdr:rowOff>
    </xdr:from>
    <xdr:to>
      <xdr:col>3</xdr:col>
      <xdr:colOff>110760</xdr:colOff>
      <xdr:row>0</xdr:row>
      <xdr:rowOff>533291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26B83E-B4C1-4D39-8387-AC90D4AA7D58}"/>
            </a:ext>
            <a:ext uri="{147F2762-F138-4A5C-976F-8EAC2B608ADB}">
              <a16:predDERef xmlns:a16="http://schemas.microsoft.com/office/drawing/2014/main" pred="{C8BCEA44-B0BA-49EC-8A07-A813047FA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965" y="47081"/>
          <a:ext cx="1451920" cy="486210"/>
        </a:xfrm>
        <a:prstGeom prst="rect">
          <a:avLst/>
        </a:prstGeom>
      </xdr:spPr>
    </xdr:pic>
    <xdr:clientData/>
  </xdr:twoCellAnchor>
  <xdr:twoCellAnchor editAs="oneCell">
    <xdr:from>
      <xdr:col>51</xdr:col>
      <xdr:colOff>3800474</xdr:colOff>
      <xdr:row>2</xdr:row>
      <xdr:rowOff>130097</xdr:rowOff>
    </xdr:from>
    <xdr:to>
      <xdr:col>52</xdr:col>
      <xdr:colOff>914800</xdr:colOff>
      <xdr:row>5</xdr:row>
      <xdr:rowOff>0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122EF65B-CBAB-4408-B9EF-ABAF4F1C1EC8}"/>
            </a:ext>
            <a:ext uri="{147F2762-F138-4A5C-976F-8EAC2B608ADB}">
              <a16:predDERef xmlns:a16="http://schemas.microsoft.com/office/drawing/2014/main" pred="{6126B83E-B4C1-4D39-8387-AC90D4AA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83024" y="892097"/>
          <a:ext cx="796420" cy="432138"/>
        </a:xfrm>
        <a:prstGeom prst="rect">
          <a:avLst/>
        </a:prstGeom>
      </xdr:spPr>
    </xdr:pic>
    <xdr:clientData/>
  </xdr:twoCellAnchor>
  <xdr:twoCellAnchor editAs="oneCell">
    <xdr:from>
      <xdr:col>52</xdr:col>
      <xdr:colOff>215899</xdr:colOff>
      <xdr:row>1</xdr:row>
      <xdr:rowOff>55591</xdr:rowOff>
    </xdr:from>
    <xdr:to>
      <xdr:col>54</xdr:col>
      <xdr:colOff>23541</xdr:colOff>
      <xdr:row>3</xdr:row>
      <xdr:rowOff>167267</xdr:rowOff>
    </xdr:to>
    <xdr:pic>
      <xdr:nvPicPr>
        <xdr:cNvPr id="5" name="Picture 14">
          <a:extLst>
            <a:ext uri="{FF2B5EF4-FFF2-40B4-BE49-F238E27FC236}">
              <a16:creationId xmlns:a16="http://schemas.microsoft.com/office/drawing/2014/main" id="{B73F59D8-EB4A-497A-935B-D88F5A8FF251}"/>
            </a:ext>
            <a:ext uri="{147F2762-F138-4A5C-976F-8EAC2B608ADB}">
              <a16:predDERef xmlns:a16="http://schemas.microsoft.com/office/drawing/2014/main" pred="{122EF65B-CBAB-4408-B9EF-ABAF4F1C1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143574" y="627091"/>
          <a:ext cx="1417367" cy="530776"/>
        </a:xfrm>
        <a:prstGeom prst="rect">
          <a:avLst/>
        </a:prstGeom>
      </xdr:spPr>
    </xdr:pic>
    <xdr:clientData/>
  </xdr:twoCellAnchor>
  <xdr:twoCellAnchor editAs="oneCell">
    <xdr:from>
      <xdr:col>18</xdr:col>
      <xdr:colOff>257735</xdr:colOff>
      <xdr:row>0</xdr:row>
      <xdr:rowOff>89647</xdr:rowOff>
    </xdr:from>
    <xdr:to>
      <xdr:col>18</xdr:col>
      <xdr:colOff>861954</xdr:colOff>
      <xdr:row>0</xdr:row>
      <xdr:rowOff>502396</xdr:rowOff>
    </xdr:to>
    <xdr:pic>
      <xdr:nvPicPr>
        <xdr:cNvPr id="7" name="Picture 6" descr="D:\ออฟฟิต\new logo\logo metric color.png">
          <a:extLst>
            <a:ext uri="{FF2B5EF4-FFF2-40B4-BE49-F238E27FC236}">
              <a16:creationId xmlns:a16="http://schemas.microsoft.com/office/drawing/2014/main" id="{4BE54735-BBBA-4AFB-9DFB-EB3C0EE80ACB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2323" y="89647"/>
          <a:ext cx="604219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731584</xdr:colOff>
      <xdr:row>0</xdr:row>
      <xdr:rowOff>106103</xdr:rowOff>
    </xdr:from>
    <xdr:to>
      <xdr:col>18</xdr:col>
      <xdr:colOff>1335803</xdr:colOff>
      <xdr:row>0</xdr:row>
      <xdr:rowOff>518852</xdr:rowOff>
    </xdr:to>
    <xdr:pic>
      <xdr:nvPicPr>
        <xdr:cNvPr id="2" name="Picture 1" descr="D:\ออฟฟิต\new logo\logo metric color.png">
          <a:extLst>
            <a:ext uri="{FF2B5EF4-FFF2-40B4-BE49-F238E27FC236}">
              <a16:creationId xmlns:a16="http://schemas.microsoft.com/office/drawing/2014/main" id="{1D043C46-F820-472C-8E90-F4B53E18C519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1048" y="106103"/>
          <a:ext cx="604219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94395</xdr:colOff>
      <xdr:row>0</xdr:row>
      <xdr:rowOff>169545</xdr:rowOff>
    </xdr:from>
    <xdr:to>
      <xdr:col>0</xdr:col>
      <xdr:colOff>1292445</xdr:colOff>
      <xdr:row>0</xdr:row>
      <xdr:rowOff>492114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35AC2E-EEFB-452F-8193-7A6183454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05" y="173355"/>
          <a:ext cx="1194240" cy="3187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666750</xdr:colOff>
      <xdr:row>0</xdr:row>
      <xdr:rowOff>78889</xdr:rowOff>
    </xdr:from>
    <xdr:to>
      <xdr:col>21</xdr:col>
      <xdr:colOff>1253937</xdr:colOff>
      <xdr:row>0</xdr:row>
      <xdr:rowOff>491638</xdr:rowOff>
    </xdr:to>
    <xdr:pic>
      <xdr:nvPicPr>
        <xdr:cNvPr id="2" name="Picture 1" descr="D:\ออฟฟิต\new logo\logo metric color.png">
          <a:extLst>
            <a:ext uri="{FF2B5EF4-FFF2-40B4-BE49-F238E27FC236}">
              <a16:creationId xmlns:a16="http://schemas.microsoft.com/office/drawing/2014/main" id="{AB41A79E-EEB9-460E-9197-6A47B8494BFF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7450" y="78889"/>
          <a:ext cx="587187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94395</xdr:colOff>
      <xdr:row>0</xdr:row>
      <xdr:rowOff>169545</xdr:rowOff>
    </xdr:from>
    <xdr:to>
      <xdr:col>0</xdr:col>
      <xdr:colOff>1292445</xdr:colOff>
      <xdr:row>0</xdr:row>
      <xdr:rowOff>492114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1BB207-18B2-43A4-AA3A-12E38144E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395" y="169545"/>
          <a:ext cx="1198050" cy="322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381000</xdr:colOff>
      <xdr:row>0</xdr:row>
      <xdr:rowOff>102702</xdr:rowOff>
    </xdr:from>
    <xdr:to>
      <xdr:col>21</xdr:col>
      <xdr:colOff>987237</xdr:colOff>
      <xdr:row>0</xdr:row>
      <xdr:rowOff>515451</xdr:rowOff>
    </xdr:to>
    <xdr:pic>
      <xdr:nvPicPr>
        <xdr:cNvPr id="2" name="Picture 1" descr="D:\ออฟฟิต\new logo\logo metric color.png">
          <a:extLst>
            <a:ext uri="{FF2B5EF4-FFF2-40B4-BE49-F238E27FC236}">
              <a16:creationId xmlns:a16="http://schemas.microsoft.com/office/drawing/2014/main" id="{78AA160B-5B8A-404B-826E-63CEE85AD6E6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0900" y="102702"/>
          <a:ext cx="606237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94395</xdr:colOff>
      <xdr:row>0</xdr:row>
      <xdr:rowOff>169545</xdr:rowOff>
    </xdr:from>
    <xdr:to>
      <xdr:col>0</xdr:col>
      <xdr:colOff>1292445</xdr:colOff>
      <xdr:row>0</xdr:row>
      <xdr:rowOff>492114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5443D6-51A3-4A99-8109-641A891662DE}"/>
            </a:ext>
            <a:ext uri="{147F2762-F138-4A5C-976F-8EAC2B608ADB}">
              <a16:predDERef xmlns:a16="http://schemas.microsoft.com/office/drawing/2014/main" pred="{78AA160B-5B8A-404B-826E-63CEE85AD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395" y="169545"/>
          <a:ext cx="1198050" cy="3225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867046</xdr:colOff>
      <xdr:row>0</xdr:row>
      <xdr:rowOff>51653</xdr:rowOff>
    </xdr:from>
    <xdr:ext cx="621602" cy="437896"/>
    <xdr:pic>
      <xdr:nvPicPr>
        <xdr:cNvPr id="2" name="Picture 1">
          <a:extLst>
            <a:ext uri="{FF2B5EF4-FFF2-40B4-BE49-F238E27FC236}">
              <a16:creationId xmlns:a16="http://schemas.microsoft.com/office/drawing/2014/main" id="{C002DA46-E815-4966-976E-23F3ABAEF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54155" y="51653"/>
          <a:ext cx="621602" cy="437896"/>
        </a:xfrm>
        <a:prstGeom prst="rect">
          <a:avLst/>
        </a:prstGeom>
      </xdr:spPr>
    </xdr:pic>
    <xdr:clientData/>
  </xdr:oneCellAnchor>
  <xdr:twoCellAnchor editAs="oneCell">
    <xdr:from>
      <xdr:col>18</xdr:col>
      <xdr:colOff>76200</xdr:colOff>
      <xdr:row>21</xdr:row>
      <xdr:rowOff>171450</xdr:rowOff>
    </xdr:from>
    <xdr:to>
      <xdr:col>29</xdr:col>
      <xdr:colOff>511175</xdr:colOff>
      <xdr:row>43</xdr:row>
      <xdr:rowOff>57150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3DF63840-5BB6-C614-49EC-2A8621987189}"/>
            </a:ext>
            <a:ext uri="{147F2762-F138-4A5C-976F-8EAC2B608ADB}">
              <a16:predDERef xmlns:a16="http://schemas.microsoft.com/office/drawing/2014/main" pred="{C002DA46-E815-4966-976E-23F3ABAEF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82075" y="4438650"/>
          <a:ext cx="6931025" cy="3276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219074</xdr:colOff>
      <xdr:row>0</xdr:row>
      <xdr:rowOff>66675</xdr:rowOff>
    </xdr:from>
    <xdr:to>
      <xdr:col>9</xdr:col>
      <xdr:colOff>152399</xdr:colOff>
      <xdr:row>0</xdr:row>
      <xdr:rowOff>478155</xdr:rowOff>
    </xdr:to>
    <xdr:pic>
      <xdr:nvPicPr>
        <xdr:cNvPr id="2" name="Picture 4" descr="D:\ออฟฟิต\new logo\logo metric color.png">
          <a:extLst>
            <a:ext uri="{FF2B5EF4-FFF2-40B4-BE49-F238E27FC236}">
              <a16:creationId xmlns:a16="http://schemas.microsoft.com/office/drawing/2014/main" id="{A9854380-5E45-42A1-934B-0F4EC5998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00724" y="66675"/>
          <a:ext cx="600075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8</xdr:col>
      <xdr:colOff>219074</xdr:colOff>
      <xdr:row>45</xdr:row>
      <xdr:rowOff>66675</xdr:rowOff>
    </xdr:from>
    <xdr:ext cx="600075" cy="411480"/>
    <xdr:pic>
      <xdr:nvPicPr>
        <xdr:cNvPr id="3" name="Picture 4" descr="D:\ออฟฟิต\new logo\logo metric color.png">
          <a:extLst>
            <a:ext uri="{FF2B5EF4-FFF2-40B4-BE49-F238E27FC236}">
              <a16:creationId xmlns:a16="http://schemas.microsoft.com/office/drawing/2014/main" id="{1118A60F-1EB5-4776-8207-B7D823C01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25217" y="66675"/>
          <a:ext cx="600075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219074</xdr:colOff>
      <xdr:row>90</xdr:row>
      <xdr:rowOff>66675</xdr:rowOff>
    </xdr:from>
    <xdr:ext cx="600075" cy="411480"/>
    <xdr:pic>
      <xdr:nvPicPr>
        <xdr:cNvPr id="5" name="Picture 4" descr="D:\ออฟฟิต\new logo\logo metric color.png">
          <a:extLst>
            <a:ext uri="{FF2B5EF4-FFF2-40B4-BE49-F238E27FC236}">
              <a16:creationId xmlns:a16="http://schemas.microsoft.com/office/drawing/2014/main" id="{A1C2A156-CCD7-4A71-9B58-45C306E8D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25217" y="10353675"/>
          <a:ext cx="600075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219074</xdr:colOff>
      <xdr:row>180</xdr:row>
      <xdr:rowOff>66675</xdr:rowOff>
    </xdr:from>
    <xdr:ext cx="600075" cy="411480"/>
    <xdr:pic>
      <xdr:nvPicPr>
        <xdr:cNvPr id="9" name="Picture 8" descr="D:\ออฟฟิต\new logo\logo metric color.png">
          <a:extLst>
            <a:ext uri="{FF2B5EF4-FFF2-40B4-BE49-F238E27FC236}">
              <a16:creationId xmlns:a16="http://schemas.microsoft.com/office/drawing/2014/main" id="{02D1C274-5CF9-48CA-A8FB-22A7FB33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25217" y="30927675"/>
          <a:ext cx="600075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10</xdr:col>
      <xdr:colOff>209551</xdr:colOff>
      <xdr:row>3</xdr:row>
      <xdr:rowOff>38100</xdr:rowOff>
    </xdr:from>
    <xdr:to>
      <xdr:col>12</xdr:col>
      <xdr:colOff>552451</xdr:colOff>
      <xdr:row>4</xdr:row>
      <xdr:rowOff>123825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5479120-36EF-FC8E-A57D-06D36EC1D09E}"/>
            </a:ext>
          </a:extLst>
        </xdr:cNvPr>
        <xdr:cNvSpPr txBox="1"/>
      </xdr:nvSpPr>
      <xdr:spPr>
        <a:xfrm>
          <a:off x="6686551" y="1009650"/>
          <a:ext cx="1562100" cy="285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SAMPLE</a:t>
          </a:r>
          <a:r>
            <a:rPr lang="en-US" sz="1100" baseline="0"/>
            <a:t> (OPTIONAL)</a:t>
          </a:r>
          <a:endParaRPr lang="en-US" sz="1100"/>
        </a:p>
      </xdr:txBody>
    </xdr:sp>
    <xdr:clientData/>
  </xdr:twoCellAnchor>
  <xdr:twoCellAnchor editAs="oneCell">
    <xdr:from>
      <xdr:col>0</xdr:col>
      <xdr:colOff>62705</xdr:colOff>
      <xdr:row>90</xdr:row>
      <xdr:rowOff>167640</xdr:rowOff>
    </xdr:from>
    <xdr:to>
      <xdr:col>2</xdr:col>
      <xdr:colOff>680245</xdr:colOff>
      <xdr:row>90</xdr:row>
      <xdr:rowOff>478779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42CCCA4-CCEF-419D-A63D-9E3BE63AB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705" y="20665440"/>
          <a:ext cx="1160465" cy="311139"/>
        </a:xfrm>
        <a:prstGeom prst="rect">
          <a:avLst/>
        </a:prstGeom>
      </xdr:spPr>
    </xdr:pic>
    <xdr:clientData/>
  </xdr:twoCellAnchor>
  <xdr:twoCellAnchor editAs="oneCell">
    <xdr:from>
      <xdr:col>0</xdr:col>
      <xdr:colOff>72564</xdr:colOff>
      <xdr:row>45</xdr:row>
      <xdr:rowOff>139065</xdr:rowOff>
    </xdr:from>
    <xdr:to>
      <xdr:col>2</xdr:col>
      <xdr:colOff>725630</xdr:colOff>
      <xdr:row>45</xdr:row>
      <xdr:rowOff>459729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6D4F55-8642-437E-A325-42074C6DA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564" y="10387965"/>
          <a:ext cx="1195991" cy="320664"/>
        </a:xfrm>
        <a:prstGeom prst="rect">
          <a:avLst/>
        </a:prstGeom>
      </xdr:spPr>
    </xdr:pic>
    <xdr:clientData/>
  </xdr:twoCellAnchor>
  <xdr:twoCellAnchor editAs="oneCell">
    <xdr:from>
      <xdr:col>0</xdr:col>
      <xdr:colOff>62267</xdr:colOff>
      <xdr:row>0</xdr:row>
      <xdr:rowOff>169545</xdr:rowOff>
    </xdr:from>
    <xdr:to>
      <xdr:col>2</xdr:col>
      <xdr:colOff>694017</xdr:colOff>
      <xdr:row>0</xdr:row>
      <xdr:rowOff>484494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40423CB-3E51-4F40-B1ED-5CB60EB8B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267" y="169545"/>
          <a:ext cx="1174675" cy="314949"/>
        </a:xfrm>
        <a:prstGeom prst="rect">
          <a:avLst/>
        </a:prstGeom>
      </xdr:spPr>
    </xdr:pic>
    <xdr:clientData/>
  </xdr:twoCellAnchor>
  <xdr:twoCellAnchor editAs="oneCell">
    <xdr:from>
      <xdr:col>0</xdr:col>
      <xdr:colOff>63657</xdr:colOff>
      <xdr:row>135</xdr:row>
      <xdr:rowOff>129540</xdr:rowOff>
    </xdr:from>
    <xdr:to>
      <xdr:col>2</xdr:col>
      <xdr:colOff>681197</xdr:colOff>
      <xdr:row>135</xdr:row>
      <xdr:rowOff>440679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EEAC93B-E47F-4527-AD23-E542508C5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657" y="30876240"/>
          <a:ext cx="1160465" cy="311139"/>
        </a:xfrm>
        <a:prstGeom prst="rect">
          <a:avLst/>
        </a:prstGeom>
      </xdr:spPr>
    </xdr:pic>
    <xdr:clientData/>
  </xdr:twoCellAnchor>
  <xdr:twoCellAnchor editAs="oneCell">
    <xdr:from>
      <xdr:col>0</xdr:col>
      <xdr:colOff>63657</xdr:colOff>
      <xdr:row>180</xdr:row>
      <xdr:rowOff>129540</xdr:rowOff>
    </xdr:from>
    <xdr:to>
      <xdr:col>2</xdr:col>
      <xdr:colOff>681197</xdr:colOff>
      <xdr:row>180</xdr:row>
      <xdr:rowOff>440679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048BEF0-1AD1-400E-99AC-15B009A19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657" y="41125140"/>
          <a:ext cx="1160465" cy="311139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8101220F-E020-4DD8-A0DF-7A78860010EA}"/>
  <namedSheetView name="NMR" id="{909313DC-05BF-4477-9B35-01BBB6D11149}"/>
  <namedSheetView name="View KK" id="{34A1934A-107E-47FC-AFE0-CEE49714C85A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26526633-DE7A-4E9E-8B21-517D77696FFC}"/>
  <namedSheetView name="KTT" id="{315FDFBB-5ABA-4277-80BA-7A566422AE40}">
    <nsvFilter filterId="{B60EEF78-F52D-43A2-A031-C65CC708C0AC}" ref="A8:BH8" tableId="0"/>
  </namedSheetView>
  <namedSheetView name="View1" id="{248F2E05-3B78-449D-97B4-C6E51164B32C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B66EA4FB-7268-4783-9235-9AB2182954C2}"/>
  <namedSheetView name="PWL" id="{250D08D6-626F-4C0A-B79F-4C6B29EC6413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C24ED395-5E79-425B-A433-BA420DF4F45B}"/>
  <namedSheetView name="PPA" id="{CEE33543-06D8-461B-88E0-B9CD35763A38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Paweena Thanawutchirawat" id="{8C00DA60-116D-4C29-87E4-A69F4C25CA4A}" userId="Paweena.t@metric.co.th" providerId="PeoplePicker"/>
  <person displayName="Krittin Siripokakorn" id="{63E71B9B-6EC2-4C30-A991-B3F2E862F54E}" userId="krittin.s@metric.co.th" providerId="PeoplePicker"/>
  <person displayName="Parkpoom Kaewmee" id="{E7ECA251-227F-4E4C-AC46-995181797112}" userId="parkpoom.k@metric.co.th" providerId="PeoplePicker"/>
  <person displayName="Parkpoom Kaewmee" id="{E7863A7C-F703-4338-86C8-1C994E4372C7}" userId="S::parkpoom.k@metric.co.th::a8308080-e0e8-47f6-9296-5277b77a7e00" providerId="AD"/>
  <person displayName="Pimprapa Khwanpuang" id="{4650F91E-4E7E-41CA-8FC6-0C94407E43C2}" userId="S::pimprapa.k@metric.co.th::767b2039-3799-40a5-a60f-999fa43164b7" providerId="AD"/>
  <person displayName="Uncharlee Laobooncharoen" id="{2D686475-B847-44E1-9504-FF10BB4C9593}" userId="S::uncharlee.l@metric.co.th::c0a113db-da46-4a97-b7eb-45feb18a9d9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0" dT="2025-07-24T01:42:41.04" personId="{2D686475-B847-44E1-9504-FF10BB4C9593}" id="{A738F943-75C3-4465-B974-B1B0B519EBD8}">
    <text xml:space="preserve">อันนี้ต้องแก้เสกลให้เห็นทั้งหมด </text>
  </threadedComment>
  <threadedComment ref="V59" dT="2025-06-18T02:27:15.99" personId="{E7863A7C-F703-4338-86C8-1C994E4372C7}" id="{8468B355-B70B-41F8-A051-E81BF7390114}">
    <text>@Paweena Thanawutchirawat 
ของเมื่อวานส่งไปแล้ว อย่าลืมแก้ย้อนหลังงับ</text>
    <mentions>
      <mention mentionpersonId="{8C00DA60-116D-4C29-87E4-A69F4C25CA4A}" mentionId="{BAFE1D9F-3D33-457B-89F5-41C00B93D837}" startIndex="0" length="25"/>
    </mentions>
  </threadedComment>
  <threadedComment ref="V85" dT="2025-06-18T02:27:46.89" personId="{E7863A7C-F703-4338-86C8-1C994E4372C7}" id="{70149BC3-2535-45BE-945A-399B2E93F293}">
    <text>@Paweena Thanawutchirawat 
ของเมื่อวานส่งไปแล้ว อย่าลืมแก้ย้อนหลังงับ</text>
    <mentions>
      <mention mentionpersonId="{8C00DA60-116D-4C29-87E4-A69F4C25CA4A}" mentionId="{C02200C2-0A13-44D2-B943-E5F2AA2732E7}" startIndex="0" length="25"/>
    </mentions>
  </threadedComment>
  <threadedComment ref="S91" dT="2026-02-12T08:27:09.36" personId="{4650F91E-4E7E-41CA-8FC6-0C94407E43C2}" id="{1DCBC19B-8CCC-4303-9B93-513384332F96}">
    <text>@Parkpoom Kaewmee  อันนี้ขอโน้ตไว้แบบนี้นะ</text>
    <mentions>
      <mention mentionpersonId="{E7ECA251-227F-4E4C-AC46-995181797112}" mentionId="{FD94A374-3491-416E-9902-9C914FD0A057}" startIndex="0" length="17"/>
    </mentions>
  </threadedComment>
  <threadedComment ref="Y111" dT="2025-06-18T02:27:15.99" personId="{E7863A7C-F703-4338-86C8-1C994E4372C7}" id="{FD9A3863-CA69-4337-86F1-D62A21A5BC03}">
    <text>@Paweena Thanawutchirawat 
ของเมื่อวานส่งไปแล้ว อย่าลืมแก้ย้อนหลังงับ</text>
    <mentions>
      <mention mentionpersonId="{8C00DA60-116D-4C29-87E4-A69F4C25CA4A}" mentionId="{612AB093-0185-4D62-AA3C-FE8FA9F99973}" startIndex="0" length="25"/>
    </mentions>
  </threadedComment>
  <threadedComment ref="Y141" dT="2025-06-18T02:27:46.89" personId="{E7863A7C-F703-4338-86C8-1C994E4372C7}" id="{A4D0EEF4-154E-4703-BA33-5475E94608BD}">
    <text>@Paweena Thanawutchirawat 
ของเมื่อวานส่งไปแล้ว อย่าลืมแก้ย้อนหลังงับ</text>
    <mentions>
      <mention mentionpersonId="{8C00DA60-116D-4C29-87E4-A69F4C25CA4A}" mentionId="{FA9FF730-C6C8-4D90-8731-ABBD91BFADFE}" startIndex="0" length="25"/>
    </mentions>
  </threadedComment>
  <threadedComment ref="U218" dT="2025-06-30T10:32:49.51" personId="{4650F91E-4E7E-41CA-8FC6-0C94407E43C2}" id="{ADEC45F0-9D27-4853-B922-C988E5D7D16E}">
    <text xml:space="preserve">@Krittin Siripokakorn  ของเตคตั้งแต่ตรงนี้ลงไป hide หมดเลย </text>
    <mentions>
      <mention mentionpersonId="{63E71B9B-6EC2-4C30-A991-B3F2E862F54E}" mentionId="{135C55F9-CC26-4934-8704-9A710CE83DC6}" startIndex="0" length="2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9/04/relationships/namedSheetView" Target="../namedSheetViews/namedSheetView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5" Type="http://schemas.microsoft.com/office/2019/04/relationships/namedSheetView" Target="../namedSheetViews/namedSheetView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A110"/>
  <sheetViews>
    <sheetView view="pageBreakPreview" zoomScale="60" zoomScaleNormal="100" workbookViewId="0">
      <selection activeCell="Z13" sqref="Z13"/>
    </sheetView>
  </sheetViews>
  <sheetFormatPr defaultRowHeight="15"/>
  <cols>
    <col min="1" max="1" width="3.42578125" style="8" customWidth="1"/>
    <col min="2" max="2" width="4.42578125" style="7" customWidth="1"/>
    <col min="3" max="3" width="25" style="8" customWidth="1"/>
    <col min="4" max="4" width="4.42578125" style="8" customWidth="1"/>
    <col min="5" max="5" width="24.42578125" style="8" customWidth="1"/>
    <col min="6" max="6" width="4.42578125" style="9" customWidth="1"/>
    <col min="7" max="7" width="7.5703125" style="9" customWidth="1"/>
    <col min="8" max="9" width="10" style="9" customWidth="1"/>
    <col min="10" max="10" width="3.42578125" style="10" customWidth="1"/>
    <col min="11" max="13" width="9.42578125" style="8"/>
    <col min="14" max="14" width="9.140625" style="8"/>
    <col min="15" max="19" width="9.42578125" style="8"/>
    <col min="20" max="20" width="9.42578125" style="8" customWidth="1"/>
    <col min="21" max="261" width="9.42578125" style="8"/>
    <col min="262" max="262" width="3.42578125" style="8" customWidth="1"/>
    <col min="263" max="263" width="6.5703125" style="8" customWidth="1"/>
    <col min="264" max="264" width="55.5703125" style="8" customWidth="1"/>
    <col min="265" max="266" width="12.42578125" style="8" customWidth="1"/>
    <col min="267" max="267" width="9.42578125" style="8"/>
    <col min="268" max="268" width="3.42578125" style="8" customWidth="1"/>
    <col min="269" max="517" width="9.42578125" style="8"/>
    <col min="518" max="518" width="3.42578125" style="8" customWidth="1"/>
    <col min="519" max="519" width="6.5703125" style="8" customWidth="1"/>
    <col min="520" max="520" width="55.5703125" style="8" customWidth="1"/>
    <col min="521" max="522" width="12.42578125" style="8" customWidth="1"/>
    <col min="523" max="523" width="9.42578125" style="8"/>
    <col min="524" max="524" width="3.42578125" style="8" customWidth="1"/>
    <col min="525" max="773" width="9.42578125" style="8"/>
    <col min="774" max="774" width="3.42578125" style="8" customWidth="1"/>
    <col min="775" max="775" width="6.5703125" style="8" customWidth="1"/>
    <col min="776" max="776" width="55.5703125" style="8" customWidth="1"/>
    <col min="777" max="778" width="12.42578125" style="8" customWidth="1"/>
    <col min="779" max="779" width="9.42578125" style="8"/>
    <col min="780" max="780" width="3.42578125" style="8" customWidth="1"/>
    <col min="781" max="1029" width="9.42578125" style="8"/>
    <col min="1030" max="1030" width="3.42578125" style="8" customWidth="1"/>
    <col min="1031" max="1031" width="6.5703125" style="8" customWidth="1"/>
    <col min="1032" max="1032" width="55.5703125" style="8" customWidth="1"/>
    <col min="1033" max="1034" width="12.42578125" style="8" customWidth="1"/>
    <col min="1035" max="1035" width="9.42578125" style="8"/>
    <col min="1036" max="1036" width="3.42578125" style="8" customWidth="1"/>
    <col min="1037" max="1285" width="9.42578125" style="8"/>
    <col min="1286" max="1286" width="3.42578125" style="8" customWidth="1"/>
    <col min="1287" max="1287" width="6.5703125" style="8" customWidth="1"/>
    <col min="1288" max="1288" width="55.5703125" style="8" customWidth="1"/>
    <col min="1289" max="1290" width="12.42578125" style="8" customWidth="1"/>
    <col min="1291" max="1291" width="9.42578125" style="8"/>
    <col min="1292" max="1292" width="3.42578125" style="8" customWidth="1"/>
    <col min="1293" max="1541" width="9.42578125" style="8"/>
    <col min="1542" max="1542" width="3.42578125" style="8" customWidth="1"/>
    <col min="1543" max="1543" width="6.5703125" style="8" customWidth="1"/>
    <col min="1544" max="1544" width="55.5703125" style="8" customWidth="1"/>
    <col min="1545" max="1546" width="12.42578125" style="8" customWidth="1"/>
    <col min="1547" max="1547" width="9.42578125" style="8"/>
    <col min="1548" max="1548" width="3.42578125" style="8" customWidth="1"/>
    <col min="1549" max="1797" width="9.42578125" style="8"/>
    <col min="1798" max="1798" width="3.42578125" style="8" customWidth="1"/>
    <col min="1799" max="1799" width="6.5703125" style="8" customWidth="1"/>
    <col min="1800" max="1800" width="55.5703125" style="8" customWidth="1"/>
    <col min="1801" max="1802" width="12.42578125" style="8" customWidth="1"/>
    <col min="1803" max="1803" width="9.42578125" style="8"/>
    <col min="1804" max="1804" width="3.42578125" style="8" customWidth="1"/>
    <col min="1805" max="2053" width="9.42578125" style="8"/>
    <col min="2054" max="2054" width="3.42578125" style="8" customWidth="1"/>
    <col min="2055" max="2055" width="6.5703125" style="8" customWidth="1"/>
    <col min="2056" max="2056" width="55.5703125" style="8" customWidth="1"/>
    <col min="2057" max="2058" width="12.42578125" style="8" customWidth="1"/>
    <col min="2059" max="2059" width="9.42578125" style="8"/>
    <col min="2060" max="2060" width="3.42578125" style="8" customWidth="1"/>
    <col min="2061" max="2309" width="9.42578125" style="8"/>
    <col min="2310" max="2310" width="3.42578125" style="8" customWidth="1"/>
    <col min="2311" max="2311" width="6.5703125" style="8" customWidth="1"/>
    <col min="2312" max="2312" width="55.5703125" style="8" customWidth="1"/>
    <col min="2313" max="2314" width="12.42578125" style="8" customWidth="1"/>
    <col min="2315" max="2315" width="9.42578125" style="8"/>
    <col min="2316" max="2316" width="3.42578125" style="8" customWidth="1"/>
    <col min="2317" max="2565" width="9.42578125" style="8"/>
    <col min="2566" max="2566" width="3.42578125" style="8" customWidth="1"/>
    <col min="2567" max="2567" width="6.5703125" style="8" customWidth="1"/>
    <col min="2568" max="2568" width="55.5703125" style="8" customWidth="1"/>
    <col min="2569" max="2570" width="12.42578125" style="8" customWidth="1"/>
    <col min="2571" max="2571" width="9.42578125" style="8"/>
    <col min="2572" max="2572" width="3.42578125" style="8" customWidth="1"/>
    <col min="2573" max="2821" width="9.42578125" style="8"/>
    <col min="2822" max="2822" width="3.42578125" style="8" customWidth="1"/>
    <col min="2823" max="2823" width="6.5703125" style="8" customWidth="1"/>
    <col min="2824" max="2824" width="55.5703125" style="8" customWidth="1"/>
    <col min="2825" max="2826" width="12.42578125" style="8" customWidth="1"/>
    <col min="2827" max="2827" width="9.42578125" style="8"/>
    <col min="2828" max="2828" width="3.42578125" style="8" customWidth="1"/>
    <col min="2829" max="3077" width="9.42578125" style="8"/>
    <col min="3078" max="3078" width="3.42578125" style="8" customWidth="1"/>
    <col min="3079" max="3079" width="6.5703125" style="8" customWidth="1"/>
    <col min="3080" max="3080" width="55.5703125" style="8" customWidth="1"/>
    <col min="3081" max="3082" width="12.42578125" style="8" customWidth="1"/>
    <col min="3083" max="3083" width="9.42578125" style="8"/>
    <col min="3084" max="3084" width="3.42578125" style="8" customWidth="1"/>
    <col min="3085" max="3333" width="9.42578125" style="8"/>
    <col min="3334" max="3334" width="3.42578125" style="8" customWidth="1"/>
    <col min="3335" max="3335" width="6.5703125" style="8" customWidth="1"/>
    <col min="3336" max="3336" width="55.5703125" style="8" customWidth="1"/>
    <col min="3337" max="3338" width="12.42578125" style="8" customWidth="1"/>
    <col min="3339" max="3339" width="9.42578125" style="8"/>
    <col min="3340" max="3340" width="3.42578125" style="8" customWidth="1"/>
    <col min="3341" max="3589" width="9.42578125" style="8"/>
    <col min="3590" max="3590" width="3.42578125" style="8" customWidth="1"/>
    <col min="3591" max="3591" width="6.5703125" style="8" customWidth="1"/>
    <col min="3592" max="3592" width="55.5703125" style="8" customWidth="1"/>
    <col min="3593" max="3594" width="12.42578125" style="8" customWidth="1"/>
    <col min="3595" max="3595" width="9.42578125" style="8"/>
    <col min="3596" max="3596" width="3.42578125" style="8" customWidth="1"/>
    <col min="3597" max="3845" width="9.42578125" style="8"/>
    <col min="3846" max="3846" width="3.42578125" style="8" customWidth="1"/>
    <col min="3847" max="3847" width="6.5703125" style="8" customWidth="1"/>
    <col min="3848" max="3848" width="55.5703125" style="8" customWidth="1"/>
    <col min="3849" max="3850" width="12.42578125" style="8" customWidth="1"/>
    <col min="3851" max="3851" width="9.42578125" style="8"/>
    <col min="3852" max="3852" width="3.42578125" style="8" customWidth="1"/>
    <col min="3853" max="4101" width="9.42578125" style="8"/>
    <col min="4102" max="4102" width="3.42578125" style="8" customWidth="1"/>
    <col min="4103" max="4103" width="6.5703125" style="8" customWidth="1"/>
    <col min="4104" max="4104" width="55.5703125" style="8" customWidth="1"/>
    <col min="4105" max="4106" width="12.42578125" style="8" customWidth="1"/>
    <col min="4107" max="4107" width="9.42578125" style="8"/>
    <col min="4108" max="4108" width="3.42578125" style="8" customWidth="1"/>
    <col min="4109" max="4357" width="9.42578125" style="8"/>
    <col min="4358" max="4358" width="3.42578125" style="8" customWidth="1"/>
    <col min="4359" max="4359" width="6.5703125" style="8" customWidth="1"/>
    <col min="4360" max="4360" width="55.5703125" style="8" customWidth="1"/>
    <col min="4361" max="4362" width="12.42578125" style="8" customWidth="1"/>
    <col min="4363" max="4363" width="9.42578125" style="8"/>
    <col min="4364" max="4364" width="3.42578125" style="8" customWidth="1"/>
    <col min="4365" max="4613" width="9.42578125" style="8"/>
    <col min="4614" max="4614" width="3.42578125" style="8" customWidth="1"/>
    <col min="4615" max="4615" width="6.5703125" style="8" customWidth="1"/>
    <col min="4616" max="4616" width="55.5703125" style="8" customWidth="1"/>
    <col min="4617" max="4618" width="12.42578125" style="8" customWidth="1"/>
    <col min="4619" max="4619" width="9.42578125" style="8"/>
    <col min="4620" max="4620" width="3.42578125" style="8" customWidth="1"/>
    <col min="4621" max="4869" width="9.42578125" style="8"/>
    <col min="4870" max="4870" width="3.42578125" style="8" customWidth="1"/>
    <col min="4871" max="4871" width="6.5703125" style="8" customWidth="1"/>
    <col min="4872" max="4872" width="55.5703125" style="8" customWidth="1"/>
    <col min="4873" max="4874" width="12.42578125" style="8" customWidth="1"/>
    <col min="4875" max="4875" width="9.42578125" style="8"/>
    <col min="4876" max="4876" width="3.42578125" style="8" customWidth="1"/>
    <col min="4877" max="5125" width="9.42578125" style="8"/>
    <col min="5126" max="5126" width="3.42578125" style="8" customWidth="1"/>
    <col min="5127" max="5127" width="6.5703125" style="8" customWidth="1"/>
    <col min="5128" max="5128" width="55.5703125" style="8" customWidth="1"/>
    <col min="5129" max="5130" width="12.42578125" style="8" customWidth="1"/>
    <col min="5131" max="5131" width="9.42578125" style="8"/>
    <col min="5132" max="5132" width="3.42578125" style="8" customWidth="1"/>
    <col min="5133" max="5381" width="9.42578125" style="8"/>
    <col min="5382" max="5382" width="3.42578125" style="8" customWidth="1"/>
    <col min="5383" max="5383" width="6.5703125" style="8" customWidth="1"/>
    <col min="5384" max="5384" width="55.5703125" style="8" customWidth="1"/>
    <col min="5385" max="5386" width="12.42578125" style="8" customWidth="1"/>
    <col min="5387" max="5387" width="9.42578125" style="8"/>
    <col min="5388" max="5388" width="3.42578125" style="8" customWidth="1"/>
    <col min="5389" max="5637" width="9.42578125" style="8"/>
    <col min="5638" max="5638" width="3.42578125" style="8" customWidth="1"/>
    <col min="5639" max="5639" width="6.5703125" style="8" customWidth="1"/>
    <col min="5640" max="5640" width="55.5703125" style="8" customWidth="1"/>
    <col min="5641" max="5642" width="12.42578125" style="8" customWidth="1"/>
    <col min="5643" max="5643" width="9.42578125" style="8"/>
    <col min="5644" max="5644" width="3.42578125" style="8" customWidth="1"/>
    <col min="5645" max="5893" width="9.42578125" style="8"/>
    <col min="5894" max="5894" width="3.42578125" style="8" customWidth="1"/>
    <col min="5895" max="5895" width="6.5703125" style="8" customWidth="1"/>
    <col min="5896" max="5896" width="55.5703125" style="8" customWidth="1"/>
    <col min="5897" max="5898" width="12.42578125" style="8" customWidth="1"/>
    <col min="5899" max="5899" width="9.42578125" style="8"/>
    <col min="5900" max="5900" width="3.42578125" style="8" customWidth="1"/>
    <col min="5901" max="6149" width="9.42578125" style="8"/>
    <col min="6150" max="6150" width="3.42578125" style="8" customWidth="1"/>
    <col min="6151" max="6151" width="6.5703125" style="8" customWidth="1"/>
    <col min="6152" max="6152" width="55.5703125" style="8" customWidth="1"/>
    <col min="6153" max="6154" width="12.42578125" style="8" customWidth="1"/>
    <col min="6155" max="6155" width="9.42578125" style="8"/>
    <col min="6156" max="6156" width="3.42578125" style="8" customWidth="1"/>
    <col min="6157" max="6405" width="9.42578125" style="8"/>
    <col min="6406" max="6406" width="3.42578125" style="8" customWidth="1"/>
    <col min="6407" max="6407" width="6.5703125" style="8" customWidth="1"/>
    <col min="6408" max="6408" width="55.5703125" style="8" customWidth="1"/>
    <col min="6409" max="6410" width="12.42578125" style="8" customWidth="1"/>
    <col min="6411" max="6411" width="9.42578125" style="8"/>
    <col min="6412" max="6412" width="3.42578125" style="8" customWidth="1"/>
    <col min="6413" max="6661" width="9.42578125" style="8"/>
    <col min="6662" max="6662" width="3.42578125" style="8" customWidth="1"/>
    <col min="6663" max="6663" width="6.5703125" style="8" customWidth="1"/>
    <col min="6664" max="6664" width="55.5703125" style="8" customWidth="1"/>
    <col min="6665" max="6666" width="12.42578125" style="8" customWidth="1"/>
    <col min="6667" max="6667" width="9.42578125" style="8"/>
    <col min="6668" max="6668" width="3.42578125" style="8" customWidth="1"/>
    <col min="6669" max="6917" width="9.42578125" style="8"/>
    <col min="6918" max="6918" width="3.42578125" style="8" customWidth="1"/>
    <col min="6919" max="6919" width="6.5703125" style="8" customWidth="1"/>
    <col min="6920" max="6920" width="55.5703125" style="8" customWidth="1"/>
    <col min="6921" max="6922" width="12.42578125" style="8" customWidth="1"/>
    <col min="6923" max="6923" width="9.42578125" style="8"/>
    <col min="6924" max="6924" width="3.42578125" style="8" customWidth="1"/>
    <col min="6925" max="7173" width="9.42578125" style="8"/>
    <col min="7174" max="7174" width="3.42578125" style="8" customWidth="1"/>
    <col min="7175" max="7175" width="6.5703125" style="8" customWidth="1"/>
    <col min="7176" max="7176" width="55.5703125" style="8" customWidth="1"/>
    <col min="7177" max="7178" width="12.42578125" style="8" customWidth="1"/>
    <col min="7179" max="7179" width="9.42578125" style="8"/>
    <col min="7180" max="7180" width="3.42578125" style="8" customWidth="1"/>
    <col min="7181" max="7429" width="9.42578125" style="8"/>
    <col min="7430" max="7430" width="3.42578125" style="8" customWidth="1"/>
    <col min="7431" max="7431" width="6.5703125" style="8" customWidth="1"/>
    <col min="7432" max="7432" width="55.5703125" style="8" customWidth="1"/>
    <col min="7433" max="7434" width="12.42578125" style="8" customWidth="1"/>
    <col min="7435" max="7435" width="9.42578125" style="8"/>
    <col min="7436" max="7436" width="3.42578125" style="8" customWidth="1"/>
    <col min="7437" max="7685" width="9.42578125" style="8"/>
    <col min="7686" max="7686" width="3.42578125" style="8" customWidth="1"/>
    <col min="7687" max="7687" width="6.5703125" style="8" customWidth="1"/>
    <col min="7688" max="7688" width="55.5703125" style="8" customWidth="1"/>
    <col min="7689" max="7690" width="12.42578125" style="8" customWidth="1"/>
    <col min="7691" max="7691" width="9.42578125" style="8"/>
    <col min="7692" max="7692" width="3.42578125" style="8" customWidth="1"/>
    <col min="7693" max="7941" width="9.42578125" style="8"/>
    <col min="7942" max="7942" width="3.42578125" style="8" customWidth="1"/>
    <col min="7943" max="7943" width="6.5703125" style="8" customWidth="1"/>
    <col min="7944" max="7944" width="55.5703125" style="8" customWidth="1"/>
    <col min="7945" max="7946" width="12.42578125" style="8" customWidth="1"/>
    <col min="7947" max="7947" width="9.42578125" style="8"/>
    <col min="7948" max="7948" width="3.42578125" style="8" customWidth="1"/>
    <col min="7949" max="8197" width="9.42578125" style="8"/>
    <col min="8198" max="8198" width="3.42578125" style="8" customWidth="1"/>
    <col min="8199" max="8199" width="6.5703125" style="8" customWidth="1"/>
    <col min="8200" max="8200" width="55.5703125" style="8" customWidth="1"/>
    <col min="8201" max="8202" width="12.42578125" style="8" customWidth="1"/>
    <col min="8203" max="8203" width="9.42578125" style="8"/>
    <col min="8204" max="8204" width="3.42578125" style="8" customWidth="1"/>
    <col min="8205" max="8453" width="9.42578125" style="8"/>
    <col min="8454" max="8454" width="3.42578125" style="8" customWidth="1"/>
    <col min="8455" max="8455" width="6.5703125" style="8" customWidth="1"/>
    <col min="8456" max="8456" width="55.5703125" style="8" customWidth="1"/>
    <col min="8457" max="8458" width="12.42578125" style="8" customWidth="1"/>
    <col min="8459" max="8459" width="9.42578125" style="8"/>
    <col min="8460" max="8460" width="3.42578125" style="8" customWidth="1"/>
    <col min="8461" max="8709" width="9.42578125" style="8"/>
    <col min="8710" max="8710" width="3.42578125" style="8" customWidth="1"/>
    <col min="8711" max="8711" width="6.5703125" style="8" customWidth="1"/>
    <col min="8712" max="8712" width="55.5703125" style="8" customWidth="1"/>
    <col min="8713" max="8714" width="12.42578125" style="8" customWidth="1"/>
    <col min="8715" max="8715" width="9.42578125" style="8"/>
    <col min="8716" max="8716" width="3.42578125" style="8" customWidth="1"/>
    <col min="8717" max="8965" width="9.42578125" style="8"/>
    <col min="8966" max="8966" width="3.42578125" style="8" customWidth="1"/>
    <col min="8967" max="8967" width="6.5703125" style="8" customWidth="1"/>
    <col min="8968" max="8968" width="55.5703125" style="8" customWidth="1"/>
    <col min="8969" max="8970" width="12.42578125" style="8" customWidth="1"/>
    <col min="8971" max="8971" width="9.42578125" style="8"/>
    <col min="8972" max="8972" width="3.42578125" style="8" customWidth="1"/>
    <col min="8973" max="9221" width="9.42578125" style="8"/>
    <col min="9222" max="9222" width="3.42578125" style="8" customWidth="1"/>
    <col min="9223" max="9223" width="6.5703125" style="8" customWidth="1"/>
    <col min="9224" max="9224" width="55.5703125" style="8" customWidth="1"/>
    <col min="9225" max="9226" width="12.42578125" style="8" customWidth="1"/>
    <col min="9227" max="9227" width="9.42578125" style="8"/>
    <col min="9228" max="9228" width="3.42578125" style="8" customWidth="1"/>
    <col min="9229" max="9477" width="9.42578125" style="8"/>
    <col min="9478" max="9478" width="3.42578125" style="8" customWidth="1"/>
    <col min="9479" max="9479" width="6.5703125" style="8" customWidth="1"/>
    <col min="9480" max="9480" width="55.5703125" style="8" customWidth="1"/>
    <col min="9481" max="9482" width="12.42578125" style="8" customWidth="1"/>
    <col min="9483" max="9483" width="9.42578125" style="8"/>
    <col min="9484" max="9484" width="3.42578125" style="8" customWidth="1"/>
    <col min="9485" max="9733" width="9.42578125" style="8"/>
    <col min="9734" max="9734" width="3.42578125" style="8" customWidth="1"/>
    <col min="9735" max="9735" width="6.5703125" style="8" customWidth="1"/>
    <col min="9736" max="9736" width="55.5703125" style="8" customWidth="1"/>
    <col min="9737" max="9738" width="12.42578125" style="8" customWidth="1"/>
    <col min="9739" max="9739" width="9.42578125" style="8"/>
    <col min="9740" max="9740" width="3.42578125" style="8" customWidth="1"/>
    <col min="9741" max="9989" width="9.42578125" style="8"/>
    <col min="9990" max="9990" width="3.42578125" style="8" customWidth="1"/>
    <col min="9991" max="9991" width="6.5703125" style="8" customWidth="1"/>
    <col min="9992" max="9992" width="55.5703125" style="8" customWidth="1"/>
    <col min="9993" max="9994" width="12.42578125" style="8" customWidth="1"/>
    <col min="9995" max="9995" width="9.42578125" style="8"/>
    <col min="9996" max="9996" width="3.42578125" style="8" customWidth="1"/>
    <col min="9997" max="10245" width="9.42578125" style="8"/>
    <col min="10246" max="10246" width="3.42578125" style="8" customWidth="1"/>
    <col min="10247" max="10247" width="6.5703125" style="8" customWidth="1"/>
    <col min="10248" max="10248" width="55.5703125" style="8" customWidth="1"/>
    <col min="10249" max="10250" width="12.42578125" style="8" customWidth="1"/>
    <col min="10251" max="10251" width="9.42578125" style="8"/>
    <col min="10252" max="10252" width="3.42578125" style="8" customWidth="1"/>
    <col min="10253" max="10501" width="9.42578125" style="8"/>
    <col min="10502" max="10502" width="3.42578125" style="8" customWidth="1"/>
    <col min="10503" max="10503" width="6.5703125" style="8" customWidth="1"/>
    <col min="10504" max="10504" width="55.5703125" style="8" customWidth="1"/>
    <col min="10505" max="10506" width="12.42578125" style="8" customWidth="1"/>
    <col min="10507" max="10507" width="9.42578125" style="8"/>
    <col min="10508" max="10508" width="3.42578125" style="8" customWidth="1"/>
    <col min="10509" max="10757" width="9.42578125" style="8"/>
    <col min="10758" max="10758" width="3.42578125" style="8" customWidth="1"/>
    <col min="10759" max="10759" width="6.5703125" style="8" customWidth="1"/>
    <col min="10760" max="10760" width="55.5703125" style="8" customWidth="1"/>
    <col min="10761" max="10762" width="12.42578125" style="8" customWidth="1"/>
    <col min="10763" max="10763" width="9.42578125" style="8"/>
    <col min="10764" max="10764" width="3.42578125" style="8" customWidth="1"/>
    <col min="10765" max="11013" width="9.42578125" style="8"/>
    <col min="11014" max="11014" width="3.42578125" style="8" customWidth="1"/>
    <col min="11015" max="11015" width="6.5703125" style="8" customWidth="1"/>
    <col min="11016" max="11016" width="55.5703125" style="8" customWidth="1"/>
    <col min="11017" max="11018" width="12.42578125" style="8" customWidth="1"/>
    <col min="11019" max="11019" width="9.42578125" style="8"/>
    <col min="11020" max="11020" width="3.42578125" style="8" customWidth="1"/>
    <col min="11021" max="11269" width="9.42578125" style="8"/>
    <col min="11270" max="11270" width="3.42578125" style="8" customWidth="1"/>
    <col min="11271" max="11271" width="6.5703125" style="8" customWidth="1"/>
    <col min="11272" max="11272" width="55.5703125" style="8" customWidth="1"/>
    <col min="11273" max="11274" width="12.42578125" style="8" customWidth="1"/>
    <col min="11275" max="11275" width="9.42578125" style="8"/>
    <col min="11276" max="11276" width="3.42578125" style="8" customWidth="1"/>
    <col min="11277" max="11525" width="9.42578125" style="8"/>
    <col min="11526" max="11526" width="3.42578125" style="8" customWidth="1"/>
    <col min="11527" max="11527" width="6.5703125" style="8" customWidth="1"/>
    <col min="11528" max="11528" width="55.5703125" style="8" customWidth="1"/>
    <col min="11529" max="11530" width="12.42578125" style="8" customWidth="1"/>
    <col min="11531" max="11531" width="9.42578125" style="8"/>
    <col min="11532" max="11532" width="3.42578125" style="8" customWidth="1"/>
    <col min="11533" max="11781" width="9.42578125" style="8"/>
    <col min="11782" max="11782" width="3.42578125" style="8" customWidth="1"/>
    <col min="11783" max="11783" width="6.5703125" style="8" customWidth="1"/>
    <col min="11784" max="11784" width="55.5703125" style="8" customWidth="1"/>
    <col min="11785" max="11786" width="12.42578125" style="8" customWidth="1"/>
    <col min="11787" max="11787" width="9.42578125" style="8"/>
    <col min="11788" max="11788" width="3.42578125" style="8" customWidth="1"/>
    <col min="11789" max="12037" width="9.42578125" style="8"/>
    <col min="12038" max="12038" width="3.42578125" style="8" customWidth="1"/>
    <col min="12039" max="12039" width="6.5703125" style="8" customWidth="1"/>
    <col min="12040" max="12040" width="55.5703125" style="8" customWidth="1"/>
    <col min="12041" max="12042" width="12.42578125" style="8" customWidth="1"/>
    <col min="12043" max="12043" width="9.42578125" style="8"/>
    <col min="12044" max="12044" width="3.42578125" style="8" customWidth="1"/>
    <col min="12045" max="12293" width="9.42578125" style="8"/>
    <col min="12294" max="12294" width="3.42578125" style="8" customWidth="1"/>
    <col min="12295" max="12295" width="6.5703125" style="8" customWidth="1"/>
    <col min="12296" max="12296" width="55.5703125" style="8" customWidth="1"/>
    <col min="12297" max="12298" width="12.42578125" style="8" customWidth="1"/>
    <col min="12299" max="12299" width="9.42578125" style="8"/>
    <col min="12300" max="12300" width="3.42578125" style="8" customWidth="1"/>
    <col min="12301" max="12549" width="9.42578125" style="8"/>
    <col min="12550" max="12550" width="3.42578125" style="8" customWidth="1"/>
    <col min="12551" max="12551" width="6.5703125" style="8" customWidth="1"/>
    <col min="12552" max="12552" width="55.5703125" style="8" customWidth="1"/>
    <col min="12553" max="12554" width="12.42578125" style="8" customWidth="1"/>
    <col min="12555" max="12555" width="9.42578125" style="8"/>
    <col min="12556" max="12556" width="3.42578125" style="8" customWidth="1"/>
    <col min="12557" max="12805" width="9.42578125" style="8"/>
    <col min="12806" max="12806" width="3.42578125" style="8" customWidth="1"/>
    <col min="12807" max="12807" width="6.5703125" style="8" customWidth="1"/>
    <col min="12808" max="12808" width="55.5703125" style="8" customWidth="1"/>
    <col min="12809" max="12810" width="12.42578125" style="8" customWidth="1"/>
    <col min="12811" max="12811" width="9.42578125" style="8"/>
    <col min="12812" max="12812" width="3.42578125" style="8" customWidth="1"/>
    <col min="12813" max="13061" width="9.42578125" style="8"/>
    <col min="13062" max="13062" width="3.42578125" style="8" customWidth="1"/>
    <col min="13063" max="13063" width="6.5703125" style="8" customWidth="1"/>
    <col min="13064" max="13064" width="55.5703125" style="8" customWidth="1"/>
    <col min="13065" max="13066" width="12.42578125" style="8" customWidth="1"/>
    <col min="13067" max="13067" width="9.42578125" style="8"/>
    <col min="13068" max="13068" width="3.42578125" style="8" customWidth="1"/>
    <col min="13069" max="13317" width="9.42578125" style="8"/>
    <col min="13318" max="13318" width="3.42578125" style="8" customWidth="1"/>
    <col min="13319" max="13319" width="6.5703125" style="8" customWidth="1"/>
    <col min="13320" max="13320" width="55.5703125" style="8" customWidth="1"/>
    <col min="13321" max="13322" width="12.42578125" style="8" customWidth="1"/>
    <col min="13323" max="13323" width="9.42578125" style="8"/>
    <col min="13324" max="13324" width="3.42578125" style="8" customWidth="1"/>
    <col min="13325" max="13573" width="9.42578125" style="8"/>
    <col min="13574" max="13574" width="3.42578125" style="8" customWidth="1"/>
    <col min="13575" max="13575" width="6.5703125" style="8" customWidth="1"/>
    <col min="13576" max="13576" width="55.5703125" style="8" customWidth="1"/>
    <col min="13577" max="13578" width="12.42578125" style="8" customWidth="1"/>
    <col min="13579" max="13579" width="9.42578125" style="8"/>
    <col min="13580" max="13580" width="3.42578125" style="8" customWidth="1"/>
    <col min="13581" max="13829" width="9.42578125" style="8"/>
    <col min="13830" max="13830" width="3.42578125" style="8" customWidth="1"/>
    <col min="13831" max="13831" width="6.5703125" style="8" customWidth="1"/>
    <col min="13832" max="13832" width="55.5703125" style="8" customWidth="1"/>
    <col min="13833" max="13834" width="12.42578125" style="8" customWidth="1"/>
    <col min="13835" max="13835" width="9.42578125" style="8"/>
    <col min="13836" max="13836" width="3.42578125" style="8" customWidth="1"/>
    <col min="13837" max="14085" width="9.42578125" style="8"/>
    <col min="14086" max="14086" width="3.42578125" style="8" customWidth="1"/>
    <col min="14087" max="14087" width="6.5703125" style="8" customWidth="1"/>
    <col min="14088" max="14088" width="55.5703125" style="8" customWidth="1"/>
    <col min="14089" max="14090" width="12.42578125" style="8" customWidth="1"/>
    <col min="14091" max="14091" width="9.42578125" style="8"/>
    <col min="14092" max="14092" width="3.42578125" style="8" customWidth="1"/>
    <col min="14093" max="14341" width="9.42578125" style="8"/>
    <col min="14342" max="14342" width="3.42578125" style="8" customWidth="1"/>
    <col min="14343" max="14343" width="6.5703125" style="8" customWidth="1"/>
    <col min="14344" max="14344" width="55.5703125" style="8" customWidth="1"/>
    <col min="14345" max="14346" width="12.42578125" style="8" customWidth="1"/>
    <col min="14347" max="14347" width="9.42578125" style="8"/>
    <col min="14348" max="14348" width="3.42578125" style="8" customWidth="1"/>
    <col min="14349" max="14597" width="9.42578125" style="8"/>
    <col min="14598" max="14598" width="3.42578125" style="8" customWidth="1"/>
    <col min="14599" max="14599" width="6.5703125" style="8" customWidth="1"/>
    <col min="14600" max="14600" width="55.5703125" style="8" customWidth="1"/>
    <col min="14601" max="14602" width="12.42578125" style="8" customWidth="1"/>
    <col min="14603" max="14603" width="9.42578125" style="8"/>
    <col min="14604" max="14604" width="3.42578125" style="8" customWidth="1"/>
    <col min="14605" max="14853" width="9.42578125" style="8"/>
    <col min="14854" max="14854" width="3.42578125" style="8" customWidth="1"/>
    <col min="14855" max="14855" width="6.5703125" style="8" customWidth="1"/>
    <col min="14856" max="14856" width="55.5703125" style="8" customWidth="1"/>
    <col min="14857" max="14858" width="12.42578125" style="8" customWidth="1"/>
    <col min="14859" max="14859" width="9.42578125" style="8"/>
    <col min="14860" max="14860" width="3.42578125" style="8" customWidth="1"/>
    <col min="14861" max="15109" width="9.42578125" style="8"/>
    <col min="15110" max="15110" width="3.42578125" style="8" customWidth="1"/>
    <col min="15111" max="15111" width="6.5703125" style="8" customWidth="1"/>
    <col min="15112" max="15112" width="55.5703125" style="8" customWidth="1"/>
    <col min="15113" max="15114" width="12.42578125" style="8" customWidth="1"/>
    <col min="15115" max="15115" width="9.42578125" style="8"/>
    <col min="15116" max="15116" width="3.42578125" style="8" customWidth="1"/>
    <col min="15117" max="15365" width="9.42578125" style="8"/>
    <col min="15366" max="15366" width="3.42578125" style="8" customWidth="1"/>
    <col min="15367" max="15367" width="6.5703125" style="8" customWidth="1"/>
    <col min="15368" max="15368" width="55.5703125" style="8" customWidth="1"/>
    <col min="15369" max="15370" width="12.42578125" style="8" customWidth="1"/>
    <col min="15371" max="15371" width="9.42578125" style="8"/>
    <col min="15372" max="15372" width="3.42578125" style="8" customWidth="1"/>
    <col min="15373" max="15621" width="9.42578125" style="8"/>
    <col min="15622" max="15622" width="3.42578125" style="8" customWidth="1"/>
    <col min="15623" max="15623" width="6.5703125" style="8" customWidth="1"/>
    <col min="15624" max="15624" width="55.5703125" style="8" customWidth="1"/>
    <col min="15625" max="15626" width="12.42578125" style="8" customWidth="1"/>
    <col min="15627" max="15627" width="9.42578125" style="8"/>
    <col min="15628" max="15628" width="3.42578125" style="8" customWidth="1"/>
    <col min="15629" max="15877" width="9.42578125" style="8"/>
    <col min="15878" max="15878" width="3.42578125" style="8" customWidth="1"/>
    <col min="15879" max="15879" width="6.5703125" style="8" customWidth="1"/>
    <col min="15880" max="15880" width="55.5703125" style="8" customWidth="1"/>
    <col min="15881" max="15882" width="12.42578125" style="8" customWidth="1"/>
    <col min="15883" max="15883" width="9.42578125" style="8"/>
    <col min="15884" max="15884" width="3.42578125" style="8" customWidth="1"/>
    <col min="15885" max="16133" width="9.42578125" style="8"/>
    <col min="16134" max="16134" width="3.42578125" style="8" customWidth="1"/>
    <col min="16135" max="16135" width="6.5703125" style="8" customWidth="1"/>
    <col min="16136" max="16136" width="55.5703125" style="8" customWidth="1"/>
    <col min="16137" max="16138" width="12.42578125" style="8" customWidth="1"/>
    <col min="16139" max="16139" width="9.42578125" style="8"/>
    <col min="16140" max="16140" width="3.42578125" style="8" customWidth="1"/>
    <col min="16141" max="16384" width="9.42578125" style="8"/>
  </cols>
  <sheetData>
    <row r="1" spans="1:27" s="1" customFormat="1" ht="45" customHeight="1">
      <c r="A1" s="538" t="s">
        <v>0</v>
      </c>
      <c r="B1" s="539"/>
      <c r="C1" s="539"/>
      <c r="D1" s="539"/>
      <c r="E1" s="539"/>
      <c r="F1" s="539"/>
      <c r="G1" s="539"/>
      <c r="H1" s="539"/>
      <c r="I1" s="539"/>
      <c r="J1" s="540"/>
      <c r="K1" s="144" t="s">
        <v>1</v>
      </c>
    </row>
    <row r="2" spans="1:27" s="1" customFormat="1" ht="15.75">
      <c r="A2" s="29"/>
      <c r="B2" s="541"/>
      <c r="C2" s="541"/>
      <c r="D2" s="541"/>
      <c r="E2" s="541"/>
      <c r="F2" s="541"/>
      <c r="G2" s="541"/>
      <c r="H2" s="541"/>
      <c r="I2" s="541"/>
      <c r="J2" s="31"/>
    </row>
    <row r="3" spans="1:27" s="1" customFormat="1" ht="15.75">
      <c r="A3" s="29"/>
      <c r="B3" s="30"/>
      <c r="C3" s="30"/>
      <c r="D3" s="30"/>
      <c r="E3" s="30"/>
      <c r="F3" s="30"/>
      <c r="G3" s="30"/>
      <c r="H3" s="30"/>
      <c r="I3" s="30"/>
      <c r="J3" s="31"/>
    </row>
    <row r="4" spans="1:27" s="1" customFormat="1" ht="15.75">
      <c r="A4" s="29"/>
      <c r="B4" s="30"/>
      <c r="C4" s="30"/>
      <c r="D4" s="30"/>
      <c r="E4" s="30"/>
      <c r="F4" s="30"/>
      <c r="G4" s="30"/>
      <c r="H4" s="30"/>
      <c r="I4" s="30"/>
      <c r="J4" s="31"/>
    </row>
    <row r="5" spans="1:27" s="1" customFormat="1" ht="15.75">
      <c r="A5" s="29"/>
      <c r="B5" s="30"/>
      <c r="C5" s="30"/>
      <c r="D5" s="30"/>
      <c r="E5" s="30"/>
      <c r="F5" s="30"/>
      <c r="G5" s="30"/>
      <c r="H5" s="30"/>
      <c r="I5" s="30"/>
      <c r="J5" s="31"/>
    </row>
    <row r="6" spans="1:27" s="1" customFormat="1" ht="15.75">
      <c r="A6" s="29"/>
      <c r="B6" s="30"/>
      <c r="C6" s="30"/>
      <c r="D6" s="30"/>
      <c r="E6" s="30"/>
      <c r="F6" s="30"/>
      <c r="G6" s="30"/>
      <c r="H6" s="30"/>
      <c r="I6" s="30"/>
      <c r="J6" s="31"/>
      <c r="N6" s="336" t="s">
        <v>2</v>
      </c>
    </row>
    <row r="7" spans="1:27" s="1" customFormat="1" ht="15.75">
      <c r="A7" s="29"/>
      <c r="B7" s="30"/>
      <c r="C7" s="30"/>
      <c r="D7" s="30"/>
      <c r="E7" s="30"/>
      <c r="F7" s="30"/>
      <c r="G7" s="30"/>
      <c r="H7" s="30"/>
      <c r="I7" s="30"/>
      <c r="J7" s="31"/>
      <c r="N7" s="336" t="s">
        <v>3</v>
      </c>
    </row>
    <row r="8" spans="1:27" s="1" customFormat="1" ht="15.75">
      <c r="A8" s="29"/>
      <c r="B8" s="30"/>
      <c r="C8" s="30"/>
      <c r="D8" s="30"/>
      <c r="E8" s="30"/>
      <c r="F8" s="30"/>
      <c r="G8" s="30"/>
      <c r="H8" s="30"/>
      <c r="I8" s="30"/>
      <c r="J8" s="31"/>
    </row>
    <row r="9" spans="1:27" s="1" customFormat="1" ht="15.75">
      <c r="A9" s="29"/>
      <c r="B9" s="30"/>
      <c r="C9" s="30"/>
      <c r="D9" s="30"/>
      <c r="E9" s="30"/>
      <c r="F9" s="30"/>
      <c r="G9" s="30"/>
      <c r="H9" s="30"/>
      <c r="I9" s="30"/>
      <c r="J9" s="31"/>
    </row>
    <row r="10" spans="1:27" s="1" customFormat="1" ht="15.75">
      <c r="A10" s="29"/>
      <c r="B10" s="30"/>
      <c r="C10" s="30"/>
      <c r="D10" s="30"/>
      <c r="E10" s="30"/>
      <c r="F10" s="30"/>
      <c r="G10" s="30"/>
      <c r="H10" s="30"/>
      <c r="I10" s="30"/>
      <c r="J10" s="31"/>
    </row>
    <row r="11" spans="1:27" s="1" customFormat="1" ht="15.75">
      <c r="A11" s="29"/>
      <c r="B11" s="30"/>
      <c r="C11" s="30"/>
      <c r="D11" s="30"/>
      <c r="E11" s="30"/>
      <c r="F11" s="30"/>
      <c r="G11" s="30"/>
      <c r="H11" s="30"/>
      <c r="I11" s="30"/>
      <c r="J11" s="31"/>
    </row>
    <row r="12" spans="1:27" s="1" customFormat="1">
      <c r="A12" s="20"/>
      <c r="B12" s="28"/>
      <c r="C12" s="28"/>
      <c r="D12" s="28"/>
      <c r="E12" s="28"/>
      <c r="F12" s="28"/>
      <c r="G12" s="28"/>
      <c r="H12" s="28"/>
      <c r="I12" s="28"/>
      <c r="J12" s="21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1" customFormat="1" ht="69.75" customHeight="1">
      <c r="A13" s="20"/>
      <c r="B13" s="542" t="s">
        <v>4</v>
      </c>
      <c r="C13" s="542"/>
      <c r="D13" s="542"/>
      <c r="E13" s="542"/>
      <c r="F13" s="542"/>
      <c r="G13" s="542"/>
      <c r="H13" s="542"/>
      <c r="I13" s="542"/>
      <c r="J13" s="21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s="1" customFormat="1" ht="15" customHeight="1">
      <c r="A14" s="20"/>
      <c r="B14" s="543"/>
      <c r="C14" s="543"/>
      <c r="D14" s="543"/>
      <c r="E14" s="543"/>
      <c r="F14" s="543"/>
      <c r="G14" s="543"/>
      <c r="H14" s="543"/>
      <c r="I14" s="543"/>
      <c r="J14" s="21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s="1" customFormat="1" ht="15" customHeight="1">
      <c r="A15" s="20"/>
      <c r="B15" s="544"/>
      <c r="C15" s="544"/>
      <c r="D15" s="544"/>
      <c r="E15" s="544"/>
      <c r="F15" s="544"/>
      <c r="G15" s="544"/>
      <c r="H15" s="544"/>
      <c r="I15" s="544"/>
      <c r="J15" s="2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s="1" customFormat="1" ht="15" customHeight="1">
      <c r="A16" s="20"/>
      <c r="B16" s="544"/>
      <c r="C16" s="544"/>
      <c r="D16" s="544"/>
      <c r="E16" s="544"/>
      <c r="F16" s="544"/>
      <c r="G16" s="544"/>
      <c r="H16" s="544"/>
      <c r="I16" s="544"/>
      <c r="J16" s="21"/>
      <c r="K16" s="2"/>
      <c r="L16" s="2"/>
      <c r="M16" s="2"/>
      <c r="N16" s="2"/>
      <c r="O16" s="2"/>
      <c r="P16" s="2"/>
      <c r="Q16" s="2"/>
      <c r="R16" s="2"/>
      <c r="S16" s="2"/>
      <c r="T16" s="2"/>
      <c r="U16" s="3"/>
      <c r="V16" s="3"/>
      <c r="W16" s="3"/>
      <c r="X16" s="3"/>
      <c r="Y16" s="3"/>
      <c r="Z16" s="3"/>
      <c r="AA16" s="3"/>
    </row>
    <row r="17" spans="1:27" s="1" customFormat="1" ht="15" customHeight="1">
      <c r="A17" s="20"/>
      <c r="B17" s="257"/>
      <c r="C17" s="258"/>
      <c r="D17" s="258"/>
      <c r="E17" s="258"/>
      <c r="F17" s="258"/>
      <c r="G17" s="258"/>
      <c r="H17" s="12"/>
      <c r="I17" s="12"/>
      <c r="J17" s="21"/>
      <c r="K17" s="144" t="s">
        <v>5</v>
      </c>
      <c r="L17" s="2"/>
      <c r="M17" s="2"/>
      <c r="N17" s="2"/>
      <c r="O17" s="2"/>
      <c r="P17" s="2"/>
      <c r="Q17" s="2"/>
      <c r="R17" s="2"/>
      <c r="S17" s="2"/>
      <c r="T17" s="2"/>
      <c r="U17" s="3"/>
      <c r="V17" s="3"/>
      <c r="W17" s="3"/>
      <c r="X17" s="3"/>
      <c r="Y17" s="3"/>
      <c r="Z17" s="3"/>
      <c r="AA17" s="3"/>
    </row>
    <row r="18" spans="1:27" s="6" customFormat="1" ht="15" customHeight="1">
      <c r="A18" s="22"/>
      <c r="B18" s="12"/>
      <c r="C18" s="139"/>
      <c r="D18" s="137"/>
      <c r="E18" s="140"/>
      <c r="F18" s="80"/>
      <c r="G18" s="12"/>
      <c r="H18" s="81"/>
      <c r="I18" s="12"/>
      <c r="J18" s="23"/>
      <c r="K18" s="4"/>
      <c r="L18" s="4"/>
      <c r="M18" s="4"/>
      <c r="N18" s="4"/>
      <c r="O18" s="4"/>
      <c r="P18" s="4"/>
      <c r="Q18" s="4"/>
      <c r="R18" s="4"/>
      <c r="S18" s="4"/>
      <c r="T18" s="4"/>
      <c r="U18" s="5"/>
      <c r="V18" s="5"/>
      <c r="W18" s="5"/>
      <c r="X18" s="5"/>
      <c r="Y18" s="5"/>
      <c r="Z18" s="5"/>
      <c r="AA18" s="5"/>
    </row>
    <row r="19" spans="1:27" s="6" customFormat="1" ht="15" customHeight="1">
      <c r="A19" s="22"/>
      <c r="B19" s="12"/>
      <c r="C19" s="138"/>
      <c r="D19" s="12"/>
      <c r="E19" s="140"/>
      <c r="F19" s="12"/>
      <c r="G19" s="12"/>
      <c r="H19" s="12"/>
      <c r="I19" s="12"/>
      <c r="J19" s="23"/>
      <c r="K19" s="4"/>
      <c r="L19" s="4"/>
      <c r="M19" s="4"/>
      <c r="N19" s="4"/>
      <c r="O19" s="4"/>
      <c r="P19" s="4"/>
      <c r="Q19" s="4"/>
      <c r="R19" s="4"/>
      <c r="S19" s="4"/>
      <c r="T19" s="4"/>
      <c r="U19" s="5"/>
      <c r="V19" s="5"/>
      <c r="W19" s="5"/>
      <c r="X19" s="5"/>
      <c r="Y19" s="5"/>
      <c r="Z19" s="5"/>
      <c r="AA19" s="5"/>
    </row>
    <row r="20" spans="1:27" s="6" customFormat="1" ht="15" customHeight="1">
      <c r="A20" s="22"/>
      <c r="B20" s="12"/>
      <c r="C20" s="136"/>
      <c r="D20" s="12"/>
      <c r="E20" s="12"/>
      <c r="F20" s="12"/>
      <c r="G20" s="12"/>
      <c r="H20" s="12"/>
      <c r="I20" s="12"/>
      <c r="J20" s="23"/>
      <c r="K20" s="4"/>
      <c r="L20" s="4"/>
      <c r="M20" s="4"/>
      <c r="N20" s="4"/>
      <c r="O20" s="4"/>
      <c r="P20" s="4"/>
      <c r="Q20" s="4"/>
      <c r="R20" s="4"/>
      <c r="S20" s="4"/>
      <c r="T20" s="4"/>
      <c r="U20" s="5"/>
      <c r="V20" s="5"/>
      <c r="W20" s="5"/>
      <c r="X20" s="5"/>
      <c r="Y20" s="5"/>
      <c r="Z20" s="5"/>
      <c r="AA20" s="5"/>
    </row>
    <row r="21" spans="1:27" s="6" customFormat="1" ht="15" customHeight="1">
      <c r="A21" s="22"/>
      <c r="B21" s="544"/>
      <c r="C21" s="544"/>
      <c r="D21" s="544"/>
      <c r="E21" s="544"/>
      <c r="F21" s="544"/>
      <c r="G21" s="544"/>
      <c r="H21" s="544"/>
      <c r="I21" s="544"/>
      <c r="J21" s="23"/>
      <c r="K21" s="4"/>
      <c r="L21" s="4"/>
      <c r="M21" s="4"/>
      <c r="N21" s="4"/>
      <c r="O21" s="4"/>
      <c r="P21" s="4"/>
      <c r="Q21" s="4"/>
      <c r="R21" s="4"/>
      <c r="S21" s="4"/>
      <c r="T21" s="4"/>
      <c r="U21" s="5"/>
      <c r="V21" s="5"/>
      <c r="W21" s="5"/>
      <c r="X21" s="5"/>
      <c r="Y21" s="5"/>
      <c r="Z21" s="5"/>
      <c r="AA21" s="5"/>
    </row>
    <row r="22" spans="1:27" s="6" customFormat="1" ht="15" customHeight="1">
      <c r="A22" s="22"/>
      <c r="B22" s="544"/>
      <c r="C22" s="544"/>
      <c r="D22" s="544"/>
      <c r="E22" s="544"/>
      <c r="F22" s="544"/>
      <c r="G22" s="544"/>
      <c r="H22" s="544"/>
      <c r="I22" s="544"/>
      <c r="J22" s="23"/>
      <c r="K22" s="4"/>
      <c r="L22" s="4"/>
      <c r="M22" s="4"/>
      <c r="N22" s="4"/>
      <c r="O22" s="4"/>
      <c r="P22" s="4"/>
      <c r="Q22" s="4"/>
      <c r="R22" s="4"/>
      <c r="S22" s="4"/>
      <c r="T22" s="4"/>
      <c r="U22" s="5"/>
      <c r="V22" s="5"/>
      <c r="W22" s="5"/>
      <c r="X22" s="5"/>
      <c r="Y22" s="5"/>
      <c r="Z22" s="5"/>
      <c r="AA22" s="5"/>
    </row>
    <row r="23" spans="1:27" s="6" customFormat="1" ht="15" customHeight="1">
      <c r="A23" s="22"/>
      <c r="B23" s="544"/>
      <c r="C23" s="544"/>
      <c r="D23" s="544"/>
      <c r="E23" s="544"/>
      <c r="F23" s="544"/>
      <c r="G23" s="544"/>
      <c r="H23" s="544"/>
      <c r="I23" s="544"/>
      <c r="J23" s="23"/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  <c r="V23" s="5"/>
      <c r="W23" s="5"/>
      <c r="X23" s="5"/>
      <c r="Y23" s="5"/>
      <c r="Z23" s="5"/>
      <c r="AA23" s="5"/>
    </row>
    <row r="24" spans="1:27" s="6" customFormat="1" ht="15" customHeight="1">
      <c r="A24" s="22"/>
      <c r="B24" s="180">
        <v>8</v>
      </c>
      <c r="C24" s="181" t="s">
        <v>6</v>
      </c>
      <c r="D24" s="182"/>
      <c r="E24" s="183"/>
      <c r="F24" s="547" t="s">
        <v>7</v>
      </c>
      <c r="G24" s="548"/>
      <c r="H24" s="184">
        <v>46091</v>
      </c>
      <c r="I24" s="185"/>
      <c r="J24" s="23"/>
      <c r="K24" s="4"/>
      <c r="L24" s="4"/>
      <c r="M24" s="4"/>
      <c r="N24" s="4"/>
      <c r="O24" s="4"/>
      <c r="P24" s="4"/>
      <c r="Q24" s="4"/>
      <c r="R24" s="4"/>
      <c r="S24" s="4"/>
      <c r="T24" s="4"/>
      <c r="U24" s="5"/>
      <c r="V24" s="5"/>
      <c r="W24" s="5"/>
      <c r="X24" s="5"/>
      <c r="Y24" s="5"/>
      <c r="Z24" s="5"/>
      <c r="AA24" s="5"/>
    </row>
    <row r="25" spans="1:27" s="6" customFormat="1" ht="15" customHeight="1">
      <c r="A25" s="22"/>
      <c r="B25" s="180">
        <v>7</v>
      </c>
      <c r="C25" s="181" t="s">
        <v>8</v>
      </c>
      <c r="D25" s="182"/>
      <c r="E25" s="183"/>
      <c r="F25" s="547" t="s">
        <v>7</v>
      </c>
      <c r="G25" s="548"/>
      <c r="H25" s="184">
        <v>46065</v>
      </c>
      <c r="I25" s="185"/>
      <c r="J25" s="23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  <c r="V25" s="5"/>
      <c r="W25" s="5"/>
      <c r="X25" s="5"/>
      <c r="Y25" s="5"/>
      <c r="Z25" s="5"/>
      <c r="AA25" s="5"/>
    </row>
    <row r="26" spans="1:27" s="1" customFormat="1" ht="15" customHeight="1">
      <c r="A26" s="20"/>
      <c r="B26" s="180">
        <v>6</v>
      </c>
      <c r="C26" s="181" t="s">
        <v>9</v>
      </c>
      <c r="D26" s="182"/>
      <c r="E26" s="183"/>
      <c r="F26" s="547" t="s">
        <v>7</v>
      </c>
      <c r="G26" s="548"/>
      <c r="H26" s="184">
        <v>45952</v>
      </c>
      <c r="I26" s="185"/>
      <c r="J26" s="24"/>
    </row>
    <row r="27" spans="1:27" s="1" customFormat="1" ht="15" customHeight="1">
      <c r="A27" s="20"/>
      <c r="B27" s="180">
        <v>5</v>
      </c>
      <c r="C27" s="181" t="s">
        <v>10</v>
      </c>
      <c r="D27" s="182"/>
      <c r="E27" s="183"/>
      <c r="F27" s="547" t="s">
        <v>7</v>
      </c>
      <c r="G27" s="548"/>
      <c r="H27" s="184">
        <v>45947</v>
      </c>
      <c r="I27" s="185"/>
      <c r="J27" s="24"/>
    </row>
    <row r="28" spans="1:27" s="1" customFormat="1" ht="15" customHeight="1">
      <c r="A28" s="20"/>
      <c r="B28" s="180">
        <v>4</v>
      </c>
      <c r="C28" s="181" t="s">
        <v>11</v>
      </c>
      <c r="D28" s="182"/>
      <c r="E28" s="183"/>
      <c r="F28" s="547" t="s">
        <v>7</v>
      </c>
      <c r="G28" s="548"/>
      <c r="H28" s="184">
        <v>45919</v>
      </c>
      <c r="I28" s="185"/>
      <c r="J28" s="24"/>
    </row>
    <row r="29" spans="1:27" s="1" customFormat="1" ht="15" customHeight="1">
      <c r="A29" s="20"/>
      <c r="B29" s="180">
        <v>3</v>
      </c>
      <c r="C29" s="181" t="s">
        <v>12</v>
      </c>
      <c r="D29" s="186"/>
      <c r="E29" s="187"/>
      <c r="F29" s="547" t="s">
        <v>7</v>
      </c>
      <c r="G29" s="548"/>
      <c r="H29" s="184">
        <v>45890</v>
      </c>
      <c r="I29" s="188"/>
      <c r="J29" s="24"/>
    </row>
    <row r="30" spans="1:27" s="1" customFormat="1" ht="15" customHeight="1">
      <c r="A30" s="20"/>
      <c r="B30" s="180">
        <v>2</v>
      </c>
      <c r="C30" s="181" t="s">
        <v>13</v>
      </c>
      <c r="D30" s="182"/>
      <c r="E30" s="183"/>
      <c r="F30" s="547" t="s">
        <v>7</v>
      </c>
      <c r="G30" s="548"/>
      <c r="H30" s="184">
        <v>45860</v>
      </c>
      <c r="I30" s="185"/>
      <c r="J30" s="24"/>
    </row>
    <row r="31" spans="1:27" s="1" customFormat="1" ht="15" customHeight="1">
      <c r="A31" s="20"/>
      <c r="B31" s="180">
        <v>1</v>
      </c>
      <c r="C31" s="181" t="s">
        <v>14</v>
      </c>
      <c r="D31" s="182"/>
      <c r="E31" s="183"/>
      <c r="F31" s="547" t="s">
        <v>7</v>
      </c>
      <c r="G31" s="548"/>
      <c r="H31" s="184">
        <v>45838</v>
      </c>
      <c r="I31" s="185"/>
      <c r="J31" s="24"/>
      <c r="K31" s="145" t="s">
        <v>15</v>
      </c>
    </row>
    <row r="32" spans="1:27" s="1" customFormat="1" ht="18" customHeight="1">
      <c r="A32" s="20"/>
      <c r="B32" s="189" t="s">
        <v>16</v>
      </c>
      <c r="C32" s="190" t="s">
        <v>17</v>
      </c>
      <c r="D32" s="191"/>
      <c r="E32" s="192"/>
      <c r="F32" s="545" t="s">
        <v>18</v>
      </c>
      <c r="G32" s="546"/>
      <c r="H32" s="193" t="s">
        <v>19</v>
      </c>
      <c r="I32" s="193" t="s">
        <v>20</v>
      </c>
      <c r="J32" s="24"/>
    </row>
    <row r="33" spans="1:11" s="1" customFormat="1" ht="18" customHeight="1">
      <c r="A33" s="20"/>
      <c r="B33" s="13"/>
      <c r="C33" s="14"/>
      <c r="D33" s="14"/>
      <c r="E33" s="14"/>
      <c r="F33" s="15"/>
      <c r="G33" s="15"/>
      <c r="H33" s="15"/>
      <c r="I33" s="16"/>
      <c r="J33" s="24"/>
    </row>
    <row r="34" spans="1:11" s="1" customFormat="1" ht="25.35" customHeight="1">
      <c r="A34" s="554" t="s">
        <v>21</v>
      </c>
      <c r="B34" s="601"/>
      <c r="C34" s="601"/>
      <c r="D34" s="194"/>
      <c r="E34" s="195"/>
      <c r="F34" s="555" t="s">
        <v>22</v>
      </c>
      <c r="G34" s="556"/>
      <c r="H34" s="196" t="s">
        <v>23</v>
      </c>
      <c r="I34" s="555" t="s">
        <v>24</v>
      </c>
      <c r="J34" s="557"/>
    </row>
    <row r="35" spans="1:11" s="1" customFormat="1" ht="25.35" customHeight="1">
      <c r="A35" s="197"/>
      <c r="B35" s="18" t="s">
        <v>25</v>
      </c>
      <c r="C35" s="18"/>
      <c r="D35" s="18"/>
      <c r="E35" s="19"/>
      <c r="F35" s="558" t="s">
        <v>7</v>
      </c>
      <c r="G35" s="559"/>
      <c r="H35" s="17" t="s">
        <v>26</v>
      </c>
      <c r="I35" s="560"/>
      <c r="J35" s="561"/>
      <c r="K35" s="145" t="s">
        <v>27</v>
      </c>
    </row>
    <row r="36" spans="1:11" s="1" customFormat="1" ht="25.35" customHeight="1" thickBot="1">
      <c r="A36" s="549"/>
      <c r="B36" s="550"/>
      <c r="C36" s="550"/>
      <c r="D36" s="25"/>
      <c r="E36" s="26"/>
      <c r="F36" s="551"/>
      <c r="G36" s="552"/>
      <c r="H36" s="27"/>
      <c r="I36" s="551"/>
      <c r="J36" s="553"/>
    </row>
    <row r="37" spans="1:11">
      <c r="A37" s="1"/>
    </row>
    <row r="38" spans="1:11">
      <c r="A38" s="1"/>
    </row>
    <row r="63" spans="1:14">
      <c r="N63" s="8" t="s">
        <v>28</v>
      </c>
    </row>
    <row r="64" spans="1:14">
      <c r="A64" s="8" t="s">
        <v>29</v>
      </c>
      <c r="E64" s="8" t="s">
        <v>30</v>
      </c>
      <c r="N64" s="8" t="s">
        <v>31</v>
      </c>
    </row>
    <row r="65" spans="1:14">
      <c r="A65" s="8" t="s">
        <v>32</v>
      </c>
      <c r="E65" s="8" t="s">
        <v>33</v>
      </c>
      <c r="N65" s="8" t="s">
        <v>31</v>
      </c>
    </row>
    <row r="90" spans="14:14">
      <c r="N90" s="8" t="s">
        <v>34</v>
      </c>
    </row>
    <row r="93" spans="14:14">
      <c r="N93" s="8" t="s">
        <v>34</v>
      </c>
    </row>
    <row r="94" spans="14:14">
      <c r="N94" s="8" t="s">
        <v>34</v>
      </c>
    </row>
    <row r="96" spans="14:14">
      <c r="N96" s="8" t="s">
        <v>34</v>
      </c>
    </row>
    <row r="108" spans="1:14">
      <c r="E108" s="8" t="s">
        <v>35</v>
      </c>
      <c r="N108" s="8" t="s">
        <v>31</v>
      </c>
    </row>
    <row r="110" spans="1:14">
      <c r="A110" s="8" t="s">
        <v>36</v>
      </c>
      <c r="E110" s="8" t="s">
        <v>37</v>
      </c>
      <c r="N110" s="8" t="s">
        <v>38</v>
      </c>
    </row>
  </sheetData>
  <dataConsolidate/>
  <mergeCells count="26">
    <mergeCell ref="A36:C36"/>
    <mergeCell ref="F36:G36"/>
    <mergeCell ref="I36:J36"/>
    <mergeCell ref="A34:C34"/>
    <mergeCell ref="F34:G34"/>
    <mergeCell ref="I34:J34"/>
    <mergeCell ref="F35:G35"/>
    <mergeCell ref="I35:J35"/>
    <mergeCell ref="B16:I16"/>
    <mergeCell ref="F32:G32"/>
    <mergeCell ref="B21:I21"/>
    <mergeCell ref="B23:I23"/>
    <mergeCell ref="F30:G30"/>
    <mergeCell ref="F31:G31"/>
    <mergeCell ref="F29:G29"/>
    <mergeCell ref="F28:G28"/>
    <mergeCell ref="F27:G27"/>
    <mergeCell ref="F26:G26"/>
    <mergeCell ref="F25:G25"/>
    <mergeCell ref="F24:G24"/>
    <mergeCell ref="B22:I22"/>
    <mergeCell ref="A1:J1"/>
    <mergeCell ref="B2:I2"/>
    <mergeCell ref="B13:I13"/>
    <mergeCell ref="B14:I14"/>
    <mergeCell ref="B15:I15"/>
  </mergeCells>
  <dataValidations disablePrompts="1" count="3">
    <dataValidation type="list" allowBlank="1" showInputMessage="1" showErrorMessage="1" promptTitle="SYSTEM" prompt="SELECT FROM DROP DOWN LIST" sqref="WVO983060:WVS983060 SY16:TC17 ACU16:ACY17 AMQ16:AMU17 AWM16:AWQ17 BGI16:BGM17 BQE16:BQI17 CAA16:CAE17 CJW16:CKA17 CTS16:CTW17 DDO16:DDS17 DNK16:DNO17 DXG16:DXK17 EHC16:EHG17 EQY16:ERC17 FAU16:FAY17 FKQ16:FKU17 FUM16:FUQ17 GEI16:GEM17 GOE16:GOI17 GYA16:GYE17 HHW16:HIA17 HRS16:HRW17 IBO16:IBS17 ILK16:ILO17 IVG16:IVK17 JFC16:JFG17 JOY16:JPC17 JYU16:JYY17 KIQ16:KIU17 KSM16:KSQ17 LCI16:LCM17 LME16:LMI17 LWA16:LWE17 MFW16:MGA17 MPS16:MPW17 MZO16:MZS17 NJK16:NJO17 NTG16:NTK17 ODC16:ODG17 OMY16:ONC17 OWU16:OWY17 PGQ16:PGU17 PQM16:PQQ17 QAI16:QAM17 QKE16:QKI17 QUA16:QUE17 RDW16:REA17 RNS16:RNW17 RXO16:RXS17 SHK16:SHO17 SRG16:SRK17 TBC16:TBG17 TKY16:TLC17 TUU16:TUY17 UEQ16:UEU17 UOM16:UOQ17 UYI16:UYM17 VIE16:VII17 VSA16:VSE17 WBW16:WCA17 WLS16:WLW17 WVO16:WVS17 B65556:I65556 JC65556:JG65556 SY65556:TC65556 ACU65556:ACY65556 AMQ65556:AMU65556 AWM65556:AWQ65556 BGI65556:BGM65556 BQE65556:BQI65556 CAA65556:CAE65556 CJW65556:CKA65556 CTS65556:CTW65556 DDO65556:DDS65556 DNK65556:DNO65556 DXG65556:DXK65556 EHC65556:EHG65556 EQY65556:ERC65556 FAU65556:FAY65556 FKQ65556:FKU65556 FUM65556:FUQ65556 GEI65556:GEM65556 GOE65556:GOI65556 GYA65556:GYE65556 HHW65556:HIA65556 HRS65556:HRW65556 IBO65556:IBS65556 ILK65556:ILO65556 IVG65556:IVK65556 JFC65556:JFG65556 JOY65556:JPC65556 JYU65556:JYY65556 KIQ65556:KIU65556 KSM65556:KSQ65556 LCI65556:LCM65556 LME65556:LMI65556 LWA65556:LWE65556 MFW65556:MGA65556 MPS65556:MPW65556 MZO65556:MZS65556 NJK65556:NJO65556 NTG65556:NTK65556 ODC65556:ODG65556 OMY65556:ONC65556 OWU65556:OWY65556 PGQ65556:PGU65556 PQM65556:PQQ65556 QAI65556:QAM65556 QKE65556:QKI65556 QUA65556:QUE65556 RDW65556:REA65556 RNS65556:RNW65556 RXO65556:RXS65556 SHK65556:SHO65556 SRG65556:SRK65556 TBC65556:TBG65556 TKY65556:TLC65556 TUU65556:TUY65556 UEQ65556:UEU65556 UOM65556:UOQ65556 UYI65556:UYM65556 VIE65556:VII65556 VSA65556:VSE65556 WBW65556:WCA65556 WLS65556:WLW65556 WVO65556:WVS65556 B131092:I131092 JC131092:JG131092 SY131092:TC131092 ACU131092:ACY131092 AMQ131092:AMU131092 AWM131092:AWQ131092 BGI131092:BGM131092 BQE131092:BQI131092 CAA131092:CAE131092 CJW131092:CKA131092 CTS131092:CTW131092 DDO131092:DDS131092 DNK131092:DNO131092 DXG131092:DXK131092 EHC131092:EHG131092 EQY131092:ERC131092 FAU131092:FAY131092 FKQ131092:FKU131092 FUM131092:FUQ131092 GEI131092:GEM131092 GOE131092:GOI131092 GYA131092:GYE131092 HHW131092:HIA131092 HRS131092:HRW131092 IBO131092:IBS131092 ILK131092:ILO131092 IVG131092:IVK131092 JFC131092:JFG131092 JOY131092:JPC131092 JYU131092:JYY131092 KIQ131092:KIU131092 KSM131092:KSQ131092 LCI131092:LCM131092 LME131092:LMI131092 LWA131092:LWE131092 MFW131092:MGA131092 MPS131092:MPW131092 MZO131092:MZS131092 NJK131092:NJO131092 NTG131092:NTK131092 ODC131092:ODG131092 OMY131092:ONC131092 OWU131092:OWY131092 PGQ131092:PGU131092 PQM131092:PQQ131092 QAI131092:QAM131092 QKE131092:QKI131092 QUA131092:QUE131092 RDW131092:REA131092 RNS131092:RNW131092 RXO131092:RXS131092 SHK131092:SHO131092 SRG131092:SRK131092 TBC131092:TBG131092 TKY131092:TLC131092 TUU131092:TUY131092 UEQ131092:UEU131092 UOM131092:UOQ131092 UYI131092:UYM131092 VIE131092:VII131092 VSA131092:VSE131092 WBW131092:WCA131092 WLS131092:WLW131092 WVO131092:WVS131092 B196628:I196628 JC196628:JG196628 SY196628:TC196628 ACU196628:ACY196628 AMQ196628:AMU196628 AWM196628:AWQ196628 BGI196628:BGM196628 BQE196628:BQI196628 CAA196628:CAE196628 CJW196628:CKA196628 CTS196628:CTW196628 DDO196628:DDS196628 DNK196628:DNO196628 DXG196628:DXK196628 EHC196628:EHG196628 EQY196628:ERC196628 FAU196628:FAY196628 FKQ196628:FKU196628 FUM196628:FUQ196628 GEI196628:GEM196628 GOE196628:GOI196628 GYA196628:GYE196628 HHW196628:HIA196628 HRS196628:HRW196628 IBO196628:IBS196628 ILK196628:ILO196628 IVG196628:IVK196628 JFC196628:JFG196628 JOY196628:JPC196628 JYU196628:JYY196628 KIQ196628:KIU196628 KSM196628:KSQ196628 LCI196628:LCM196628 LME196628:LMI196628 LWA196628:LWE196628 MFW196628:MGA196628 MPS196628:MPW196628 MZO196628:MZS196628 NJK196628:NJO196628 NTG196628:NTK196628 ODC196628:ODG196628 OMY196628:ONC196628 OWU196628:OWY196628 PGQ196628:PGU196628 PQM196628:PQQ196628 QAI196628:QAM196628 QKE196628:QKI196628 QUA196628:QUE196628 RDW196628:REA196628 RNS196628:RNW196628 RXO196628:RXS196628 SHK196628:SHO196628 SRG196628:SRK196628 TBC196628:TBG196628 TKY196628:TLC196628 TUU196628:TUY196628 UEQ196628:UEU196628 UOM196628:UOQ196628 UYI196628:UYM196628 VIE196628:VII196628 VSA196628:VSE196628 WBW196628:WCA196628 WLS196628:WLW196628 WVO196628:WVS196628 B262164:I262164 JC262164:JG262164 SY262164:TC262164 ACU262164:ACY262164 AMQ262164:AMU262164 AWM262164:AWQ262164 BGI262164:BGM262164 BQE262164:BQI262164 CAA262164:CAE262164 CJW262164:CKA262164 CTS262164:CTW262164 DDO262164:DDS262164 DNK262164:DNO262164 DXG262164:DXK262164 EHC262164:EHG262164 EQY262164:ERC262164 FAU262164:FAY262164 FKQ262164:FKU262164 FUM262164:FUQ262164 GEI262164:GEM262164 GOE262164:GOI262164 GYA262164:GYE262164 HHW262164:HIA262164 HRS262164:HRW262164 IBO262164:IBS262164 ILK262164:ILO262164 IVG262164:IVK262164 JFC262164:JFG262164 JOY262164:JPC262164 JYU262164:JYY262164 KIQ262164:KIU262164 KSM262164:KSQ262164 LCI262164:LCM262164 LME262164:LMI262164 LWA262164:LWE262164 MFW262164:MGA262164 MPS262164:MPW262164 MZO262164:MZS262164 NJK262164:NJO262164 NTG262164:NTK262164 ODC262164:ODG262164 OMY262164:ONC262164 OWU262164:OWY262164 PGQ262164:PGU262164 PQM262164:PQQ262164 QAI262164:QAM262164 QKE262164:QKI262164 QUA262164:QUE262164 RDW262164:REA262164 RNS262164:RNW262164 RXO262164:RXS262164 SHK262164:SHO262164 SRG262164:SRK262164 TBC262164:TBG262164 TKY262164:TLC262164 TUU262164:TUY262164 UEQ262164:UEU262164 UOM262164:UOQ262164 UYI262164:UYM262164 VIE262164:VII262164 VSA262164:VSE262164 WBW262164:WCA262164 WLS262164:WLW262164 WVO262164:WVS262164 B327700:I327700 JC327700:JG327700 SY327700:TC327700 ACU327700:ACY327700 AMQ327700:AMU327700 AWM327700:AWQ327700 BGI327700:BGM327700 BQE327700:BQI327700 CAA327700:CAE327700 CJW327700:CKA327700 CTS327700:CTW327700 DDO327700:DDS327700 DNK327700:DNO327700 DXG327700:DXK327700 EHC327700:EHG327700 EQY327700:ERC327700 FAU327700:FAY327700 FKQ327700:FKU327700 FUM327700:FUQ327700 GEI327700:GEM327700 GOE327700:GOI327700 GYA327700:GYE327700 HHW327700:HIA327700 HRS327700:HRW327700 IBO327700:IBS327700 ILK327700:ILO327700 IVG327700:IVK327700 JFC327700:JFG327700 JOY327700:JPC327700 JYU327700:JYY327700 KIQ327700:KIU327700 KSM327700:KSQ327700 LCI327700:LCM327700 LME327700:LMI327700 LWA327700:LWE327700 MFW327700:MGA327700 MPS327700:MPW327700 MZO327700:MZS327700 NJK327700:NJO327700 NTG327700:NTK327700 ODC327700:ODG327700 OMY327700:ONC327700 OWU327700:OWY327700 PGQ327700:PGU327700 PQM327700:PQQ327700 QAI327700:QAM327700 QKE327700:QKI327700 QUA327700:QUE327700 RDW327700:REA327700 RNS327700:RNW327700 RXO327700:RXS327700 SHK327700:SHO327700 SRG327700:SRK327700 TBC327700:TBG327700 TKY327700:TLC327700 TUU327700:TUY327700 UEQ327700:UEU327700 UOM327700:UOQ327700 UYI327700:UYM327700 VIE327700:VII327700 VSA327700:VSE327700 WBW327700:WCA327700 WLS327700:WLW327700 WVO327700:WVS327700 B393236:I393236 JC393236:JG393236 SY393236:TC393236 ACU393236:ACY393236 AMQ393236:AMU393236 AWM393236:AWQ393236 BGI393236:BGM393236 BQE393236:BQI393236 CAA393236:CAE393236 CJW393236:CKA393236 CTS393236:CTW393236 DDO393236:DDS393236 DNK393236:DNO393236 DXG393236:DXK393236 EHC393236:EHG393236 EQY393236:ERC393236 FAU393236:FAY393236 FKQ393236:FKU393236 FUM393236:FUQ393236 GEI393236:GEM393236 GOE393236:GOI393236 GYA393236:GYE393236 HHW393236:HIA393236 HRS393236:HRW393236 IBO393236:IBS393236 ILK393236:ILO393236 IVG393236:IVK393236 JFC393236:JFG393236 JOY393236:JPC393236 JYU393236:JYY393236 KIQ393236:KIU393236 KSM393236:KSQ393236 LCI393236:LCM393236 LME393236:LMI393236 LWA393236:LWE393236 MFW393236:MGA393236 MPS393236:MPW393236 MZO393236:MZS393236 NJK393236:NJO393236 NTG393236:NTK393236 ODC393236:ODG393236 OMY393236:ONC393236 OWU393236:OWY393236 PGQ393236:PGU393236 PQM393236:PQQ393236 QAI393236:QAM393236 QKE393236:QKI393236 QUA393236:QUE393236 RDW393236:REA393236 RNS393236:RNW393236 RXO393236:RXS393236 SHK393236:SHO393236 SRG393236:SRK393236 TBC393236:TBG393236 TKY393236:TLC393236 TUU393236:TUY393236 UEQ393236:UEU393236 UOM393236:UOQ393236 UYI393236:UYM393236 VIE393236:VII393236 VSA393236:VSE393236 WBW393236:WCA393236 WLS393236:WLW393236 WVO393236:WVS393236 B458772:I458772 JC458772:JG458772 SY458772:TC458772 ACU458772:ACY458772 AMQ458772:AMU458772 AWM458772:AWQ458772 BGI458772:BGM458772 BQE458772:BQI458772 CAA458772:CAE458772 CJW458772:CKA458772 CTS458772:CTW458772 DDO458772:DDS458772 DNK458772:DNO458772 DXG458772:DXK458772 EHC458772:EHG458772 EQY458772:ERC458772 FAU458772:FAY458772 FKQ458772:FKU458772 FUM458772:FUQ458772 GEI458772:GEM458772 GOE458772:GOI458772 GYA458772:GYE458772 HHW458772:HIA458772 HRS458772:HRW458772 IBO458772:IBS458772 ILK458772:ILO458772 IVG458772:IVK458772 JFC458772:JFG458772 JOY458772:JPC458772 JYU458772:JYY458772 KIQ458772:KIU458772 KSM458772:KSQ458772 LCI458772:LCM458772 LME458772:LMI458772 LWA458772:LWE458772 MFW458772:MGA458772 MPS458772:MPW458772 MZO458772:MZS458772 NJK458772:NJO458772 NTG458772:NTK458772 ODC458772:ODG458772 OMY458772:ONC458772 OWU458772:OWY458772 PGQ458772:PGU458772 PQM458772:PQQ458772 QAI458772:QAM458772 QKE458772:QKI458772 QUA458772:QUE458772 RDW458772:REA458772 RNS458772:RNW458772 RXO458772:RXS458772 SHK458772:SHO458772 SRG458772:SRK458772 TBC458772:TBG458772 TKY458772:TLC458772 TUU458772:TUY458772 UEQ458772:UEU458772 UOM458772:UOQ458772 UYI458772:UYM458772 VIE458772:VII458772 VSA458772:VSE458772 WBW458772:WCA458772 WLS458772:WLW458772 WVO458772:WVS458772 B524308:I524308 JC524308:JG524308 SY524308:TC524308 ACU524308:ACY524308 AMQ524308:AMU524308 AWM524308:AWQ524308 BGI524308:BGM524308 BQE524308:BQI524308 CAA524308:CAE524308 CJW524308:CKA524308 CTS524308:CTW524308 DDO524308:DDS524308 DNK524308:DNO524308 DXG524308:DXK524308 EHC524308:EHG524308 EQY524308:ERC524308 FAU524308:FAY524308 FKQ524308:FKU524308 FUM524308:FUQ524308 GEI524308:GEM524308 GOE524308:GOI524308 GYA524308:GYE524308 HHW524308:HIA524308 HRS524308:HRW524308 IBO524308:IBS524308 ILK524308:ILO524308 IVG524308:IVK524308 JFC524308:JFG524308 JOY524308:JPC524308 JYU524308:JYY524308 KIQ524308:KIU524308 KSM524308:KSQ524308 LCI524308:LCM524308 LME524308:LMI524308 LWA524308:LWE524308 MFW524308:MGA524308 MPS524308:MPW524308 MZO524308:MZS524308 NJK524308:NJO524308 NTG524308:NTK524308 ODC524308:ODG524308 OMY524308:ONC524308 OWU524308:OWY524308 PGQ524308:PGU524308 PQM524308:PQQ524308 QAI524308:QAM524308 QKE524308:QKI524308 QUA524308:QUE524308 RDW524308:REA524308 RNS524308:RNW524308 RXO524308:RXS524308 SHK524308:SHO524308 SRG524308:SRK524308 TBC524308:TBG524308 TKY524308:TLC524308 TUU524308:TUY524308 UEQ524308:UEU524308 UOM524308:UOQ524308 UYI524308:UYM524308 VIE524308:VII524308 VSA524308:VSE524308 WBW524308:WCA524308 WLS524308:WLW524308 WVO524308:WVS524308 B589844:I589844 JC589844:JG589844 SY589844:TC589844 ACU589844:ACY589844 AMQ589844:AMU589844 AWM589844:AWQ589844 BGI589844:BGM589844 BQE589844:BQI589844 CAA589844:CAE589844 CJW589844:CKA589844 CTS589844:CTW589844 DDO589844:DDS589844 DNK589844:DNO589844 DXG589844:DXK589844 EHC589844:EHG589844 EQY589844:ERC589844 FAU589844:FAY589844 FKQ589844:FKU589844 FUM589844:FUQ589844 GEI589844:GEM589844 GOE589844:GOI589844 GYA589844:GYE589844 HHW589844:HIA589844 HRS589844:HRW589844 IBO589844:IBS589844 ILK589844:ILO589844 IVG589844:IVK589844 JFC589844:JFG589844 JOY589844:JPC589844 JYU589844:JYY589844 KIQ589844:KIU589844 KSM589844:KSQ589844 LCI589844:LCM589844 LME589844:LMI589844 LWA589844:LWE589844 MFW589844:MGA589844 MPS589844:MPW589844 MZO589844:MZS589844 NJK589844:NJO589844 NTG589844:NTK589844 ODC589844:ODG589844 OMY589844:ONC589844 OWU589844:OWY589844 PGQ589844:PGU589844 PQM589844:PQQ589844 QAI589844:QAM589844 QKE589844:QKI589844 QUA589844:QUE589844 RDW589844:REA589844 RNS589844:RNW589844 RXO589844:RXS589844 SHK589844:SHO589844 SRG589844:SRK589844 TBC589844:TBG589844 TKY589844:TLC589844 TUU589844:TUY589844 UEQ589844:UEU589844 UOM589844:UOQ589844 UYI589844:UYM589844 VIE589844:VII589844 VSA589844:VSE589844 WBW589844:WCA589844 WLS589844:WLW589844 WVO589844:WVS589844 B655380:I655380 JC655380:JG655380 SY655380:TC655380 ACU655380:ACY655380 AMQ655380:AMU655380 AWM655380:AWQ655380 BGI655380:BGM655380 BQE655380:BQI655380 CAA655380:CAE655380 CJW655380:CKA655380 CTS655380:CTW655380 DDO655380:DDS655380 DNK655380:DNO655380 DXG655380:DXK655380 EHC655380:EHG655380 EQY655380:ERC655380 FAU655380:FAY655380 FKQ655380:FKU655380 FUM655380:FUQ655380 GEI655380:GEM655380 GOE655380:GOI655380 GYA655380:GYE655380 HHW655380:HIA655380 HRS655380:HRW655380 IBO655380:IBS655380 ILK655380:ILO655380 IVG655380:IVK655380 JFC655380:JFG655380 JOY655380:JPC655380 JYU655380:JYY655380 KIQ655380:KIU655380 KSM655380:KSQ655380 LCI655380:LCM655380 LME655380:LMI655380 LWA655380:LWE655380 MFW655380:MGA655380 MPS655380:MPW655380 MZO655380:MZS655380 NJK655380:NJO655380 NTG655380:NTK655380 ODC655380:ODG655380 OMY655380:ONC655380 OWU655380:OWY655380 PGQ655380:PGU655380 PQM655380:PQQ655380 QAI655380:QAM655380 QKE655380:QKI655380 QUA655380:QUE655380 RDW655380:REA655380 RNS655380:RNW655380 RXO655380:RXS655380 SHK655380:SHO655380 SRG655380:SRK655380 TBC655380:TBG655380 TKY655380:TLC655380 TUU655380:TUY655380 UEQ655380:UEU655380 UOM655380:UOQ655380 UYI655380:UYM655380 VIE655380:VII655380 VSA655380:VSE655380 WBW655380:WCA655380 WLS655380:WLW655380 WVO655380:WVS655380 B720916:I720916 JC720916:JG720916 SY720916:TC720916 ACU720916:ACY720916 AMQ720916:AMU720916 AWM720916:AWQ720916 BGI720916:BGM720916 BQE720916:BQI720916 CAA720916:CAE720916 CJW720916:CKA720916 CTS720916:CTW720916 DDO720916:DDS720916 DNK720916:DNO720916 DXG720916:DXK720916 EHC720916:EHG720916 EQY720916:ERC720916 FAU720916:FAY720916 FKQ720916:FKU720916 FUM720916:FUQ720916 GEI720916:GEM720916 GOE720916:GOI720916 GYA720916:GYE720916 HHW720916:HIA720916 HRS720916:HRW720916 IBO720916:IBS720916 ILK720916:ILO720916 IVG720916:IVK720916 JFC720916:JFG720916 JOY720916:JPC720916 JYU720916:JYY720916 KIQ720916:KIU720916 KSM720916:KSQ720916 LCI720916:LCM720916 LME720916:LMI720916 LWA720916:LWE720916 MFW720916:MGA720916 MPS720916:MPW720916 MZO720916:MZS720916 NJK720916:NJO720916 NTG720916:NTK720916 ODC720916:ODG720916 OMY720916:ONC720916 OWU720916:OWY720916 PGQ720916:PGU720916 PQM720916:PQQ720916 QAI720916:QAM720916 QKE720916:QKI720916 QUA720916:QUE720916 RDW720916:REA720916 RNS720916:RNW720916 RXO720916:RXS720916 SHK720916:SHO720916 SRG720916:SRK720916 TBC720916:TBG720916 TKY720916:TLC720916 TUU720916:TUY720916 UEQ720916:UEU720916 UOM720916:UOQ720916 UYI720916:UYM720916 VIE720916:VII720916 VSA720916:VSE720916 WBW720916:WCA720916 WLS720916:WLW720916 WVO720916:WVS720916 B786452:I786452 JC786452:JG786452 SY786452:TC786452 ACU786452:ACY786452 AMQ786452:AMU786452 AWM786452:AWQ786452 BGI786452:BGM786452 BQE786452:BQI786452 CAA786452:CAE786452 CJW786452:CKA786452 CTS786452:CTW786452 DDO786452:DDS786452 DNK786452:DNO786452 DXG786452:DXK786452 EHC786452:EHG786452 EQY786452:ERC786452 FAU786452:FAY786452 FKQ786452:FKU786452 FUM786452:FUQ786452 GEI786452:GEM786452 GOE786452:GOI786452 GYA786452:GYE786452 HHW786452:HIA786452 HRS786452:HRW786452 IBO786452:IBS786452 ILK786452:ILO786452 IVG786452:IVK786452 JFC786452:JFG786452 JOY786452:JPC786452 JYU786452:JYY786452 KIQ786452:KIU786452 KSM786452:KSQ786452 LCI786452:LCM786452 LME786452:LMI786452 LWA786452:LWE786452 MFW786452:MGA786452 MPS786452:MPW786452 MZO786452:MZS786452 NJK786452:NJO786452 NTG786452:NTK786452 ODC786452:ODG786452 OMY786452:ONC786452 OWU786452:OWY786452 PGQ786452:PGU786452 PQM786452:PQQ786452 QAI786452:QAM786452 QKE786452:QKI786452 QUA786452:QUE786452 RDW786452:REA786452 RNS786452:RNW786452 RXO786452:RXS786452 SHK786452:SHO786452 SRG786452:SRK786452 TBC786452:TBG786452 TKY786452:TLC786452 TUU786452:TUY786452 UEQ786452:UEU786452 UOM786452:UOQ786452 UYI786452:UYM786452 VIE786452:VII786452 VSA786452:VSE786452 WBW786452:WCA786452 WLS786452:WLW786452 WVO786452:WVS786452 B851988:I851988 JC851988:JG851988 SY851988:TC851988 ACU851988:ACY851988 AMQ851988:AMU851988 AWM851988:AWQ851988 BGI851988:BGM851988 BQE851988:BQI851988 CAA851988:CAE851988 CJW851988:CKA851988 CTS851988:CTW851988 DDO851988:DDS851988 DNK851988:DNO851988 DXG851988:DXK851988 EHC851988:EHG851988 EQY851988:ERC851988 FAU851988:FAY851988 FKQ851988:FKU851988 FUM851988:FUQ851988 GEI851988:GEM851988 GOE851988:GOI851988 GYA851988:GYE851988 HHW851988:HIA851988 HRS851988:HRW851988 IBO851988:IBS851988 ILK851988:ILO851988 IVG851988:IVK851988 JFC851988:JFG851988 JOY851988:JPC851988 JYU851988:JYY851988 KIQ851988:KIU851988 KSM851988:KSQ851988 LCI851988:LCM851988 LME851988:LMI851988 LWA851988:LWE851988 MFW851988:MGA851988 MPS851988:MPW851988 MZO851988:MZS851988 NJK851988:NJO851988 NTG851988:NTK851988 ODC851988:ODG851988 OMY851988:ONC851988 OWU851988:OWY851988 PGQ851988:PGU851988 PQM851988:PQQ851988 QAI851988:QAM851988 QKE851988:QKI851988 QUA851988:QUE851988 RDW851988:REA851988 RNS851988:RNW851988 RXO851988:RXS851988 SHK851988:SHO851988 SRG851988:SRK851988 TBC851988:TBG851988 TKY851988:TLC851988 TUU851988:TUY851988 UEQ851988:UEU851988 UOM851988:UOQ851988 UYI851988:UYM851988 VIE851988:VII851988 VSA851988:VSE851988 WBW851988:WCA851988 WLS851988:WLW851988 WVO851988:WVS851988 B917524:I917524 JC917524:JG917524 SY917524:TC917524 ACU917524:ACY917524 AMQ917524:AMU917524 AWM917524:AWQ917524 BGI917524:BGM917524 BQE917524:BQI917524 CAA917524:CAE917524 CJW917524:CKA917524 CTS917524:CTW917524 DDO917524:DDS917524 DNK917524:DNO917524 DXG917524:DXK917524 EHC917524:EHG917524 EQY917524:ERC917524 FAU917524:FAY917524 FKQ917524:FKU917524 FUM917524:FUQ917524 GEI917524:GEM917524 GOE917524:GOI917524 GYA917524:GYE917524 HHW917524:HIA917524 HRS917524:HRW917524 IBO917524:IBS917524 ILK917524:ILO917524 IVG917524:IVK917524 JFC917524:JFG917524 JOY917524:JPC917524 JYU917524:JYY917524 KIQ917524:KIU917524 KSM917524:KSQ917524 LCI917524:LCM917524 LME917524:LMI917524 LWA917524:LWE917524 MFW917524:MGA917524 MPS917524:MPW917524 MZO917524:MZS917524 NJK917524:NJO917524 NTG917524:NTK917524 ODC917524:ODG917524 OMY917524:ONC917524 OWU917524:OWY917524 PGQ917524:PGU917524 PQM917524:PQQ917524 QAI917524:QAM917524 QKE917524:QKI917524 QUA917524:QUE917524 RDW917524:REA917524 RNS917524:RNW917524 RXO917524:RXS917524 SHK917524:SHO917524 SRG917524:SRK917524 TBC917524:TBG917524 TKY917524:TLC917524 TUU917524:TUY917524 UEQ917524:UEU917524 UOM917524:UOQ917524 UYI917524:UYM917524 VIE917524:VII917524 VSA917524:VSE917524 WBW917524:WCA917524 WLS917524:WLW917524 WVO917524:WVS917524 B983060:I983060 JC983060:JG983060 SY983060:TC983060 ACU983060:ACY983060 AMQ983060:AMU983060 AWM983060:AWQ983060 BGI983060:BGM983060 BQE983060:BQI983060 CAA983060:CAE983060 CJW983060:CKA983060 CTS983060:CTW983060 DDO983060:DDS983060 DNK983060:DNO983060 DXG983060:DXK983060 EHC983060:EHG983060 EQY983060:ERC983060 FAU983060:FAY983060 FKQ983060:FKU983060 FUM983060:FUQ983060 GEI983060:GEM983060 GOE983060:GOI983060 GYA983060:GYE983060 HHW983060:HIA983060 HRS983060:HRW983060 IBO983060:IBS983060 ILK983060:ILO983060 IVG983060:IVK983060 JFC983060:JFG983060 JOY983060:JPC983060 JYU983060:JYY983060 KIQ983060:KIU983060 KSM983060:KSQ983060 LCI983060:LCM983060 LME983060:LMI983060 LWA983060:LWE983060 MFW983060:MGA983060 MPS983060:MPW983060 MZO983060:MZS983060 NJK983060:NJO983060 NTG983060:NTK983060 ODC983060:ODG983060 OMY983060:ONC983060 OWU983060:OWY983060 PGQ983060:PGU983060 PQM983060:PQQ983060 QAI983060:QAM983060 QKE983060:QKI983060 QUA983060:QUE983060 RDW983060:REA983060 RNS983060:RNW983060 RXO983060:RXS983060 SHK983060:SHO983060 SRG983060:SRK983060 TBC983060:TBG983060 TKY983060:TLC983060 TUU983060:TUY983060 UEQ983060:UEU983060 UOM983060:UOQ983060 UYI983060:UYM983060 VIE983060:VII983060 VSA983060:VSE983060 WBW983060:WCA983060 WLS983060:WLW983060 JC16:JG17" xr:uid="{00000000-0002-0000-0000-000000000000}">
      <formula1>$K$16:$T$16</formula1>
    </dataValidation>
    <dataValidation type="list" allowBlank="1" showInputMessage="1" showErrorMessage="1" promptTitle="WORK" prompt="SELECT FROM DROP DOWN LIST" sqref="WVO983059:WVS983059 B65555:I65555 JC65555:JG65555 SY65555:TC65555 ACU65555:ACY65555 AMQ65555:AMU65555 AWM65555:AWQ65555 BGI65555:BGM65555 BQE65555:BQI65555 CAA65555:CAE65555 CJW65555:CKA65555 CTS65555:CTW65555 DDO65555:DDS65555 DNK65555:DNO65555 DXG65555:DXK65555 EHC65555:EHG65555 EQY65555:ERC65555 FAU65555:FAY65555 FKQ65555:FKU65555 FUM65555:FUQ65555 GEI65555:GEM65555 GOE65555:GOI65555 GYA65555:GYE65555 HHW65555:HIA65555 HRS65555:HRW65555 IBO65555:IBS65555 ILK65555:ILO65555 IVG65555:IVK65555 JFC65555:JFG65555 JOY65555:JPC65555 JYU65555:JYY65555 KIQ65555:KIU65555 KSM65555:KSQ65555 LCI65555:LCM65555 LME65555:LMI65555 LWA65555:LWE65555 MFW65555:MGA65555 MPS65555:MPW65555 MZO65555:MZS65555 NJK65555:NJO65555 NTG65555:NTK65555 ODC65555:ODG65555 OMY65555:ONC65555 OWU65555:OWY65555 PGQ65555:PGU65555 PQM65555:PQQ65555 QAI65555:QAM65555 QKE65555:QKI65555 QUA65555:QUE65555 RDW65555:REA65555 RNS65555:RNW65555 RXO65555:RXS65555 SHK65555:SHO65555 SRG65555:SRK65555 TBC65555:TBG65555 TKY65555:TLC65555 TUU65555:TUY65555 UEQ65555:UEU65555 UOM65555:UOQ65555 UYI65555:UYM65555 VIE65555:VII65555 VSA65555:VSE65555 WBW65555:WCA65555 WLS65555:WLW65555 WVO65555:WVS65555 B131091:I131091 JC131091:JG131091 SY131091:TC131091 ACU131091:ACY131091 AMQ131091:AMU131091 AWM131091:AWQ131091 BGI131091:BGM131091 BQE131091:BQI131091 CAA131091:CAE131091 CJW131091:CKA131091 CTS131091:CTW131091 DDO131091:DDS131091 DNK131091:DNO131091 DXG131091:DXK131091 EHC131091:EHG131091 EQY131091:ERC131091 FAU131091:FAY131091 FKQ131091:FKU131091 FUM131091:FUQ131091 GEI131091:GEM131091 GOE131091:GOI131091 GYA131091:GYE131091 HHW131091:HIA131091 HRS131091:HRW131091 IBO131091:IBS131091 ILK131091:ILO131091 IVG131091:IVK131091 JFC131091:JFG131091 JOY131091:JPC131091 JYU131091:JYY131091 KIQ131091:KIU131091 KSM131091:KSQ131091 LCI131091:LCM131091 LME131091:LMI131091 LWA131091:LWE131091 MFW131091:MGA131091 MPS131091:MPW131091 MZO131091:MZS131091 NJK131091:NJO131091 NTG131091:NTK131091 ODC131091:ODG131091 OMY131091:ONC131091 OWU131091:OWY131091 PGQ131091:PGU131091 PQM131091:PQQ131091 QAI131091:QAM131091 QKE131091:QKI131091 QUA131091:QUE131091 RDW131091:REA131091 RNS131091:RNW131091 RXO131091:RXS131091 SHK131091:SHO131091 SRG131091:SRK131091 TBC131091:TBG131091 TKY131091:TLC131091 TUU131091:TUY131091 UEQ131091:UEU131091 UOM131091:UOQ131091 UYI131091:UYM131091 VIE131091:VII131091 VSA131091:VSE131091 WBW131091:WCA131091 WLS131091:WLW131091 WVO131091:WVS131091 B196627:I196627 JC196627:JG196627 SY196627:TC196627 ACU196627:ACY196627 AMQ196627:AMU196627 AWM196627:AWQ196627 BGI196627:BGM196627 BQE196627:BQI196627 CAA196627:CAE196627 CJW196627:CKA196627 CTS196627:CTW196627 DDO196627:DDS196627 DNK196627:DNO196627 DXG196627:DXK196627 EHC196627:EHG196627 EQY196627:ERC196627 FAU196627:FAY196627 FKQ196627:FKU196627 FUM196627:FUQ196627 GEI196627:GEM196627 GOE196627:GOI196627 GYA196627:GYE196627 HHW196627:HIA196627 HRS196627:HRW196627 IBO196627:IBS196627 ILK196627:ILO196627 IVG196627:IVK196627 JFC196627:JFG196627 JOY196627:JPC196627 JYU196627:JYY196627 KIQ196627:KIU196627 KSM196627:KSQ196627 LCI196627:LCM196627 LME196627:LMI196627 LWA196627:LWE196627 MFW196627:MGA196627 MPS196627:MPW196627 MZO196627:MZS196627 NJK196627:NJO196627 NTG196627:NTK196627 ODC196627:ODG196627 OMY196627:ONC196627 OWU196627:OWY196627 PGQ196627:PGU196627 PQM196627:PQQ196627 QAI196627:QAM196627 QKE196627:QKI196627 QUA196627:QUE196627 RDW196627:REA196627 RNS196627:RNW196627 RXO196627:RXS196627 SHK196627:SHO196627 SRG196627:SRK196627 TBC196627:TBG196627 TKY196627:TLC196627 TUU196627:TUY196627 UEQ196627:UEU196627 UOM196627:UOQ196627 UYI196627:UYM196627 VIE196627:VII196627 VSA196627:VSE196627 WBW196627:WCA196627 WLS196627:WLW196627 WVO196627:WVS196627 B262163:I262163 JC262163:JG262163 SY262163:TC262163 ACU262163:ACY262163 AMQ262163:AMU262163 AWM262163:AWQ262163 BGI262163:BGM262163 BQE262163:BQI262163 CAA262163:CAE262163 CJW262163:CKA262163 CTS262163:CTW262163 DDO262163:DDS262163 DNK262163:DNO262163 DXG262163:DXK262163 EHC262163:EHG262163 EQY262163:ERC262163 FAU262163:FAY262163 FKQ262163:FKU262163 FUM262163:FUQ262163 GEI262163:GEM262163 GOE262163:GOI262163 GYA262163:GYE262163 HHW262163:HIA262163 HRS262163:HRW262163 IBO262163:IBS262163 ILK262163:ILO262163 IVG262163:IVK262163 JFC262163:JFG262163 JOY262163:JPC262163 JYU262163:JYY262163 KIQ262163:KIU262163 KSM262163:KSQ262163 LCI262163:LCM262163 LME262163:LMI262163 LWA262163:LWE262163 MFW262163:MGA262163 MPS262163:MPW262163 MZO262163:MZS262163 NJK262163:NJO262163 NTG262163:NTK262163 ODC262163:ODG262163 OMY262163:ONC262163 OWU262163:OWY262163 PGQ262163:PGU262163 PQM262163:PQQ262163 QAI262163:QAM262163 QKE262163:QKI262163 QUA262163:QUE262163 RDW262163:REA262163 RNS262163:RNW262163 RXO262163:RXS262163 SHK262163:SHO262163 SRG262163:SRK262163 TBC262163:TBG262163 TKY262163:TLC262163 TUU262163:TUY262163 UEQ262163:UEU262163 UOM262163:UOQ262163 UYI262163:UYM262163 VIE262163:VII262163 VSA262163:VSE262163 WBW262163:WCA262163 WLS262163:WLW262163 WVO262163:WVS262163 B327699:I327699 JC327699:JG327699 SY327699:TC327699 ACU327699:ACY327699 AMQ327699:AMU327699 AWM327699:AWQ327699 BGI327699:BGM327699 BQE327699:BQI327699 CAA327699:CAE327699 CJW327699:CKA327699 CTS327699:CTW327699 DDO327699:DDS327699 DNK327699:DNO327699 DXG327699:DXK327699 EHC327699:EHG327699 EQY327699:ERC327699 FAU327699:FAY327699 FKQ327699:FKU327699 FUM327699:FUQ327699 GEI327699:GEM327699 GOE327699:GOI327699 GYA327699:GYE327699 HHW327699:HIA327699 HRS327699:HRW327699 IBO327699:IBS327699 ILK327699:ILO327699 IVG327699:IVK327699 JFC327699:JFG327699 JOY327699:JPC327699 JYU327699:JYY327699 KIQ327699:KIU327699 KSM327699:KSQ327699 LCI327699:LCM327699 LME327699:LMI327699 LWA327699:LWE327699 MFW327699:MGA327699 MPS327699:MPW327699 MZO327699:MZS327699 NJK327699:NJO327699 NTG327699:NTK327699 ODC327699:ODG327699 OMY327699:ONC327699 OWU327699:OWY327699 PGQ327699:PGU327699 PQM327699:PQQ327699 QAI327699:QAM327699 QKE327699:QKI327699 QUA327699:QUE327699 RDW327699:REA327699 RNS327699:RNW327699 RXO327699:RXS327699 SHK327699:SHO327699 SRG327699:SRK327699 TBC327699:TBG327699 TKY327699:TLC327699 TUU327699:TUY327699 UEQ327699:UEU327699 UOM327699:UOQ327699 UYI327699:UYM327699 VIE327699:VII327699 VSA327699:VSE327699 WBW327699:WCA327699 WLS327699:WLW327699 WVO327699:WVS327699 B393235:I393235 JC393235:JG393235 SY393235:TC393235 ACU393235:ACY393235 AMQ393235:AMU393235 AWM393235:AWQ393235 BGI393235:BGM393235 BQE393235:BQI393235 CAA393235:CAE393235 CJW393235:CKA393235 CTS393235:CTW393235 DDO393235:DDS393235 DNK393235:DNO393235 DXG393235:DXK393235 EHC393235:EHG393235 EQY393235:ERC393235 FAU393235:FAY393235 FKQ393235:FKU393235 FUM393235:FUQ393235 GEI393235:GEM393235 GOE393235:GOI393235 GYA393235:GYE393235 HHW393235:HIA393235 HRS393235:HRW393235 IBO393235:IBS393235 ILK393235:ILO393235 IVG393235:IVK393235 JFC393235:JFG393235 JOY393235:JPC393235 JYU393235:JYY393235 KIQ393235:KIU393235 KSM393235:KSQ393235 LCI393235:LCM393235 LME393235:LMI393235 LWA393235:LWE393235 MFW393235:MGA393235 MPS393235:MPW393235 MZO393235:MZS393235 NJK393235:NJO393235 NTG393235:NTK393235 ODC393235:ODG393235 OMY393235:ONC393235 OWU393235:OWY393235 PGQ393235:PGU393235 PQM393235:PQQ393235 QAI393235:QAM393235 QKE393235:QKI393235 QUA393235:QUE393235 RDW393235:REA393235 RNS393235:RNW393235 RXO393235:RXS393235 SHK393235:SHO393235 SRG393235:SRK393235 TBC393235:TBG393235 TKY393235:TLC393235 TUU393235:TUY393235 UEQ393235:UEU393235 UOM393235:UOQ393235 UYI393235:UYM393235 VIE393235:VII393235 VSA393235:VSE393235 WBW393235:WCA393235 WLS393235:WLW393235 WVO393235:WVS393235 B458771:I458771 JC458771:JG458771 SY458771:TC458771 ACU458771:ACY458771 AMQ458771:AMU458771 AWM458771:AWQ458771 BGI458771:BGM458771 BQE458771:BQI458771 CAA458771:CAE458771 CJW458771:CKA458771 CTS458771:CTW458771 DDO458771:DDS458771 DNK458771:DNO458771 DXG458771:DXK458771 EHC458771:EHG458771 EQY458771:ERC458771 FAU458771:FAY458771 FKQ458771:FKU458771 FUM458771:FUQ458771 GEI458771:GEM458771 GOE458771:GOI458771 GYA458771:GYE458771 HHW458771:HIA458771 HRS458771:HRW458771 IBO458771:IBS458771 ILK458771:ILO458771 IVG458771:IVK458771 JFC458771:JFG458771 JOY458771:JPC458771 JYU458771:JYY458771 KIQ458771:KIU458771 KSM458771:KSQ458771 LCI458771:LCM458771 LME458771:LMI458771 LWA458771:LWE458771 MFW458771:MGA458771 MPS458771:MPW458771 MZO458771:MZS458771 NJK458771:NJO458771 NTG458771:NTK458771 ODC458771:ODG458771 OMY458771:ONC458771 OWU458771:OWY458771 PGQ458771:PGU458771 PQM458771:PQQ458771 QAI458771:QAM458771 QKE458771:QKI458771 QUA458771:QUE458771 RDW458771:REA458771 RNS458771:RNW458771 RXO458771:RXS458771 SHK458771:SHO458771 SRG458771:SRK458771 TBC458771:TBG458771 TKY458771:TLC458771 TUU458771:TUY458771 UEQ458771:UEU458771 UOM458771:UOQ458771 UYI458771:UYM458771 VIE458771:VII458771 VSA458771:VSE458771 WBW458771:WCA458771 WLS458771:WLW458771 WVO458771:WVS458771 B524307:I524307 JC524307:JG524307 SY524307:TC524307 ACU524307:ACY524307 AMQ524307:AMU524307 AWM524307:AWQ524307 BGI524307:BGM524307 BQE524307:BQI524307 CAA524307:CAE524307 CJW524307:CKA524307 CTS524307:CTW524307 DDO524307:DDS524307 DNK524307:DNO524307 DXG524307:DXK524307 EHC524307:EHG524307 EQY524307:ERC524307 FAU524307:FAY524307 FKQ524307:FKU524307 FUM524307:FUQ524307 GEI524307:GEM524307 GOE524307:GOI524307 GYA524307:GYE524307 HHW524307:HIA524307 HRS524307:HRW524307 IBO524307:IBS524307 ILK524307:ILO524307 IVG524307:IVK524307 JFC524307:JFG524307 JOY524307:JPC524307 JYU524307:JYY524307 KIQ524307:KIU524307 KSM524307:KSQ524307 LCI524307:LCM524307 LME524307:LMI524307 LWA524307:LWE524307 MFW524307:MGA524307 MPS524307:MPW524307 MZO524307:MZS524307 NJK524307:NJO524307 NTG524307:NTK524307 ODC524307:ODG524307 OMY524307:ONC524307 OWU524307:OWY524307 PGQ524307:PGU524307 PQM524307:PQQ524307 QAI524307:QAM524307 QKE524307:QKI524307 QUA524307:QUE524307 RDW524307:REA524307 RNS524307:RNW524307 RXO524307:RXS524307 SHK524307:SHO524307 SRG524307:SRK524307 TBC524307:TBG524307 TKY524307:TLC524307 TUU524307:TUY524307 UEQ524307:UEU524307 UOM524307:UOQ524307 UYI524307:UYM524307 VIE524307:VII524307 VSA524307:VSE524307 WBW524307:WCA524307 WLS524307:WLW524307 WVO524307:WVS524307 B589843:I589843 JC589843:JG589843 SY589843:TC589843 ACU589843:ACY589843 AMQ589843:AMU589843 AWM589843:AWQ589843 BGI589843:BGM589843 BQE589843:BQI589843 CAA589843:CAE589843 CJW589843:CKA589843 CTS589843:CTW589843 DDO589843:DDS589843 DNK589843:DNO589843 DXG589843:DXK589843 EHC589843:EHG589843 EQY589843:ERC589843 FAU589843:FAY589843 FKQ589843:FKU589843 FUM589843:FUQ589843 GEI589843:GEM589843 GOE589843:GOI589843 GYA589843:GYE589843 HHW589843:HIA589843 HRS589843:HRW589843 IBO589843:IBS589843 ILK589843:ILO589843 IVG589843:IVK589843 JFC589843:JFG589843 JOY589843:JPC589843 JYU589843:JYY589843 KIQ589843:KIU589843 KSM589843:KSQ589843 LCI589843:LCM589843 LME589843:LMI589843 LWA589843:LWE589843 MFW589843:MGA589843 MPS589843:MPW589843 MZO589843:MZS589843 NJK589843:NJO589843 NTG589843:NTK589843 ODC589843:ODG589843 OMY589843:ONC589843 OWU589843:OWY589843 PGQ589843:PGU589843 PQM589843:PQQ589843 QAI589843:QAM589843 QKE589843:QKI589843 QUA589843:QUE589843 RDW589843:REA589843 RNS589843:RNW589843 RXO589843:RXS589843 SHK589843:SHO589843 SRG589843:SRK589843 TBC589843:TBG589843 TKY589843:TLC589843 TUU589843:TUY589843 UEQ589843:UEU589843 UOM589843:UOQ589843 UYI589843:UYM589843 VIE589843:VII589843 VSA589843:VSE589843 WBW589843:WCA589843 WLS589843:WLW589843 WVO589843:WVS589843 B655379:I655379 JC655379:JG655379 SY655379:TC655379 ACU655379:ACY655379 AMQ655379:AMU655379 AWM655379:AWQ655379 BGI655379:BGM655379 BQE655379:BQI655379 CAA655379:CAE655379 CJW655379:CKA655379 CTS655379:CTW655379 DDO655379:DDS655379 DNK655379:DNO655379 DXG655379:DXK655379 EHC655379:EHG655379 EQY655379:ERC655379 FAU655379:FAY655379 FKQ655379:FKU655379 FUM655379:FUQ655379 GEI655379:GEM655379 GOE655379:GOI655379 GYA655379:GYE655379 HHW655379:HIA655379 HRS655379:HRW655379 IBO655379:IBS655379 ILK655379:ILO655379 IVG655379:IVK655379 JFC655379:JFG655379 JOY655379:JPC655379 JYU655379:JYY655379 KIQ655379:KIU655379 KSM655379:KSQ655379 LCI655379:LCM655379 LME655379:LMI655379 LWA655379:LWE655379 MFW655379:MGA655379 MPS655379:MPW655379 MZO655379:MZS655379 NJK655379:NJO655379 NTG655379:NTK655379 ODC655379:ODG655379 OMY655379:ONC655379 OWU655379:OWY655379 PGQ655379:PGU655379 PQM655379:PQQ655379 QAI655379:QAM655379 QKE655379:QKI655379 QUA655379:QUE655379 RDW655379:REA655379 RNS655379:RNW655379 RXO655379:RXS655379 SHK655379:SHO655379 SRG655379:SRK655379 TBC655379:TBG655379 TKY655379:TLC655379 TUU655379:TUY655379 UEQ655379:UEU655379 UOM655379:UOQ655379 UYI655379:UYM655379 VIE655379:VII655379 VSA655379:VSE655379 WBW655379:WCA655379 WLS655379:WLW655379 WVO655379:WVS655379 B720915:I720915 JC720915:JG720915 SY720915:TC720915 ACU720915:ACY720915 AMQ720915:AMU720915 AWM720915:AWQ720915 BGI720915:BGM720915 BQE720915:BQI720915 CAA720915:CAE720915 CJW720915:CKA720915 CTS720915:CTW720915 DDO720915:DDS720915 DNK720915:DNO720915 DXG720915:DXK720915 EHC720915:EHG720915 EQY720915:ERC720915 FAU720915:FAY720915 FKQ720915:FKU720915 FUM720915:FUQ720915 GEI720915:GEM720915 GOE720915:GOI720915 GYA720915:GYE720915 HHW720915:HIA720915 HRS720915:HRW720915 IBO720915:IBS720915 ILK720915:ILO720915 IVG720915:IVK720915 JFC720915:JFG720915 JOY720915:JPC720915 JYU720915:JYY720915 KIQ720915:KIU720915 KSM720915:KSQ720915 LCI720915:LCM720915 LME720915:LMI720915 LWA720915:LWE720915 MFW720915:MGA720915 MPS720915:MPW720915 MZO720915:MZS720915 NJK720915:NJO720915 NTG720915:NTK720915 ODC720915:ODG720915 OMY720915:ONC720915 OWU720915:OWY720915 PGQ720915:PGU720915 PQM720915:PQQ720915 QAI720915:QAM720915 QKE720915:QKI720915 QUA720915:QUE720915 RDW720915:REA720915 RNS720915:RNW720915 RXO720915:RXS720915 SHK720915:SHO720915 SRG720915:SRK720915 TBC720915:TBG720915 TKY720915:TLC720915 TUU720915:TUY720915 UEQ720915:UEU720915 UOM720915:UOQ720915 UYI720915:UYM720915 VIE720915:VII720915 VSA720915:VSE720915 WBW720915:WCA720915 WLS720915:WLW720915 WVO720915:WVS720915 B786451:I786451 JC786451:JG786451 SY786451:TC786451 ACU786451:ACY786451 AMQ786451:AMU786451 AWM786451:AWQ786451 BGI786451:BGM786451 BQE786451:BQI786451 CAA786451:CAE786451 CJW786451:CKA786451 CTS786451:CTW786451 DDO786451:DDS786451 DNK786451:DNO786451 DXG786451:DXK786451 EHC786451:EHG786451 EQY786451:ERC786451 FAU786451:FAY786451 FKQ786451:FKU786451 FUM786451:FUQ786451 GEI786451:GEM786451 GOE786451:GOI786451 GYA786451:GYE786451 HHW786451:HIA786451 HRS786451:HRW786451 IBO786451:IBS786451 ILK786451:ILO786451 IVG786451:IVK786451 JFC786451:JFG786451 JOY786451:JPC786451 JYU786451:JYY786451 KIQ786451:KIU786451 KSM786451:KSQ786451 LCI786451:LCM786451 LME786451:LMI786451 LWA786451:LWE786451 MFW786451:MGA786451 MPS786451:MPW786451 MZO786451:MZS786451 NJK786451:NJO786451 NTG786451:NTK786451 ODC786451:ODG786451 OMY786451:ONC786451 OWU786451:OWY786451 PGQ786451:PGU786451 PQM786451:PQQ786451 QAI786451:QAM786451 QKE786451:QKI786451 QUA786451:QUE786451 RDW786451:REA786451 RNS786451:RNW786451 RXO786451:RXS786451 SHK786451:SHO786451 SRG786451:SRK786451 TBC786451:TBG786451 TKY786451:TLC786451 TUU786451:TUY786451 UEQ786451:UEU786451 UOM786451:UOQ786451 UYI786451:UYM786451 VIE786451:VII786451 VSA786451:VSE786451 WBW786451:WCA786451 WLS786451:WLW786451 WVO786451:WVS786451 B851987:I851987 JC851987:JG851987 SY851987:TC851987 ACU851987:ACY851987 AMQ851987:AMU851987 AWM851987:AWQ851987 BGI851987:BGM851987 BQE851987:BQI851987 CAA851987:CAE851987 CJW851987:CKA851987 CTS851987:CTW851987 DDO851987:DDS851987 DNK851987:DNO851987 DXG851987:DXK851987 EHC851987:EHG851987 EQY851987:ERC851987 FAU851987:FAY851987 FKQ851987:FKU851987 FUM851987:FUQ851987 GEI851987:GEM851987 GOE851987:GOI851987 GYA851987:GYE851987 HHW851987:HIA851987 HRS851987:HRW851987 IBO851987:IBS851987 ILK851987:ILO851987 IVG851987:IVK851987 JFC851987:JFG851987 JOY851987:JPC851987 JYU851987:JYY851987 KIQ851987:KIU851987 KSM851987:KSQ851987 LCI851987:LCM851987 LME851987:LMI851987 LWA851987:LWE851987 MFW851987:MGA851987 MPS851987:MPW851987 MZO851987:MZS851987 NJK851987:NJO851987 NTG851987:NTK851987 ODC851987:ODG851987 OMY851987:ONC851987 OWU851987:OWY851987 PGQ851987:PGU851987 PQM851987:PQQ851987 QAI851987:QAM851987 QKE851987:QKI851987 QUA851987:QUE851987 RDW851987:REA851987 RNS851987:RNW851987 RXO851987:RXS851987 SHK851987:SHO851987 SRG851987:SRK851987 TBC851987:TBG851987 TKY851987:TLC851987 TUU851987:TUY851987 UEQ851987:UEU851987 UOM851987:UOQ851987 UYI851987:UYM851987 VIE851987:VII851987 VSA851987:VSE851987 WBW851987:WCA851987 WLS851987:WLW851987 WVO851987:WVS851987 B917523:I917523 JC917523:JG917523 SY917523:TC917523 ACU917523:ACY917523 AMQ917523:AMU917523 AWM917523:AWQ917523 BGI917523:BGM917523 BQE917523:BQI917523 CAA917523:CAE917523 CJW917523:CKA917523 CTS917523:CTW917523 DDO917523:DDS917523 DNK917523:DNO917523 DXG917523:DXK917523 EHC917523:EHG917523 EQY917523:ERC917523 FAU917523:FAY917523 FKQ917523:FKU917523 FUM917523:FUQ917523 GEI917523:GEM917523 GOE917523:GOI917523 GYA917523:GYE917523 HHW917523:HIA917523 HRS917523:HRW917523 IBO917523:IBS917523 ILK917523:ILO917523 IVG917523:IVK917523 JFC917523:JFG917523 JOY917523:JPC917523 JYU917523:JYY917523 KIQ917523:KIU917523 KSM917523:KSQ917523 LCI917523:LCM917523 LME917523:LMI917523 LWA917523:LWE917523 MFW917523:MGA917523 MPS917523:MPW917523 MZO917523:MZS917523 NJK917523:NJO917523 NTG917523:NTK917523 ODC917523:ODG917523 OMY917523:ONC917523 OWU917523:OWY917523 PGQ917523:PGU917523 PQM917523:PQQ917523 QAI917523:QAM917523 QKE917523:QKI917523 QUA917523:QUE917523 RDW917523:REA917523 RNS917523:RNW917523 RXO917523:RXS917523 SHK917523:SHO917523 SRG917523:SRK917523 TBC917523:TBG917523 TKY917523:TLC917523 TUU917523:TUY917523 UEQ917523:UEU917523 UOM917523:UOQ917523 UYI917523:UYM917523 VIE917523:VII917523 VSA917523:VSE917523 WBW917523:WCA917523 WLS917523:WLW917523 WVO917523:WVS917523 B983059:I983059 JC983059:JG983059 SY983059:TC983059 ACU983059:ACY983059 AMQ983059:AMU983059 AWM983059:AWQ983059 BGI983059:BGM983059 BQE983059:BQI983059 CAA983059:CAE983059 CJW983059:CKA983059 CTS983059:CTW983059 DDO983059:DDS983059 DNK983059:DNO983059 DXG983059:DXK983059 EHC983059:EHG983059 EQY983059:ERC983059 FAU983059:FAY983059 FKQ983059:FKU983059 FUM983059:FUQ983059 GEI983059:GEM983059 GOE983059:GOI983059 GYA983059:GYE983059 HHW983059:HIA983059 HRS983059:HRW983059 IBO983059:IBS983059 ILK983059:ILO983059 IVG983059:IVK983059 JFC983059:JFG983059 JOY983059:JPC983059 JYU983059:JYY983059 KIQ983059:KIU983059 KSM983059:KSQ983059 LCI983059:LCM983059 LME983059:LMI983059 LWA983059:LWE983059 MFW983059:MGA983059 MPS983059:MPW983059 MZO983059:MZS983059 NJK983059:NJO983059 NTG983059:NTK983059 ODC983059:ODG983059 OMY983059:ONC983059 OWU983059:OWY983059 PGQ983059:PGU983059 PQM983059:PQQ983059 QAI983059:QAM983059 QKE983059:QKI983059 QUA983059:QUE983059 RDW983059:REA983059 RNS983059:RNW983059 RXO983059:RXS983059 SHK983059:SHO983059 SRG983059:SRK983059 TBC983059:TBG983059 TKY983059:TLC983059 TUU983059:TUY983059 UEQ983059:UEU983059 UOM983059:UOQ983059 UYI983059:UYM983059 VIE983059:VII983059 VSA983059:VSE983059 WBW983059:WCA983059 WLS983059:WLW983059" xr:uid="{00000000-0002-0000-0000-000001000000}">
      <formula1>#REF!</formula1>
    </dataValidation>
    <dataValidation allowBlank="1" showInputMessage="1" showErrorMessage="1" promptTitle="SYSTEM" prompt="SELECT FROM DROP DOWN LIST" sqref="WVO983061:WVS983061 WLS983061:WLW983061 B65557:I65557 JC65557:JG65557 SY65557:TC65557 ACU65557:ACY65557 AMQ65557:AMU65557 AWM65557:AWQ65557 BGI65557:BGM65557 BQE65557:BQI65557 CAA65557:CAE65557 CJW65557:CKA65557 CTS65557:CTW65557 DDO65557:DDS65557 DNK65557:DNO65557 DXG65557:DXK65557 EHC65557:EHG65557 EQY65557:ERC65557 FAU65557:FAY65557 FKQ65557:FKU65557 FUM65557:FUQ65557 GEI65557:GEM65557 GOE65557:GOI65557 GYA65557:GYE65557 HHW65557:HIA65557 HRS65557:HRW65557 IBO65557:IBS65557 ILK65557:ILO65557 IVG65557:IVK65557 JFC65557:JFG65557 JOY65557:JPC65557 JYU65557:JYY65557 KIQ65557:KIU65557 KSM65557:KSQ65557 LCI65557:LCM65557 LME65557:LMI65557 LWA65557:LWE65557 MFW65557:MGA65557 MPS65557:MPW65557 MZO65557:MZS65557 NJK65557:NJO65557 NTG65557:NTK65557 ODC65557:ODG65557 OMY65557:ONC65557 OWU65557:OWY65557 PGQ65557:PGU65557 PQM65557:PQQ65557 QAI65557:QAM65557 QKE65557:QKI65557 QUA65557:QUE65557 RDW65557:REA65557 RNS65557:RNW65557 RXO65557:RXS65557 SHK65557:SHO65557 SRG65557:SRK65557 TBC65557:TBG65557 TKY65557:TLC65557 TUU65557:TUY65557 UEQ65557:UEU65557 UOM65557:UOQ65557 UYI65557:UYM65557 VIE65557:VII65557 VSA65557:VSE65557 WBW65557:WCA65557 WLS65557:WLW65557 WVO65557:WVS65557 B131093:I131093 JC131093:JG131093 SY131093:TC131093 ACU131093:ACY131093 AMQ131093:AMU131093 AWM131093:AWQ131093 BGI131093:BGM131093 BQE131093:BQI131093 CAA131093:CAE131093 CJW131093:CKA131093 CTS131093:CTW131093 DDO131093:DDS131093 DNK131093:DNO131093 DXG131093:DXK131093 EHC131093:EHG131093 EQY131093:ERC131093 FAU131093:FAY131093 FKQ131093:FKU131093 FUM131093:FUQ131093 GEI131093:GEM131093 GOE131093:GOI131093 GYA131093:GYE131093 HHW131093:HIA131093 HRS131093:HRW131093 IBO131093:IBS131093 ILK131093:ILO131093 IVG131093:IVK131093 JFC131093:JFG131093 JOY131093:JPC131093 JYU131093:JYY131093 KIQ131093:KIU131093 KSM131093:KSQ131093 LCI131093:LCM131093 LME131093:LMI131093 LWA131093:LWE131093 MFW131093:MGA131093 MPS131093:MPW131093 MZO131093:MZS131093 NJK131093:NJO131093 NTG131093:NTK131093 ODC131093:ODG131093 OMY131093:ONC131093 OWU131093:OWY131093 PGQ131093:PGU131093 PQM131093:PQQ131093 QAI131093:QAM131093 QKE131093:QKI131093 QUA131093:QUE131093 RDW131093:REA131093 RNS131093:RNW131093 RXO131093:RXS131093 SHK131093:SHO131093 SRG131093:SRK131093 TBC131093:TBG131093 TKY131093:TLC131093 TUU131093:TUY131093 UEQ131093:UEU131093 UOM131093:UOQ131093 UYI131093:UYM131093 VIE131093:VII131093 VSA131093:VSE131093 WBW131093:WCA131093 WLS131093:WLW131093 WVO131093:WVS131093 B196629:I196629 JC196629:JG196629 SY196629:TC196629 ACU196629:ACY196629 AMQ196629:AMU196629 AWM196629:AWQ196629 BGI196629:BGM196629 BQE196629:BQI196629 CAA196629:CAE196629 CJW196629:CKA196629 CTS196629:CTW196629 DDO196629:DDS196629 DNK196629:DNO196629 DXG196629:DXK196629 EHC196629:EHG196629 EQY196629:ERC196629 FAU196629:FAY196629 FKQ196629:FKU196629 FUM196629:FUQ196629 GEI196629:GEM196629 GOE196629:GOI196629 GYA196629:GYE196629 HHW196629:HIA196629 HRS196629:HRW196629 IBO196629:IBS196629 ILK196629:ILO196629 IVG196629:IVK196629 JFC196629:JFG196629 JOY196629:JPC196629 JYU196629:JYY196629 KIQ196629:KIU196629 KSM196629:KSQ196629 LCI196629:LCM196629 LME196629:LMI196629 LWA196629:LWE196629 MFW196629:MGA196629 MPS196629:MPW196629 MZO196629:MZS196629 NJK196629:NJO196629 NTG196629:NTK196629 ODC196629:ODG196629 OMY196629:ONC196629 OWU196629:OWY196629 PGQ196629:PGU196629 PQM196629:PQQ196629 QAI196629:QAM196629 QKE196629:QKI196629 QUA196629:QUE196629 RDW196629:REA196629 RNS196629:RNW196629 RXO196629:RXS196629 SHK196629:SHO196629 SRG196629:SRK196629 TBC196629:TBG196629 TKY196629:TLC196629 TUU196629:TUY196629 UEQ196629:UEU196629 UOM196629:UOQ196629 UYI196629:UYM196629 VIE196629:VII196629 VSA196629:VSE196629 WBW196629:WCA196629 WLS196629:WLW196629 WVO196629:WVS196629 B262165:I262165 JC262165:JG262165 SY262165:TC262165 ACU262165:ACY262165 AMQ262165:AMU262165 AWM262165:AWQ262165 BGI262165:BGM262165 BQE262165:BQI262165 CAA262165:CAE262165 CJW262165:CKA262165 CTS262165:CTW262165 DDO262165:DDS262165 DNK262165:DNO262165 DXG262165:DXK262165 EHC262165:EHG262165 EQY262165:ERC262165 FAU262165:FAY262165 FKQ262165:FKU262165 FUM262165:FUQ262165 GEI262165:GEM262165 GOE262165:GOI262165 GYA262165:GYE262165 HHW262165:HIA262165 HRS262165:HRW262165 IBO262165:IBS262165 ILK262165:ILO262165 IVG262165:IVK262165 JFC262165:JFG262165 JOY262165:JPC262165 JYU262165:JYY262165 KIQ262165:KIU262165 KSM262165:KSQ262165 LCI262165:LCM262165 LME262165:LMI262165 LWA262165:LWE262165 MFW262165:MGA262165 MPS262165:MPW262165 MZO262165:MZS262165 NJK262165:NJO262165 NTG262165:NTK262165 ODC262165:ODG262165 OMY262165:ONC262165 OWU262165:OWY262165 PGQ262165:PGU262165 PQM262165:PQQ262165 QAI262165:QAM262165 QKE262165:QKI262165 QUA262165:QUE262165 RDW262165:REA262165 RNS262165:RNW262165 RXO262165:RXS262165 SHK262165:SHO262165 SRG262165:SRK262165 TBC262165:TBG262165 TKY262165:TLC262165 TUU262165:TUY262165 UEQ262165:UEU262165 UOM262165:UOQ262165 UYI262165:UYM262165 VIE262165:VII262165 VSA262165:VSE262165 WBW262165:WCA262165 WLS262165:WLW262165 WVO262165:WVS262165 B327701:I327701 JC327701:JG327701 SY327701:TC327701 ACU327701:ACY327701 AMQ327701:AMU327701 AWM327701:AWQ327701 BGI327701:BGM327701 BQE327701:BQI327701 CAA327701:CAE327701 CJW327701:CKA327701 CTS327701:CTW327701 DDO327701:DDS327701 DNK327701:DNO327701 DXG327701:DXK327701 EHC327701:EHG327701 EQY327701:ERC327701 FAU327701:FAY327701 FKQ327701:FKU327701 FUM327701:FUQ327701 GEI327701:GEM327701 GOE327701:GOI327701 GYA327701:GYE327701 HHW327701:HIA327701 HRS327701:HRW327701 IBO327701:IBS327701 ILK327701:ILO327701 IVG327701:IVK327701 JFC327701:JFG327701 JOY327701:JPC327701 JYU327701:JYY327701 KIQ327701:KIU327701 KSM327701:KSQ327701 LCI327701:LCM327701 LME327701:LMI327701 LWA327701:LWE327701 MFW327701:MGA327701 MPS327701:MPW327701 MZO327701:MZS327701 NJK327701:NJO327701 NTG327701:NTK327701 ODC327701:ODG327701 OMY327701:ONC327701 OWU327701:OWY327701 PGQ327701:PGU327701 PQM327701:PQQ327701 QAI327701:QAM327701 QKE327701:QKI327701 QUA327701:QUE327701 RDW327701:REA327701 RNS327701:RNW327701 RXO327701:RXS327701 SHK327701:SHO327701 SRG327701:SRK327701 TBC327701:TBG327701 TKY327701:TLC327701 TUU327701:TUY327701 UEQ327701:UEU327701 UOM327701:UOQ327701 UYI327701:UYM327701 VIE327701:VII327701 VSA327701:VSE327701 WBW327701:WCA327701 WLS327701:WLW327701 WVO327701:WVS327701 B393237:I393237 JC393237:JG393237 SY393237:TC393237 ACU393237:ACY393237 AMQ393237:AMU393237 AWM393237:AWQ393237 BGI393237:BGM393237 BQE393237:BQI393237 CAA393237:CAE393237 CJW393237:CKA393237 CTS393237:CTW393237 DDO393237:DDS393237 DNK393237:DNO393237 DXG393237:DXK393237 EHC393237:EHG393237 EQY393237:ERC393237 FAU393237:FAY393237 FKQ393237:FKU393237 FUM393237:FUQ393237 GEI393237:GEM393237 GOE393237:GOI393237 GYA393237:GYE393237 HHW393237:HIA393237 HRS393237:HRW393237 IBO393237:IBS393237 ILK393237:ILO393237 IVG393237:IVK393237 JFC393237:JFG393237 JOY393237:JPC393237 JYU393237:JYY393237 KIQ393237:KIU393237 KSM393237:KSQ393237 LCI393237:LCM393237 LME393237:LMI393237 LWA393237:LWE393237 MFW393237:MGA393237 MPS393237:MPW393237 MZO393237:MZS393237 NJK393237:NJO393237 NTG393237:NTK393237 ODC393237:ODG393237 OMY393237:ONC393237 OWU393237:OWY393237 PGQ393237:PGU393237 PQM393237:PQQ393237 QAI393237:QAM393237 QKE393237:QKI393237 QUA393237:QUE393237 RDW393237:REA393237 RNS393237:RNW393237 RXO393237:RXS393237 SHK393237:SHO393237 SRG393237:SRK393237 TBC393237:TBG393237 TKY393237:TLC393237 TUU393237:TUY393237 UEQ393237:UEU393237 UOM393237:UOQ393237 UYI393237:UYM393237 VIE393237:VII393237 VSA393237:VSE393237 WBW393237:WCA393237 WLS393237:WLW393237 WVO393237:WVS393237 B458773:I458773 JC458773:JG458773 SY458773:TC458773 ACU458773:ACY458773 AMQ458773:AMU458773 AWM458773:AWQ458773 BGI458773:BGM458773 BQE458773:BQI458773 CAA458773:CAE458773 CJW458773:CKA458773 CTS458773:CTW458773 DDO458773:DDS458773 DNK458773:DNO458773 DXG458773:DXK458773 EHC458773:EHG458773 EQY458773:ERC458773 FAU458773:FAY458773 FKQ458773:FKU458773 FUM458773:FUQ458773 GEI458773:GEM458773 GOE458773:GOI458773 GYA458773:GYE458773 HHW458773:HIA458773 HRS458773:HRW458773 IBO458773:IBS458773 ILK458773:ILO458773 IVG458773:IVK458773 JFC458773:JFG458773 JOY458773:JPC458773 JYU458773:JYY458773 KIQ458773:KIU458773 KSM458773:KSQ458773 LCI458773:LCM458773 LME458773:LMI458773 LWA458773:LWE458773 MFW458773:MGA458773 MPS458773:MPW458773 MZO458773:MZS458773 NJK458773:NJO458773 NTG458773:NTK458773 ODC458773:ODG458773 OMY458773:ONC458773 OWU458773:OWY458773 PGQ458773:PGU458773 PQM458773:PQQ458773 QAI458773:QAM458773 QKE458773:QKI458773 QUA458773:QUE458773 RDW458773:REA458773 RNS458773:RNW458773 RXO458773:RXS458773 SHK458773:SHO458773 SRG458773:SRK458773 TBC458773:TBG458773 TKY458773:TLC458773 TUU458773:TUY458773 UEQ458773:UEU458773 UOM458773:UOQ458773 UYI458773:UYM458773 VIE458773:VII458773 VSA458773:VSE458773 WBW458773:WCA458773 WLS458773:WLW458773 WVO458773:WVS458773 B524309:I524309 JC524309:JG524309 SY524309:TC524309 ACU524309:ACY524309 AMQ524309:AMU524309 AWM524309:AWQ524309 BGI524309:BGM524309 BQE524309:BQI524309 CAA524309:CAE524309 CJW524309:CKA524309 CTS524309:CTW524309 DDO524309:DDS524309 DNK524309:DNO524309 DXG524309:DXK524309 EHC524309:EHG524309 EQY524309:ERC524309 FAU524309:FAY524309 FKQ524309:FKU524309 FUM524309:FUQ524309 GEI524309:GEM524309 GOE524309:GOI524309 GYA524309:GYE524309 HHW524309:HIA524309 HRS524309:HRW524309 IBO524309:IBS524309 ILK524309:ILO524309 IVG524309:IVK524309 JFC524309:JFG524309 JOY524309:JPC524309 JYU524309:JYY524309 KIQ524309:KIU524309 KSM524309:KSQ524309 LCI524309:LCM524309 LME524309:LMI524309 LWA524309:LWE524309 MFW524309:MGA524309 MPS524309:MPW524309 MZO524309:MZS524309 NJK524309:NJO524309 NTG524309:NTK524309 ODC524309:ODG524309 OMY524309:ONC524309 OWU524309:OWY524309 PGQ524309:PGU524309 PQM524309:PQQ524309 QAI524309:QAM524309 QKE524309:QKI524309 QUA524309:QUE524309 RDW524309:REA524309 RNS524309:RNW524309 RXO524309:RXS524309 SHK524309:SHO524309 SRG524309:SRK524309 TBC524309:TBG524309 TKY524309:TLC524309 TUU524309:TUY524309 UEQ524309:UEU524309 UOM524309:UOQ524309 UYI524309:UYM524309 VIE524309:VII524309 VSA524309:VSE524309 WBW524309:WCA524309 WLS524309:WLW524309 WVO524309:WVS524309 B589845:I589845 JC589845:JG589845 SY589845:TC589845 ACU589845:ACY589845 AMQ589845:AMU589845 AWM589845:AWQ589845 BGI589845:BGM589845 BQE589845:BQI589845 CAA589845:CAE589845 CJW589845:CKA589845 CTS589845:CTW589845 DDO589845:DDS589845 DNK589845:DNO589845 DXG589845:DXK589845 EHC589845:EHG589845 EQY589845:ERC589845 FAU589845:FAY589845 FKQ589845:FKU589845 FUM589845:FUQ589845 GEI589845:GEM589845 GOE589845:GOI589845 GYA589845:GYE589845 HHW589845:HIA589845 HRS589845:HRW589845 IBO589845:IBS589845 ILK589845:ILO589845 IVG589845:IVK589845 JFC589845:JFG589845 JOY589845:JPC589845 JYU589845:JYY589845 KIQ589845:KIU589845 KSM589845:KSQ589845 LCI589845:LCM589845 LME589845:LMI589845 LWA589845:LWE589845 MFW589845:MGA589845 MPS589845:MPW589845 MZO589845:MZS589845 NJK589845:NJO589845 NTG589845:NTK589845 ODC589845:ODG589845 OMY589845:ONC589845 OWU589845:OWY589845 PGQ589845:PGU589845 PQM589845:PQQ589845 QAI589845:QAM589845 QKE589845:QKI589845 QUA589845:QUE589845 RDW589845:REA589845 RNS589845:RNW589845 RXO589845:RXS589845 SHK589845:SHO589845 SRG589845:SRK589845 TBC589845:TBG589845 TKY589845:TLC589845 TUU589845:TUY589845 UEQ589845:UEU589845 UOM589845:UOQ589845 UYI589845:UYM589845 VIE589845:VII589845 VSA589845:VSE589845 WBW589845:WCA589845 WLS589845:WLW589845 WVO589845:WVS589845 B655381:I655381 JC655381:JG655381 SY655381:TC655381 ACU655381:ACY655381 AMQ655381:AMU655381 AWM655381:AWQ655381 BGI655381:BGM655381 BQE655381:BQI655381 CAA655381:CAE655381 CJW655381:CKA655381 CTS655381:CTW655381 DDO655381:DDS655381 DNK655381:DNO655381 DXG655381:DXK655381 EHC655381:EHG655381 EQY655381:ERC655381 FAU655381:FAY655381 FKQ655381:FKU655381 FUM655381:FUQ655381 GEI655381:GEM655381 GOE655381:GOI655381 GYA655381:GYE655381 HHW655381:HIA655381 HRS655381:HRW655381 IBO655381:IBS655381 ILK655381:ILO655381 IVG655381:IVK655381 JFC655381:JFG655381 JOY655381:JPC655381 JYU655381:JYY655381 KIQ655381:KIU655381 KSM655381:KSQ655381 LCI655381:LCM655381 LME655381:LMI655381 LWA655381:LWE655381 MFW655381:MGA655381 MPS655381:MPW655381 MZO655381:MZS655381 NJK655381:NJO655381 NTG655381:NTK655381 ODC655381:ODG655381 OMY655381:ONC655381 OWU655381:OWY655381 PGQ655381:PGU655381 PQM655381:PQQ655381 QAI655381:QAM655381 QKE655381:QKI655381 QUA655381:QUE655381 RDW655381:REA655381 RNS655381:RNW655381 RXO655381:RXS655381 SHK655381:SHO655381 SRG655381:SRK655381 TBC655381:TBG655381 TKY655381:TLC655381 TUU655381:TUY655381 UEQ655381:UEU655381 UOM655381:UOQ655381 UYI655381:UYM655381 VIE655381:VII655381 VSA655381:VSE655381 WBW655381:WCA655381 WLS655381:WLW655381 WVO655381:WVS655381 B720917:I720917 JC720917:JG720917 SY720917:TC720917 ACU720917:ACY720917 AMQ720917:AMU720917 AWM720917:AWQ720917 BGI720917:BGM720917 BQE720917:BQI720917 CAA720917:CAE720917 CJW720917:CKA720917 CTS720917:CTW720917 DDO720917:DDS720917 DNK720917:DNO720917 DXG720917:DXK720917 EHC720917:EHG720917 EQY720917:ERC720917 FAU720917:FAY720917 FKQ720917:FKU720917 FUM720917:FUQ720917 GEI720917:GEM720917 GOE720917:GOI720917 GYA720917:GYE720917 HHW720917:HIA720917 HRS720917:HRW720917 IBO720917:IBS720917 ILK720917:ILO720917 IVG720917:IVK720917 JFC720917:JFG720917 JOY720917:JPC720917 JYU720917:JYY720917 KIQ720917:KIU720917 KSM720917:KSQ720917 LCI720917:LCM720917 LME720917:LMI720917 LWA720917:LWE720917 MFW720917:MGA720917 MPS720917:MPW720917 MZO720917:MZS720917 NJK720917:NJO720917 NTG720917:NTK720917 ODC720917:ODG720917 OMY720917:ONC720917 OWU720917:OWY720917 PGQ720917:PGU720917 PQM720917:PQQ720917 QAI720917:QAM720917 QKE720917:QKI720917 QUA720917:QUE720917 RDW720917:REA720917 RNS720917:RNW720917 RXO720917:RXS720917 SHK720917:SHO720917 SRG720917:SRK720917 TBC720917:TBG720917 TKY720917:TLC720917 TUU720917:TUY720917 UEQ720917:UEU720917 UOM720917:UOQ720917 UYI720917:UYM720917 VIE720917:VII720917 VSA720917:VSE720917 WBW720917:WCA720917 WLS720917:WLW720917 WVO720917:WVS720917 B786453:I786453 JC786453:JG786453 SY786453:TC786453 ACU786453:ACY786453 AMQ786453:AMU786453 AWM786453:AWQ786453 BGI786453:BGM786453 BQE786453:BQI786453 CAA786453:CAE786453 CJW786453:CKA786453 CTS786453:CTW786453 DDO786453:DDS786453 DNK786453:DNO786453 DXG786453:DXK786453 EHC786453:EHG786453 EQY786453:ERC786453 FAU786453:FAY786453 FKQ786453:FKU786453 FUM786453:FUQ786453 GEI786453:GEM786453 GOE786453:GOI786453 GYA786453:GYE786453 HHW786453:HIA786453 HRS786453:HRW786453 IBO786453:IBS786453 ILK786453:ILO786453 IVG786453:IVK786453 JFC786453:JFG786453 JOY786453:JPC786453 JYU786453:JYY786453 KIQ786453:KIU786453 KSM786453:KSQ786453 LCI786453:LCM786453 LME786453:LMI786453 LWA786453:LWE786453 MFW786453:MGA786453 MPS786453:MPW786453 MZO786453:MZS786453 NJK786453:NJO786453 NTG786453:NTK786453 ODC786453:ODG786453 OMY786453:ONC786453 OWU786453:OWY786453 PGQ786453:PGU786453 PQM786453:PQQ786453 QAI786453:QAM786453 QKE786453:QKI786453 QUA786453:QUE786453 RDW786453:REA786453 RNS786453:RNW786453 RXO786453:RXS786453 SHK786453:SHO786453 SRG786453:SRK786453 TBC786453:TBG786453 TKY786453:TLC786453 TUU786453:TUY786453 UEQ786453:UEU786453 UOM786453:UOQ786453 UYI786453:UYM786453 VIE786453:VII786453 VSA786453:VSE786453 WBW786453:WCA786453 WLS786453:WLW786453 WVO786453:WVS786453 B851989:I851989 JC851989:JG851989 SY851989:TC851989 ACU851989:ACY851989 AMQ851989:AMU851989 AWM851989:AWQ851989 BGI851989:BGM851989 BQE851989:BQI851989 CAA851989:CAE851989 CJW851989:CKA851989 CTS851989:CTW851989 DDO851989:DDS851989 DNK851989:DNO851989 DXG851989:DXK851989 EHC851989:EHG851989 EQY851989:ERC851989 FAU851989:FAY851989 FKQ851989:FKU851989 FUM851989:FUQ851989 GEI851989:GEM851989 GOE851989:GOI851989 GYA851989:GYE851989 HHW851989:HIA851989 HRS851989:HRW851989 IBO851989:IBS851989 ILK851989:ILO851989 IVG851989:IVK851989 JFC851989:JFG851989 JOY851989:JPC851989 JYU851989:JYY851989 KIQ851989:KIU851989 KSM851989:KSQ851989 LCI851989:LCM851989 LME851989:LMI851989 LWA851989:LWE851989 MFW851989:MGA851989 MPS851989:MPW851989 MZO851989:MZS851989 NJK851989:NJO851989 NTG851989:NTK851989 ODC851989:ODG851989 OMY851989:ONC851989 OWU851989:OWY851989 PGQ851989:PGU851989 PQM851989:PQQ851989 QAI851989:QAM851989 QKE851989:QKI851989 QUA851989:QUE851989 RDW851989:REA851989 RNS851989:RNW851989 RXO851989:RXS851989 SHK851989:SHO851989 SRG851989:SRK851989 TBC851989:TBG851989 TKY851989:TLC851989 TUU851989:TUY851989 UEQ851989:UEU851989 UOM851989:UOQ851989 UYI851989:UYM851989 VIE851989:VII851989 VSA851989:VSE851989 WBW851989:WCA851989 WLS851989:WLW851989 WVO851989:WVS851989 B917525:I917525 JC917525:JG917525 SY917525:TC917525 ACU917525:ACY917525 AMQ917525:AMU917525 AWM917525:AWQ917525 BGI917525:BGM917525 BQE917525:BQI917525 CAA917525:CAE917525 CJW917525:CKA917525 CTS917525:CTW917525 DDO917525:DDS917525 DNK917525:DNO917525 DXG917525:DXK917525 EHC917525:EHG917525 EQY917525:ERC917525 FAU917525:FAY917525 FKQ917525:FKU917525 FUM917525:FUQ917525 GEI917525:GEM917525 GOE917525:GOI917525 GYA917525:GYE917525 HHW917525:HIA917525 HRS917525:HRW917525 IBO917525:IBS917525 ILK917525:ILO917525 IVG917525:IVK917525 JFC917525:JFG917525 JOY917525:JPC917525 JYU917525:JYY917525 KIQ917525:KIU917525 KSM917525:KSQ917525 LCI917525:LCM917525 LME917525:LMI917525 LWA917525:LWE917525 MFW917525:MGA917525 MPS917525:MPW917525 MZO917525:MZS917525 NJK917525:NJO917525 NTG917525:NTK917525 ODC917525:ODG917525 OMY917525:ONC917525 OWU917525:OWY917525 PGQ917525:PGU917525 PQM917525:PQQ917525 QAI917525:QAM917525 QKE917525:QKI917525 QUA917525:QUE917525 RDW917525:REA917525 RNS917525:RNW917525 RXO917525:RXS917525 SHK917525:SHO917525 SRG917525:SRK917525 TBC917525:TBG917525 TKY917525:TLC917525 TUU917525:TUY917525 UEQ917525:UEU917525 UOM917525:UOQ917525 UYI917525:UYM917525 VIE917525:VII917525 VSA917525:VSE917525 WBW917525:WCA917525 WLS917525:WLW917525 WVO917525:WVS917525 B983061:I983061 JC983061:JG983061 SY983061:TC983061 ACU983061:ACY983061 AMQ983061:AMU983061 AWM983061:AWQ983061 BGI983061:BGM983061 BQE983061:BQI983061 CAA983061:CAE983061 CJW983061:CKA983061 CTS983061:CTW983061 DDO983061:DDS983061 DNK983061:DNO983061 DXG983061:DXK983061 EHC983061:EHG983061 EQY983061:ERC983061 FAU983061:FAY983061 FKQ983061:FKU983061 FUM983061:FUQ983061 GEI983061:GEM983061 GOE983061:GOI983061 GYA983061:GYE983061 HHW983061:HIA983061 HRS983061:HRW983061 IBO983061:IBS983061 ILK983061:ILO983061 IVG983061:IVK983061 JFC983061:JFG983061 JOY983061:JPC983061 JYU983061:JYY983061 KIQ983061:KIU983061 KSM983061:KSQ983061 LCI983061:LCM983061 LME983061:LMI983061 LWA983061:LWE983061 MFW983061:MGA983061 MPS983061:MPW983061 MZO983061:MZS983061 NJK983061:NJO983061 NTG983061:NTK983061 ODC983061:ODG983061 OMY983061:ONC983061 OWU983061:OWY983061 PGQ983061:PGU983061 PQM983061:PQQ983061 QAI983061:QAM983061 QKE983061:QKI983061 QUA983061:QUE983061 RDW983061:REA983061 RNS983061:RNW983061 RXO983061:RXS983061 SHK983061:SHO983061 SRG983061:SRK983061 TBC983061:TBG983061 TKY983061:TLC983061 TUU983061:TUY983061 UEQ983061:UEU983061 UOM983061:UOQ983061 UYI983061:UYM983061 VIE983061:VII983061 VSA983061:VSE983061 WBW983061:WCA983061 ACU18:ACY25 SY18:TC25 JC18:JG25 WVO18:WVS25 WLS18:WLW25 WBW18:WCA25 VSA18:VSE25 VIE18:VII25 UYI18:UYM25 UOM18:UOQ25 UEQ18:UEU25 TUU18:TUY25 TKY18:TLC25 TBC18:TBG25 SRG18:SRK25 SHK18:SHO25 RXO18:RXS25 RNS18:RNW25 RDW18:REA25 QUA18:QUE25 QKE18:QKI25 QAI18:QAM25 PQM18:PQQ25 PGQ18:PGU25 OWU18:OWY25 OMY18:ONC25 ODC18:ODG25 NTG18:NTK25 NJK18:NJO25 MZO18:MZS25 MPS18:MPW25 MFW18:MGA25 LWA18:LWE25 LME18:LMI25 LCI18:LCM25 KSM18:KSQ25 KIQ18:KIU25 JYU18:JYY25 JOY18:JPC25 JFC18:JFG25 IVG18:IVK25 ILK18:ILO25 IBO18:IBS25 HRS18:HRW25 HHW18:HIA25 GYA18:GYE25 GOE18:GOI25 GEI18:GEM25 FUM18:FUQ25 FKQ18:FKU25 FAU18:FAY25 EQY18:ERC25 EHC18:EHG25 DXG18:DXK25 DNK18:DNO25 DDO18:DDS25 CTS18:CTW25 CJW18:CKA25 CAA18:CAE25 BQE18:BQI25 BGI18:BGM25 AWM18:AWQ25 AMQ18:AMU25" xr:uid="{00000000-0002-0000-0000-000002000000}"/>
  </dataValidations>
  <printOptions horizontalCentered="1"/>
  <pageMargins left="0.25" right="0.25" top="0.5" bottom="0.75" header="0.3" footer="0.3"/>
  <pageSetup paperSize="9" fitToHeight="0" orientation="portrait" r:id="rId1"/>
  <headerFooter alignWithMargins="0">
    <oddFooter>&amp;R&amp;"Arial,Italic"&amp;9PMO-T-OPM-006-R00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F195-B540-4F4B-8132-991293C0F1FE}">
  <sheetPr>
    <tabColor rgb="FFFFFF00"/>
    <pageSetUpPr fitToPage="1"/>
  </sheetPr>
  <dimension ref="A1:AB117"/>
  <sheetViews>
    <sheetView view="pageBreakPreview" zoomScale="60" zoomScaleNormal="100" workbookViewId="0">
      <selection activeCell="Z13" sqref="Z13"/>
    </sheetView>
  </sheetViews>
  <sheetFormatPr defaultRowHeight="15"/>
  <cols>
    <col min="1" max="1" width="9.140625" style="286"/>
    <col min="2" max="2" width="3.7109375" style="286" customWidth="1"/>
    <col min="3" max="3" width="5.7109375" style="289" customWidth="1"/>
    <col min="4" max="4" width="3.7109375" style="286" customWidth="1"/>
    <col min="5" max="5" width="46.7109375" style="286" customWidth="1"/>
    <col min="6" max="6" width="3.7109375" style="290" customWidth="1"/>
    <col min="7" max="9" width="12.7109375" style="290" customWidth="1"/>
    <col min="10" max="10" width="3.7109375" style="291" customWidth="1"/>
    <col min="11" max="11" width="5.7109375" style="286" customWidth="1"/>
    <col min="12" max="12" width="3.7109375" style="286" customWidth="1"/>
    <col min="13" max="13" width="9.140625" style="286" bestFit="1"/>
    <col min="14" max="14" width="9.140625" style="286"/>
    <col min="15" max="262" width="9.140625" style="286" bestFit="1"/>
    <col min="263" max="263" width="3.42578125" style="286" customWidth="1"/>
    <col min="264" max="264" width="6.5703125" style="286" customWidth="1"/>
    <col min="265" max="265" width="55.5703125" style="286" customWidth="1"/>
    <col min="266" max="267" width="12.42578125" style="286" customWidth="1"/>
    <col min="268" max="268" width="9.140625" style="286" bestFit="1"/>
    <col min="269" max="269" width="3.42578125" style="286" customWidth="1"/>
    <col min="270" max="518" width="9.140625" style="286" bestFit="1"/>
    <col min="519" max="519" width="3.42578125" style="286" customWidth="1"/>
    <col min="520" max="520" width="6.5703125" style="286" customWidth="1"/>
    <col min="521" max="521" width="55.5703125" style="286" customWidth="1"/>
    <col min="522" max="523" width="12.42578125" style="286" customWidth="1"/>
    <col min="524" max="524" width="9.140625" style="286" bestFit="1"/>
    <col min="525" max="525" width="3.42578125" style="286" customWidth="1"/>
    <col min="526" max="774" width="9.140625" style="286" bestFit="1"/>
    <col min="775" max="775" width="3.42578125" style="286" customWidth="1"/>
    <col min="776" max="776" width="6.5703125" style="286" customWidth="1"/>
    <col min="777" max="777" width="55.5703125" style="286" customWidth="1"/>
    <col min="778" max="779" width="12.42578125" style="286" customWidth="1"/>
    <col min="780" max="780" width="9.140625" style="286" bestFit="1"/>
    <col min="781" max="781" width="3.42578125" style="286" customWidth="1"/>
    <col min="782" max="1030" width="9.140625" style="286" bestFit="1"/>
    <col min="1031" max="1031" width="3.42578125" style="286" customWidth="1"/>
    <col min="1032" max="1032" width="6.5703125" style="286" customWidth="1"/>
    <col min="1033" max="1033" width="55.5703125" style="286" customWidth="1"/>
    <col min="1034" max="1035" width="12.42578125" style="286" customWidth="1"/>
    <col min="1036" max="1036" width="9.140625" style="286" bestFit="1"/>
    <col min="1037" max="1037" width="3.42578125" style="286" customWidth="1"/>
    <col min="1038" max="1286" width="9.140625" style="286" bestFit="1"/>
    <col min="1287" max="1287" width="3.42578125" style="286" customWidth="1"/>
    <col min="1288" max="1288" width="6.5703125" style="286" customWidth="1"/>
    <col min="1289" max="1289" width="55.5703125" style="286" customWidth="1"/>
    <col min="1290" max="1291" width="12.42578125" style="286" customWidth="1"/>
    <col min="1292" max="1292" width="9.140625" style="286" bestFit="1"/>
    <col min="1293" max="1293" width="3.42578125" style="286" customWidth="1"/>
    <col min="1294" max="1542" width="9.140625" style="286" bestFit="1"/>
    <col min="1543" max="1543" width="3.42578125" style="286" customWidth="1"/>
    <col min="1544" max="1544" width="6.5703125" style="286" customWidth="1"/>
    <col min="1545" max="1545" width="55.5703125" style="286" customWidth="1"/>
    <col min="1546" max="1547" width="12.42578125" style="286" customWidth="1"/>
    <col min="1548" max="1548" width="9.140625" style="286" bestFit="1"/>
    <col min="1549" max="1549" width="3.42578125" style="286" customWidth="1"/>
    <col min="1550" max="1798" width="9.140625" style="286" bestFit="1"/>
    <col min="1799" max="1799" width="3.42578125" style="286" customWidth="1"/>
    <col min="1800" max="1800" width="6.5703125" style="286" customWidth="1"/>
    <col min="1801" max="1801" width="55.5703125" style="286" customWidth="1"/>
    <col min="1802" max="1803" width="12.42578125" style="286" customWidth="1"/>
    <col min="1804" max="1804" width="9.140625" style="286" bestFit="1"/>
    <col min="1805" max="1805" width="3.42578125" style="286" customWidth="1"/>
    <col min="1806" max="2054" width="9.140625" style="286" bestFit="1"/>
    <col min="2055" max="2055" width="3.42578125" style="286" customWidth="1"/>
    <col min="2056" max="2056" width="6.5703125" style="286" customWidth="1"/>
    <col min="2057" max="2057" width="55.5703125" style="286" customWidth="1"/>
    <col min="2058" max="2059" width="12.42578125" style="286" customWidth="1"/>
    <col min="2060" max="2060" width="9.140625" style="286" bestFit="1"/>
    <col min="2061" max="2061" width="3.42578125" style="286" customWidth="1"/>
    <col min="2062" max="2310" width="9.140625" style="286" bestFit="1"/>
    <col min="2311" max="2311" width="3.42578125" style="286" customWidth="1"/>
    <col min="2312" max="2312" width="6.5703125" style="286" customWidth="1"/>
    <col min="2313" max="2313" width="55.5703125" style="286" customWidth="1"/>
    <col min="2314" max="2315" width="12.42578125" style="286" customWidth="1"/>
    <col min="2316" max="2316" width="9.140625" style="286" bestFit="1"/>
    <col min="2317" max="2317" width="3.42578125" style="286" customWidth="1"/>
    <col min="2318" max="2566" width="9.140625" style="286" bestFit="1"/>
    <col min="2567" max="2567" width="3.42578125" style="286" customWidth="1"/>
    <col min="2568" max="2568" width="6.5703125" style="286" customWidth="1"/>
    <col min="2569" max="2569" width="55.5703125" style="286" customWidth="1"/>
    <col min="2570" max="2571" width="12.42578125" style="286" customWidth="1"/>
    <col min="2572" max="2572" width="9.140625" style="286" bestFit="1"/>
    <col min="2573" max="2573" width="3.42578125" style="286" customWidth="1"/>
    <col min="2574" max="2822" width="9.140625" style="286" bestFit="1"/>
    <col min="2823" max="2823" width="3.42578125" style="286" customWidth="1"/>
    <col min="2824" max="2824" width="6.5703125" style="286" customWidth="1"/>
    <col min="2825" max="2825" width="55.5703125" style="286" customWidth="1"/>
    <col min="2826" max="2827" width="12.42578125" style="286" customWidth="1"/>
    <col min="2828" max="2828" width="9.140625" style="286" bestFit="1"/>
    <col min="2829" max="2829" width="3.42578125" style="286" customWidth="1"/>
    <col min="2830" max="3078" width="9.140625" style="286" bestFit="1"/>
    <col min="3079" max="3079" width="3.42578125" style="286" customWidth="1"/>
    <col min="3080" max="3080" width="6.5703125" style="286" customWidth="1"/>
    <col min="3081" max="3081" width="55.5703125" style="286" customWidth="1"/>
    <col min="3082" max="3083" width="12.42578125" style="286" customWidth="1"/>
    <col min="3084" max="3084" width="9.140625" style="286" bestFit="1"/>
    <col min="3085" max="3085" width="3.42578125" style="286" customWidth="1"/>
    <col min="3086" max="3334" width="9.140625" style="286" bestFit="1"/>
    <col min="3335" max="3335" width="3.42578125" style="286" customWidth="1"/>
    <col min="3336" max="3336" width="6.5703125" style="286" customWidth="1"/>
    <col min="3337" max="3337" width="55.5703125" style="286" customWidth="1"/>
    <col min="3338" max="3339" width="12.42578125" style="286" customWidth="1"/>
    <col min="3340" max="3340" width="9.140625" style="286" bestFit="1"/>
    <col min="3341" max="3341" width="3.42578125" style="286" customWidth="1"/>
    <col min="3342" max="3590" width="9.140625" style="286" bestFit="1"/>
    <col min="3591" max="3591" width="3.42578125" style="286" customWidth="1"/>
    <col min="3592" max="3592" width="6.5703125" style="286" customWidth="1"/>
    <col min="3593" max="3593" width="55.5703125" style="286" customWidth="1"/>
    <col min="3594" max="3595" width="12.42578125" style="286" customWidth="1"/>
    <col min="3596" max="3596" width="9.140625" style="286" bestFit="1"/>
    <col min="3597" max="3597" width="3.42578125" style="286" customWidth="1"/>
    <col min="3598" max="3846" width="9.140625" style="286" bestFit="1"/>
    <col min="3847" max="3847" width="3.42578125" style="286" customWidth="1"/>
    <col min="3848" max="3848" width="6.5703125" style="286" customWidth="1"/>
    <col min="3849" max="3849" width="55.5703125" style="286" customWidth="1"/>
    <col min="3850" max="3851" width="12.42578125" style="286" customWidth="1"/>
    <col min="3852" max="3852" width="9.140625" style="286" bestFit="1"/>
    <col min="3853" max="3853" width="3.42578125" style="286" customWidth="1"/>
    <col min="3854" max="4102" width="9.140625" style="286" bestFit="1"/>
    <col min="4103" max="4103" width="3.42578125" style="286" customWidth="1"/>
    <col min="4104" max="4104" width="6.5703125" style="286" customWidth="1"/>
    <col min="4105" max="4105" width="55.5703125" style="286" customWidth="1"/>
    <col min="4106" max="4107" width="12.42578125" style="286" customWidth="1"/>
    <col min="4108" max="4108" width="9.140625" style="286" bestFit="1"/>
    <col min="4109" max="4109" width="3.42578125" style="286" customWidth="1"/>
    <col min="4110" max="4358" width="9.140625" style="286" bestFit="1"/>
    <col min="4359" max="4359" width="3.42578125" style="286" customWidth="1"/>
    <col min="4360" max="4360" width="6.5703125" style="286" customWidth="1"/>
    <col min="4361" max="4361" width="55.5703125" style="286" customWidth="1"/>
    <col min="4362" max="4363" width="12.42578125" style="286" customWidth="1"/>
    <col min="4364" max="4364" width="9.140625" style="286" bestFit="1"/>
    <col min="4365" max="4365" width="3.42578125" style="286" customWidth="1"/>
    <col min="4366" max="4614" width="9.140625" style="286" bestFit="1"/>
    <col min="4615" max="4615" width="3.42578125" style="286" customWidth="1"/>
    <col min="4616" max="4616" width="6.5703125" style="286" customWidth="1"/>
    <col min="4617" max="4617" width="55.5703125" style="286" customWidth="1"/>
    <col min="4618" max="4619" width="12.42578125" style="286" customWidth="1"/>
    <col min="4620" max="4620" width="9.140625" style="286" bestFit="1"/>
    <col min="4621" max="4621" width="3.42578125" style="286" customWidth="1"/>
    <col min="4622" max="4870" width="9.140625" style="286" bestFit="1"/>
    <col min="4871" max="4871" width="3.42578125" style="286" customWidth="1"/>
    <col min="4872" max="4872" width="6.5703125" style="286" customWidth="1"/>
    <col min="4873" max="4873" width="55.5703125" style="286" customWidth="1"/>
    <col min="4874" max="4875" width="12.42578125" style="286" customWidth="1"/>
    <col min="4876" max="4876" width="9.140625" style="286" bestFit="1"/>
    <col min="4877" max="4877" width="3.42578125" style="286" customWidth="1"/>
    <col min="4878" max="5126" width="9.140625" style="286" bestFit="1"/>
    <col min="5127" max="5127" width="3.42578125" style="286" customWidth="1"/>
    <col min="5128" max="5128" width="6.5703125" style="286" customWidth="1"/>
    <col min="5129" max="5129" width="55.5703125" style="286" customWidth="1"/>
    <col min="5130" max="5131" width="12.42578125" style="286" customWidth="1"/>
    <col min="5132" max="5132" width="9.140625" style="286" bestFit="1"/>
    <col min="5133" max="5133" width="3.42578125" style="286" customWidth="1"/>
    <col min="5134" max="5382" width="9.140625" style="286" bestFit="1"/>
    <col min="5383" max="5383" width="3.42578125" style="286" customWidth="1"/>
    <col min="5384" max="5384" width="6.5703125" style="286" customWidth="1"/>
    <col min="5385" max="5385" width="55.5703125" style="286" customWidth="1"/>
    <col min="5386" max="5387" width="12.42578125" style="286" customWidth="1"/>
    <col min="5388" max="5388" width="9.140625" style="286" bestFit="1"/>
    <col min="5389" max="5389" width="3.42578125" style="286" customWidth="1"/>
    <col min="5390" max="5638" width="9.140625" style="286" bestFit="1"/>
    <col min="5639" max="5639" width="3.42578125" style="286" customWidth="1"/>
    <col min="5640" max="5640" width="6.5703125" style="286" customWidth="1"/>
    <col min="5641" max="5641" width="55.5703125" style="286" customWidth="1"/>
    <col min="5642" max="5643" width="12.42578125" style="286" customWidth="1"/>
    <col min="5644" max="5644" width="9.140625" style="286" bestFit="1"/>
    <col min="5645" max="5645" width="3.42578125" style="286" customWidth="1"/>
    <col min="5646" max="5894" width="9.140625" style="286" bestFit="1"/>
    <col min="5895" max="5895" width="3.42578125" style="286" customWidth="1"/>
    <col min="5896" max="5896" width="6.5703125" style="286" customWidth="1"/>
    <col min="5897" max="5897" width="55.5703125" style="286" customWidth="1"/>
    <col min="5898" max="5899" width="12.42578125" style="286" customWidth="1"/>
    <col min="5900" max="5900" width="9.140625" style="286" bestFit="1"/>
    <col min="5901" max="5901" width="3.42578125" style="286" customWidth="1"/>
    <col min="5902" max="6150" width="9.140625" style="286" bestFit="1"/>
    <col min="6151" max="6151" width="3.42578125" style="286" customWidth="1"/>
    <col min="6152" max="6152" width="6.5703125" style="286" customWidth="1"/>
    <col min="6153" max="6153" width="55.5703125" style="286" customWidth="1"/>
    <col min="6154" max="6155" width="12.42578125" style="286" customWidth="1"/>
    <col min="6156" max="6156" width="9.140625" style="286" bestFit="1"/>
    <col min="6157" max="6157" width="3.42578125" style="286" customWidth="1"/>
    <col min="6158" max="6406" width="9.140625" style="286" bestFit="1"/>
    <col min="6407" max="6407" width="3.42578125" style="286" customWidth="1"/>
    <col min="6408" max="6408" width="6.5703125" style="286" customWidth="1"/>
    <col min="6409" max="6409" width="55.5703125" style="286" customWidth="1"/>
    <col min="6410" max="6411" width="12.42578125" style="286" customWidth="1"/>
    <col min="6412" max="6412" width="9.140625" style="286" bestFit="1"/>
    <col min="6413" max="6413" width="3.42578125" style="286" customWidth="1"/>
    <col min="6414" max="6662" width="9.140625" style="286" bestFit="1"/>
    <col min="6663" max="6663" width="3.42578125" style="286" customWidth="1"/>
    <col min="6664" max="6664" width="6.5703125" style="286" customWidth="1"/>
    <col min="6665" max="6665" width="55.5703125" style="286" customWidth="1"/>
    <col min="6666" max="6667" width="12.42578125" style="286" customWidth="1"/>
    <col min="6668" max="6668" width="9.140625" style="286" bestFit="1"/>
    <col min="6669" max="6669" width="3.42578125" style="286" customWidth="1"/>
    <col min="6670" max="6918" width="9.140625" style="286" bestFit="1"/>
    <col min="6919" max="6919" width="3.42578125" style="286" customWidth="1"/>
    <col min="6920" max="6920" width="6.5703125" style="286" customWidth="1"/>
    <col min="6921" max="6921" width="55.5703125" style="286" customWidth="1"/>
    <col min="6922" max="6923" width="12.42578125" style="286" customWidth="1"/>
    <col min="6924" max="6924" width="9.140625" style="286" bestFit="1"/>
    <col min="6925" max="6925" width="3.42578125" style="286" customWidth="1"/>
    <col min="6926" max="7174" width="9.140625" style="286" bestFit="1"/>
    <col min="7175" max="7175" width="3.42578125" style="286" customWidth="1"/>
    <col min="7176" max="7176" width="6.5703125" style="286" customWidth="1"/>
    <col min="7177" max="7177" width="55.5703125" style="286" customWidth="1"/>
    <col min="7178" max="7179" width="12.42578125" style="286" customWidth="1"/>
    <col min="7180" max="7180" width="9.140625" style="286" bestFit="1"/>
    <col min="7181" max="7181" width="3.42578125" style="286" customWidth="1"/>
    <col min="7182" max="7430" width="9.140625" style="286" bestFit="1"/>
    <col min="7431" max="7431" width="3.42578125" style="286" customWidth="1"/>
    <col min="7432" max="7432" width="6.5703125" style="286" customWidth="1"/>
    <col min="7433" max="7433" width="55.5703125" style="286" customWidth="1"/>
    <col min="7434" max="7435" width="12.42578125" style="286" customWidth="1"/>
    <col min="7436" max="7436" width="9.140625" style="286" bestFit="1"/>
    <col min="7437" max="7437" width="3.42578125" style="286" customWidth="1"/>
    <col min="7438" max="7686" width="9.140625" style="286" bestFit="1"/>
    <col min="7687" max="7687" width="3.42578125" style="286" customWidth="1"/>
    <col min="7688" max="7688" width="6.5703125" style="286" customWidth="1"/>
    <col min="7689" max="7689" width="55.5703125" style="286" customWidth="1"/>
    <col min="7690" max="7691" width="12.42578125" style="286" customWidth="1"/>
    <col min="7692" max="7692" width="9.140625" style="286" bestFit="1"/>
    <col min="7693" max="7693" width="3.42578125" style="286" customWidth="1"/>
    <col min="7694" max="7942" width="9.140625" style="286" bestFit="1"/>
    <col min="7943" max="7943" width="3.42578125" style="286" customWidth="1"/>
    <col min="7944" max="7944" width="6.5703125" style="286" customWidth="1"/>
    <col min="7945" max="7945" width="55.5703125" style="286" customWidth="1"/>
    <col min="7946" max="7947" width="12.42578125" style="286" customWidth="1"/>
    <col min="7948" max="7948" width="9.140625" style="286" bestFit="1"/>
    <col min="7949" max="7949" width="3.42578125" style="286" customWidth="1"/>
    <col min="7950" max="8198" width="9.140625" style="286" bestFit="1"/>
    <col min="8199" max="8199" width="3.42578125" style="286" customWidth="1"/>
    <col min="8200" max="8200" width="6.5703125" style="286" customWidth="1"/>
    <col min="8201" max="8201" width="55.5703125" style="286" customWidth="1"/>
    <col min="8202" max="8203" width="12.42578125" style="286" customWidth="1"/>
    <col min="8204" max="8204" width="9.140625" style="286" bestFit="1"/>
    <col min="8205" max="8205" width="3.42578125" style="286" customWidth="1"/>
    <col min="8206" max="8454" width="9.140625" style="286" bestFit="1"/>
    <col min="8455" max="8455" width="3.42578125" style="286" customWidth="1"/>
    <col min="8456" max="8456" width="6.5703125" style="286" customWidth="1"/>
    <col min="8457" max="8457" width="55.5703125" style="286" customWidth="1"/>
    <col min="8458" max="8459" width="12.42578125" style="286" customWidth="1"/>
    <col min="8460" max="8460" width="9.140625" style="286" bestFit="1"/>
    <col min="8461" max="8461" width="3.42578125" style="286" customWidth="1"/>
    <col min="8462" max="8710" width="9.140625" style="286" bestFit="1"/>
    <col min="8711" max="8711" width="3.42578125" style="286" customWidth="1"/>
    <col min="8712" max="8712" width="6.5703125" style="286" customWidth="1"/>
    <col min="8713" max="8713" width="55.5703125" style="286" customWidth="1"/>
    <col min="8714" max="8715" width="12.42578125" style="286" customWidth="1"/>
    <col min="8716" max="8716" width="9.140625" style="286" bestFit="1"/>
    <col min="8717" max="8717" width="3.42578125" style="286" customWidth="1"/>
    <col min="8718" max="8966" width="9.140625" style="286" bestFit="1"/>
    <col min="8967" max="8967" width="3.42578125" style="286" customWidth="1"/>
    <col min="8968" max="8968" width="6.5703125" style="286" customWidth="1"/>
    <col min="8969" max="8969" width="55.5703125" style="286" customWidth="1"/>
    <col min="8970" max="8971" width="12.42578125" style="286" customWidth="1"/>
    <col min="8972" max="8972" width="9.140625" style="286" bestFit="1"/>
    <col min="8973" max="8973" width="3.42578125" style="286" customWidth="1"/>
    <col min="8974" max="9222" width="9.140625" style="286" bestFit="1"/>
    <col min="9223" max="9223" width="3.42578125" style="286" customWidth="1"/>
    <col min="9224" max="9224" width="6.5703125" style="286" customWidth="1"/>
    <col min="9225" max="9225" width="55.5703125" style="286" customWidth="1"/>
    <col min="9226" max="9227" width="12.42578125" style="286" customWidth="1"/>
    <col min="9228" max="9228" width="9.140625" style="286" bestFit="1"/>
    <col min="9229" max="9229" width="3.42578125" style="286" customWidth="1"/>
    <col min="9230" max="9478" width="9.140625" style="286" bestFit="1"/>
    <col min="9479" max="9479" width="3.42578125" style="286" customWidth="1"/>
    <col min="9480" max="9480" width="6.5703125" style="286" customWidth="1"/>
    <col min="9481" max="9481" width="55.5703125" style="286" customWidth="1"/>
    <col min="9482" max="9483" width="12.42578125" style="286" customWidth="1"/>
    <col min="9484" max="9484" width="9.140625" style="286" bestFit="1"/>
    <col min="9485" max="9485" width="3.42578125" style="286" customWidth="1"/>
    <col min="9486" max="9734" width="9.140625" style="286" bestFit="1"/>
    <col min="9735" max="9735" width="3.42578125" style="286" customWidth="1"/>
    <col min="9736" max="9736" width="6.5703125" style="286" customWidth="1"/>
    <col min="9737" max="9737" width="55.5703125" style="286" customWidth="1"/>
    <col min="9738" max="9739" width="12.42578125" style="286" customWidth="1"/>
    <col min="9740" max="9740" width="9.140625" style="286" bestFit="1"/>
    <col min="9741" max="9741" width="3.42578125" style="286" customWidth="1"/>
    <col min="9742" max="9990" width="9.140625" style="286" bestFit="1"/>
    <col min="9991" max="9991" width="3.42578125" style="286" customWidth="1"/>
    <col min="9992" max="9992" width="6.5703125" style="286" customWidth="1"/>
    <col min="9993" max="9993" width="55.5703125" style="286" customWidth="1"/>
    <col min="9994" max="9995" width="12.42578125" style="286" customWidth="1"/>
    <col min="9996" max="9996" width="9.140625" style="286" bestFit="1"/>
    <col min="9997" max="9997" width="3.42578125" style="286" customWidth="1"/>
    <col min="9998" max="10246" width="9.140625" style="286" bestFit="1"/>
    <col min="10247" max="10247" width="3.42578125" style="286" customWidth="1"/>
    <col min="10248" max="10248" width="6.5703125" style="286" customWidth="1"/>
    <col min="10249" max="10249" width="55.5703125" style="286" customWidth="1"/>
    <col min="10250" max="10251" width="12.42578125" style="286" customWidth="1"/>
    <col min="10252" max="10252" width="9.140625" style="286" bestFit="1"/>
    <col min="10253" max="10253" width="3.42578125" style="286" customWidth="1"/>
    <col min="10254" max="10502" width="9.140625" style="286" bestFit="1"/>
    <col min="10503" max="10503" width="3.42578125" style="286" customWidth="1"/>
    <col min="10504" max="10504" width="6.5703125" style="286" customWidth="1"/>
    <col min="10505" max="10505" width="55.5703125" style="286" customWidth="1"/>
    <col min="10506" max="10507" width="12.42578125" style="286" customWidth="1"/>
    <col min="10508" max="10508" width="9.140625" style="286" bestFit="1"/>
    <col min="10509" max="10509" width="3.42578125" style="286" customWidth="1"/>
    <col min="10510" max="10758" width="9.140625" style="286" bestFit="1"/>
    <col min="10759" max="10759" width="3.42578125" style="286" customWidth="1"/>
    <col min="10760" max="10760" width="6.5703125" style="286" customWidth="1"/>
    <col min="10761" max="10761" width="55.5703125" style="286" customWidth="1"/>
    <col min="10762" max="10763" width="12.42578125" style="286" customWidth="1"/>
    <col min="10764" max="10764" width="9.140625" style="286" bestFit="1"/>
    <col min="10765" max="10765" width="3.42578125" style="286" customWidth="1"/>
    <col min="10766" max="11014" width="9.140625" style="286" bestFit="1"/>
    <col min="11015" max="11015" width="3.42578125" style="286" customWidth="1"/>
    <col min="11016" max="11016" width="6.5703125" style="286" customWidth="1"/>
    <col min="11017" max="11017" width="55.5703125" style="286" customWidth="1"/>
    <col min="11018" max="11019" width="12.42578125" style="286" customWidth="1"/>
    <col min="11020" max="11020" width="9.140625" style="286" bestFit="1"/>
    <col min="11021" max="11021" width="3.42578125" style="286" customWidth="1"/>
    <col min="11022" max="11270" width="9.140625" style="286" bestFit="1"/>
    <col min="11271" max="11271" width="3.42578125" style="286" customWidth="1"/>
    <col min="11272" max="11272" width="6.5703125" style="286" customWidth="1"/>
    <col min="11273" max="11273" width="55.5703125" style="286" customWidth="1"/>
    <col min="11274" max="11275" width="12.42578125" style="286" customWidth="1"/>
    <col min="11276" max="11276" width="9.140625" style="286" bestFit="1"/>
    <col min="11277" max="11277" width="3.42578125" style="286" customWidth="1"/>
    <col min="11278" max="11526" width="9.140625" style="286" bestFit="1"/>
    <col min="11527" max="11527" width="3.42578125" style="286" customWidth="1"/>
    <col min="11528" max="11528" width="6.5703125" style="286" customWidth="1"/>
    <col min="11529" max="11529" width="55.5703125" style="286" customWidth="1"/>
    <col min="11530" max="11531" width="12.42578125" style="286" customWidth="1"/>
    <col min="11532" max="11532" width="9.140625" style="286" bestFit="1"/>
    <col min="11533" max="11533" width="3.42578125" style="286" customWidth="1"/>
    <col min="11534" max="11782" width="9.140625" style="286" bestFit="1"/>
    <col min="11783" max="11783" width="3.42578125" style="286" customWidth="1"/>
    <col min="11784" max="11784" width="6.5703125" style="286" customWidth="1"/>
    <col min="11785" max="11785" width="55.5703125" style="286" customWidth="1"/>
    <col min="11786" max="11787" width="12.42578125" style="286" customWidth="1"/>
    <col min="11788" max="11788" width="9.140625" style="286" bestFit="1"/>
    <col min="11789" max="11789" width="3.42578125" style="286" customWidth="1"/>
    <col min="11790" max="12038" width="9.140625" style="286" bestFit="1"/>
    <col min="12039" max="12039" width="3.42578125" style="286" customWidth="1"/>
    <col min="12040" max="12040" width="6.5703125" style="286" customWidth="1"/>
    <col min="12041" max="12041" width="55.5703125" style="286" customWidth="1"/>
    <col min="12042" max="12043" width="12.42578125" style="286" customWidth="1"/>
    <col min="12044" max="12044" width="9.140625" style="286" bestFit="1"/>
    <col min="12045" max="12045" width="3.42578125" style="286" customWidth="1"/>
    <col min="12046" max="12294" width="9.140625" style="286" bestFit="1"/>
    <col min="12295" max="12295" width="3.42578125" style="286" customWidth="1"/>
    <col min="12296" max="12296" width="6.5703125" style="286" customWidth="1"/>
    <col min="12297" max="12297" width="55.5703125" style="286" customWidth="1"/>
    <col min="12298" max="12299" width="12.42578125" style="286" customWidth="1"/>
    <col min="12300" max="12300" width="9.140625" style="286" bestFit="1"/>
    <col min="12301" max="12301" width="3.42578125" style="286" customWidth="1"/>
    <col min="12302" max="12550" width="9.140625" style="286" bestFit="1"/>
    <col min="12551" max="12551" width="3.42578125" style="286" customWidth="1"/>
    <col min="12552" max="12552" width="6.5703125" style="286" customWidth="1"/>
    <col min="12553" max="12553" width="55.5703125" style="286" customWidth="1"/>
    <col min="12554" max="12555" width="12.42578125" style="286" customWidth="1"/>
    <col min="12556" max="12556" width="9.140625" style="286" bestFit="1"/>
    <col min="12557" max="12557" width="3.42578125" style="286" customWidth="1"/>
    <col min="12558" max="12806" width="9.140625" style="286" bestFit="1"/>
    <col min="12807" max="12807" width="3.42578125" style="286" customWidth="1"/>
    <col min="12808" max="12808" width="6.5703125" style="286" customWidth="1"/>
    <col min="12809" max="12809" width="55.5703125" style="286" customWidth="1"/>
    <col min="12810" max="12811" width="12.42578125" style="286" customWidth="1"/>
    <col min="12812" max="12812" width="9.140625" style="286" bestFit="1"/>
    <col min="12813" max="12813" width="3.42578125" style="286" customWidth="1"/>
    <col min="12814" max="13062" width="9.140625" style="286" bestFit="1"/>
    <col min="13063" max="13063" width="3.42578125" style="286" customWidth="1"/>
    <col min="13064" max="13064" width="6.5703125" style="286" customWidth="1"/>
    <col min="13065" max="13065" width="55.5703125" style="286" customWidth="1"/>
    <col min="13066" max="13067" width="12.42578125" style="286" customWidth="1"/>
    <col min="13068" max="13068" width="9.140625" style="286" bestFit="1"/>
    <col min="13069" max="13069" width="3.42578125" style="286" customWidth="1"/>
    <col min="13070" max="13318" width="9.140625" style="286" bestFit="1"/>
    <col min="13319" max="13319" width="3.42578125" style="286" customWidth="1"/>
    <col min="13320" max="13320" width="6.5703125" style="286" customWidth="1"/>
    <col min="13321" max="13321" width="55.5703125" style="286" customWidth="1"/>
    <col min="13322" max="13323" width="12.42578125" style="286" customWidth="1"/>
    <col min="13324" max="13324" width="9.140625" style="286" bestFit="1"/>
    <col min="13325" max="13325" width="3.42578125" style="286" customWidth="1"/>
    <col min="13326" max="13574" width="9.140625" style="286" bestFit="1"/>
    <col min="13575" max="13575" width="3.42578125" style="286" customWidth="1"/>
    <col min="13576" max="13576" width="6.5703125" style="286" customWidth="1"/>
    <col min="13577" max="13577" width="55.5703125" style="286" customWidth="1"/>
    <col min="13578" max="13579" width="12.42578125" style="286" customWidth="1"/>
    <col min="13580" max="13580" width="9.140625" style="286" bestFit="1"/>
    <col min="13581" max="13581" width="3.42578125" style="286" customWidth="1"/>
    <col min="13582" max="13830" width="9.140625" style="286" bestFit="1"/>
    <col min="13831" max="13831" width="3.42578125" style="286" customWidth="1"/>
    <col min="13832" max="13832" width="6.5703125" style="286" customWidth="1"/>
    <col min="13833" max="13833" width="55.5703125" style="286" customWidth="1"/>
    <col min="13834" max="13835" width="12.42578125" style="286" customWidth="1"/>
    <col min="13836" max="13836" width="9.140625" style="286" bestFit="1"/>
    <col min="13837" max="13837" width="3.42578125" style="286" customWidth="1"/>
    <col min="13838" max="14086" width="9.140625" style="286" bestFit="1"/>
    <col min="14087" max="14087" width="3.42578125" style="286" customWidth="1"/>
    <col min="14088" max="14088" width="6.5703125" style="286" customWidth="1"/>
    <col min="14089" max="14089" width="55.5703125" style="286" customWidth="1"/>
    <col min="14090" max="14091" width="12.42578125" style="286" customWidth="1"/>
    <col min="14092" max="14092" width="9.140625" style="286" bestFit="1"/>
    <col min="14093" max="14093" width="3.42578125" style="286" customWidth="1"/>
    <col min="14094" max="14342" width="9.140625" style="286" bestFit="1"/>
    <col min="14343" max="14343" width="3.42578125" style="286" customWidth="1"/>
    <col min="14344" max="14344" width="6.5703125" style="286" customWidth="1"/>
    <col min="14345" max="14345" width="55.5703125" style="286" customWidth="1"/>
    <col min="14346" max="14347" width="12.42578125" style="286" customWidth="1"/>
    <col min="14348" max="14348" width="9.140625" style="286" bestFit="1"/>
    <col min="14349" max="14349" width="3.42578125" style="286" customWidth="1"/>
    <col min="14350" max="14598" width="9.140625" style="286" bestFit="1"/>
    <col min="14599" max="14599" width="3.42578125" style="286" customWidth="1"/>
    <col min="14600" max="14600" width="6.5703125" style="286" customWidth="1"/>
    <col min="14601" max="14601" width="55.5703125" style="286" customWidth="1"/>
    <col min="14602" max="14603" width="12.42578125" style="286" customWidth="1"/>
    <col min="14604" max="14604" width="9.140625" style="286" bestFit="1"/>
    <col min="14605" max="14605" width="3.42578125" style="286" customWidth="1"/>
    <col min="14606" max="14854" width="9.140625" style="286" bestFit="1"/>
    <col min="14855" max="14855" width="3.42578125" style="286" customWidth="1"/>
    <col min="14856" max="14856" width="6.5703125" style="286" customWidth="1"/>
    <col min="14857" max="14857" width="55.5703125" style="286" customWidth="1"/>
    <col min="14858" max="14859" width="12.42578125" style="286" customWidth="1"/>
    <col min="14860" max="14860" width="9.140625" style="286" bestFit="1"/>
    <col min="14861" max="14861" width="3.42578125" style="286" customWidth="1"/>
    <col min="14862" max="15110" width="9.140625" style="286" bestFit="1"/>
    <col min="15111" max="15111" width="3.42578125" style="286" customWidth="1"/>
    <col min="15112" max="15112" width="6.5703125" style="286" customWidth="1"/>
    <col min="15113" max="15113" width="55.5703125" style="286" customWidth="1"/>
    <col min="15114" max="15115" width="12.42578125" style="286" customWidth="1"/>
    <col min="15116" max="15116" width="9.140625" style="286" bestFit="1"/>
    <col min="15117" max="15117" width="3.42578125" style="286" customWidth="1"/>
    <col min="15118" max="15366" width="9.140625" style="286" bestFit="1"/>
    <col min="15367" max="15367" width="3.42578125" style="286" customWidth="1"/>
    <col min="15368" max="15368" width="6.5703125" style="286" customWidth="1"/>
    <col min="15369" max="15369" width="55.5703125" style="286" customWidth="1"/>
    <col min="15370" max="15371" width="12.42578125" style="286" customWidth="1"/>
    <col min="15372" max="15372" width="9.140625" style="286" bestFit="1"/>
    <col min="15373" max="15373" width="3.42578125" style="286" customWidth="1"/>
    <col min="15374" max="15622" width="9.140625" style="286" bestFit="1"/>
    <col min="15623" max="15623" width="3.42578125" style="286" customWidth="1"/>
    <col min="15624" max="15624" width="6.5703125" style="286" customWidth="1"/>
    <col min="15625" max="15625" width="55.5703125" style="286" customWidth="1"/>
    <col min="15626" max="15627" width="12.42578125" style="286" customWidth="1"/>
    <col min="15628" max="15628" width="9.140625" style="286" bestFit="1"/>
    <col min="15629" max="15629" width="3.42578125" style="286" customWidth="1"/>
    <col min="15630" max="15878" width="9.140625" style="286" bestFit="1"/>
    <col min="15879" max="15879" width="3.42578125" style="286" customWidth="1"/>
    <col min="15880" max="15880" width="6.5703125" style="286" customWidth="1"/>
    <col min="15881" max="15881" width="55.5703125" style="286" customWidth="1"/>
    <col min="15882" max="15883" width="12.42578125" style="286" customWidth="1"/>
    <col min="15884" max="15884" width="9.140625" style="286" bestFit="1"/>
    <col min="15885" max="15885" width="3.42578125" style="286" customWidth="1"/>
    <col min="15886" max="16134" width="9.140625" style="286" bestFit="1"/>
    <col min="16135" max="16135" width="3.42578125" style="286" customWidth="1"/>
    <col min="16136" max="16136" width="6.5703125" style="286" customWidth="1"/>
    <col min="16137" max="16137" width="55.5703125" style="286" customWidth="1"/>
    <col min="16138" max="16139" width="12.42578125" style="286" customWidth="1"/>
    <col min="16140" max="16140" width="9.140625" style="286" bestFit="1"/>
    <col min="16141" max="16141" width="3.42578125" style="286" customWidth="1"/>
    <col min="16142" max="16382" width="9.140625" style="286" bestFit="1"/>
    <col min="16383" max="16384" width="9.42578125" style="286" customWidth="1"/>
  </cols>
  <sheetData>
    <row r="1" spans="2:28" ht="15.75" thickBot="1"/>
    <row r="2" spans="2:28" s="287" customFormat="1" ht="18" thickTop="1" thickBot="1">
      <c r="B2" s="564"/>
      <c r="C2" s="565"/>
      <c r="D2" s="565"/>
      <c r="E2" s="565" t="s">
        <v>39</v>
      </c>
      <c r="F2" s="565"/>
      <c r="G2" s="565"/>
      <c r="H2" s="565"/>
      <c r="I2" s="565"/>
      <c r="J2" s="565"/>
      <c r="K2" s="565"/>
      <c r="L2" s="566"/>
    </row>
    <row r="3" spans="2:28" s="287" customFormat="1" ht="19.5" thickTop="1">
      <c r="B3" s="292"/>
      <c r="C3" s="567"/>
      <c r="D3" s="567"/>
      <c r="E3" s="567"/>
      <c r="F3" s="567"/>
      <c r="G3" s="567"/>
      <c r="H3" s="567"/>
      <c r="I3" s="567"/>
      <c r="J3" s="293"/>
      <c r="K3" s="294"/>
    </row>
    <row r="4" spans="2:28" s="287" customFormat="1" ht="28.5">
      <c r="C4" s="568"/>
      <c r="D4" s="568"/>
      <c r="E4" s="568"/>
      <c r="F4" s="568"/>
      <c r="G4" s="568"/>
      <c r="H4" s="568"/>
      <c r="I4" s="568"/>
      <c r="J4" s="295"/>
    </row>
    <row r="5" spans="2:28" s="287" customFormat="1">
      <c r="J5" s="295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A5" s="3"/>
      <c r="AB5" s="3"/>
    </row>
    <row r="6" spans="2:28" s="287" customFormat="1" ht="15" customHeight="1">
      <c r="L6" s="3"/>
      <c r="M6" s="3"/>
      <c r="N6" s="335" t="s">
        <v>2</v>
      </c>
      <c r="O6" s="3"/>
      <c r="P6" s="3"/>
      <c r="Q6" s="3"/>
      <c r="R6" s="3"/>
      <c r="S6" s="3"/>
      <c r="T6" s="3"/>
      <c r="U6" s="3"/>
      <c r="V6" s="3"/>
      <c r="W6" s="3"/>
      <c r="X6" s="3"/>
      <c r="AA6" s="3"/>
      <c r="AB6" s="3"/>
    </row>
    <row r="7" spans="2:28" s="287" customFormat="1" ht="15.75">
      <c r="C7" s="562"/>
      <c r="D7" s="562"/>
      <c r="E7" s="562"/>
      <c r="F7" s="562"/>
      <c r="G7" s="562"/>
      <c r="H7" s="562"/>
      <c r="I7" s="562"/>
      <c r="J7" s="295"/>
      <c r="K7" s="2"/>
      <c r="L7" s="3"/>
      <c r="M7" s="3"/>
      <c r="N7" s="335" t="s">
        <v>3</v>
      </c>
      <c r="O7" s="3"/>
      <c r="P7" s="3"/>
      <c r="Q7" s="3"/>
      <c r="R7" s="3"/>
      <c r="S7" s="3"/>
      <c r="T7" s="3"/>
      <c r="U7" s="3"/>
      <c r="V7" s="3"/>
      <c r="W7" s="3"/>
      <c r="X7" s="3"/>
      <c r="AA7" s="3"/>
      <c r="AB7" s="3"/>
    </row>
    <row r="8" spans="2:28" s="287" customFormat="1" ht="15.75">
      <c r="C8" s="562"/>
      <c r="D8" s="562"/>
      <c r="E8" s="562"/>
      <c r="F8" s="562"/>
      <c r="G8" s="562"/>
      <c r="H8" s="562"/>
      <c r="I8" s="562"/>
      <c r="J8" s="29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A8" s="3"/>
      <c r="AB8" s="3"/>
    </row>
    <row r="9" spans="2:28" s="287" customFormat="1" ht="15.75">
      <c r="C9" s="562"/>
      <c r="D9" s="562"/>
      <c r="E9" s="562"/>
      <c r="F9" s="562"/>
      <c r="G9" s="562"/>
      <c r="H9" s="562"/>
      <c r="I9" s="562"/>
      <c r="J9" s="295"/>
      <c r="K9" s="2"/>
      <c r="L9" s="2"/>
      <c r="M9" s="2"/>
      <c r="N9" s="2"/>
      <c r="O9" s="2"/>
      <c r="P9" s="2"/>
      <c r="Q9" s="2"/>
      <c r="R9" s="3"/>
      <c r="S9" s="3"/>
      <c r="T9" s="3"/>
      <c r="U9" s="3"/>
      <c r="V9" s="3"/>
      <c r="W9" s="3"/>
      <c r="X9" s="3"/>
      <c r="AA9" s="3"/>
      <c r="AB9" s="3"/>
    </row>
    <row r="10" spans="2:28" s="287" customFormat="1" ht="15.75">
      <c r="C10" s="562"/>
      <c r="D10" s="562"/>
      <c r="E10" s="562"/>
      <c r="F10" s="562"/>
      <c r="G10" s="562"/>
      <c r="H10" s="562"/>
      <c r="I10" s="562"/>
      <c r="J10" s="295"/>
      <c r="K10" s="2"/>
      <c r="L10" s="2"/>
      <c r="M10" s="2"/>
      <c r="N10" s="2"/>
      <c r="O10" s="2"/>
      <c r="P10" s="2"/>
      <c r="Q10" s="2"/>
      <c r="R10" s="5"/>
      <c r="S10" s="3"/>
      <c r="U10" s="3"/>
      <c r="V10" s="3"/>
      <c r="W10" s="3"/>
      <c r="X10" s="3"/>
      <c r="AA10" s="3"/>
      <c r="AB10" s="3"/>
    </row>
    <row r="11" spans="2:28" s="6" customFormat="1" ht="15.75">
      <c r="C11" s="562"/>
      <c r="D11" s="562"/>
      <c r="E11" s="562"/>
      <c r="F11" s="562"/>
      <c r="G11" s="562"/>
      <c r="H11" s="562"/>
      <c r="I11" s="562"/>
      <c r="J11" s="297"/>
      <c r="K11" s="4"/>
      <c r="L11" s="4"/>
      <c r="M11" s="4"/>
      <c r="N11" s="4"/>
      <c r="O11" s="4"/>
      <c r="P11" s="4"/>
      <c r="Q11" s="4"/>
      <c r="R11" s="5"/>
      <c r="S11" s="5"/>
      <c r="T11" s="287"/>
      <c r="U11" s="5"/>
      <c r="V11" s="5"/>
      <c r="W11" s="5"/>
      <c r="X11" s="5"/>
      <c r="AA11" s="5"/>
      <c r="AB11" s="5"/>
    </row>
    <row r="12" spans="2:28" s="6" customFormat="1" ht="15.75">
      <c r="C12" s="296"/>
      <c r="D12" s="296"/>
      <c r="E12" s="296"/>
      <c r="F12" s="296"/>
      <c r="G12" s="296"/>
      <c r="H12" s="296"/>
      <c r="I12" s="296"/>
      <c r="J12" s="297"/>
      <c r="K12" s="4"/>
      <c r="L12" s="4"/>
      <c r="M12" s="4"/>
      <c r="N12" s="4"/>
      <c r="O12" s="4"/>
      <c r="P12" s="4"/>
      <c r="Q12" s="4"/>
      <c r="R12" s="5"/>
      <c r="S12" s="5"/>
      <c r="T12" s="4"/>
      <c r="U12" s="5"/>
      <c r="V12" s="5"/>
      <c r="W12" s="5"/>
      <c r="X12" s="5"/>
      <c r="AA12" s="5"/>
      <c r="AB12" s="5"/>
    </row>
    <row r="13" spans="2:28" s="6" customFormat="1" ht="15.75">
      <c r="C13" s="296"/>
      <c r="D13" s="296"/>
      <c r="E13" s="296"/>
      <c r="F13" s="296"/>
      <c r="G13" s="296"/>
      <c r="H13" s="296"/>
      <c r="I13" s="296"/>
      <c r="J13" s="297"/>
      <c r="K13" s="4"/>
      <c r="L13" s="4"/>
      <c r="M13" s="4"/>
      <c r="N13" s="4"/>
      <c r="O13" s="4"/>
      <c r="P13" s="4"/>
      <c r="Q13" s="4"/>
      <c r="R13" s="5"/>
      <c r="S13" s="5"/>
      <c r="T13" s="4"/>
      <c r="U13" s="5"/>
      <c r="V13" s="5"/>
      <c r="W13" s="5"/>
      <c r="X13" s="5"/>
      <c r="AA13" s="5"/>
      <c r="AB13" s="5"/>
    </row>
    <row r="14" spans="2:28" s="6" customFormat="1" ht="15.75">
      <c r="C14" s="296"/>
      <c r="D14" s="296"/>
      <c r="E14" s="296"/>
      <c r="F14" s="296"/>
      <c r="G14" s="296"/>
      <c r="H14" s="296"/>
      <c r="I14" s="296"/>
      <c r="J14" s="297"/>
      <c r="K14" s="4"/>
      <c r="L14" s="4"/>
      <c r="M14" s="4"/>
      <c r="N14" s="4"/>
      <c r="O14" s="4"/>
      <c r="P14" s="4"/>
      <c r="Q14" s="4"/>
      <c r="R14" s="5"/>
      <c r="S14" s="5"/>
      <c r="T14" s="4"/>
      <c r="U14" s="5"/>
      <c r="V14" s="5"/>
      <c r="W14" s="5"/>
      <c r="X14" s="5"/>
      <c r="AA14" s="5"/>
      <c r="AB14" s="5"/>
    </row>
    <row r="15" spans="2:28" s="6" customFormat="1" ht="12.75">
      <c r="L15" s="4"/>
      <c r="M15" s="4"/>
      <c r="N15" s="4"/>
      <c r="O15" s="4"/>
      <c r="P15" s="4"/>
      <c r="Q15" s="4"/>
      <c r="R15" s="5"/>
      <c r="S15" s="5"/>
      <c r="T15" s="4"/>
      <c r="U15" s="5"/>
      <c r="V15" s="5"/>
      <c r="W15" s="5"/>
      <c r="X15" s="5"/>
      <c r="AA15" s="5"/>
      <c r="AB15" s="5"/>
    </row>
    <row r="16" spans="2:28" s="6" customFormat="1" ht="15.75">
      <c r="C16" s="296"/>
      <c r="D16" s="296"/>
      <c r="E16" s="296"/>
      <c r="F16" s="296"/>
      <c r="G16" s="296"/>
      <c r="H16" s="296"/>
      <c r="I16" s="296"/>
      <c r="J16" s="297"/>
      <c r="K16" s="4"/>
      <c r="L16" s="4"/>
      <c r="M16" s="4"/>
      <c r="N16" s="4"/>
      <c r="O16" s="4"/>
      <c r="P16" s="4"/>
      <c r="Q16" s="4"/>
      <c r="R16" s="5"/>
      <c r="S16" s="5"/>
      <c r="T16" s="4"/>
      <c r="U16" s="5"/>
      <c r="V16" s="5"/>
      <c r="W16" s="5"/>
      <c r="X16" s="5"/>
      <c r="AA16" s="5"/>
      <c r="AB16" s="5"/>
    </row>
    <row r="17" spans="3:28" s="6" customFormat="1" ht="15.75">
      <c r="C17" s="296"/>
      <c r="D17" s="296"/>
      <c r="E17" s="296"/>
      <c r="F17" s="296"/>
      <c r="G17" s="296"/>
      <c r="H17" s="296"/>
      <c r="I17" s="296"/>
      <c r="J17" s="297"/>
      <c r="K17" s="4"/>
      <c r="L17" s="4"/>
      <c r="M17" s="4"/>
      <c r="N17" s="4"/>
      <c r="O17" s="4"/>
      <c r="P17" s="4"/>
      <c r="Q17" s="4"/>
      <c r="R17" s="5"/>
      <c r="S17" s="5"/>
      <c r="T17" s="4"/>
      <c r="U17" s="5"/>
      <c r="V17" s="5"/>
      <c r="W17" s="5"/>
      <c r="X17" s="5"/>
      <c r="AA17" s="5"/>
      <c r="AB17" s="5"/>
    </row>
    <row r="18" spans="3:28" s="6" customFormat="1" ht="15.75">
      <c r="C18" s="296"/>
      <c r="D18" s="296"/>
      <c r="E18" s="296"/>
      <c r="F18" s="296"/>
      <c r="G18" s="296"/>
      <c r="H18" s="296"/>
      <c r="I18" s="296"/>
      <c r="J18" s="297"/>
      <c r="K18" s="4"/>
      <c r="L18" s="4"/>
      <c r="M18" s="4"/>
      <c r="N18" s="4"/>
      <c r="O18" s="4"/>
      <c r="P18" s="4"/>
      <c r="Q18" s="4"/>
      <c r="R18" s="5"/>
      <c r="S18" s="5"/>
      <c r="T18" s="4"/>
      <c r="U18" s="5"/>
      <c r="V18" s="5"/>
      <c r="W18" s="5"/>
      <c r="X18" s="5"/>
      <c r="AA18" s="5"/>
      <c r="AB18" s="5"/>
    </row>
    <row r="19" spans="3:28" s="6" customFormat="1" ht="15.75">
      <c r="C19" s="296"/>
      <c r="D19" s="296"/>
      <c r="E19" s="296"/>
      <c r="F19" s="296"/>
      <c r="G19" s="296"/>
      <c r="H19" s="296"/>
      <c r="I19" s="296"/>
      <c r="J19" s="297"/>
      <c r="K19" s="4"/>
      <c r="L19" s="4"/>
      <c r="M19" s="4"/>
      <c r="N19" s="4"/>
      <c r="O19" s="4"/>
      <c r="P19" s="4"/>
      <c r="Q19" s="4"/>
      <c r="R19" s="5"/>
      <c r="S19" s="5"/>
      <c r="T19" s="4"/>
      <c r="U19" s="5"/>
      <c r="V19" s="5"/>
      <c r="W19" s="5"/>
      <c r="X19" s="5"/>
      <c r="AA19" s="5"/>
      <c r="AB19" s="5"/>
    </row>
    <row r="20" spans="3:28" s="6" customFormat="1" ht="28.5">
      <c r="C20" s="563" t="s">
        <v>40</v>
      </c>
      <c r="D20" s="563"/>
      <c r="E20" s="563"/>
      <c r="F20" s="563"/>
      <c r="G20" s="563"/>
      <c r="H20" s="563"/>
      <c r="I20" s="563"/>
      <c r="J20" s="563"/>
      <c r="K20" s="563"/>
      <c r="L20" s="4"/>
      <c r="M20" s="4"/>
      <c r="N20" s="4"/>
      <c r="O20" s="4"/>
      <c r="P20" s="4"/>
      <c r="Q20" s="4"/>
      <c r="R20" s="5"/>
      <c r="S20" s="5"/>
      <c r="T20" s="4"/>
      <c r="U20" s="5"/>
      <c r="V20" s="5"/>
      <c r="W20" s="5"/>
      <c r="X20" s="5"/>
      <c r="AA20" s="5"/>
      <c r="AB20" s="5"/>
    </row>
    <row r="21" spans="3:28" s="6" customFormat="1" ht="15.75">
      <c r="C21" s="296"/>
      <c r="D21" s="296"/>
      <c r="E21" s="296"/>
      <c r="F21" s="296"/>
      <c r="G21" s="296"/>
      <c r="H21" s="296"/>
      <c r="I21" s="296"/>
      <c r="J21" s="297"/>
      <c r="K21" s="4"/>
      <c r="L21" s="4"/>
      <c r="M21" s="4"/>
      <c r="N21" s="4"/>
      <c r="O21" s="4"/>
      <c r="P21" s="4"/>
      <c r="Q21" s="4"/>
      <c r="R21" s="5"/>
      <c r="S21" s="5"/>
      <c r="T21" s="4"/>
      <c r="U21" s="5"/>
      <c r="V21" s="5"/>
      <c r="W21" s="5"/>
      <c r="X21" s="5"/>
      <c r="AA21" s="5"/>
      <c r="AB21" s="5"/>
    </row>
    <row r="22" spans="3:28" s="6" customFormat="1" ht="15.75">
      <c r="C22" s="296"/>
      <c r="D22" s="296"/>
      <c r="E22" s="296"/>
      <c r="F22" s="296"/>
      <c r="G22" s="296"/>
      <c r="H22" s="296"/>
      <c r="I22" s="296"/>
      <c r="J22" s="297"/>
      <c r="K22" s="4"/>
      <c r="L22" s="4"/>
      <c r="M22" s="4"/>
      <c r="N22" s="4"/>
      <c r="O22" s="4"/>
      <c r="P22" s="4"/>
      <c r="Q22" s="4"/>
      <c r="R22" s="5"/>
      <c r="S22" s="5"/>
      <c r="T22" s="4"/>
      <c r="U22" s="5"/>
      <c r="V22" s="5"/>
      <c r="W22" s="5"/>
      <c r="X22" s="5"/>
      <c r="AA22" s="5"/>
      <c r="AB22" s="5"/>
    </row>
    <row r="23" spans="3:28" s="6" customFormat="1" ht="15.75">
      <c r="C23" s="296"/>
      <c r="D23" s="296"/>
      <c r="E23" s="296"/>
      <c r="F23" s="296"/>
      <c r="G23" s="296"/>
      <c r="H23" s="296"/>
      <c r="I23" s="296"/>
      <c r="J23" s="297"/>
      <c r="K23" s="4"/>
      <c r="L23" s="4"/>
      <c r="M23" s="4"/>
      <c r="N23" s="4"/>
      <c r="O23" s="4"/>
      <c r="P23" s="4"/>
      <c r="Q23" s="4"/>
      <c r="R23" s="5"/>
      <c r="S23" s="5"/>
      <c r="T23" s="4"/>
      <c r="U23" s="5"/>
      <c r="V23" s="5"/>
      <c r="W23" s="5"/>
      <c r="X23" s="5"/>
      <c r="AA23" s="5"/>
      <c r="AB23" s="5"/>
    </row>
    <row r="24" spans="3:28" s="6" customFormat="1" ht="15.75">
      <c r="C24" s="296"/>
      <c r="D24" s="296"/>
      <c r="E24" s="296"/>
      <c r="F24" s="296"/>
      <c r="G24" s="296"/>
      <c r="H24" s="296"/>
      <c r="I24" s="296"/>
      <c r="J24" s="297"/>
      <c r="K24" s="4"/>
      <c r="L24" s="4"/>
      <c r="M24" s="4"/>
      <c r="N24" s="4"/>
      <c r="O24" s="4"/>
      <c r="P24" s="4"/>
      <c r="Q24" s="4"/>
      <c r="R24" s="5"/>
      <c r="S24" s="5"/>
      <c r="T24" s="4"/>
      <c r="U24" s="5"/>
      <c r="V24" s="5"/>
      <c r="W24" s="5"/>
      <c r="X24" s="5"/>
      <c r="AA24" s="5"/>
      <c r="AB24" s="5"/>
    </row>
    <row r="25" spans="3:28" s="6" customFormat="1" ht="15.75">
      <c r="C25" s="296"/>
      <c r="D25" s="296"/>
      <c r="E25" s="296"/>
      <c r="F25" s="296"/>
      <c r="G25" s="296"/>
      <c r="H25" s="296"/>
      <c r="I25" s="296"/>
      <c r="J25" s="297"/>
      <c r="K25" s="4"/>
      <c r="L25" s="4"/>
      <c r="M25" s="4"/>
      <c r="N25" s="4"/>
      <c r="O25" s="4"/>
      <c r="P25" s="4"/>
      <c r="Q25" s="4"/>
      <c r="R25" s="5"/>
      <c r="S25" s="5"/>
      <c r="T25" s="4"/>
      <c r="U25" s="5"/>
      <c r="V25" s="5"/>
      <c r="W25" s="5"/>
      <c r="X25" s="5"/>
      <c r="AA25" s="5"/>
      <c r="AB25" s="5"/>
    </row>
    <row r="26" spans="3:28" s="6" customFormat="1" ht="15.75">
      <c r="C26" s="296"/>
      <c r="D26" s="296"/>
      <c r="E26" s="296"/>
      <c r="F26" s="296"/>
      <c r="G26" s="296"/>
      <c r="H26" s="296"/>
      <c r="I26" s="296"/>
      <c r="J26" s="297"/>
      <c r="K26" s="4"/>
      <c r="L26" s="4"/>
      <c r="M26" s="4"/>
      <c r="N26" s="4"/>
      <c r="O26" s="4"/>
      <c r="P26" s="4"/>
      <c r="Q26" s="4"/>
      <c r="R26" s="5"/>
      <c r="S26" s="5"/>
      <c r="T26" s="4"/>
      <c r="U26" s="5"/>
      <c r="V26" s="5"/>
      <c r="W26" s="5"/>
      <c r="X26" s="5"/>
      <c r="AA26" s="5"/>
      <c r="AB26" s="5"/>
    </row>
    <row r="27" spans="3:28" s="6" customFormat="1" ht="15.75">
      <c r="C27" s="296"/>
      <c r="D27" s="296"/>
      <c r="E27" s="296"/>
      <c r="F27" s="296"/>
      <c r="G27" s="296"/>
      <c r="H27" s="296"/>
      <c r="I27" s="296"/>
      <c r="J27" s="297"/>
      <c r="K27" s="4"/>
      <c r="L27" s="4"/>
      <c r="M27" s="4"/>
      <c r="N27" s="4"/>
      <c r="O27" s="4"/>
      <c r="P27" s="4"/>
      <c r="Q27" s="4"/>
      <c r="R27" s="5"/>
      <c r="S27" s="5"/>
      <c r="T27" s="4"/>
      <c r="U27" s="5"/>
      <c r="V27" s="5"/>
      <c r="W27" s="5"/>
      <c r="X27" s="5"/>
      <c r="AA27" s="5"/>
      <c r="AB27" s="5"/>
    </row>
    <row r="28" spans="3:28" s="6" customFormat="1" ht="15.75">
      <c r="C28" s="296"/>
      <c r="D28" s="296"/>
      <c r="E28" s="296"/>
      <c r="F28" s="296"/>
      <c r="G28" s="296"/>
      <c r="H28" s="296"/>
      <c r="I28" s="296"/>
      <c r="J28" s="297"/>
      <c r="K28" s="4"/>
      <c r="L28" s="4"/>
      <c r="M28" s="4"/>
      <c r="N28" s="4"/>
      <c r="O28" s="4"/>
      <c r="P28" s="4"/>
      <c r="Q28" s="4"/>
      <c r="R28" s="5"/>
      <c r="S28" s="5"/>
      <c r="T28" s="4"/>
      <c r="U28" s="5"/>
      <c r="V28" s="5"/>
      <c r="W28" s="5"/>
      <c r="X28" s="5"/>
      <c r="AA28" s="5"/>
      <c r="AB28" s="5"/>
    </row>
    <row r="29" spans="3:28" s="6" customFormat="1" ht="15.75">
      <c r="C29" s="562"/>
      <c r="D29" s="562"/>
      <c r="E29" s="562"/>
      <c r="F29" s="562"/>
      <c r="G29" s="562"/>
      <c r="H29" s="562"/>
      <c r="I29" s="562"/>
      <c r="J29" s="297"/>
      <c r="K29" s="4"/>
      <c r="L29" s="4"/>
      <c r="M29" s="5"/>
      <c r="N29" s="5"/>
      <c r="O29" s="4"/>
      <c r="P29" s="5"/>
      <c r="Q29" s="4"/>
      <c r="R29" s="5"/>
      <c r="S29" s="5"/>
      <c r="T29" s="5"/>
      <c r="U29" s="5"/>
      <c r="V29" s="5"/>
      <c r="W29" s="5"/>
      <c r="X29" s="5"/>
      <c r="AA29" s="5"/>
      <c r="AB29" s="5"/>
    </row>
    <row r="30" spans="3:28" s="6" customFormat="1" ht="15.75">
      <c r="C30" s="562"/>
      <c r="D30" s="562"/>
      <c r="E30" s="562"/>
      <c r="F30" s="562"/>
      <c r="G30" s="562"/>
      <c r="H30" s="562"/>
      <c r="I30" s="562"/>
      <c r="J30" s="297"/>
      <c r="K30" s="4"/>
      <c r="L30" s="4"/>
      <c r="M30" s="4"/>
      <c r="N30" s="4"/>
      <c r="O30" s="4"/>
      <c r="P30" s="4"/>
      <c r="Q30" s="4"/>
      <c r="R30" s="5"/>
      <c r="S30" s="5"/>
      <c r="T30" s="5"/>
      <c r="U30" s="5"/>
      <c r="V30" s="5"/>
      <c r="W30" s="5"/>
      <c r="X30" s="5"/>
      <c r="AA30" s="5"/>
      <c r="AB30" s="5"/>
    </row>
    <row r="31" spans="3:28" s="6" customFormat="1" ht="15.75">
      <c r="C31" s="562"/>
      <c r="D31" s="562"/>
      <c r="E31" s="562"/>
      <c r="F31" s="562"/>
      <c r="G31" s="562"/>
      <c r="H31" s="562"/>
      <c r="I31" s="562"/>
      <c r="J31" s="297"/>
      <c r="K31" s="4"/>
      <c r="L31" s="4"/>
      <c r="M31" s="4"/>
      <c r="N31" s="4"/>
      <c r="O31" s="4"/>
      <c r="P31" s="4"/>
      <c r="Q31" s="4"/>
      <c r="R31" s="5"/>
      <c r="S31" s="298"/>
      <c r="T31" s="4"/>
      <c r="U31" s="5"/>
      <c r="V31" s="5"/>
      <c r="W31" s="5"/>
      <c r="X31" s="5"/>
      <c r="AA31" s="5"/>
      <c r="AB31" s="5"/>
    </row>
    <row r="32" spans="3:28" s="6" customFormat="1" ht="15.75">
      <c r="C32" s="562"/>
      <c r="D32" s="562"/>
      <c r="E32" s="562"/>
      <c r="F32" s="562"/>
      <c r="G32" s="562"/>
      <c r="H32" s="562"/>
      <c r="I32" s="562"/>
      <c r="J32" s="297"/>
      <c r="K32" s="4"/>
      <c r="L32" s="4"/>
      <c r="M32" s="4"/>
      <c r="N32" s="4"/>
      <c r="O32" s="4"/>
      <c r="P32" s="4"/>
      <c r="Q32" s="4"/>
      <c r="R32" s="5"/>
      <c r="S32" s="298"/>
      <c r="T32" s="4"/>
      <c r="U32" s="5"/>
      <c r="V32" s="5"/>
      <c r="W32" s="5"/>
      <c r="X32" s="5"/>
      <c r="AA32" s="5"/>
      <c r="AB32" s="5"/>
    </row>
    <row r="33" spans="2:28" s="6" customFormat="1" ht="15.75">
      <c r="C33" s="562"/>
      <c r="D33" s="562"/>
      <c r="E33" s="562"/>
      <c r="F33" s="562"/>
      <c r="G33" s="562"/>
      <c r="H33" s="562"/>
      <c r="I33" s="562"/>
      <c r="J33" s="297"/>
      <c r="K33" s="4"/>
      <c r="L33" s="4"/>
      <c r="M33" s="4"/>
      <c r="N33" s="4"/>
      <c r="O33" s="4"/>
      <c r="P33" s="4"/>
      <c r="Q33" s="4"/>
      <c r="R33" s="5"/>
      <c r="S33" s="5"/>
      <c r="T33" s="5"/>
      <c r="U33" s="5"/>
      <c r="V33" s="5"/>
      <c r="W33" s="5"/>
      <c r="X33" s="5"/>
      <c r="AA33" s="5"/>
      <c r="AB33" s="5"/>
    </row>
    <row r="34" spans="2:28" s="6" customFormat="1" ht="15.75">
      <c r="C34" s="562"/>
      <c r="D34" s="562"/>
      <c r="E34" s="562"/>
      <c r="F34" s="562"/>
      <c r="G34" s="562"/>
      <c r="H34" s="562"/>
      <c r="I34" s="562"/>
      <c r="J34" s="297"/>
      <c r="K34" s="4"/>
      <c r="L34" s="4"/>
      <c r="M34" s="4"/>
      <c r="N34" s="4"/>
      <c r="O34" s="4"/>
      <c r="P34" s="4"/>
      <c r="Q34" s="4"/>
      <c r="R34" s="5"/>
      <c r="S34" s="5"/>
      <c r="T34" s="5"/>
      <c r="U34" s="5"/>
      <c r="V34" s="5"/>
      <c r="W34" s="5"/>
      <c r="X34" s="5"/>
      <c r="AA34" s="5"/>
      <c r="AB34" s="5"/>
    </row>
    <row r="35" spans="2:28" s="6" customFormat="1" ht="15.75">
      <c r="C35" s="562"/>
      <c r="D35" s="562"/>
      <c r="E35" s="562"/>
      <c r="F35" s="562"/>
      <c r="G35" s="562"/>
      <c r="H35" s="562"/>
      <c r="I35" s="562"/>
      <c r="J35" s="297"/>
      <c r="K35" s="4"/>
      <c r="L35" s="4"/>
      <c r="M35" s="4"/>
      <c r="N35" s="4"/>
      <c r="O35" s="4"/>
      <c r="P35" s="4"/>
      <c r="Q35" s="4"/>
      <c r="R35" s="5"/>
      <c r="S35" s="5"/>
      <c r="T35" s="5"/>
      <c r="U35" s="5"/>
      <c r="V35" s="5"/>
      <c r="W35" s="5"/>
      <c r="X35" s="5"/>
      <c r="AA35" s="5"/>
      <c r="AB35" s="5"/>
    </row>
    <row r="36" spans="2:28" s="6" customFormat="1" ht="15.75">
      <c r="C36" s="562"/>
      <c r="D36" s="562"/>
      <c r="E36" s="562"/>
      <c r="F36" s="562"/>
      <c r="G36" s="562"/>
      <c r="H36" s="562"/>
      <c r="I36" s="562"/>
      <c r="J36" s="297"/>
      <c r="K36" s="4"/>
      <c r="L36" s="4"/>
      <c r="M36" s="4"/>
      <c r="N36" s="4"/>
      <c r="O36" s="4"/>
      <c r="P36" s="4"/>
      <c r="Q36" s="4"/>
      <c r="R36" s="5"/>
      <c r="S36" s="5"/>
      <c r="T36" s="5"/>
      <c r="U36" s="5"/>
      <c r="V36" s="5"/>
      <c r="W36" s="5"/>
      <c r="X36" s="5"/>
      <c r="AA36" s="5"/>
      <c r="AB36" s="5"/>
    </row>
    <row r="37" spans="2:28" s="6" customFormat="1" ht="15.75">
      <c r="C37" s="562"/>
      <c r="D37" s="562"/>
      <c r="E37" s="562"/>
      <c r="F37" s="562"/>
      <c r="G37" s="562"/>
      <c r="H37" s="562"/>
      <c r="I37" s="562"/>
      <c r="J37" s="297"/>
      <c r="K37" s="4"/>
      <c r="L37" s="4"/>
      <c r="M37" s="4"/>
      <c r="N37" s="4"/>
      <c r="O37" s="4"/>
      <c r="P37" s="4"/>
      <c r="Q37" s="4"/>
      <c r="R37" s="5"/>
      <c r="S37" s="5"/>
      <c r="T37" s="5"/>
      <c r="U37" s="5"/>
      <c r="V37" s="5"/>
      <c r="W37" s="5"/>
      <c r="X37" s="5"/>
      <c r="AA37" s="5"/>
      <c r="AB37" s="5"/>
    </row>
    <row r="38" spans="2:28" s="6" customFormat="1" ht="15.75">
      <c r="C38" s="562"/>
      <c r="D38" s="562"/>
      <c r="E38" s="562"/>
      <c r="F38" s="562"/>
      <c r="G38" s="562"/>
      <c r="H38" s="562"/>
      <c r="I38" s="562"/>
      <c r="J38" s="297"/>
      <c r="K38" s="4"/>
      <c r="L38" s="4"/>
      <c r="M38" s="4"/>
      <c r="N38" s="4"/>
      <c r="O38" s="4"/>
      <c r="P38" s="4"/>
      <c r="Q38" s="4"/>
      <c r="R38" s="5"/>
      <c r="S38" s="5"/>
      <c r="T38" s="5"/>
      <c r="U38" s="5"/>
      <c r="V38" s="5"/>
      <c r="W38" s="5"/>
      <c r="X38" s="5"/>
      <c r="AA38" s="5"/>
      <c r="AB38" s="5"/>
    </row>
    <row r="39" spans="2:28" s="6" customFormat="1" ht="15.75">
      <c r="C39" s="562"/>
      <c r="D39" s="562"/>
      <c r="E39" s="562"/>
      <c r="F39" s="562"/>
      <c r="G39" s="562"/>
      <c r="H39" s="562"/>
      <c r="I39" s="562"/>
      <c r="J39" s="297"/>
      <c r="K39" s="4"/>
      <c r="L39" s="4"/>
      <c r="M39" s="4"/>
      <c r="N39" s="4"/>
      <c r="O39" s="4"/>
      <c r="P39" s="4"/>
      <c r="Q39" s="4"/>
      <c r="R39" s="5"/>
      <c r="S39" s="5"/>
      <c r="T39" s="4"/>
      <c r="U39" s="5"/>
      <c r="V39" s="5"/>
      <c r="W39" s="5"/>
      <c r="X39" s="5"/>
      <c r="AA39" s="5"/>
      <c r="AB39" s="5"/>
    </row>
    <row r="40" spans="2:28" s="288" customFormat="1" ht="15.75">
      <c r="C40" s="562"/>
      <c r="D40" s="562"/>
      <c r="E40" s="562"/>
      <c r="F40" s="562"/>
      <c r="G40" s="562"/>
      <c r="H40" s="562"/>
      <c r="I40" s="562"/>
      <c r="J40" s="299"/>
      <c r="T40" s="4"/>
    </row>
    <row r="41" spans="2:28" s="287" customFormat="1" ht="15" customHeight="1">
      <c r="C41" s="300"/>
      <c r="D41" s="300"/>
      <c r="E41" s="300"/>
      <c r="F41" s="300"/>
      <c r="G41" s="300"/>
      <c r="H41" s="300"/>
      <c r="I41" s="300"/>
      <c r="J41" s="294"/>
      <c r="O41" s="301">
        <v>1</v>
      </c>
      <c r="S41" s="301">
        <v>1</v>
      </c>
      <c r="T41" s="4"/>
    </row>
    <row r="42" spans="2:28" s="287" customFormat="1" ht="15" customHeight="1">
      <c r="C42" s="300"/>
      <c r="D42" s="300"/>
      <c r="E42" s="300"/>
      <c r="F42" s="300"/>
      <c r="G42" s="300"/>
      <c r="H42" s="300"/>
      <c r="I42" s="300"/>
      <c r="J42" s="294"/>
      <c r="T42" s="4"/>
    </row>
    <row r="43" spans="2:28" s="287" customFormat="1" ht="15" customHeight="1">
      <c r="C43" s="300"/>
      <c r="D43" s="300"/>
      <c r="E43" s="300"/>
      <c r="F43" s="300"/>
      <c r="G43" s="300"/>
      <c r="H43" s="300"/>
      <c r="I43" s="300"/>
      <c r="J43" s="294"/>
      <c r="T43" s="4"/>
    </row>
    <row r="44" spans="2:28" s="287" customFormat="1" ht="15" customHeight="1">
      <c r="C44" s="300"/>
      <c r="D44" s="300"/>
      <c r="E44" s="300"/>
      <c r="F44" s="300"/>
      <c r="G44" s="300"/>
      <c r="H44" s="300"/>
      <c r="I44" s="300"/>
      <c r="J44" s="300"/>
      <c r="K44" s="300"/>
      <c r="T44" s="4"/>
    </row>
    <row r="45" spans="2:28" s="287" customFormat="1">
      <c r="C45" s="300"/>
      <c r="D45" s="300"/>
      <c r="E45" s="300"/>
      <c r="F45" s="300"/>
      <c r="G45" s="300"/>
      <c r="H45" s="300"/>
      <c r="I45" s="300"/>
      <c r="J45" s="300"/>
      <c r="K45" s="300"/>
    </row>
    <row r="46" spans="2:28" s="287" customFormat="1">
      <c r="B46" s="300"/>
      <c r="C46" s="300"/>
      <c r="D46" s="300"/>
      <c r="E46" s="300"/>
      <c r="F46" s="300"/>
      <c r="G46" s="300"/>
      <c r="H46" s="300"/>
      <c r="I46" s="300"/>
      <c r="J46" s="300"/>
      <c r="K46" s="300"/>
    </row>
    <row r="47" spans="2:28" s="287" customFormat="1">
      <c r="B47" s="300"/>
      <c r="C47" s="300"/>
      <c r="D47" s="300"/>
      <c r="E47" s="300"/>
      <c r="F47" s="300"/>
      <c r="G47" s="300"/>
      <c r="H47" s="300"/>
      <c r="I47" s="300"/>
      <c r="J47" s="300"/>
      <c r="K47" s="300"/>
    </row>
    <row r="48" spans="2:28" s="287" customFormat="1">
      <c r="B48" s="300"/>
      <c r="C48" s="300"/>
      <c r="D48" s="300"/>
      <c r="E48" s="300"/>
      <c r="F48" s="300"/>
      <c r="G48" s="300"/>
      <c r="H48" s="300"/>
      <c r="I48" s="300"/>
      <c r="J48" s="300"/>
      <c r="K48" s="300"/>
    </row>
    <row r="49" spans="2:20" s="287" customFormat="1">
      <c r="B49" s="300"/>
      <c r="C49" s="300"/>
      <c r="D49" s="300"/>
      <c r="E49" s="300"/>
      <c r="F49" s="300"/>
      <c r="G49" s="300"/>
      <c r="H49" s="300"/>
      <c r="I49" s="300"/>
      <c r="J49" s="300"/>
    </row>
    <row r="50" spans="2:20">
      <c r="B50" s="287"/>
    </row>
    <row r="51" spans="2:20">
      <c r="B51" s="287"/>
      <c r="S51" s="302"/>
      <c r="T51" s="4"/>
    </row>
    <row r="52" spans="2:20">
      <c r="B52" s="287"/>
      <c r="S52" s="302"/>
      <c r="T52" s="4"/>
    </row>
    <row r="53" spans="2:20">
      <c r="R53" s="286">
        <v>1</v>
      </c>
      <c r="S53" s="302"/>
      <c r="T53" s="4"/>
    </row>
    <row r="54" spans="2:20">
      <c r="S54" s="302"/>
      <c r="T54" s="4"/>
    </row>
    <row r="55" spans="2:20">
      <c r="S55" s="302"/>
      <c r="T55" s="4"/>
    </row>
    <row r="56" spans="2:20">
      <c r="S56" s="302"/>
      <c r="T56" s="4"/>
    </row>
    <row r="57" spans="2:20">
      <c r="S57" s="302"/>
      <c r="T57" s="4"/>
    </row>
    <row r="58" spans="2:20">
      <c r="S58" s="302"/>
      <c r="T58" s="4"/>
    </row>
    <row r="59" spans="2:20">
      <c r="S59" s="302"/>
      <c r="T59" s="4"/>
    </row>
    <row r="60" spans="2:20">
      <c r="S60" s="302"/>
      <c r="T60" s="4"/>
    </row>
    <row r="64" spans="2:20">
      <c r="S64" s="302"/>
      <c r="T64" s="4"/>
    </row>
    <row r="65" spans="1:20">
      <c r="S65" s="302"/>
      <c r="T65" s="4"/>
    </row>
    <row r="66" spans="1:20">
      <c r="S66" s="302"/>
      <c r="T66" s="4"/>
    </row>
    <row r="67" spans="1:20">
      <c r="S67" s="302"/>
      <c r="T67" s="4"/>
    </row>
    <row r="68" spans="1:20">
      <c r="S68" s="302"/>
      <c r="T68" s="4"/>
    </row>
    <row r="69" spans="1:20">
      <c r="S69" s="302"/>
      <c r="T69" s="4"/>
    </row>
    <row r="70" spans="1:20">
      <c r="N70" s="286" t="s">
        <v>28</v>
      </c>
      <c r="S70" s="302"/>
      <c r="T70" s="4"/>
    </row>
    <row r="71" spans="1:20">
      <c r="A71" s="286" t="s">
        <v>29</v>
      </c>
      <c r="E71" s="286" t="s">
        <v>30</v>
      </c>
      <c r="N71" s="286" t="s">
        <v>31</v>
      </c>
      <c r="S71" s="302"/>
      <c r="T71" s="4"/>
    </row>
    <row r="72" spans="1:20">
      <c r="A72" s="286" t="s">
        <v>32</v>
      </c>
      <c r="E72" s="286" t="s">
        <v>33</v>
      </c>
      <c r="N72" s="286" t="s">
        <v>31</v>
      </c>
      <c r="S72" s="302"/>
      <c r="T72" s="4"/>
    </row>
    <row r="73" spans="1:20">
      <c r="S73" s="302"/>
      <c r="T73" s="4"/>
    </row>
    <row r="74" spans="1:20">
      <c r="S74" s="302"/>
      <c r="T74" s="4"/>
    </row>
    <row r="75" spans="1:20">
      <c r="S75" s="302"/>
      <c r="T75" s="4"/>
    </row>
    <row r="76" spans="1:20">
      <c r="S76" s="302"/>
      <c r="T76" s="4"/>
    </row>
    <row r="77" spans="1:20">
      <c r="S77" s="302"/>
      <c r="T77" s="4"/>
    </row>
    <row r="78" spans="1:20">
      <c r="S78" s="302"/>
      <c r="T78" s="4"/>
    </row>
    <row r="79" spans="1:20">
      <c r="S79" s="302"/>
      <c r="T79" s="4"/>
    </row>
    <row r="80" spans="1:20">
      <c r="S80" s="302"/>
      <c r="T80" s="4"/>
    </row>
    <row r="81" spans="19:20">
      <c r="S81" s="302"/>
      <c r="T81" s="4"/>
    </row>
    <row r="82" spans="19:20">
      <c r="S82" s="302"/>
      <c r="T82" s="4"/>
    </row>
    <row r="83" spans="19:20">
      <c r="S83" s="302"/>
      <c r="T83" s="4"/>
    </row>
    <row r="84" spans="19:20">
      <c r="S84" s="302"/>
      <c r="T84" s="4"/>
    </row>
    <row r="85" spans="19:20">
      <c r="S85" s="302"/>
      <c r="T85" s="4"/>
    </row>
    <row r="86" spans="19:20">
      <c r="S86" s="302"/>
      <c r="T86" s="4"/>
    </row>
    <row r="87" spans="19:20">
      <c r="S87" s="302"/>
      <c r="T87" s="4"/>
    </row>
    <row r="88" spans="19:20">
      <c r="S88" s="302"/>
      <c r="T88" s="4"/>
    </row>
    <row r="89" spans="19:20">
      <c r="S89" s="302"/>
      <c r="T89" s="4"/>
    </row>
    <row r="90" spans="19:20">
      <c r="S90" s="302"/>
      <c r="T90" s="4"/>
    </row>
    <row r="91" spans="19:20">
      <c r="S91" s="302"/>
      <c r="T91" s="4"/>
    </row>
    <row r="97" spans="14:20">
      <c r="N97" s="286" t="s">
        <v>34</v>
      </c>
    </row>
    <row r="98" spans="14:20">
      <c r="S98" s="302"/>
      <c r="T98" s="4"/>
    </row>
    <row r="99" spans="14:20">
      <c r="S99" s="302"/>
      <c r="T99" s="4"/>
    </row>
    <row r="100" spans="14:20">
      <c r="N100" s="286" t="s">
        <v>34</v>
      </c>
      <c r="S100" s="302"/>
      <c r="T100" s="4"/>
    </row>
    <row r="101" spans="14:20">
      <c r="N101" s="286" t="s">
        <v>34</v>
      </c>
      <c r="T101" s="4"/>
    </row>
    <row r="102" spans="14:20">
      <c r="T102" s="4"/>
    </row>
    <row r="103" spans="14:20">
      <c r="N103" s="286" t="s">
        <v>34</v>
      </c>
      <c r="S103" s="286">
        <f>SUBTOTAL(9,(S11:S102))</f>
        <v>1</v>
      </c>
      <c r="T103" s="4"/>
    </row>
    <row r="104" spans="14:20">
      <c r="T104" s="4"/>
    </row>
    <row r="105" spans="14:20">
      <c r="T105" s="4"/>
    </row>
    <row r="106" spans="14:20">
      <c r="T106" s="4"/>
    </row>
    <row r="107" spans="14:20">
      <c r="T107" s="4"/>
    </row>
    <row r="114" spans="1:20">
      <c r="T114" s="4"/>
    </row>
    <row r="115" spans="1:20">
      <c r="E115" s="286" t="s">
        <v>35</v>
      </c>
      <c r="N115" s="286" t="s">
        <v>31</v>
      </c>
    </row>
    <row r="117" spans="1:20">
      <c r="A117" s="286" t="s">
        <v>36</v>
      </c>
      <c r="E117" s="286" t="s">
        <v>37</v>
      </c>
      <c r="N117" s="286" t="s">
        <v>38</v>
      </c>
    </row>
  </sheetData>
  <mergeCells count="23">
    <mergeCell ref="C7:I7"/>
    <mergeCell ref="B2:D2"/>
    <mergeCell ref="E2:I2"/>
    <mergeCell ref="J2:L2"/>
    <mergeCell ref="C3:I3"/>
    <mergeCell ref="C4:I4"/>
    <mergeCell ref="C35:I35"/>
    <mergeCell ref="C8:I8"/>
    <mergeCell ref="C9:I9"/>
    <mergeCell ref="C10:I10"/>
    <mergeCell ref="C11:I11"/>
    <mergeCell ref="C20:K20"/>
    <mergeCell ref="C29:I29"/>
    <mergeCell ref="C30:I30"/>
    <mergeCell ref="C31:I31"/>
    <mergeCell ref="C32:I32"/>
    <mergeCell ref="C33:I33"/>
    <mergeCell ref="C34:I34"/>
    <mergeCell ref="C36:I36"/>
    <mergeCell ref="C37:I37"/>
    <mergeCell ref="C38:I38"/>
    <mergeCell ref="C39:I39"/>
    <mergeCell ref="C40:I40"/>
  </mergeCells>
  <dataValidations count="3">
    <dataValidation allowBlank="1" showInputMessage="1" showErrorMessage="1" promptTitle="SYSTEM" prompt="SELECT FROM DROP DOWN LIST" sqref="WVP983075:WVT983075 AMR10:AMV39 AWN10:AWR39 BGJ10:BGN39 BQF10:BQJ39 CAB10:CAF39 CJX10:CKB39 CTT10:CTX39 DDP10:DDT39 DNL10:DNP39 DXH10:DXL39 EHD10:EHH39 EQZ10:ERD39 FAV10:FAZ39 FKR10:FKV39 FUN10:FUR39 GEJ10:GEN39 GOF10:GOJ39 GYB10:GYF39 HHX10:HIB39 HRT10:HRX39 IBP10:IBT39 ILL10:ILP39 IVH10:IVL39 JFD10:JFH39 JOZ10:JPD39 JYV10:JYZ39 KIR10:KIV39 KSN10:KSR39 LCJ10:LCN39 LMF10:LMJ39 LWB10:LWF39 MFX10:MGB39 MPT10:MPX39 MZP10:MZT39 NJL10:NJP39 NTH10:NTL39 ODD10:ODH39 OMZ10:OND39 OWV10:OWZ39 PGR10:PGV39 PQN10:PQR39 QAJ10:QAN39 QKF10:QKJ39 QUB10:QUF39 RDX10:REB39 RNT10:RNX39 RXP10:RXT39 SHL10:SHP39 SRH10:SRL39 TBD10:TBH39 TKZ10:TLD39 TUV10:TUZ39 UER10:UEV39 UON10:UOR39 UYJ10:UYN39 VIF10:VIJ39 VSB10:VSF39 WBX10:WCB39 WLT10:WLX39 WVP10:WVT39 JD10:JH39 SZ10:TD39 WLT983075:WLX983075 JD65571:JH65571 SZ65571:TD65571 ACV65571:ACZ65571 AMR65571:AMV65571 AWN65571:AWR65571 BGJ65571:BGN65571 BQF65571:BQJ65571 CAB65571:CAF65571 CJX65571:CKB65571 CTT65571:CTX65571 DDP65571:DDT65571 DNL65571:DNP65571 DXH65571:DXL65571 EHD65571:EHH65571 EQZ65571:ERD65571 FAV65571:FAZ65571 FKR65571:FKV65571 FUN65571:FUR65571 GEJ65571:GEN65571 GOF65571:GOJ65571 GYB65571:GYF65571 HHX65571:HIB65571 HRT65571:HRX65571 IBP65571:IBT65571 ILL65571:ILP65571 IVH65571:IVL65571 JFD65571:JFH65571 JOZ65571:JPD65571 JYV65571:JYZ65571 KIR65571:KIV65571 KSN65571:KSR65571 LCJ65571:LCN65571 LMF65571:LMJ65571 LWB65571:LWF65571 MFX65571:MGB65571 MPT65571:MPX65571 MZP65571:MZT65571 NJL65571:NJP65571 NTH65571:NTL65571 ODD65571:ODH65571 OMZ65571:OND65571 OWV65571:OWZ65571 PGR65571:PGV65571 PQN65571:PQR65571 QAJ65571:QAN65571 QKF65571:QKJ65571 QUB65571:QUF65571 RDX65571:REB65571 RNT65571:RNX65571 RXP65571:RXT65571 SHL65571:SHP65571 SRH65571:SRL65571 TBD65571:TBH65571 TKZ65571:TLD65571 TUV65571:TUZ65571 UER65571:UEV65571 UON65571:UOR65571 UYJ65571:UYN65571 VIF65571:VIJ65571 VSB65571:VSF65571 WBX65571:WCB65571 WLT65571:WLX65571 WVP65571:WVT65571 JD131107:JH131107 SZ131107:TD131107 ACV131107:ACZ131107 AMR131107:AMV131107 AWN131107:AWR131107 BGJ131107:BGN131107 BQF131107:BQJ131107 CAB131107:CAF131107 CJX131107:CKB131107 CTT131107:CTX131107 DDP131107:DDT131107 DNL131107:DNP131107 DXH131107:DXL131107 EHD131107:EHH131107 EQZ131107:ERD131107 FAV131107:FAZ131107 FKR131107:FKV131107 FUN131107:FUR131107 GEJ131107:GEN131107 GOF131107:GOJ131107 GYB131107:GYF131107 HHX131107:HIB131107 HRT131107:HRX131107 IBP131107:IBT131107 ILL131107:ILP131107 IVH131107:IVL131107 JFD131107:JFH131107 JOZ131107:JPD131107 JYV131107:JYZ131107 KIR131107:KIV131107 KSN131107:KSR131107 LCJ131107:LCN131107 LMF131107:LMJ131107 LWB131107:LWF131107 MFX131107:MGB131107 MPT131107:MPX131107 MZP131107:MZT131107 NJL131107:NJP131107 NTH131107:NTL131107 ODD131107:ODH131107 OMZ131107:OND131107 OWV131107:OWZ131107 PGR131107:PGV131107 PQN131107:PQR131107 QAJ131107:QAN131107 QKF131107:QKJ131107 QUB131107:QUF131107 RDX131107:REB131107 RNT131107:RNX131107 RXP131107:RXT131107 SHL131107:SHP131107 SRH131107:SRL131107 TBD131107:TBH131107 TKZ131107:TLD131107 TUV131107:TUZ131107 UER131107:UEV131107 UON131107:UOR131107 UYJ131107:UYN131107 VIF131107:VIJ131107 VSB131107:VSF131107 WBX131107:WCB131107 WLT131107:WLX131107 WVP131107:WVT131107 JD196643:JH196643 SZ196643:TD196643 ACV196643:ACZ196643 AMR196643:AMV196643 AWN196643:AWR196643 BGJ196643:BGN196643 BQF196643:BQJ196643 CAB196643:CAF196643 CJX196643:CKB196643 CTT196643:CTX196643 DDP196643:DDT196643 DNL196643:DNP196643 DXH196643:DXL196643 EHD196643:EHH196643 EQZ196643:ERD196643 FAV196643:FAZ196643 FKR196643:FKV196643 FUN196643:FUR196643 GEJ196643:GEN196643 GOF196643:GOJ196643 GYB196643:GYF196643 HHX196643:HIB196643 HRT196643:HRX196643 IBP196643:IBT196643 ILL196643:ILP196643 IVH196643:IVL196643 JFD196643:JFH196643 JOZ196643:JPD196643 JYV196643:JYZ196643 KIR196643:KIV196643 KSN196643:KSR196643 LCJ196643:LCN196643 LMF196643:LMJ196643 LWB196643:LWF196643 MFX196643:MGB196643 MPT196643:MPX196643 MZP196643:MZT196643 NJL196643:NJP196643 NTH196643:NTL196643 ODD196643:ODH196643 OMZ196643:OND196643 OWV196643:OWZ196643 PGR196643:PGV196643 PQN196643:PQR196643 QAJ196643:QAN196643 QKF196643:QKJ196643 QUB196643:QUF196643 RDX196643:REB196643 RNT196643:RNX196643 RXP196643:RXT196643 SHL196643:SHP196643 SRH196643:SRL196643 TBD196643:TBH196643 TKZ196643:TLD196643 TUV196643:TUZ196643 UER196643:UEV196643 UON196643:UOR196643 UYJ196643:UYN196643 VIF196643:VIJ196643 VSB196643:VSF196643 WBX196643:WCB196643 WLT196643:WLX196643 WVP196643:WVT196643 JD262179:JH262179 SZ262179:TD262179 ACV262179:ACZ262179 AMR262179:AMV262179 AWN262179:AWR262179 BGJ262179:BGN262179 BQF262179:BQJ262179 CAB262179:CAF262179 CJX262179:CKB262179 CTT262179:CTX262179 DDP262179:DDT262179 DNL262179:DNP262179 DXH262179:DXL262179 EHD262179:EHH262179 EQZ262179:ERD262179 FAV262179:FAZ262179 FKR262179:FKV262179 FUN262179:FUR262179 GEJ262179:GEN262179 GOF262179:GOJ262179 GYB262179:GYF262179 HHX262179:HIB262179 HRT262179:HRX262179 IBP262179:IBT262179 ILL262179:ILP262179 IVH262179:IVL262179 JFD262179:JFH262179 JOZ262179:JPD262179 JYV262179:JYZ262179 KIR262179:KIV262179 KSN262179:KSR262179 LCJ262179:LCN262179 LMF262179:LMJ262179 LWB262179:LWF262179 MFX262179:MGB262179 MPT262179:MPX262179 MZP262179:MZT262179 NJL262179:NJP262179 NTH262179:NTL262179 ODD262179:ODH262179 OMZ262179:OND262179 OWV262179:OWZ262179 PGR262179:PGV262179 PQN262179:PQR262179 QAJ262179:QAN262179 QKF262179:QKJ262179 QUB262179:QUF262179 RDX262179:REB262179 RNT262179:RNX262179 RXP262179:RXT262179 SHL262179:SHP262179 SRH262179:SRL262179 TBD262179:TBH262179 TKZ262179:TLD262179 TUV262179:TUZ262179 UER262179:UEV262179 UON262179:UOR262179 UYJ262179:UYN262179 VIF262179:VIJ262179 VSB262179:VSF262179 WBX262179:WCB262179 WLT262179:WLX262179 WVP262179:WVT262179 JD327715:JH327715 SZ327715:TD327715 ACV327715:ACZ327715 AMR327715:AMV327715 AWN327715:AWR327715 BGJ327715:BGN327715 BQF327715:BQJ327715 CAB327715:CAF327715 CJX327715:CKB327715 CTT327715:CTX327715 DDP327715:DDT327715 DNL327715:DNP327715 DXH327715:DXL327715 EHD327715:EHH327715 EQZ327715:ERD327715 FAV327715:FAZ327715 FKR327715:FKV327715 FUN327715:FUR327715 GEJ327715:GEN327715 GOF327715:GOJ327715 GYB327715:GYF327715 HHX327715:HIB327715 HRT327715:HRX327715 IBP327715:IBT327715 ILL327715:ILP327715 IVH327715:IVL327715 JFD327715:JFH327715 JOZ327715:JPD327715 JYV327715:JYZ327715 KIR327715:KIV327715 KSN327715:KSR327715 LCJ327715:LCN327715 LMF327715:LMJ327715 LWB327715:LWF327715 MFX327715:MGB327715 MPT327715:MPX327715 MZP327715:MZT327715 NJL327715:NJP327715 NTH327715:NTL327715 ODD327715:ODH327715 OMZ327715:OND327715 OWV327715:OWZ327715 PGR327715:PGV327715 PQN327715:PQR327715 QAJ327715:QAN327715 QKF327715:QKJ327715 QUB327715:QUF327715 RDX327715:REB327715 RNT327715:RNX327715 RXP327715:RXT327715 SHL327715:SHP327715 SRH327715:SRL327715 TBD327715:TBH327715 TKZ327715:TLD327715 TUV327715:TUZ327715 UER327715:UEV327715 UON327715:UOR327715 UYJ327715:UYN327715 VIF327715:VIJ327715 VSB327715:VSF327715 WBX327715:WCB327715 WLT327715:WLX327715 WVP327715:WVT327715 JD393251:JH393251 SZ393251:TD393251 ACV393251:ACZ393251 AMR393251:AMV393251 AWN393251:AWR393251 BGJ393251:BGN393251 BQF393251:BQJ393251 CAB393251:CAF393251 CJX393251:CKB393251 CTT393251:CTX393251 DDP393251:DDT393251 DNL393251:DNP393251 DXH393251:DXL393251 EHD393251:EHH393251 EQZ393251:ERD393251 FAV393251:FAZ393251 FKR393251:FKV393251 FUN393251:FUR393251 GEJ393251:GEN393251 GOF393251:GOJ393251 GYB393251:GYF393251 HHX393251:HIB393251 HRT393251:HRX393251 IBP393251:IBT393251 ILL393251:ILP393251 IVH393251:IVL393251 JFD393251:JFH393251 JOZ393251:JPD393251 JYV393251:JYZ393251 KIR393251:KIV393251 KSN393251:KSR393251 LCJ393251:LCN393251 LMF393251:LMJ393251 LWB393251:LWF393251 MFX393251:MGB393251 MPT393251:MPX393251 MZP393251:MZT393251 NJL393251:NJP393251 NTH393251:NTL393251 ODD393251:ODH393251 OMZ393251:OND393251 OWV393251:OWZ393251 PGR393251:PGV393251 PQN393251:PQR393251 QAJ393251:QAN393251 QKF393251:QKJ393251 QUB393251:QUF393251 RDX393251:REB393251 RNT393251:RNX393251 RXP393251:RXT393251 SHL393251:SHP393251 SRH393251:SRL393251 TBD393251:TBH393251 TKZ393251:TLD393251 TUV393251:TUZ393251 UER393251:UEV393251 UON393251:UOR393251 UYJ393251:UYN393251 VIF393251:VIJ393251 VSB393251:VSF393251 WBX393251:WCB393251 WLT393251:WLX393251 WVP393251:WVT393251 JD458787:JH458787 SZ458787:TD458787 ACV458787:ACZ458787 AMR458787:AMV458787 AWN458787:AWR458787 BGJ458787:BGN458787 BQF458787:BQJ458787 CAB458787:CAF458787 CJX458787:CKB458787 CTT458787:CTX458787 DDP458787:DDT458787 DNL458787:DNP458787 DXH458787:DXL458787 EHD458787:EHH458787 EQZ458787:ERD458787 FAV458787:FAZ458787 FKR458787:FKV458787 FUN458787:FUR458787 GEJ458787:GEN458787 GOF458787:GOJ458787 GYB458787:GYF458787 HHX458787:HIB458787 HRT458787:HRX458787 IBP458787:IBT458787 ILL458787:ILP458787 IVH458787:IVL458787 JFD458787:JFH458787 JOZ458787:JPD458787 JYV458787:JYZ458787 KIR458787:KIV458787 KSN458787:KSR458787 LCJ458787:LCN458787 LMF458787:LMJ458787 LWB458787:LWF458787 MFX458787:MGB458787 MPT458787:MPX458787 MZP458787:MZT458787 NJL458787:NJP458787 NTH458787:NTL458787 ODD458787:ODH458787 OMZ458787:OND458787 OWV458787:OWZ458787 PGR458787:PGV458787 PQN458787:PQR458787 QAJ458787:QAN458787 QKF458787:QKJ458787 QUB458787:QUF458787 RDX458787:REB458787 RNT458787:RNX458787 RXP458787:RXT458787 SHL458787:SHP458787 SRH458787:SRL458787 TBD458787:TBH458787 TKZ458787:TLD458787 TUV458787:TUZ458787 UER458787:UEV458787 UON458787:UOR458787 UYJ458787:UYN458787 VIF458787:VIJ458787 VSB458787:VSF458787 WBX458787:WCB458787 WLT458787:WLX458787 WVP458787:WVT458787 JD524323:JH524323 SZ524323:TD524323 ACV524323:ACZ524323 AMR524323:AMV524323 AWN524323:AWR524323 BGJ524323:BGN524323 BQF524323:BQJ524323 CAB524323:CAF524323 CJX524323:CKB524323 CTT524323:CTX524323 DDP524323:DDT524323 DNL524323:DNP524323 DXH524323:DXL524323 EHD524323:EHH524323 EQZ524323:ERD524323 FAV524323:FAZ524323 FKR524323:FKV524323 FUN524323:FUR524323 GEJ524323:GEN524323 GOF524323:GOJ524323 GYB524323:GYF524323 HHX524323:HIB524323 HRT524323:HRX524323 IBP524323:IBT524323 ILL524323:ILP524323 IVH524323:IVL524323 JFD524323:JFH524323 JOZ524323:JPD524323 JYV524323:JYZ524323 KIR524323:KIV524323 KSN524323:KSR524323 LCJ524323:LCN524323 LMF524323:LMJ524323 LWB524323:LWF524323 MFX524323:MGB524323 MPT524323:MPX524323 MZP524323:MZT524323 NJL524323:NJP524323 NTH524323:NTL524323 ODD524323:ODH524323 OMZ524323:OND524323 OWV524323:OWZ524323 PGR524323:PGV524323 PQN524323:PQR524323 QAJ524323:QAN524323 QKF524323:QKJ524323 QUB524323:QUF524323 RDX524323:REB524323 RNT524323:RNX524323 RXP524323:RXT524323 SHL524323:SHP524323 SRH524323:SRL524323 TBD524323:TBH524323 TKZ524323:TLD524323 TUV524323:TUZ524323 UER524323:UEV524323 UON524323:UOR524323 UYJ524323:UYN524323 VIF524323:VIJ524323 VSB524323:VSF524323 WBX524323:WCB524323 WLT524323:WLX524323 WVP524323:WVT524323 JD589859:JH589859 SZ589859:TD589859 ACV589859:ACZ589859 AMR589859:AMV589859 AWN589859:AWR589859 BGJ589859:BGN589859 BQF589859:BQJ589859 CAB589859:CAF589859 CJX589859:CKB589859 CTT589859:CTX589859 DDP589859:DDT589859 DNL589859:DNP589859 DXH589859:DXL589859 EHD589859:EHH589859 EQZ589859:ERD589859 FAV589859:FAZ589859 FKR589859:FKV589859 FUN589859:FUR589859 GEJ589859:GEN589859 GOF589859:GOJ589859 GYB589859:GYF589859 HHX589859:HIB589859 HRT589859:HRX589859 IBP589859:IBT589859 ILL589859:ILP589859 IVH589859:IVL589859 JFD589859:JFH589859 JOZ589859:JPD589859 JYV589859:JYZ589859 KIR589859:KIV589859 KSN589859:KSR589859 LCJ589859:LCN589859 LMF589859:LMJ589859 LWB589859:LWF589859 MFX589859:MGB589859 MPT589859:MPX589859 MZP589859:MZT589859 NJL589859:NJP589859 NTH589859:NTL589859 ODD589859:ODH589859 OMZ589859:OND589859 OWV589859:OWZ589859 PGR589859:PGV589859 PQN589859:PQR589859 QAJ589859:QAN589859 QKF589859:QKJ589859 QUB589859:QUF589859 RDX589859:REB589859 RNT589859:RNX589859 RXP589859:RXT589859 SHL589859:SHP589859 SRH589859:SRL589859 TBD589859:TBH589859 TKZ589859:TLD589859 TUV589859:TUZ589859 UER589859:UEV589859 UON589859:UOR589859 UYJ589859:UYN589859 VIF589859:VIJ589859 VSB589859:VSF589859 WBX589859:WCB589859 WLT589859:WLX589859 WVP589859:WVT589859 JD655395:JH655395 SZ655395:TD655395 ACV655395:ACZ655395 AMR655395:AMV655395 AWN655395:AWR655395 BGJ655395:BGN655395 BQF655395:BQJ655395 CAB655395:CAF655395 CJX655395:CKB655395 CTT655395:CTX655395 DDP655395:DDT655395 DNL655395:DNP655395 DXH655395:DXL655395 EHD655395:EHH655395 EQZ655395:ERD655395 FAV655395:FAZ655395 FKR655395:FKV655395 FUN655395:FUR655395 GEJ655395:GEN655395 GOF655395:GOJ655395 GYB655395:GYF655395 HHX655395:HIB655395 HRT655395:HRX655395 IBP655395:IBT655395 ILL655395:ILP655395 IVH655395:IVL655395 JFD655395:JFH655395 JOZ655395:JPD655395 JYV655395:JYZ655395 KIR655395:KIV655395 KSN655395:KSR655395 LCJ655395:LCN655395 LMF655395:LMJ655395 LWB655395:LWF655395 MFX655395:MGB655395 MPT655395:MPX655395 MZP655395:MZT655395 NJL655395:NJP655395 NTH655395:NTL655395 ODD655395:ODH655395 OMZ655395:OND655395 OWV655395:OWZ655395 PGR655395:PGV655395 PQN655395:PQR655395 QAJ655395:QAN655395 QKF655395:QKJ655395 QUB655395:QUF655395 RDX655395:REB655395 RNT655395:RNX655395 RXP655395:RXT655395 SHL655395:SHP655395 SRH655395:SRL655395 TBD655395:TBH655395 TKZ655395:TLD655395 TUV655395:TUZ655395 UER655395:UEV655395 UON655395:UOR655395 UYJ655395:UYN655395 VIF655395:VIJ655395 VSB655395:VSF655395 WBX655395:WCB655395 WLT655395:WLX655395 WVP655395:WVT655395 JD720931:JH720931 SZ720931:TD720931 ACV720931:ACZ720931 AMR720931:AMV720931 AWN720931:AWR720931 BGJ720931:BGN720931 BQF720931:BQJ720931 CAB720931:CAF720931 CJX720931:CKB720931 CTT720931:CTX720931 DDP720931:DDT720931 DNL720931:DNP720931 DXH720931:DXL720931 EHD720931:EHH720931 EQZ720931:ERD720931 FAV720931:FAZ720931 FKR720931:FKV720931 FUN720931:FUR720931 GEJ720931:GEN720931 GOF720931:GOJ720931 GYB720931:GYF720931 HHX720931:HIB720931 HRT720931:HRX720931 IBP720931:IBT720931 ILL720931:ILP720931 IVH720931:IVL720931 JFD720931:JFH720931 JOZ720931:JPD720931 JYV720931:JYZ720931 KIR720931:KIV720931 KSN720931:KSR720931 LCJ720931:LCN720931 LMF720931:LMJ720931 LWB720931:LWF720931 MFX720931:MGB720931 MPT720931:MPX720931 MZP720931:MZT720931 NJL720931:NJP720931 NTH720931:NTL720931 ODD720931:ODH720931 OMZ720931:OND720931 OWV720931:OWZ720931 PGR720931:PGV720931 PQN720931:PQR720931 QAJ720931:QAN720931 QKF720931:QKJ720931 QUB720931:QUF720931 RDX720931:REB720931 RNT720931:RNX720931 RXP720931:RXT720931 SHL720931:SHP720931 SRH720931:SRL720931 TBD720931:TBH720931 TKZ720931:TLD720931 TUV720931:TUZ720931 UER720931:UEV720931 UON720931:UOR720931 UYJ720931:UYN720931 VIF720931:VIJ720931 VSB720931:VSF720931 WBX720931:WCB720931 WLT720931:WLX720931 WVP720931:WVT720931 JD786467:JH786467 SZ786467:TD786467 ACV786467:ACZ786467 AMR786467:AMV786467 AWN786467:AWR786467 BGJ786467:BGN786467 BQF786467:BQJ786467 CAB786467:CAF786467 CJX786467:CKB786467 CTT786467:CTX786467 DDP786467:DDT786467 DNL786467:DNP786467 DXH786467:DXL786467 EHD786467:EHH786467 EQZ786467:ERD786467 FAV786467:FAZ786467 FKR786467:FKV786467 FUN786467:FUR786467 GEJ786467:GEN786467 GOF786467:GOJ786467 GYB786467:GYF786467 HHX786467:HIB786467 HRT786467:HRX786467 IBP786467:IBT786467 ILL786467:ILP786467 IVH786467:IVL786467 JFD786467:JFH786467 JOZ786467:JPD786467 JYV786467:JYZ786467 KIR786467:KIV786467 KSN786467:KSR786467 LCJ786467:LCN786467 LMF786467:LMJ786467 LWB786467:LWF786467 MFX786467:MGB786467 MPT786467:MPX786467 MZP786467:MZT786467 NJL786467:NJP786467 NTH786467:NTL786467 ODD786467:ODH786467 OMZ786467:OND786467 OWV786467:OWZ786467 PGR786467:PGV786467 PQN786467:PQR786467 QAJ786467:QAN786467 QKF786467:QKJ786467 QUB786467:QUF786467 RDX786467:REB786467 RNT786467:RNX786467 RXP786467:RXT786467 SHL786467:SHP786467 SRH786467:SRL786467 TBD786467:TBH786467 TKZ786467:TLD786467 TUV786467:TUZ786467 UER786467:UEV786467 UON786467:UOR786467 UYJ786467:UYN786467 VIF786467:VIJ786467 VSB786467:VSF786467 WBX786467:WCB786467 WLT786467:WLX786467 WVP786467:WVT786467 JD852003:JH852003 SZ852003:TD852003 ACV852003:ACZ852003 AMR852003:AMV852003 AWN852003:AWR852003 BGJ852003:BGN852003 BQF852003:BQJ852003 CAB852003:CAF852003 CJX852003:CKB852003 CTT852003:CTX852003 DDP852003:DDT852003 DNL852003:DNP852003 DXH852003:DXL852003 EHD852003:EHH852003 EQZ852003:ERD852003 FAV852003:FAZ852003 FKR852003:FKV852003 FUN852003:FUR852003 GEJ852003:GEN852003 GOF852003:GOJ852003 GYB852003:GYF852003 HHX852003:HIB852003 HRT852003:HRX852003 IBP852003:IBT852003 ILL852003:ILP852003 IVH852003:IVL852003 JFD852003:JFH852003 JOZ852003:JPD852003 JYV852003:JYZ852003 KIR852003:KIV852003 KSN852003:KSR852003 LCJ852003:LCN852003 LMF852003:LMJ852003 LWB852003:LWF852003 MFX852003:MGB852003 MPT852003:MPX852003 MZP852003:MZT852003 NJL852003:NJP852003 NTH852003:NTL852003 ODD852003:ODH852003 OMZ852003:OND852003 OWV852003:OWZ852003 PGR852003:PGV852003 PQN852003:PQR852003 QAJ852003:QAN852003 QKF852003:QKJ852003 QUB852003:QUF852003 RDX852003:REB852003 RNT852003:RNX852003 RXP852003:RXT852003 SHL852003:SHP852003 SRH852003:SRL852003 TBD852003:TBH852003 TKZ852003:TLD852003 TUV852003:TUZ852003 UER852003:UEV852003 UON852003:UOR852003 UYJ852003:UYN852003 VIF852003:VIJ852003 VSB852003:VSF852003 WBX852003:WCB852003 WLT852003:WLX852003 WVP852003:WVT852003 JD917539:JH917539 SZ917539:TD917539 ACV917539:ACZ917539 AMR917539:AMV917539 AWN917539:AWR917539 BGJ917539:BGN917539 BQF917539:BQJ917539 CAB917539:CAF917539 CJX917539:CKB917539 CTT917539:CTX917539 DDP917539:DDT917539 DNL917539:DNP917539 DXH917539:DXL917539 EHD917539:EHH917539 EQZ917539:ERD917539 FAV917539:FAZ917539 FKR917539:FKV917539 FUN917539:FUR917539 GEJ917539:GEN917539 GOF917539:GOJ917539 GYB917539:GYF917539 HHX917539:HIB917539 HRT917539:HRX917539 IBP917539:IBT917539 ILL917539:ILP917539 IVH917539:IVL917539 JFD917539:JFH917539 JOZ917539:JPD917539 JYV917539:JYZ917539 KIR917539:KIV917539 KSN917539:KSR917539 LCJ917539:LCN917539 LMF917539:LMJ917539 LWB917539:LWF917539 MFX917539:MGB917539 MPT917539:MPX917539 MZP917539:MZT917539 NJL917539:NJP917539 NTH917539:NTL917539 ODD917539:ODH917539 OMZ917539:OND917539 OWV917539:OWZ917539 PGR917539:PGV917539 PQN917539:PQR917539 QAJ917539:QAN917539 QKF917539:QKJ917539 QUB917539:QUF917539 RDX917539:REB917539 RNT917539:RNX917539 RXP917539:RXT917539 SHL917539:SHP917539 SRH917539:SRL917539 TBD917539:TBH917539 TKZ917539:TLD917539 TUV917539:TUZ917539 UER917539:UEV917539 UON917539:UOR917539 UYJ917539:UYN917539 VIF917539:VIJ917539 VSB917539:VSF917539 WBX917539:WCB917539 WLT917539:WLX917539 WVP917539:WVT917539 JD983075:JH983075 SZ983075:TD983075 ACV983075:ACZ983075 AMR983075:AMV983075 AWN983075:AWR983075 BGJ983075:BGN983075 BQF983075:BQJ983075 CAB983075:CAF983075 CJX983075:CKB983075 CTT983075:CTX983075 DDP983075:DDT983075 DNL983075:DNP983075 DXH983075:DXL983075 EHD983075:EHH983075 EQZ983075:ERD983075 FAV983075:FAZ983075 FKR983075:FKV983075 FUN983075:FUR983075 GEJ983075:GEN983075 GOF983075:GOJ983075 GYB983075:GYF983075 HHX983075:HIB983075 HRT983075:HRX983075 IBP983075:IBT983075 ILL983075:ILP983075 IVH983075:IVL983075 JFD983075:JFH983075 JOZ983075:JPD983075 JYV983075:JYZ983075 KIR983075:KIV983075 KSN983075:KSR983075 LCJ983075:LCN983075 LMF983075:LMJ983075 LWB983075:LWF983075 MFX983075:MGB983075 MPT983075:MPX983075 MZP983075:MZT983075 NJL983075:NJP983075 NTH983075:NTL983075 ODD983075:ODH983075 OMZ983075:OND983075 OWV983075:OWZ983075 PGR983075:PGV983075 PQN983075:PQR983075 QAJ983075:QAN983075 QKF983075:QKJ983075 QUB983075:QUF983075 RDX983075:REB983075 RNT983075:RNX983075 RXP983075:RXT983075 SHL983075:SHP983075 SRH983075:SRL983075 TBD983075:TBH983075 TKZ983075:TLD983075 TUV983075:TUZ983075 UER983075:UEV983075 UON983075:UOR983075 UYJ983075:UYN983075 VIF983075:VIJ983075 VSB983075:VSF983075 WBX983075:WCB983075 ACV10:ACZ39 C983075:I983075 C917539:I917539 C852003:I852003 C786467:I786467 C720931:I720931 C655395:I655395 C589859:I589859 C524323:I524323 C458787:I458787 C393251:I393251 C327715:I327715 C262179:I262179 C196643:I196643 C131107:I131107 C65571:I65571" xr:uid="{CA3209BC-9032-42E3-8B9E-56A376F56110}"/>
    <dataValidation type="list" allowBlank="1" showInputMessage="1" showErrorMessage="1" promptTitle="WORK" prompt="SELECT FROM DROP DOWN LIST" sqref="WVP983073:WVT983073 JD65569:JH65569 SZ65569:TD65569 ACV65569:ACZ65569 AMR65569:AMV65569 AWN65569:AWR65569 BGJ65569:BGN65569 BQF65569:BQJ65569 CAB65569:CAF65569 CJX65569:CKB65569 CTT65569:CTX65569 DDP65569:DDT65569 DNL65569:DNP65569 DXH65569:DXL65569 EHD65569:EHH65569 EQZ65569:ERD65569 FAV65569:FAZ65569 FKR65569:FKV65569 FUN65569:FUR65569 GEJ65569:GEN65569 GOF65569:GOJ65569 GYB65569:GYF65569 HHX65569:HIB65569 HRT65569:HRX65569 IBP65569:IBT65569 ILL65569:ILP65569 IVH65569:IVL65569 JFD65569:JFH65569 JOZ65569:JPD65569 JYV65569:JYZ65569 KIR65569:KIV65569 KSN65569:KSR65569 LCJ65569:LCN65569 LMF65569:LMJ65569 LWB65569:LWF65569 MFX65569:MGB65569 MPT65569:MPX65569 MZP65569:MZT65569 NJL65569:NJP65569 NTH65569:NTL65569 ODD65569:ODH65569 OMZ65569:OND65569 OWV65569:OWZ65569 PGR65569:PGV65569 PQN65569:PQR65569 QAJ65569:QAN65569 QKF65569:QKJ65569 QUB65569:QUF65569 RDX65569:REB65569 RNT65569:RNX65569 RXP65569:RXT65569 SHL65569:SHP65569 SRH65569:SRL65569 TBD65569:TBH65569 TKZ65569:TLD65569 TUV65569:TUZ65569 UER65569:UEV65569 UON65569:UOR65569 UYJ65569:UYN65569 VIF65569:VIJ65569 VSB65569:VSF65569 WBX65569:WCB65569 WLT65569:WLX65569 WVP65569:WVT65569 JD131105:JH131105 SZ131105:TD131105 ACV131105:ACZ131105 AMR131105:AMV131105 AWN131105:AWR131105 BGJ131105:BGN131105 BQF131105:BQJ131105 CAB131105:CAF131105 CJX131105:CKB131105 CTT131105:CTX131105 DDP131105:DDT131105 DNL131105:DNP131105 DXH131105:DXL131105 EHD131105:EHH131105 EQZ131105:ERD131105 FAV131105:FAZ131105 FKR131105:FKV131105 FUN131105:FUR131105 GEJ131105:GEN131105 GOF131105:GOJ131105 GYB131105:GYF131105 HHX131105:HIB131105 HRT131105:HRX131105 IBP131105:IBT131105 ILL131105:ILP131105 IVH131105:IVL131105 JFD131105:JFH131105 JOZ131105:JPD131105 JYV131105:JYZ131105 KIR131105:KIV131105 KSN131105:KSR131105 LCJ131105:LCN131105 LMF131105:LMJ131105 LWB131105:LWF131105 MFX131105:MGB131105 MPT131105:MPX131105 MZP131105:MZT131105 NJL131105:NJP131105 NTH131105:NTL131105 ODD131105:ODH131105 OMZ131105:OND131105 OWV131105:OWZ131105 PGR131105:PGV131105 PQN131105:PQR131105 QAJ131105:QAN131105 QKF131105:QKJ131105 QUB131105:QUF131105 RDX131105:REB131105 RNT131105:RNX131105 RXP131105:RXT131105 SHL131105:SHP131105 SRH131105:SRL131105 TBD131105:TBH131105 TKZ131105:TLD131105 TUV131105:TUZ131105 UER131105:UEV131105 UON131105:UOR131105 UYJ131105:UYN131105 VIF131105:VIJ131105 VSB131105:VSF131105 WBX131105:WCB131105 WLT131105:WLX131105 WVP131105:WVT131105 JD196641:JH196641 SZ196641:TD196641 ACV196641:ACZ196641 AMR196641:AMV196641 AWN196641:AWR196641 BGJ196641:BGN196641 BQF196641:BQJ196641 CAB196641:CAF196641 CJX196641:CKB196641 CTT196641:CTX196641 DDP196641:DDT196641 DNL196641:DNP196641 DXH196641:DXL196641 EHD196641:EHH196641 EQZ196641:ERD196641 FAV196641:FAZ196641 FKR196641:FKV196641 FUN196641:FUR196641 GEJ196641:GEN196641 GOF196641:GOJ196641 GYB196641:GYF196641 HHX196641:HIB196641 HRT196641:HRX196641 IBP196641:IBT196641 ILL196641:ILP196641 IVH196641:IVL196641 JFD196641:JFH196641 JOZ196641:JPD196641 JYV196641:JYZ196641 KIR196641:KIV196641 KSN196641:KSR196641 LCJ196641:LCN196641 LMF196641:LMJ196641 LWB196641:LWF196641 MFX196641:MGB196641 MPT196641:MPX196641 MZP196641:MZT196641 NJL196641:NJP196641 NTH196641:NTL196641 ODD196641:ODH196641 OMZ196641:OND196641 OWV196641:OWZ196641 PGR196641:PGV196641 PQN196641:PQR196641 QAJ196641:QAN196641 QKF196641:QKJ196641 QUB196641:QUF196641 RDX196641:REB196641 RNT196641:RNX196641 RXP196641:RXT196641 SHL196641:SHP196641 SRH196641:SRL196641 TBD196641:TBH196641 TKZ196641:TLD196641 TUV196641:TUZ196641 UER196641:UEV196641 UON196641:UOR196641 UYJ196641:UYN196641 VIF196641:VIJ196641 VSB196641:VSF196641 WBX196641:WCB196641 WLT196641:WLX196641 WVP196641:WVT196641 JD262177:JH262177 SZ262177:TD262177 ACV262177:ACZ262177 AMR262177:AMV262177 AWN262177:AWR262177 BGJ262177:BGN262177 BQF262177:BQJ262177 CAB262177:CAF262177 CJX262177:CKB262177 CTT262177:CTX262177 DDP262177:DDT262177 DNL262177:DNP262177 DXH262177:DXL262177 EHD262177:EHH262177 EQZ262177:ERD262177 FAV262177:FAZ262177 FKR262177:FKV262177 FUN262177:FUR262177 GEJ262177:GEN262177 GOF262177:GOJ262177 GYB262177:GYF262177 HHX262177:HIB262177 HRT262177:HRX262177 IBP262177:IBT262177 ILL262177:ILP262177 IVH262177:IVL262177 JFD262177:JFH262177 JOZ262177:JPD262177 JYV262177:JYZ262177 KIR262177:KIV262177 KSN262177:KSR262177 LCJ262177:LCN262177 LMF262177:LMJ262177 LWB262177:LWF262177 MFX262177:MGB262177 MPT262177:MPX262177 MZP262177:MZT262177 NJL262177:NJP262177 NTH262177:NTL262177 ODD262177:ODH262177 OMZ262177:OND262177 OWV262177:OWZ262177 PGR262177:PGV262177 PQN262177:PQR262177 QAJ262177:QAN262177 QKF262177:QKJ262177 QUB262177:QUF262177 RDX262177:REB262177 RNT262177:RNX262177 RXP262177:RXT262177 SHL262177:SHP262177 SRH262177:SRL262177 TBD262177:TBH262177 TKZ262177:TLD262177 TUV262177:TUZ262177 UER262177:UEV262177 UON262177:UOR262177 UYJ262177:UYN262177 VIF262177:VIJ262177 VSB262177:VSF262177 WBX262177:WCB262177 WLT262177:WLX262177 WVP262177:WVT262177 JD327713:JH327713 SZ327713:TD327713 ACV327713:ACZ327713 AMR327713:AMV327713 AWN327713:AWR327713 BGJ327713:BGN327713 BQF327713:BQJ327713 CAB327713:CAF327713 CJX327713:CKB327713 CTT327713:CTX327713 DDP327713:DDT327713 DNL327713:DNP327713 DXH327713:DXL327713 EHD327713:EHH327713 EQZ327713:ERD327713 FAV327713:FAZ327713 FKR327713:FKV327713 FUN327713:FUR327713 GEJ327713:GEN327713 GOF327713:GOJ327713 GYB327713:GYF327713 HHX327713:HIB327713 HRT327713:HRX327713 IBP327713:IBT327713 ILL327713:ILP327713 IVH327713:IVL327713 JFD327713:JFH327713 JOZ327713:JPD327713 JYV327713:JYZ327713 KIR327713:KIV327713 KSN327713:KSR327713 LCJ327713:LCN327713 LMF327713:LMJ327713 LWB327713:LWF327713 MFX327713:MGB327713 MPT327713:MPX327713 MZP327713:MZT327713 NJL327713:NJP327713 NTH327713:NTL327713 ODD327713:ODH327713 OMZ327713:OND327713 OWV327713:OWZ327713 PGR327713:PGV327713 PQN327713:PQR327713 QAJ327713:QAN327713 QKF327713:QKJ327713 QUB327713:QUF327713 RDX327713:REB327713 RNT327713:RNX327713 RXP327713:RXT327713 SHL327713:SHP327713 SRH327713:SRL327713 TBD327713:TBH327713 TKZ327713:TLD327713 TUV327713:TUZ327713 UER327713:UEV327713 UON327713:UOR327713 UYJ327713:UYN327713 VIF327713:VIJ327713 VSB327713:VSF327713 WBX327713:WCB327713 WLT327713:WLX327713 WVP327713:WVT327713 JD393249:JH393249 SZ393249:TD393249 ACV393249:ACZ393249 AMR393249:AMV393249 AWN393249:AWR393249 BGJ393249:BGN393249 BQF393249:BQJ393249 CAB393249:CAF393249 CJX393249:CKB393249 CTT393249:CTX393249 DDP393249:DDT393249 DNL393249:DNP393249 DXH393249:DXL393249 EHD393249:EHH393249 EQZ393249:ERD393249 FAV393249:FAZ393249 FKR393249:FKV393249 FUN393249:FUR393249 GEJ393249:GEN393249 GOF393249:GOJ393249 GYB393249:GYF393249 HHX393249:HIB393249 HRT393249:HRX393249 IBP393249:IBT393249 ILL393249:ILP393249 IVH393249:IVL393249 JFD393249:JFH393249 JOZ393249:JPD393249 JYV393249:JYZ393249 KIR393249:KIV393249 KSN393249:KSR393249 LCJ393249:LCN393249 LMF393249:LMJ393249 LWB393249:LWF393249 MFX393249:MGB393249 MPT393249:MPX393249 MZP393249:MZT393249 NJL393249:NJP393249 NTH393249:NTL393249 ODD393249:ODH393249 OMZ393249:OND393249 OWV393249:OWZ393249 PGR393249:PGV393249 PQN393249:PQR393249 QAJ393249:QAN393249 QKF393249:QKJ393249 QUB393249:QUF393249 RDX393249:REB393249 RNT393249:RNX393249 RXP393249:RXT393249 SHL393249:SHP393249 SRH393249:SRL393249 TBD393249:TBH393249 TKZ393249:TLD393249 TUV393249:TUZ393249 UER393249:UEV393249 UON393249:UOR393249 UYJ393249:UYN393249 VIF393249:VIJ393249 VSB393249:VSF393249 WBX393249:WCB393249 WLT393249:WLX393249 WVP393249:WVT393249 JD458785:JH458785 SZ458785:TD458785 ACV458785:ACZ458785 AMR458785:AMV458785 AWN458785:AWR458785 BGJ458785:BGN458785 BQF458785:BQJ458785 CAB458785:CAF458785 CJX458785:CKB458785 CTT458785:CTX458785 DDP458785:DDT458785 DNL458785:DNP458785 DXH458785:DXL458785 EHD458785:EHH458785 EQZ458785:ERD458785 FAV458785:FAZ458785 FKR458785:FKV458785 FUN458785:FUR458785 GEJ458785:GEN458785 GOF458785:GOJ458785 GYB458785:GYF458785 HHX458785:HIB458785 HRT458785:HRX458785 IBP458785:IBT458785 ILL458785:ILP458785 IVH458785:IVL458785 JFD458785:JFH458785 JOZ458785:JPD458785 JYV458785:JYZ458785 KIR458785:KIV458785 KSN458785:KSR458785 LCJ458785:LCN458785 LMF458785:LMJ458785 LWB458785:LWF458785 MFX458785:MGB458785 MPT458785:MPX458785 MZP458785:MZT458785 NJL458785:NJP458785 NTH458785:NTL458785 ODD458785:ODH458785 OMZ458785:OND458785 OWV458785:OWZ458785 PGR458785:PGV458785 PQN458785:PQR458785 QAJ458785:QAN458785 QKF458785:QKJ458785 QUB458785:QUF458785 RDX458785:REB458785 RNT458785:RNX458785 RXP458785:RXT458785 SHL458785:SHP458785 SRH458785:SRL458785 TBD458785:TBH458785 TKZ458785:TLD458785 TUV458785:TUZ458785 UER458785:UEV458785 UON458785:UOR458785 UYJ458785:UYN458785 VIF458785:VIJ458785 VSB458785:VSF458785 WBX458785:WCB458785 WLT458785:WLX458785 WVP458785:WVT458785 JD524321:JH524321 SZ524321:TD524321 ACV524321:ACZ524321 AMR524321:AMV524321 AWN524321:AWR524321 BGJ524321:BGN524321 BQF524321:BQJ524321 CAB524321:CAF524321 CJX524321:CKB524321 CTT524321:CTX524321 DDP524321:DDT524321 DNL524321:DNP524321 DXH524321:DXL524321 EHD524321:EHH524321 EQZ524321:ERD524321 FAV524321:FAZ524321 FKR524321:FKV524321 FUN524321:FUR524321 GEJ524321:GEN524321 GOF524321:GOJ524321 GYB524321:GYF524321 HHX524321:HIB524321 HRT524321:HRX524321 IBP524321:IBT524321 ILL524321:ILP524321 IVH524321:IVL524321 JFD524321:JFH524321 JOZ524321:JPD524321 JYV524321:JYZ524321 KIR524321:KIV524321 KSN524321:KSR524321 LCJ524321:LCN524321 LMF524321:LMJ524321 LWB524321:LWF524321 MFX524321:MGB524321 MPT524321:MPX524321 MZP524321:MZT524321 NJL524321:NJP524321 NTH524321:NTL524321 ODD524321:ODH524321 OMZ524321:OND524321 OWV524321:OWZ524321 PGR524321:PGV524321 PQN524321:PQR524321 QAJ524321:QAN524321 QKF524321:QKJ524321 QUB524321:QUF524321 RDX524321:REB524321 RNT524321:RNX524321 RXP524321:RXT524321 SHL524321:SHP524321 SRH524321:SRL524321 TBD524321:TBH524321 TKZ524321:TLD524321 TUV524321:TUZ524321 UER524321:UEV524321 UON524321:UOR524321 UYJ524321:UYN524321 VIF524321:VIJ524321 VSB524321:VSF524321 WBX524321:WCB524321 WLT524321:WLX524321 WVP524321:WVT524321 JD589857:JH589857 SZ589857:TD589857 ACV589857:ACZ589857 AMR589857:AMV589857 AWN589857:AWR589857 BGJ589857:BGN589857 BQF589857:BQJ589857 CAB589857:CAF589857 CJX589857:CKB589857 CTT589857:CTX589857 DDP589857:DDT589857 DNL589857:DNP589857 DXH589857:DXL589857 EHD589857:EHH589857 EQZ589857:ERD589857 FAV589857:FAZ589857 FKR589857:FKV589857 FUN589857:FUR589857 GEJ589857:GEN589857 GOF589857:GOJ589857 GYB589857:GYF589857 HHX589857:HIB589857 HRT589857:HRX589857 IBP589857:IBT589857 ILL589857:ILP589857 IVH589857:IVL589857 JFD589857:JFH589857 JOZ589857:JPD589857 JYV589857:JYZ589857 KIR589857:KIV589857 KSN589857:KSR589857 LCJ589857:LCN589857 LMF589857:LMJ589857 LWB589857:LWF589857 MFX589857:MGB589857 MPT589857:MPX589857 MZP589857:MZT589857 NJL589857:NJP589857 NTH589857:NTL589857 ODD589857:ODH589857 OMZ589857:OND589857 OWV589857:OWZ589857 PGR589857:PGV589857 PQN589857:PQR589857 QAJ589857:QAN589857 QKF589857:QKJ589857 QUB589857:QUF589857 RDX589857:REB589857 RNT589857:RNX589857 RXP589857:RXT589857 SHL589857:SHP589857 SRH589857:SRL589857 TBD589857:TBH589857 TKZ589857:TLD589857 TUV589857:TUZ589857 UER589857:UEV589857 UON589857:UOR589857 UYJ589857:UYN589857 VIF589857:VIJ589857 VSB589857:VSF589857 WBX589857:WCB589857 WLT589857:WLX589857 WVP589857:WVT589857 JD655393:JH655393 SZ655393:TD655393 ACV655393:ACZ655393 AMR655393:AMV655393 AWN655393:AWR655393 BGJ655393:BGN655393 BQF655393:BQJ655393 CAB655393:CAF655393 CJX655393:CKB655393 CTT655393:CTX655393 DDP655393:DDT655393 DNL655393:DNP655393 DXH655393:DXL655393 EHD655393:EHH655393 EQZ655393:ERD655393 FAV655393:FAZ655393 FKR655393:FKV655393 FUN655393:FUR655393 GEJ655393:GEN655393 GOF655393:GOJ655393 GYB655393:GYF655393 HHX655393:HIB655393 HRT655393:HRX655393 IBP655393:IBT655393 ILL655393:ILP655393 IVH655393:IVL655393 JFD655393:JFH655393 JOZ655393:JPD655393 JYV655393:JYZ655393 KIR655393:KIV655393 KSN655393:KSR655393 LCJ655393:LCN655393 LMF655393:LMJ655393 LWB655393:LWF655393 MFX655393:MGB655393 MPT655393:MPX655393 MZP655393:MZT655393 NJL655393:NJP655393 NTH655393:NTL655393 ODD655393:ODH655393 OMZ655393:OND655393 OWV655393:OWZ655393 PGR655393:PGV655393 PQN655393:PQR655393 QAJ655393:QAN655393 QKF655393:QKJ655393 QUB655393:QUF655393 RDX655393:REB655393 RNT655393:RNX655393 RXP655393:RXT655393 SHL655393:SHP655393 SRH655393:SRL655393 TBD655393:TBH655393 TKZ655393:TLD655393 TUV655393:TUZ655393 UER655393:UEV655393 UON655393:UOR655393 UYJ655393:UYN655393 VIF655393:VIJ655393 VSB655393:VSF655393 WBX655393:WCB655393 WLT655393:WLX655393 WVP655393:WVT655393 JD720929:JH720929 SZ720929:TD720929 ACV720929:ACZ720929 AMR720929:AMV720929 AWN720929:AWR720929 BGJ720929:BGN720929 BQF720929:BQJ720929 CAB720929:CAF720929 CJX720929:CKB720929 CTT720929:CTX720929 DDP720929:DDT720929 DNL720929:DNP720929 DXH720929:DXL720929 EHD720929:EHH720929 EQZ720929:ERD720929 FAV720929:FAZ720929 FKR720929:FKV720929 FUN720929:FUR720929 GEJ720929:GEN720929 GOF720929:GOJ720929 GYB720929:GYF720929 HHX720929:HIB720929 HRT720929:HRX720929 IBP720929:IBT720929 ILL720929:ILP720929 IVH720929:IVL720929 JFD720929:JFH720929 JOZ720929:JPD720929 JYV720929:JYZ720929 KIR720929:KIV720929 KSN720929:KSR720929 LCJ720929:LCN720929 LMF720929:LMJ720929 LWB720929:LWF720929 MFX720929:MGB720929 MPT720929:MPX720929 MZP720929:MZT720929 NJL720929:NJP720929 NTH720929:NTL720929 ODD720929:ODH720929 OMZ720929:OND720929 OWV720929:OWZ720929 PGR720929:PGV720929 PQN720929:PQR720929 QAJ720929:QAN720929 QKF720929:QKJ720929 QUB720929:QUF720929 RDX720929:REB720929 RNT720929:RNX720929 RXP720929:RXT720929 SHL720929:SHP720929 SRH720929:SRL720929 TBD720929:TBH720929 TKZ720929:TLD720929 TUV720929:TUZ720929 UER720929:UEV720929 UON720929:UOR720929 UYJ720929:UYN720929 VIF720929:VIJ720929 VSB720929:VSF720929 WBX720929:WCB720929 WLT720929:WLX720929 WVP720929:WVT720929 JD786465:JH786465 SZ786465:TD786465 ACV786465:ACZ786465 AMR786465:AMV786465 AWN786465:AWR786465 BGJ786465:BGN786465 BQF786465:BQJ786465 CAB786465:CAF786465 CJX786465:CKB786465 CTT786465:CTX786465 DDP786465:DDT786465 DNL786465:DNP786465 DXH786465:DXL786465 EHD786465:EHH786465 EQZ786465:ERD786465 FAV786465:FAZ786465 FKR786465:FKV786465 FUN786465:FUR786465 GEJ786465:GEN786465 GOF786465:GOJ786465 GYB786465:GYF786465 HHX786465:HIB786465 HRT786465:HRX786465 IBP786465:IBT786465 ILL786465:ILP786465 IVH786465:IVL786465 JFD786465:JFH786465 JOZ786465:JPD786465 JYV786465:JYZ786465 KIR786465:KIV786465 KSN786465:KSR786465 LCJ786465:LCN786465 LMF786465:LMJ786465 LWB786465:LWF786465 MFX786465:MGB786465 MPT786465:MPX786465 MZP786465:MZT786465 NJL786465:NJP786465 NTH786465:NTL786465 ODD786465:ODH786465 OMZ786465:OND786465 OWV786465:OWZ786465 PGR786465:PGV786465 PQN786465:PQR786465 QAJ786465:QAN786465 QKF786465:QKJ786465 QUB786465:QUF786465 RDX786465:REB786465 RNT786465:RNX786465 RXP786465:RXT786465 SHL786465:SHP786465 SRH786465:SRL786465 TBD786465:TBH786465 TKZ786465:TLD786465 TUV786465:TUZ786465 UER786465:UEV786465 UON786465:UOR786465 UYJ786465:UYN786465 VIF786465:VIJ786465 VSB786465:VSF786465 WBX786465:WCB786465 WLT786465:WLX786465 WVP786465:WVT786465 JD852001:JH852001 SZ852001:TD852001 ACV852001:ACZ852001 AMR852001:AMV852001 AWN852001:AWR852001 BGJ852001:BGN852001 BQF852001:BQJ852001 CAB852001:CAF852001 CJX852001:CKB852001 CTT852001:CTX852001 DDP852001:DDT852001 DNL852001:DNP852001 DXH852001:DXL852001 EHD852001:EHH852001 EQZ852001:ERD852001 FAV852001:FAZ852001 FKR852001:FKV852001 FUN852001:FUR852001 GEJ852001:GEN852001 GOF852001:GOJ852001 GYB852001:GYF852001 HHX852001:HIB852001 HRT852001:HRX852001 IBP852001:IBT852001 ILL852001:ILP852001 IVH852001:IVL852001 JFD852001:JFH852001 JOZ852001:JPD852001 JYV852001:JYZ852001 KIR852001:KIV852001 KSN852001:KSR852001 LCJ852001:LCN852001 LMF852001:LMJ852001 LWB852001:LWF852001 MFX852001:MGB852001 MPT852001:MPX852001 MZP852001:MZT852001 NJL852001:NJP852001 NTH852001:NTL852001 ODD852001:ODH852001 OMZ852001:OND852001 OWV852001:OWZ852001 PGR852001:PGV852001 PQN852001:PQR852001 QAJ852001:QAN852001 QKF852001:QKJ852001 QUB852001:QUF852001 RDX852001:REB852001 RNT852001:RNX852001 RXP852001:RXT852001 SHL852001:SHP852001 SRH852001:SRL852001 TBD852001:TBH852001 TKZ852001:TLD852001 TUV852001:TUZ852001 UER852001:UEV852001 UON852001:UOR852001 UYJ852001:UYN852001 VIF852001:VIJ852001 VSB852001:VSF852001 WBX852001:WCB852001 WLT852001:WLX852001 WVP852001:WVT852001 JD917537:JH917537 SZ917537:TD917537 ACV917537:ACZ917537 AMR917537:AMV917537 AWN917537:AWR917537 BGJ917537:BGN917537 BQF917537:BQJ917537 CAB917537:CAF917537 CJX917537:CKB917537 CTT917537:CTX917537 DDP917537:DDT917537 DNL917537:DNP917537 DXH917537:DXL917537 EHD917537:EHH917537 EQZ917537:ERD917537 FAV917537:FAZ917537 FKR917537:FKV917537 FUN917537:FUR917537 GEJ917537:GEN917537 GOF917537:GOJ917537 GYB917537:GYF917537 HHX917537:HIB917537 HRT917537:HRX917537 IBP917537:IBT917537 ILL917537:ILP917537 IVH917537:IVL917537 JFD917537:JFH917537 JOZ917537:JPD917537 JYV917537:JYZ917537 KIR917537:KIV917537 KSN917537:KSR917537 LCJ917537:LCN917537 LMF917537:LMJ917537 LWB917537:LWF917537 MFX917537:MGB917537 MPT917537:MPX917537 MZP917537:MZT917537 NJL917537:NJP917537 NTH917537:NTL917537 ODD917537:ODH917537 OMZ917537:OND917537 OWV917537:OWZ917537 PGR917537:PGV917537 PQN917537:PQR917537 QAJ917537:QAN917537 QKF917537:QKJ917537 QUB917537:QUF917537 RDX917537:REB917537 RNT917537:RNX917537 RXP917537:RXT917537 SHL917537:SHP917537 SRH917537:SRL917537 TBD917537:TBH917537 TKZ917537:TLD917537 TUV917537:TUZ917537 UER917537:UEV917537 UON917537:UOR917537 UYJ917537:UYN917537 VIF917537:VIJ917537 VSB917537:VSF917537 WBX917537:WCB917537 WLT917537:WLX917537 WVP917537:WVT917537 JD983073:JH983073 SZ983073:TD983073 ACV983073:ACZ983073 AMR983073:AMV983073 AWN983073:AWR983073 BGJ983073:BGN983073 BQF983073:BQJ983073 CAB983073:CAF983073 CJX983073:CKB983073 CTT983073:CTX983073 DDP983073:DDT983073 DNL983073:DNP983073 DXH983073:DXL983073 EHD983073:EHH983073 EQZ983073:ERD983073 FAV983073:FAZ983073 FKR983073:FKV983073 FUN983073:FUR983073 GEJ983073:GEN983073 GOF983073:GOJ983073 GYB983073:GYF983073 HHX983073:HIB983073 HRT983073:HRX983073 IBP983073:IBT983073 ILL983073:ILP983073 IVH983073:IVL983073 JFD983073:JFH983073 JOZ983073:JPD983073 JYV983073:JYZ983073 KIR983073:KIV983073 KSN983073:KSR983073 LCJ983073:LCN983073 LMF983073:LMJ983073 LWB983073:LWF983073 MFX983073:MGB983073 MPT983073:MPX983073 MZP983073:MZT983073 NJL983073:NJP983073 NTH983073:NTL983073 ODD983073:ODH983073 OMZ983073:OND983073 OWV983073:OWZ983073 PGR983073:PGV983073 PQN983073:PQR983073 QAJ983073:QAN983073 QKF983073:QKJ983073 QUB983073:QUF983073 RDX983073:REB983073 RNT983073:RNX983073 RXP983073:RXT983073 SHL983073:SHP983073 SRH983073:SRL983073 TBD983073:TBH983073 TKZ983073:TLD983073 TUV983073:TUZ983073 UER983073:UEV983073 UON983073:UOR983073 UYJ983073:UYN983073 VIF983073:VIJ983073 VSB983073:VSF983073 WBX983073:WCB983073 WLT983073:WLX983073 C983073:I983073 C917537:I917537 C852001:I852001 C786465:I786465 C720929:I720929 C655393:I655393 C589857:I589857 C524321:I524321 C458785:I458785 C393249:I393249 C327713:I327713 C262177:I262177 C196641:I196641 C131105:I131105 C65569:I65569" xr:uid="{447ECE9D-1C9B-4B1D-8FA3-A9FA11ECE9B7}">
      <formula1>#REF!</formula1>
    </dataValidation>
    <dataValidation type="list" allowBlank="1" showInputMessage="1" showErrorMessage="1" promptTitle="SYSTEM" prompt="SELECT FROM DROP DOWN LIST" sqref="WVP983074:WVT983074 SZ9:TD9 ACV9:ACZ9 AMR9:AMV9 AWN9:AWR9 BGJ9:BGN9 BQF9:BQJ9 CAB9:CAF9 CJX9:CKB9 CTT9:CTX9 DDP9:DDT9 DNL9:DNP9 DXH9:DXL9 EHD9:EHH9 EQZ9:ERD9 FAV9:FAZ9 FKR9:FKV9 FUN9:FUR9 GEJ9:GEN9 GOF9:GOJ9 GYB9:GYF9 HHX9:HIB9 HRT9:HRX9 IBP9:IBT9 ILL9:ILP9 IVH9:IVL9 JFD9:JFH9 JOZ9:JPD9 JYV9:JYZ9 KIR9:KIV9 KSN9:KSR9 LCJ9:LCN9 LMF9:LMJ9 LWB9:LWF9 MFX9:MGB9 MPT9:MPX9 MZP9:MZT9 NJL9:NJP9 NTH9:NTL9 ODD9:ODH9 OMZ9:OND9 OWV9:OWZ9 PGR9:PGV9 PQN9:PQR9 QAJ9:QAN9 QKF9:QKJ9 QUB9:QUF9 RDX9:REB9 RNT9:RNX9 RXP9:RXT9 SHL9:SHP9 SRH9:SRL9 TBD9:TBH9 TKZ9:TLD9 TUV9:TUZ9 UER9:UEV9 UON9:UOR9 UYJ9:UYN9 VIF9:VIJ9 VSB9:VSF9 WBX9:WCB9 WLT9:WLX9 WVP9:WVT9 C65570:I65570 JD65570:JH65570 SZ65570:TD65570 ACV65570:ACZ65570 AMR65570:AMV65570 AWN65570:AWR65570 BGJ65570:BGN65570 BQF65570:BQJ65570 CAB65570:CAF65570 CJX65570:CKB65570 CTT65570:CTX65570 DDP65570:DDT65570 DNL65570:DNP65570 DXH65570:DXL65570 EHD65570:EHH65570 EQZ65570:ERD65570 FAV65570:FAZ65570 FKR65570:FKV65570 FUN65570:FUR65570 GEJ65570:GEN65570 GOF65570:GOJ65570 GYB65570:GYF65570 HHX65570:HIB65570 HRT65570:HRX65570 IBP65570:IBT65570 ILL65570:ILP65570 IVH65570:IVL65570 JFD65570:JFH65570 JOZ65570:JPD65570 JYV65570:JYZ65570 KIR65570:KIV65570 KSN65570:KSR65570 LCJ65570:LCN65570 LMF65570:LMJ65570 LWB65570:LWF65570 MFX65570:MGB65570 MPT65570:MPX65570 MZP65570:MZT65570 NJL65570:NJP65570 NTH65570:NTL65570 ODD65570:ODH65570 OMZ65570:OND65570 OWV65570:OWZ65570 PGR65570:PGV65570 PQN65570:PQR65570 QAJ65570:QAN65570 QKF65570:QKJ65570 QUB65570:QUF65570 RDX65570:REB65570 RNT65570:RNX65570 RXP65570:RXT65570 SHL65570:SHP65570 SRH65570:SRL65570 TBD65570:TBH65570 TKZ65570:TLD65570 TUV65570:TUZ65570 UER65570:UEV65570 UON65570:UOR65570 UYJ65570:UYN65570 VIF65570:VIJ65570 VSB65570:VSF65570 WBX65570:WCB65570 WLT65570:WLX65570 WVP65570:WVT65570 C131106:I131106 JD131106:JH131106 SZ131106:TD131106 ACV131106:ACZ131106 AMR131106:AMV131106 AWN131106:AWR131106 BGJ131106:BGN131106 BQF131106:BQJ131106 CAB131106:CAF131106 CJX131106:CKB131106 CTT131106:CTX131106 DDP131106:DDT131106 DNL131106:DNP131106 DXH131106:DXL131106 EHD131106:EHH131106 EQZ131106:ERD131106 FAV131106:FAZ131106 FKR131106:FKV131106 FUN131106:FUR131106 GEJ131106:GEN131106 GOF131106:GOJ131106 GYB131106:GYF131106 HHX131106:HIB131106 HRT131106:HRX131106 IBP131106:IBT131106 ILL131106:ILP131106 IVH131106:IVL131106 JFD131106:JFH131106 JOZ131106:JPD131106 JYV131106:JYZ131106 KIR131106:KIV131106 KSN131106:KSR131106 LCJ131106:LCN131106 LMF131106:LMJ131106 LWB131106:LWF131106 MFX131106:MGB131106 MPT131106:MPX131106 MZP131106:MZT131106 NJL131106:NJP131106 NTH131106:NTL131106 ODD131106:ODH131106 OMZ131106:OND131106 OWV131106:OWZ131106 PGR131106:PGV131106 PQN131106:PQR131106 QAJ131106:QAN131106 QKF131106:QKJ131106 QUB131106:QUF131106 RDX131106:REB131106 RNT131106:RNX131106 RXP131106:RXT131106 SHL131106:SHP131106 SRH131106:SRL131106 TBD131106:TBH131106 TKZ131106:TLD131106 TUV131106:TUZ131106 UER131106:UEV131106 UON131106:UOR131106 UYJ131106:UYN131106 VIF131106:VIJ131106 VSB131106:VSF131106 WBX131106:WCB131106 WLT131106:WLX131106 WVP131106:WVT131106 C196642:I196642 JD196642:JH196642 SZ196642:TD196642 ACV196642:ACZ196642 AMR196642:AMV196642 AWN196642:AWR196642 BGJ196642:BGN196642 BQF196642:BQJ196642 CAB196642:CAF196642 CJX196642:CKB196642 CTT196642:CTX196642 DDP196642:DDT196642 DNL196642:DNP196642 DXH196642:DXL196642 EHD196642:EHH196642 EQZ196642:ERD196642 FAV196642:FAZ196642 FKR196642:FKV196642 FUN196642:FUR196642 GEJ196642:GEN196642 GOF196642:GOJ196642 GYB196642:GYF196642 HHX196642:HIB196642 HRT196642:HRX196642 IBP196642:IBT196642 ILL196642:ILP196642 IVH196642:IVL196642 JFD196642:JFH196642 JOZ196642:JPD196642 JYV196642:JYZ196642 KIR196642:KIV196642 KSN196642:KSR196642 LCJ196642:LCN196642 LMF196642:LMJ196642 LWB196642:LWF196642 MFX196642:MGB196642 MPT196642:MPX196642 MZP196642:MZT196642 NJL196642:NJP196642 NTH196642:NTL196642 ODD196642:ODH196642 OMZ196642:OND196642 OWV196642:OWZ196642 PGR196642:PGV196642 PQN196642:PQR196642 QAJ196642:QAN196642 QKF196642:QKJ196642 QUB196642:QUF196642 RDX196642:REB196642 RNT196642:RNX196642 RXP196642:RXT196642 SHL196642:SHP196642 SRH196642:SRL196642 TBD196642:TBH196642 TKZ196642:TLD196642 TUV196642:TUZ196642 UER196642:UEV196642 UON196642:UOR196642 UYJ196642:UYN196642 VIF196642:VIJ196642 VSB196642:VSF196642 WBX196642:WCB196642 WLT196642:WLX196642 WVP196642:WVT196642 C262178:I262178 JD262178:JH262178 SZ262178:TD262178 ACV262178:ACZ262178 AMR262178:AMV262178 AWN262178:AWR262178 BGJ262178:BGN262178 BQF262178:BQJ262178 CAB262178:CAF262178 CJX262178:CKB262178 CTT262178:CTX262178 DDP262178:DDT262178 DNL262178:DNP262178 DXH262178:DXL262178 EHD262178:EHH262178 EQZ262178:ERD262178 FAV262178:FAZ262178 FKR262178:FKV262178 FUN262178:FUR262178 GEJ262178:GEN262178 GOF262178:GOJ262178 GYB262178:GYF262178 HHX262178:HIB262178 HRT262178:HRX262178 IBP262178:IBT262178 ILL262178:ILP262178 IVH262178:IVL262178 JFD262178:JFH262178 JOZ262178:JPD262178 JYV262178:JYZ262178 KIR262178:KIV262178 KSN262178:KSR262178 LCJ262178:LCN262178 LMF262178:LMJ262178 LWB262178:LWF262178 MFX262178:MGB262178 MPT262178:MPX262178 MZP262178:MZT262178 NJL262178:NJP262178 NTH262178:NTL262178 ODD262178:ODH262178 OMZ262178:OND262178 OWV262178:OWZ262178 PGR262178:PGV262178 PQN262178:PQR262178 QAJ262178:QAN262178 QKF262178:QKJ262178 QUB262178:QUF262178 RDX262178:REB262178 RNT262178:RNX262178 RXP262178:RXT262178 SHL262178:SHP262178 SRH262178:SRL262178 TBD262178:TBH262178 TKZ262178:TLD262178 TUV262178:TUZ262178 UER262178:UEV262178 UON262178:UOR262178 UYJ262178:UYN262178 VIF262178:VIJ262178 VSB262178:VSF262178 WBX262178:WCB262178 WLT262178:WLX262178 WVP262178:WVT262178 C327714:I327714 JD327714:JH327714 SZ327714:TD327714 ACV327714:ACZ327714 AMR327714:AMV327714 AWN327714:AWR327714 BGJ327714:BGN327714 BQF327714:BQJ327714 CAB327714:CAF327714 CJX327714:CKB327714 CTT327714:CTX327714 DDP327714:DDT327714 DNL327714:DNP327714 DXH327714:DXL327714 EHD327714:EHH327714 EQZ327714:ERD327714 FAV327714:FAZ327714 FKR327714:FKV327714 FUN327714:FUR327714 GEJ327714:GEN327714 GOF327714:GOJ327714 GYB327714:GYF327714 HHX327714:HIB327714 HRT327714:HRX327714 IBP327714:IBT327714 ILL327714:ILP327714 IVH327714:IVL327714 JFD327714:JFH327714 JOZ327714:JPD327714 JYV327714:JYZ327714 KIR327714:KIV327714 KSN327714:KSR327714 LCJ327714:LCN327714 LMF327714:LMJ327714 LWB327714:LWF327714 MFX327714:MGB327714 MPT327714:MPX327714 MZP327714:MZT327714 NJL327714:NJP327714 NTH327714:NTL327714 ODD327714:ODH327714 OMZ327714:OND327714 OWV327714:OWZ327714 PGR327714:PGV327714 PQN327714:PQR327714 QAJ327714:QAN327714 QKF327714:QKJ327714 QUB327714:QUF327714 RDX327714:REB327714 RNT327714:RNX327714 RXP327714:RXT327714 SHL327714:SHP327714 SRH327714:SRL327714 TBD327714:TBH327714 TKZ327714:TLD327714 TUV327714:TUZ327714 UER327714:UEV327714 UON327714:UOR327714 UYJ327714:UYN327714 VIF327714:VIJ327714 VSB327714:VSF327714 WBX327714:WCB327714 WLT327714:WLX327714 WVP327714:WVT327714 C393250:I393250 JD393250:JH393250 SZ393250:TD393250 ACV393250:ACZ393250 AMR393250:AMV393250 AWN393250:AWR393250 BGJ393250:BGN393250 BQF393250:BQJ393250 CAB393250:CAF393250 CJX393250:CKB393250 CTT393250:CTX393250 DDP393250:DDT393250 DNL393250:DNP393250 DXH393250:DXL393250 EHD393250:EHH393250 EQZ393250:ERD393250 FAV393250:FAZ393250 FKR393250:FKV393250 FUN393250:FUR393250 GEJ393250:GEN393250 GOF393250:GOJ393250 GYB393250:GYF393250 HHX393250:HIB393250 HRT393250:HRX393250 IBP393250:IBT393250 ILL393250:ILP393250 IVH393250:IVL393250 JFD393250:JFH393250 JOZ393250:JPD393250 JYV393250:JYZ393250 KIR393250:KIV393250 KSN393250:KSR393250 LCJ393250:LCN393250 LMF393250:LMJ393250 LWB393250:LWF393250 MFX393250:MGB393250 MPT393250:MPX393250 MZP393250:MZT393250 NJL393250:NJP393250 NTH393250:NTL393250 ODD393250:ODH393250 OMZ393250:OND393250 OWV393250:OWZ393250 PGR393250:PGV393250 PQN393250:PQR393250 QAJ393250:QAN393250 QKF393250:QKJ393250 QUB393250:QUF393250 RDX393250:REB393250 RNT393250:RNX393250 RXP393250:RXT393250 SHL393250:SHP393250 SRH393250:SRL393250 TBD393250:TBH393250 TKZ393250:TLD393250 TUV393250:TUZ393250 UER393250:UEV393250 UON393250:UOR393250 UYJ393250:UYN393250 VIF393250:VIJ393250 VSB393250:VSF393250 WBX393250:WCB393250 WLT393250:WLX393250 WVP393250:WVT393250 C458786:I458786 JD458786:JH458786 SZ458786:TD458786 ACV458786:ACZ458786 AMR458786:AMV458786 AWN458786:AWR458786 BGJ458786:BGN458786 BQF458786:BQJ458786 CAB458786:CAF458786 CJX458786:CKB458786 CTT458786:CTX458786 DDP458786:DDT458786 DNL458786:DNP458786 DXH458786:DXL458786 EHD458786:EHH458786 EQZ458786:ERD458786 FAV458786:FAZ458786 FKR458786:FKV458786 FUN458786:FUR458786 GEJ458786:GEN458786 GOF458786:GOJ458786 GYB458786:GYF458786 HHX458786:HIB458786 HRT458786:HRX458786 IBP458786:IBT458786 ILL458786:ILP458786 IVH458786:IVL458786 JFD458786:JFH458786 JOZ458786:JPD458786 JYV458786:JYZ458786 KIR458786:KIV458786 KSN458786:KSR458786 LCJ458786:LCN458786 LMF458786:LMJ458786 LWB458786:LWF458786 MFX458786:MGB458786 MPT458786:MPX458786 MZP458786:MZT458786 NJL458786:NJP458786 NTH458786:NTL458786 ODD458786:ODH458786 OMZ458786:OND458786 OWV458786:OWZ458786 PGR458786:PGV458786 PQN458786:PQR458786 QAJ458786:QAN458786 QKF458786:QKJ458786 QUB458786:QUF458786 RDX458786:REB458786 RNT458786:RNX458786 RXP458786:RXT458786 SHL458786:SHP458786 SRH458786:SRL458786 TBD458786:TBH458786 TKZ458786:TLD458786 TUV458786:TUZ458786 UER458786:UEV458786 UON458786:UOR458786 UYJ458786:UYN458786 VIF458786:VIJ458786 VSB458786:VSF458786 WBX458786:WCB458786 WLT458786:WLX458786 WVP458786:WVT458786 C524322:I524322 JD524322:JH524322 SZ524322:TD524322 ACV524322:ACZ524322 AMR524322:AMV524322 AWN524322:AWR524322 BGJ524322:BGN524322 BQF524322:BQJ524322 CAB524322:CAF524322 CJX524322:CKB524322 CTT524322:CTX524322 DDP524322:DDT524322 DNL524322:DNP524322 DXH524322:DXL524322 EHD524322:EHH524322 EQZ524322:ERD524322 FAV524322:FAZ524322 FKR524322:FKV524322 FUN524322:FUR524322 GEJ524322:GEN524322 GOF524322:GOJ524322 GYB524322:GYF524322 HHX524322:HIB524322 HRT524322:HRX524322 IBP524322:IBT524322 ILL524322:ILP524322 IVH524322:IVL524322 JFD524322:JFH524322 JOZ524322:JPD524322 JYV524322:JYZ524322 KIR524322:KIV524322 KSN524322:KSR524322 LCJ524322:LCN524322 LMF524322:LMJ524322 LWB524322:LWF524322 MFX524322:MGB524322 MPT524322:MPX524322 MZP524322:MZT524322 NJL524322:NJP524322 NTH524322:NTL524322 ODD524322:ODH524322 OMZ524322:OND524322 OWV524322:OWZ524322 PGR524322:PGV524322 PQN524322:PQR524322 QAJ524322:QAN524322 QKF524322:QKJ524322 QUB524322:QUF524322 RDX524322:REB524322 RNT524322:RNX524322 RXP524322:RXT524322 SHL524322:SHP524322 SRH524322:SRL524322 TBD524322:TBH524322 TKZ524322:TLD524322 TUV524322:TUZ524322 UER524322:UEV524322 UON524322:UOR524322 UYJ524322:UYN524322 VIF524322:VIJ524322 VSB524322:VSF524322 WBX524322:WCB524322 WLT524322:WLX524322 WVP524322:WVT524322 C589858:I589858 JD589858:JH589858 SZ589858:TD589858 ACV589858:ACZ589858 AMR589858:AMV589858 AWN589858:AWR589858 BGJ589858:BGN589858 BQF589858:BQJ589858 CAB589858:CAF589858 CJX589858:CKB589858 CTT589858:CTX589858 DDP589858:DDT589858 DNL589858:DNP589858 DXH589858:DXL589858 EHD589858:EHH589858 EQZ589858:ERD589858 FAV589858:FAZ589858 FKR589858:FKV589858 FUN589858:FUR589858 GEJ589858:GEN589858 GOF589858:GOJ589858 GYB589858:GYF589858 HHX589858:HIB589858 HRT589858:HRX589858 IBP589858:IBT589858 ILL589858:ILP589858 IVH589858:IVL589858 JFD589858:JFH589858 JOZ589858:JPD589858 JYV589858:JYZ589858 KIR589858:KIV589858 KSN589858:KSR589858 LCJ589858:LCN589858 LMF589858:LMJ589858 LWB589858:LWF589858 MFX589858:MGB589858 MPT589858:MPX589858 MZP589858:MZT589858 NJL589858:NJP589858 NTH589858:NTL589858 ODD589858:ODH589858 OMZ589858:OND589858 OWV589858:OWZ589858 PGR589858:PGV589858 PQN589858:PQR589858 QAJ589858:QAN589858 QKF589858:QKJ589858 QUB589858:QUF589858 RDX589858:REB589858 RNT589858:RNX589858 RXP589858:RXT589858 SHL589858:SHP589858 SRH589858:SRL589858 TBD589858:TBH589858 TKZ589858:TLD589858 TUV589858:TUZ589858 UER589858:UEV589858 UON589858:UOR589858 UYJ589858:UYN589858 VIF589858:VIJ589858 VSB589858:VSF589858 WBX589858:WCB589858 WLT589858:WLX589858 WVP589858:WVT589858 C655394:I655394 JD655394:JH655394 SZ655394:TD655394 ACV655394:ACZ655394 AMR655394:AMV655394 AWN655394:AWR655394 BGJ655394:BGN655394 BQF655394:BQJ655394 CAB655394:CAF655394 CJX655394:CKB655394 CTT655394:CTX655394 DDP655394:DDT655394 DNL655394:DNP655394 DXH655394:DXL655394 EHD655394:EHH655394 EQZ655394:ERD655394 FAV655394:FAZ655394 FKR655394:FKV655394 FUN655394:FUR655394 GEJ655394:GEN655394 GOF655394:GOJ655394 GYB655394:GYF655394 HHX655394:HIB655394 HRT655394:HRX655394 IBP655394:IBT655394 ILL655394:ILP655394 IVH655394:IVL655394 JFD655394:JFH655394 JOZ655394:JPD655394 JYV655394:JYZ655394 KIR655394:KIV655394 KSN655394:KSR655394 LCJ655394:LCN655394 LMF655394:LMJ655394 LWB655394:LWF655394 MFX655394:MGB655394 MPT655394:MPX655394 MZP655394:MZT655394 NJL655394:NJP655394 NTH655394:NTL655394 ODD655394:ODH655394 OMZ655394:OND655394 OWV655394:OWZ655394 PGR655394:PGV655394 PQN655394:PQR655394 QAJ655394:QAN655394 QKF655394:QKJ655394 QUB655394:QUF655394 RDX655394:REB655394 RNT655394:RNX655394 RXP655394:RXT655394 SHL655394:SHP655394 SRH655394:SRL655394 TBD655394:TBH655394 TKZ655394:TLD655394 TUV655394:TUZ655394 UER655394:UEV655394 UON655394:UOR655394 UYJ655394:UYN655394 VIF655394:VIJ655394 VSB655394:VSF655394 WBX655394:WCB655394 WLT655394:WLX655394 WVP655394:WVT655394 C720930:I720930 JD720930:JH720930 SZ720930:TD720930 ACV720930:ACZ720930 AMR720930:AMV720930 AWN720930:AWR720930 BGJ720930:BGN720930 BQF720930:BQJ720930 CAB720930:CAF720930 CJX720930:CKB720930 CTT720930:CTX720930 DDP720930:DDT720930 DNL720930:DNP720930 DXH720930:DXL720930 EHD720930:EHH720930 EQZ720930:ERD720930 FAV720930:FAZ720930 FKR720930:FKV720930 FUN720930:FUR720930 GEJ720930:GEN720930 GOF720930:GOJ720930 GYB720930:GYF720930 HHX720930:HIB720930 HRT720930:HRX720930 IBP720930:IBT720930 ILL720930:ILP720930 IVH720930:IVL720930 JFD720930:JFH720930 JOZ720930:JPD720930 JYV720930:JYZ720930 KIR720930:KIV720930 KSN720930:KSR720930 LCJ720930:LCN720930 LMF720930:LMJ720930 LWB720930:LWF720930 MFX720930:MGB720930 MPT720930:MPX720930 MZP720930:MZT720930 NJL720930:NJP720930 NTH720930:NTL720930 ODD720930:ODH720930 OMZ720930:OND720930 OWV720930:OWZ720930 PGR720930:PGV720930 PQN720930:PQR720930 QAJ720930:QAN720930 QKF720930:QKJ720930 QUB720930:QUF720930 RDX720930:REB720930 RNT720930:RNX720930 RXP720930:RXT720930 SHL720930:SHP720930 SRH720930:SRL720930 TBD720930:TBH720930 TKZ720930:TLD720930 TUV720930:TUZ720930 UER720930:UEV720930 UON720930:UOR720930 UYJ720930:UYN720930 VIF720930:VIJ720930 VSB720930:VSF720930 WBX720930:WCB720930 WLT720930:WLX720930 WVP720930:WVT720930 C786466:I786466 JD786466:JH786466 SZ786466:TD786466 ACV786466:ACZ786466 AMR786466:AMV786466 AWN786466:AWR786466 BGJ786466:BGN786466 BQF786466:BQJ786466 CAB786466:CAF786466 CJX786466:CKB786466 CTT786466:CTX786466 DDP786466:DDT786466 DNL786466:DNP786466 DXH786466:DXL786466 EHD786466:EHH786466 EQZ786466:ERD786466 FAV786466:FAZ786466 FKR786466:FKV786466 FUN786466:FUR786466 GEJ786466:GEN786466 GOF786466:GOJ786466 GYB786466:GYF786466 HHX786466:HIB786466 HRT786466:HRX786466 IBP786466:IBT786466 ILL786466:ILP786466 IVH786466:IVL786466 JFD786466:JFH786466 JOZ786466:JPD786466 JYV786466:JYZ786466 KIR786466:KIV786466 KSN786466:KSR786466 LCJ786466:LCN786466 LMF786466:LMJ786466 LWB786466:LWF786466 MFX786466:MGB786466 MPT786466:MPX786466 MZP786466:MZT786466 NJL786466:NJP786466 NTH786466:NTL786466 ODD786466:ODH786466 OMZ786466:OND786466 OWV786466:OWZ786466 PGR786466:PGV786466 PQN786466:PQR786466 QAJ786466:QAN786466 QKF786466:QKJ786466 QUB786466:QUF786466 RDX786466:REB786466 RNT786466:RNX786466 RXP786466:RXT786466 SHL786466:SHP786466 SRH786466:SRL786466 TBD786466:TBH786466 TKZ786466:TLD786466 TUV786466:TUZ786466 UER786466:UEV786466 UON786466:UOR786466 UYJ786466:UYN786466 VIF786466:VIJ786466 VSB786466:VSF786466 WBX786466:WCB786466 WLT786466:WLX786466 WVP786466:WVT786466 C852002:I852002 JD852002:JH852002 SZ852002:TD852002 ACV852002:ACZ852002 AMR852002:AMV852002 AWN852002:AWR852002 BGJ852002:BGN852002 BQF852002:BQJ852002 CAB852002:CAF852002 CJX852002:CKB852002 CTT852002:CTX852002 DDP852002:DDT852002 DNL852002:DNP852002 DXH852002:DXL852002 EHD852002:EHH852002 EQZ852002:ERD852002 FAV852002:FAZ852002 FKR852002:FKV852002 FUN852002:FUR852002 GEJ852002:GEN852002 GOF852002:GOJ852002 GYB852002:GYF852002 HHX852002:HIB852002 HRT852002:HRX852002 IBP852002:IBT852002 ILL852002:ILP852002 IVH852002:IVL852002 JFD852002:JFH852002 JOZ852002:JPD852002 JYV852002:JYZ852002 KIR852002:KIV852002 KSN852002:KSR852002 LCJ852002:LCN852002 LMF852002:LMJ852002 LWB852002:LWF852002 MFX852002:MGB852002 MPT852002:MPX852002 MZP852002:MZT852002 NJL852002:NJP852002 NTH852002:NTL852002 ODD852002:ODH852002 OMZ852002:OND852002 OWV852002:OWZ852002 PGR852002:PGV852002 PQN852002:PQR852002 QAJ852002:QAN852002 QKF852002:QKJ852002 QUB852002:QUF852002 RDX852002:REB852002 RNT852002:RNX852002 RXP852002:RXT852002 SHL852002:SHP852002 SRH852002:SRL852002 TBD852002:TBH852002 TKZ852002:TLD852002 TUV852002:TUZ852002 UER852002:UEV852002 UON852002:UOR852002 UYJ852002:UYN852002 VIF852002:VIJ852002 VSB852002:VSF852002 WBX852002:WCB852002 WLT852002:WLX852002 WVP852002:WVT852002 C917538:I917538 JD917538:JH917538 SZ917538:TD917538 ACV917538:ACZ917538 AMR917538:AMV917538 AWN917538:AWR917538 BGJ917538:BGN917538 BQF917538:BQJ917538 CAB917538:CAF917538 CJX917538:CKB917538 CTT917538:CTX917538 DDP917538:DDT917538 DNL917538:DNP917538 DXH917538:DXL917538 EHD917538:EHH917538 EQZ917538:ERD917538 FAV917538:FAZ917538 FKR917538:FKV917538 FUN917538:FUR917538 GEJ917538:GEN917538 GOF917538:GOJ917538 GYB917538:GYF917538 HHX917538:HIB917538 HRT917538:HRX917538 IBP917538:IBT917538 ILL917538:ILP917538 IVH917538:IVL917538 JFD917538:JFH917538 JOZ917538:JPD917538 JYV917538:JYZ917538 KIR917538:KIV917538 KSN917538:KSR917538 LCJ917538:LCN917538 LMF917538:LMJ917538 LWB917538:LWF917538 MFX917538:MGB917538 MPT917538:MPX917538 MZP917538:MZT917538 NJL917538:NJP917538 NTH917538:NTL917538 ODD917538:ODH917538 OMZ917538:OND917538 OWV917538:OWZ917538 PGR917538:PGV917538 PQN917538:PQR917538 QAJ917538:QAN917538 QKF917538:QKJ917538 QUB917538:QUF917538 RDX917538:REB917538 RNT917538:RNX917538 RXP917538:RXT917538 SHL917538:SHP917538 SRH917538:SRL917538 TBD917538:TBH917538 TKZ917538:TLD917538 TUV917538:TUZ917538 UER917538:UEV917538 UON917538:UOR917538 UYJ917538:UYN917538 VIF917538:VIJ917538 VSB917538:VSF917538 WBX917538:WCB917538 WLT917538:WLX917538 WVP917538:WVT917538 C983074:I983074 JD983074:JH983074 SZ983074:TD983074 ACV983074:ACZ983074 AMR983074:AMV983074 AWN983074:AWR983074 BGJ983074:BGN983074 BQF983074:BQJ983074 CAB983074:CAF983074 CJX983074:CKB983074 CTT983074:CTX983074 DDP983074:DDT983074 DNL983074:DNP983074 DXH983074:DXL983074 EHD983074:EHH983074 EQZ983074:ERD983074 FAV983074:FAZ983074 FKR983074:FKV983074 FUN983074:FUR983074 GEJ983074:GEN983074 GOF983074:GOJ983074 GYB983074:GYF983074 HHX983074:HIB983074 HRT983074:HRX983074 IBP983074:IBT983074 ILL983074:ILP983074 IVH983074:IVL983074 JFD983074:JFH983074 JOZ983074:JPD983074 JYV983074:JYZ983074 KIR983074:KIV983074 KSN983074:KSR983074 LCJ983074:LCN983074 LMF983074:LMJ983074 LWB983074:LWF983074 MFX983074:MGB983074 MPT983074:MPX983074 MZP983074:MZT983074 NJL983074:NJP983074 NTH983074:NTL983074 ODD983074:ODH983074 OMZ983074:OND983074 OWV983074:OWZ983074 PGR983074:PGV983074 PQN983074:PQR983074 QAJ983074:QAN983074 QKF983074:QKJ983074 QUB983074:QUF983074 RDX983074:REB983074 RNT983074:RNX983074 RXP983074:RXT983074 SHL983074:SHP983074 SRH983074:SRL983074 TBD983074:TBH983074 TKZ983074:TLD983074 TUV983074:TUZ983074 UER983074:UEV983074 UON983074:UOR983074 UYJ983074:UYN983074 VIF983074:VIJ983074 VSB983074:VSF983074 WBX983074:WCB983074 WLT983074:WLX983074 JD9:JH9" xr:uid="{BEED8575-63FB-4602-8A7E-98D8303E2054}">
      <formula1>$K$9:$Q$9</formula1>
    </dataValidation>
  </dataValidations>
  <printOptions horizontalCentered="1"/>
  <pageMargins left="0.25" right="0.25" top="0.5" bottom="0.75" header="0.3" footer="0.3"/>
  <pageSetup paperSize="9" scale="86" fitToHeight="0" orientation="portrait" r:id="rId1"/>
  <headerFooter alignWithMargins="0">
    <oddFooter>&amp;R&amp;"Arial,Italic"&amp;9PMO-T-OPM-006-R00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A55C-CE7C-4F89-BC1D-15A46179DC15}">
  <sheetPr>
    <tabColor rgb="FF92D050"/>
    <pageSetUpPr fitToPage="1"/>
  </sheetPr>
  <dimension ref="A1:BD244"/>
  <sheetViews>
    <sheetView view="pageBreakPreview" zoomScale="85" zoomScaleNormal="70" zoomScaleSheetLayoutView="85" workbookViewId="0">
      <pane ySplit="7" topLeftCell="A34" activePane="bottomLeft" state="frozen"/>
      <selection pane="bottomLeft" activeCell="E35" sqref="E35"/>
      <selection activeCell="Z13" sqref="Z13"/>
    </sheetView>
  </sheetViews>
  <sheetFormatPr defaultColWidth="9.140625" defaultRowHeight="14.25" outlineLevelRow="1" outlineLevelCol="2"/>
  <cols>
    <col min="1" max="1" width="20.7109375" style="45" customWidth="1"/>
    <col min="2" max="2" width="2.42578125" style="44" hidden="1" customWidth="1"/>
    <col min="3" max="3" width="5.5703125" style="45" hidden="1" customWidth="1"/>
    <col min="4" max="4" width="2.42578125" style="44" customWidth="1"/>
    <col min="5" max="5" width="85.7109375" style="42" customWidth="1"/>
    <col min="6" max="7" width="4.28515625" style="44" hidden="1" customWidth="1" outlineLevel="1"/>
    <col min="8" max="10" width="4.5703125" style="44" hidden="1" customWidth="1" outlineLevel="1"/>
    <col min="11" max="12" width="4.7109375" style="44" hidden="1" customWidth="1" outlineLevel="1"/>
    <col min="13" max="13" width="4.5703125" style="44" hidden="1" customWidth="1" outlineLevel="1"/>
    <col min="14" max="15" width="4.7109375" style="44" hidden="1" customWidth="1" outlineLevel="1"/>
    <col min="16" max="16" width="4.7109375" style="44" customWidth="1" outlineLevel="1"/>
    <col min="17" max="17" width="8.7109375" style="46" customWidth="1"/>
    <col min="18" max="18" width="9.140625" style="46" hidden="1" customWidth="1"/>
    <col min="19" max="20" width="15.7109375" style="46" customWidth="1"/>
    <col min="21" max="21" width="16.7109375" style="323" customWidth="1"/>
    <col min="22" max="22" width="17.7109375" style="46" customWidth="1"/>
    <col min="23" max="23" width="8.42578125" style="423" customWidth="1" outlineLevel="1"/>
    <col min="24" max="24" width="7.42578125" style="424" customWidth="1" outlineLevel="1"/>
    <col min="25" max="25" width="8.5703125" style="424" customWidth="1" outlineLevel="1"/>
    <col min="26" max="26" width="7.5703125" style="425" customWidth="1" outlineLevel="1"/>
    <col min="27" max="27" width="6.5703125" style="425" customWidth="1"/>
    <col min="28" max="29" width="6.7109375" style="425" customWidth="1" outlineLevel="2"/>
    <col min="30" max="31" width="6.5703125" style="425" customWidth="1"/>
    <col min="32" max="33" width="6.7109375" style="425" customWidth="1" outlineLevel="2"/>
    <col min="34" max="35" width="6.5703125" style="425" customWidth="1"/>
    <col min="36" max="37" width="6.5703125" style="425" customWidth="1" outlineLevel="2"/>
    <col min="38" max="39" width="6.5703125" style="425" customWidth="1"/>
    <col min="40" max="41" width="6.5703125" style="425" customWidth="1" outlineLevel="2"/>
    <col min="42" max="42" width="6.5703125" style="425" customWidth="1"/>
    <col min="43" max="46" width="6.5703125" style="425" customWidth="1" outlineLevel="1"/>
    <col min="47" max="47" width="6.5703125" style="425" customWidth="1"/>
    <col min="48" max="49" width="6.5703125" style="425" customWidth="1" outlineLevel="2"/>
    <col min="50" max="50" width="6.5703125" style="425" customWidth="1"/>
    <col min="51" max="51" width="24" style="57" customWidth="1"/>
    <col min="52" max="52" width="47.5703125" style="57" customWidth="1"/>
    <col min="53" max="53" width="15" style="57" customWidth="1"/>
    <col min="54" max="54" width="9.140625" style="57" customWidth="1"/>
    <col min="55" max="55" width="9.140625" style="57"/>
    <col min="56" max="56" width="41.85546875" style="57" customWidth="1"/>
    <col min="57" max="16384" width="9.140625" style="57"/>
  </cols>
  <sheetData>
    <row r="1" spans="1:53" s="37" customFormat="1" ht="45" customHeight="1">
      <c r="A1" s="578" t="s">
        <v>41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404"/>
      <c r="U1" s="329"/>
      <c r="V1" s="404"/>
      <c r="W1" s="131"/>
      <c r="X1" s="238"/>
      <c r="Y1" s="238"/>
      <c r="Z1" s="47"/>
      <c r="AA1" s="48"/>
      <c r="AB1" s="49"/>
      <c r="AC1" s="48"/>
      <c r="AD1" s="48"/>
      <c r="AE1" s="48"/>
      <c r="AF1" s="49"/>
      <c r="AG1" s="48"/>
      <c r="AH1" s="48"/>
      <c r="AI1" s="48"/>
      <c r="AJ1" s="49"/>
      <c r="AK1" s="48"/>
      <c r="AL1" s="48"/>
      <c r="AM1" s="48"/>
      <c r="AN1" s="49"/>
      <c r="AO1" s="48"/>
      <c r="AP1" s="48"/>
      <c r="AQ1" s="48"/>
      <c r="AR1" s="49"/>
      <c r="AS1" s="49"/>
      <c r="AT1" s="47"/>
      <c r="AU1" s="48"/>
      <c r="AV1" s="49"/>
      <c r="AW1" s="48"/>
      <c r="AX1" s="48"/>
      <c r="BA1" s="37" t="s">
        <v>42</v>
      </c>
    </row>
    <row r="2" spans="1:53" s="37" customFormat="1" ht="15" customHeight="1">
      <c r="A2" s="174"/>
      <c r="B2" s="142"/>
      <c r="C2" s="174"/>
      <c r="D2" s="174"/>
      <c r="E2" s="174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74"/>
      <c r="R2" s="142"/>
      <c r="S2" s="142"/>
      <c r="T2" s="142"/>
      <c r="U2" s="329"/>
      <c r="V2" s="142"/>
      <c r="X2" s="237"/>
      <c r="Y2" s="237"/>
      <c r="Z2" s="405">
        <f>SUM(Z57:Z242)</f>
        <v>124.98611111111103</v>
      </c>
      <c r="BA2" s="37" t="s">
        <v>43</v>
      </c>
    </row>
    <row r="3" spans="1:53" s="37" customFormat="1" ht="18">
      <c r="A3" s="406" t="s">
        <v>44</v>
      </c>
      <c r="B3" s="407"/>
      <c r="C3" s="406"/>
      <c r="D3" s="35"/>
      <c r="E3" s="35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36"/>
      <c r="R3" s="36"/>
      <c r="S3" s="143"/>
      <c r="T3" s="143"/>
      <c r="U3" s="328"/>
      <c r="V3" s="143"/>
      <c r="W3" s="408" t="s">
        <v>45</v>
      </c>
      <c r="X3" s="579" t="s">
        <v>46</v>
      </c>
      <c r="Y3" s="579"/>
      <c r="Z3" s="580" t="s">
        <v>47</v>
      </c>
      <c r="AA3" s="581" t="s">
        <v>48</v>
      </c>
      <c r="AB3" s="581"/>
      <c r="AC3" s="581"/>
      <c r="AD3" s="581"/>
      <c r="AE3" s="575" t="s">
        <v>49</v>
      </c>
      <c r="AF3" s="575"/>
      <c r="AG3" s="575"/>
      <c r="AH3" s="575"/>
      <c r="AI3" s="575" t="s">
        <v>50</v>
      </c>
      <c r="AJ3" s="575"/>
      <c r="AK3" s="575"/>
      <c r="AL3" s="575"/>
      <c r="AM3" s="575" t="s">
        <v>13</v>
      </c>
      <c r="AN3" s="575"/>
      <c r="AO3" s="575"/>
      <c r="AP3" s="575"/>
      <c r="AQ3" s="575" t="s">
        <v>51</v>
      </c>
      <c r="AR3" s="575"/>
      <c r="AS3" s="575"/>
      <c r="AT3" s="575"/>
      <c r="AU3" s="575" t="s">
        <v>52</v>
      </c>
      <c r="AV3" s="575"/>
      <c r="AW3" s="575"/>
      <c r="AX3" s="575"/>
      <c r="BA3" s="37" t="s">
        <v>53</v>
      </c>
    </row>
    <row r="4" spans="1:53" s="37" customFormat="1">
      <c r="A4" s="33"/>
      <c r="B4" s="34"/>
      <c r="C4" s="33"/>
      <c r="D4" s="34"/>
      <c r="E4" s="35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6"/>
      <c r="R4" s="36"/>
      <c r="S4" s="36"/>
      <c r="T4" s="36"/>
      <c r="U4" s="322"/>
      <c r="V4" s="36"/>
      <c r="W4" s="569" t="s">
        <v>54</v>
      </c>
      <c r="X4" s="569" t="s">
        <v>55</v>
      </c>
      <c r="Y4" s="569" t="s">
        <v>56</v>
      </c>
      <c r="Z4" s="580"/>
      <c r="AA4" s="517">
        <v>45825</v>
      </c>
      <c r="AB4" s="517"/>
      <c r="AC4" s="517"/>
      <c r="AD4" s="517"/>
      <c r="AE4" s="516">
        <v>45838</v>
      </c>
      <c r="AF4" s="516"/>
      <c r="AG4" s="516"/>
      <c r="AH4" s="516"/>
      <c r="AI4" s="516">
        <v>45853</v>
      </c>
      <c r="AJ4" s="516"/>
      <c r="AK4" s="516"/>
      <c r="AL4" s="516"/>
      <c r="AM4" s="516">
        <v>45860</v>
      </c>
      <c r="AN4" s="516"/>
      <c r="AO4" s="516"/>
      <c r="AP4" s="516"/>
      <c r="AQ4" s="576">
        <v>45884</v>
      </c>
      <c r="AR4" s="576"/>
      <c r="AS4" s="576"/>
      <c r="AT4" s="576"/>
      <c r="AU4" s="516">
        <v>45894</v>
      </c>
      <c r="AV4" s="516"/>
      <c r="AW4" s="516"/>
      <c r="AX4" s="516"/>
      <c r="AY4" s="442">
        <v>46080</v>
      </c>
    </row>
    <row r="5" spans="1:53" s="37" customFormat="1" ht="12" customHeight="1">
      <c r="A5" s="524" t="s">
        <v>57</v>
      </c>
      <c r="B5" s="530"/>
      <c r="C5" s="525"/>
      <c r="D5" s="524" t="s">
        <v>58</v>
      </c>
      <c r="E5" s="525"/>
      <c r="F5" s="521" t="s">
        <v>59</v>
      </c>
      <c r="G5" s="522"/>
      <c r="H5" s="522"/>
      <c r="I5" s="522"/>
      <c r="J5" s="522"/>
      <c r="K5" s="522"/>
      <c r="L5" s="522"/>
      <c r="M5" s="522"/>
      <c r="N5" s="522"/>
      <c r="O5" s="522"/>
      <c r="P5" s="523"/>
      <c r="Q5" s="499" t="s">
        <v>60</v>
      </c>
      <c r="R5" s="499" t="s">
        <v>61</v>
      </c>
      <c r="S5" s="499" t="s">
        <v>62</v>
      </c>
      <c r="T5" s="499" t="s">
        <v>63</v>
      </c>
      <c r="U5" s="499" t="s">
        <v>64</v>
      </c>
      <c r="V5" s="499" t="s">
        <v>65</v>
      </c>
      <c r="W5" s="570"/>
      <c r="X5" s="570"/>
      <c r="Y5" s="570"/>
      <c r="Z5" s="580"/>
      <c r="AA5" s="200"/>
      <c r="AB5" s="199"/>
      <c r="AC5" s="199"/>
      <c r="AD5" s="199"/>
      <c r="AE5" s="201"/>
      <c r="AF5" s="199"/>
      <c r="AG5" s="199"/>
      <c r="AH5" s="199"/>
      <c r="AI5" s="201"/>
      <c r="AJ5" s="199"/>
      <c r="AK5" s="199"/>
      <c r="AL5" s="199"/>
      <c r="AM5" s="201"/>
      <c r="AN5" s="199"/>
      <c r="AO5" s="199"/>
      <c r="AP5" s="199"/>
      <c r="AQ5" s="200"/>
      <c r="AR5" s="199"/>
      <c r="AS5" s="199"/>
      <c r="AT5" s="199"/>
      <c r="AU5" s="201"/>
      <c r="AV5" s="199"/>
      <c r="AW5" s="199"/>
      <c r="AX5" s="199"/>
    </row>
    <row r="6" spans="1:53" s="37" customFormat="1" ht="45" customHeight="1">
      <c r="A6" s="526"/>
      <c r="B6" s="531"/>
      <c r="C6" s="527"/>
      <c r="D6" s="526"/>
      <c r="E6" s="527"/>
      <c r="F6" s="409" t="s">
        <v>66</v>
      </c>
      <c r="G6" s="409" t="s">
        <v>67</v>
      </c>
      <c r="H6" s="409" t="s">
        <v>68</v>
      </c>
      <c r="I6" s="409" t="s">
        <v>69</v>
      </c>
      <c r="J6" s="409" t="s">
        <v>70</v>
      </c>
      <c r="K6" s="409" t="s">
        <v>71</v>
      </c>
      <c r="L6" s="409" t="s">
        <v>2</v>
      </c>
      <c r="M6" s="409" t="s">
        <v>67</v>
      </c>
      <c r="N6" s="409" t="s">
        <v>72</v>
      </c>
      <c r="O6" s="409" t="s">
        <v>73</v>
      </c>
      <c r="P6" s="409" t="s">
        <v>74</v>
      </c>
      <c r="Q6" s="537"/>
      <c r="R6" s="537"/>
      <c r="S6" s="537"/>
      <c r="T6" s="537"/>
      <c r="U6" s="537"/>
      <c r="V6" s="537"/>
      <c r="W6" s="570"/>
      <c r="X6" s="570"/>
      <c r="Y6" s="570"/>
      <c r="Z6" s="580"/>
      <c r="AA6" s="571" t="s">
        <v>75</v>
      </c>
      <c r="AB6" s="573">
        <f>AB243/$Z243</f>
        <v>0.2003578491383371</v>
      </c>
      <c r="AC6" s="573" t="s">
        <v>76</v>
      </c>
      <c r="AD6" s="573">
        <f>AD243/$Z243</f>
        <v>8.4753743290328698E-2</v>
      </c>
      <c r="AE6" s="571" t="s">
        <v>75</v>
      </c>
      <c r="AF6" s="573">
        <f>AF243/$Z243</f>
        <v>0.60378566720030202</v>
      </c>
      <c r="AG6" s="573" t="s">
        <v>76</v>
      </c>
      <c r="AH6" s="573">
        <f>AH243/$Z243</f>
        <v>0.19527262454091746</v>
      </c>
      <c r="AI6" s="571" t="s">
        <v>75</v>
      </c>
      <c r="AJ6" s="573">
        <f>AJ243/$Z243</f>
        <v>0.25968546944156723</v>
      </c>
      <c r="AK6" s="573" t="s">
        <v>76</v>
      </c>
      <c r="AL6" s="573">
        <f>AL243/$Z243</f>
        <v>9.4924192485168188E-2</v>
      </c>
      <c r="AM6" s="571" t="s">
        <v>75</v>
      </c>
      <c r="AN6" s="573">
        <f>AN243/$Z243</f>
        <v>0.25968546944156723</v>
      </c>
      <c r="AO6" s="573" t="s">
        <v>76</v>
      </c>
      <c r="AP6" s="573">
        <f>AP243/$Z243</f>
        <v>9.4924192485168188E-2</v>
      </c>
      <c r="AQ6" s="571" t="s">
        <v>75</v>
      </c>
      <c r="AR6" s="573">
        <f>AR243/$Z243</f>
        <v>0.98653357189942614</v>
      </c>
      <c r="AS6" s="573" t="s">
        <v>76</v>
      </c>
      <c r="AT6" s="573">
        <f>AT243/$Z243</f>
        <v>0.35935587155099369</v>
      </c>
      <c r="AU6" s="571" t="s">
        <v>75</v>
      </c>
      <c r="AV6" s="573">
        <f>AV243/$Z243</f>
        <v>0.25968546944156723</v>
      </c>
      <c r="AW6" s="573" t="s">
        <v>76</v>
      </c>
      <c r="AX6" s="573">
        <f>AX243/$Z243</f>
        <v>9.4924192485168188E-2</v>
      </c>
      <c r="AY6" s="285" t="s">
        <v>77</v>
      </c>
    </row>
    <row r="7" spans="1:53" s="37" customFormat="1" ht="30" customHeight="1">
      <c r="A7" s="528"/>
      <c r="B7" s="532"/>
      <c r="C7" s="529"/>
      <c r="D7" s="528"/>
      <c r="E7" s="529"/>
      <c r="F7" s="410" t="s">
        <v>78</v>
      </c>
      <c r="G7" s="410" t="s">
        <v>79</v>
      </c>
      <c r="H7" s="410" t="s">
        <v>80</v>
      </c>
      <c r="I7" s="410" t="s">
        <v>81</v>
      </c>
      <c r="J7" s="410" t="s">
        <v>82</v>
      </c>
      <c r="K7" s="410" t="s">
        <v>83</v>
      </c>
      <c r="L7" s="410" t="s">
        <v>84</v>
      </c>
      <c r="M7" s="411" t="s">
        <v>85</v>
      </c>
      <c r="N7" s="461" t="s">
        <v>86</v>
      </c>
      <c r="O7" s="434" t="s">
        <v>87</v>
      </c>
      <c r="P7" s="410" t="s">
        <v>88</v>
      </c>
      <c r="Q7" s="500"/>
      <c r="R7" s="500"/>
      <c r="S7" s="500"/>
      <c r="T7" s="537"/>
      <c r="U7" s="537"/>
      <c r="V7" s="537"/>
      <c r="W7" s="570"/>
      <c r="X7" s="570"/>
      <c r="Y7" s="570"/>
      <c r="Z7" s="580"/>
      <c r="AA7" s="572"/>
      <c r="AB7" s="574"/>
      <c r="AC7" s="574"/>
      <c r="AD7" s="574"/>
      <c r="AE7" s="572"/>
      <c r="AF7" s="574"/>
      <c r="AG7" s="574"/>
      <c r="AH7" s="574"/>
      <c r="AI7" s="572"/>
      <c r="AJ7" s="574"/>
      <c r="AK7" s="574"/>
      <c r="AL7" s="574"/>
      <c r="AM7" s="572"/>
      <c r="AN7" s="574"/>
      <c r="AO7" s="574"/>
      <c r="AP7" s="574"/>
      <c r="AQ7" s="572"/>
      <c r="AR7" s="574"/>
      <c r="AS7" s="574"/>
      <c r="AT7" s="574"/>
      <c r="AU7" s="572"/>
      <c r="AV7" s="574"/>
      <c r="AW7" s="574"/>
      <c r="AX7" s="574"/>
      <c r="AY7" s="284" t="s">
        <v>89</v>
      </c>
    </row>
    <row r="8" spans="1:53" s="37" customFormat="1" ht="18" customHeight="1">
      <c r="A8" s="32" t="s">
        <v>90</v>
      </c>
      <c r="B8" s="235"/>
      <c r="C8" s="32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321"/>
      <c r="V8" s="11"/>
      <c r="W8" s="412"/>
      <c r="X8" s="322"/>
      <c r="Y8" s="322"/>
      <c r="Z8" s="47"/>
      <c r="AA8" s="413"/>
      <c r="AC8" s="413"/>
      <c r="AE8" s="413"/>
      <c r="AG8" s="413"/>
      <c r="AI8" s="413"/>
      <c r="AK8" s="413"/>
      <c r="AM8" s="413"/>
      <c r="AO8" s="413"/>
      <c r="AU8" s="413"/>
      <c r="AW8" s="413"/>
      <c r="AY8" s="37" t="s">
        <v>91</v>
      </c>
    </row>
    <row r="9" spans="1:53" s="37" customFormat="1" ht="15" customHeight="1">
      <c r="B9" s="236"/>
      <c r="D9" s="38"/>
      <c r="E9" s="41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40"/>
      <c r="S9" s="40" t="str" cm="1">
        <f t="array" ref="S9">_xlfn.IFS(AND(COUNTA(F9:N9)=0,COUNTA(E9)=0),"",COUNTA(F9:N9)&gt;0,"",AND(COUNTA(F9:N9)=0,COUNTA(E9)&gt;0),"To be provided")</f>
        <v/>
      </c>
      <c r="T9" s="40"/>
      <c r="U9" s="324"/>
      <c r="V9" s="40"/>
      <c r="W9" s="236"/>
      <c r="X9" s="239"/>
      <c r="Y9" s="239"/>
      <c r="Z9" s="405"/>
      <c r="AA9" s="414"/>
      <c r="AC9" s="414"/>
      <c r="AE9" s="414"/>
      <c r="AG9" s="414"/>
      <c r="AI9" s="414"/>
      <c r="AK9" s="414"/>
      <c r="AM9" s="414"/>
      <c r="AO9" s="414"/>
      <c r="AQ9" s="414"/>
      <c r="AS9" s="414"/>
      <c r="AU9" s="414"/>
      <c r="AW9" s="414"/>
      <c r="BA9" s="232" t="s">
        <v>92</v>
      </c>
    </row>
    <row r="10" spans="1:53" s="37" customFormat="1" ht="15" customHeight="1" outlineLevel="1">
      <c r="A10" s="43" t="s">
        <v>93</v>
      </c>
      <c r="B10" s="38" t="s">
        <v>94</v>
      </c>
      <c r="C10" s="41" t="s">
        <v>95</v>
      </c>
      <c r="D10" s="268"/>
      <c r="E10" s="41" t="s">
        <v>96</v>
      </c>
      <c r="F10" s="38" t="s">
        <v>97</v>
      </c>
      <c r="G10" s="38"/>
      <c r="H10" s="38"/>
      <c r="I10" s="38"/>
      <c r="J10" s="38"/>
      <c r="K10" s="38"/>
      <c r="L10" s="38"/>
      <c r="M10" s="364" t="s">
        <v>34</v>
      </c>
      <c r="N10" s="38"/>
      <c r="O10" s="38"/>
      <c r="P10" s="38">
        <v>0</v>
      </c>
      <c r="Q10" s="38" t="s">
        <v>98</v>
      </c>
      <c r="R10" s="40" t="s">
        <v>99</v>
      </c>
      <c r="S10" s="40"/>
      <c r="T10" s="40" t="str" cm="1">
        <f t="array" ref="T10">IF(A10&lt;&gt;"",_xlfn.XLOOKUP(_xlfn.XLOOKUP(TRUE,F10:N10&lt;&gt;"",F10:N10,"-",-1,-1),F10:N10,$F$6:$N$6,,,-1),"")</f>
        <v>Permit</v>
      </c>
      <c r="U10" s="324" t="s">
        <v>100</v>
      </c>
      <c r="V10" s="239"/>
      <c r="W10" s="415" t="s">
        <v>101</v>
      </c>
      <c r="X10" s="239" t="s">
        <v>102</v>
      </c>
      <c r="Y10" s="239" t="s">
        <v>103</v>
      </c>
      <c r="Z10" s="405">
        <v>0.5</v>
      </c>
      <c r="AA10" s="414">
        <v>1</v>
      </c>
      <c r="AB10" s="37">
        <f>$Z10*AA10</f>
        <v>0.5</v>
      </c>
      <c r="AC10" s="414">
        <v>1</v>
      </c>
      <c r="AD10" s="37">
        <f>$Z10*AC10</f>
        <v>0.5</v>
      </c>
      <c r="AE10" s="414">
        <v>1</v>
      </c>
      <c r="AF10" s="37">
        <f>$Z10*AE10</f>
        <v>0.5</v>
      </c>
      <c r="AG10" s="414">
        <v>1</v>
      </c>
      <c r="AH10" s="37">
        <f>$Z10*AG10</f>
        <v>0.5</v>
      </c>
      <c r="AI10" s="414">
        <v>0</v>
      </c>
      <c r="AJ10" s="37">
        <f>$Z10*AI10</f>
        <v>0</v>
      </c>
      <c r="AK10" s="414">
        <v>0</v>
      </c>
      <c r="AL10" s="37">
        <f>$Z10*AK10</f>
        <v>0</v>
      </c>
      <c r="AM10" s="414">
        <v>0</v>
      </c>
      <c r="AN10" s="37">
        <f>$Z10*AM10</f>
        <v>0</v>
      </c>
      <c r="AO10" s="414">
        <v>0</v>
      </c>
      <c r="AP10" s="37">
        <f>$Z10*AO10</f>
        <v>0</v>
      </c>
      <c r="AQ10" s="414">
        <v>1</v>
      </c>
      <c r="AR10" s="37">
        <f>$Z10*AQ10</f>
        <v>0.5</v>
      </c>
      <c r="AS10" s="414">
        <v>0</v>
      </c>
      <c r="AT10" s="37">
        <f>$Z10*AS10</f>
        <v>0</v>
      </c>
      <c r="AU10" s="414">
        <v>0</v>
      </c>
      <c r="AV10" s="37">
        <f>$Z10*AU10</f>
        <v>0</v>
      </c>
      <c r="AW10" s="414">
        <v>0</v>
      </c>
      <c r="AX10" s="37">
        <f>$Z10*AW10</f>
        <v>0</v>
      </c>
      <c r="AY10" s="390"/>
      <c r="AZ10" s="37" t="str">
        <f>A10&amp;" "&amp;E10</f>
        <v>18043-LM000 01001 Overall Demolition Work Sheet 1 (Plot Plan)</v>
      </c>
    </row>
    <row r="11" spans="1:53" s="37" customFormat="1" ht="15" customHeight="1" outlineLevel="1">
      <c r="A11" s="43" t="s">
        <v>104</v>
      </c>
      <c r="B11" s="38" t="s">
        <v>94</v>
      </c>
      <c r="C11" s="41" t="s">
        <v>95</v>
      </c>
      <c r="D11" s="268"/>
      <c r="E11" s="41" t="s">
        <v>105</v>
      </c>
      <c r="F11" s="38" t="s">
        <v>34</v>
      </c>
      <c r="G11" s="38"/>
      <c r="H11" s="38"/>
      <c r="I11" s="38"/>
      <c r="J11" s="38"/>
      <c r="K11" s="38"/>
      <c r="L11" s="38"/>
      <c r="M11" s="364" t="s">
        <v>34</v>
      </c>
      <c r="N11" s="38"/>
      <c r="O11" s="38"/>
      <c r="P11" s="38">
        <v>0</v>
      </c>
      <c r="Q11" s="38" t="s">
        <v>98</v>
      </c>
      <c r="R11" s="40" t="s">
        <v>99</v>
      </c>
      <c r="S11" s="40"/>
      <c r="T11" s="40" t="str" cm="1">
        <f t="array" ref="T11">IF(A11&lt;&gt;"",_xlfn.XLOOKUP(_xlfn.XLOOKUP(TRUE,F11:N11&lt;&gt;"",F11:N11,"-",-1,-1),F11:N11,$F$6:$N$6,,,-1),"")</f>
        <v>Permit</v>
      </c>
      <c r="U11" s="324" t="s">
        <v>100</v>
      </c>
      <c r="V11" s="282" t="s">
        <v>106</v>
      </c>
      <c r="W11" s="415" t="s">
        <v>107</v>
      </c>
      <c r="X11" s="239" t="s">
        <v>102</v>
      </c>
      <c r="Y11" s="239" t="s">
        <v>103</v>
      </c>
      <c r="Z11" s="405">
        <v>0.5</v>
      </c>
      <c r="AA11" s="414">
        <v>1</v>
      </c>
      <c r="AB11" s="37">
        <f>$Z11*AA11</f>
        <v>0.5</v>
      </c>
      <c r="AC11" s="414">
        <v>1</v>
      </c>
      <c r="AD11" s="37">
        <f>$Z11*AC11</f>
        <v>0.5</v>
      </c>
      <c r="AE11" s="414">
        <v>1</v>
      </c>
      <c r="AF11" s="37">
        <f t="shared" ref="AF11:AF13" si="0">$Z11*AE11</f>
        <v>0.5</v>
      </c>
      <c r="AG11" s="414">
        <v>1</v>
      </c>
      <c r="AH11" s="37">
        <f t="shared" ref="AH11:AH13" si="1">$Z11*AG11</f>
        <v>0.5</v>
      </c>
      <c r="AI11" s="414">
        <v>0</v>
      </c>
      <c r="AJ11" s="37">
        <f t="shared" ref="AJ11:AJ13" si="2">$Z11*AI11</f>
        <v>0</v>
      </c>
      <c r="AK11" s="414">
        <v>0</v>
      </c>
      <c r="AL11" s="37">
        <f>$Z11*AK11</f>
        <v>0</v>
      </c>
      <c r="AM11" s="414">
        <v>0</v>
      </c>
      <c r="AN11" s="37">
        <f t="shared" ref="AN11:AN13" si="3">$Z11*AM11</f>
        <v>0</v>
      </c>
      <c r="AO11" s="414">
        <v>0</v>
      </c>
      <c r="AP11" s="37">
        <f>$Z11*AO11</f>
        <v>0</v>
      </c>
      <c r="AQ11" s="414">
        <v>1</v>
      </c>
      <c r="AR11" s="37">
        <f t="shared" ref="AR11:AR13" si="4">$Z11*AQ11</f>
        <v>0.5</v>
      </c>
      <c r="AS11" s="414">
        <v>0</v>
      </c>
      <c r="AT11" s="37">
        <f t="shared" ref="AT11:AT13" si="5">$Z11*AS11</f>
        <v>0</v>
      </c>
      <c r="AU11" s="414">
        <v>0</v>
      </c>
      <c r="AV11" s="37">
        <f t="shared" ref="AV11:AV13" si="6">$Z11*AU11</f>
        <v>0</v>
      </c>
      <c r="AW11" s="414">
        <v>0</v>
      </c>
      <c r="AX11" s="37">
        <f>$Z11*AW11</f>
        <v>0</v>
      </c>
      <c r="AY11" s="390"/>
      <c r="AZ11" s="37" t="str">
        <f>A11&amp;" "&amp;E11</f>
        <v>18043-LM000 01002 Overall Demolition Work Sheet 2 (Layout)</v>
      </c>
    </row>
    <row r="12" spans="1:53" s="37" customFormat="1" ht="15" customHeight="1" outlineLevel="1">
      <c r="A12" s="43" t="s">
        <v>108</v>
      </c>
      <c r="B12" s="40" t="s">
        <v>94</v>
      </c>
      <c r="C12" s="41" t="s">
        <v>95</v>
      </c>
      <c r="D12" s="38"/>
      <c r="E12" s="41" t="s">
        <v>109</v>
      </c>
      <c r="F12" s="38"/>
      <c r="G12" s="38"/>
      <c r="H12" s="38"/>
      <c r="I12" s="38"/>
      <c r="J12" s="38"/>
      <c r="K12" s="38"/>
      <c r="L12" s="38"/>
      <c r="M12" s="364"/>
      <c r="N12" s="38"/>
      <c r="O12" s="38"/>
      <c r="P12" s="38"/>
      <c r="Q12" s="38" t="s">
        <v>98</v>
      </c>
      <c r="R12" s="40" t="s">
        <v>99</v>
      </c>
      <c r="S12" s="40"/>
      <c r="T12" s="40"/>
      <c r="U12" s="324" t="s">
        <v>67</v>
      </c>
      <c r="V12" s="304"/>
      <c r="W12" s="415" t="s">
        <v>101</v>
      </c>
      <c r="X12" s="239" t="s">
        <v>102</v>
      </c>
      <c r="Y12" s="239" t="s">
        <v>103</v>
      </c>
      <c r="Z12" s="405">
        <v>0.5</v>
      </c>
      <c r="AA12" s="414">
        <v>1</v>
      </c>
      <c r="AB12" s="37">
        <f>$Z12*AA12</f>
        <v>0.5</v>
      </c>
      <c r="AC12" s="414">
        <v>1</v>
      </c>
      <c r="AD12" s="37">
        <f t="shared" ref="AD12" si="7">$Z12*AC12</f>
        <v>0.5</v>
      </c>
      <c r="AE12" s="414">
        <v>1</v>
      </c>
      <c r="AF12" s="37">
        <f t="shared" si="0"/>
        <v>0.5</v>
      </c>
      <c r="AG12" s="414">
        <v>1</v>
      </c>
      <c r="AH12" s="37">
        <f t="shared" si="1"/>
        <v>0.5</v>
      </c>
      <c r="AI12" s="414">
        <v>0</v>
      </c>
      <c r="AJ12" s="37">
        <f t="shared" si="2"/>
        <v>0</v>
      </c>
      <c r="AK12" s="414">
        <v>0</v>
      </c>
      <c r="AL12" s="37">
        <f>$Z12*AK12</f>
        <v>0</v>
      </c>
      <c r="AM12" s="414">
        <v>0</v>
      </c>
      <c r="AN12" s="37">
        <f t="shared" si="3"/>
        <v>0</v>
      </c>
      <c r="AO12" s="414">
        <v>0</v>
      </c>
      <c r="AP12" s="37">
        <f>$Z12*AO12</f>
        <v>0</v>
      </c>
      <c r="AQ12" s="414">
        <v>1</v>
      </c>
      <c r="AR12" s="37">
        <f t="shared" si="4"/>
        <v>0.5</v>
      </c>
      <c r="AS12" s="414">
        <v>0</v>
      </c>
      <c r="AT12" s="37">
        <f t="shared" si="5"/>
        <v>0</v>
      </c>
      <c r="AU12" s="414">
        <v>0</v>
      </c>
      <c r="AV12" s="37">
        <f t="shared" si="6"/>
        <v>0</v>
      </c>
      <c r="AW12" s="414">
        <v>0</v>
      </c>
      <c r="AX12" s="37">
        <f>$Z12*AW12</f>
        <v>0</v>
      </c>
      <c r="AY12" s="390"/>
      <c r="AZ12" s="37" t="str">
        <f>A12&amp;" "&amp;E12</f>
        <v>18043-LM000 01001-P Overall Demolition Work Layout</v>
      </c>
    </row>
    <row r="13" spans="1:53" s="37" customFormat="1" ht="15" customHeight="1" outlineLevel="1">
      <c r="A13" s="43" t="s">
        <v>110</v>
      </c>
      <c r="B13" s="38" t="s">
        <v>94</v>
      </c>
      <c r="C13" s="41" t="s">
        <v>95</v>
      </c>
      <c r="D13" s="268"/>
      <c r="E13" s="41" t="s">
        <v>111</v>
      </c>
      <c r="F13" s="38" t="s">
        <v>97</v>
      </c>
      <c r="G13" s="38"/>
      <c r="H13" s="38"/>
      <c r="I13" s="38"/>
      <c r="J13" s="38"/>
      <c r="K13" s="38"/>
      <c r="L13" s="38"/>
      <c r="M13" s="364" t="s">
        <v>97</v>
      </c>
      <c r="N13" s="38"/>
      <c r="O13" s="38"/>
      <c r="P13" s="38">
        <v>0</v>
      </c>
      <c r="Q13" s="38" t="s">
        <v>98</v>
      </c>
      <c r="R13" s="40" t="s">
        <v>99</v>
      </c>
      <c r="S13" s="40"/>
      <c r="T13" s="40" t="str" cm="1">
        <f t="array" ref="T13">IF(A13&lt;&gt;"",_xlfn.XLOOKUP(_xlfn.XLOOKUP(TRUE,F13:N13&lt;&gt;"",F13:N13,"-",-1,-1),F13:N13,$F$6:$N$6,,,-1),"")</f>
        <v>Permit</v>
      </c>
      <c r="U13" s="324" t="s">
        <v>100</v>
      </c>
      <c r="V13" s="304"/>
      <c r="W13" s="415" t="s">
        <v>101</v>
      </c>
      <c r="X13" s="239" t="s">
        <v>102</v>
      </c>
      <c r="Y13" s="239" t="s">
        <v>103</v>
      </c>
      <c r="Z13" s="405">
        <v>0.5</v>
      </c>
      <c r="AA13" s="414">
        <v>1</v>
      </c>
      <c r="AB13" s="37">
        <f>$Z13*AA13</f>
        <v>0.5</v>
      </c>
      <c r="AC13" s="414">
        <v>1</v>
      </c>
      <c r="AD13" s="37">
        <f>$Z13*AC13</f>
        <v>0.5</v>
      </c>
      <c r="AE13" s="414">
        <v>1</v>
      </c>
      <c r="AF13" s="37">
        <f t="shared" si="0"/>
        <v>0.5</v>
      </c>
      <c r="AG13" s="414">
        <v>1</v>
      </c>
      <c r="AH13" s="37">
        <f t="shared" si="1"/>
        <v>0.5</v>
      </c>
      <c r="AI13" s="414">
        <v>0</v>
      </c>
      <c r="AJ13" s="37">
        <f t="shared" si="2"/>
        <v>0</v>
      </c>
      <c r="AK13" s="414">
        <v>0</v>
      </c>
      <c r="AL13" s="37">
        <f>$Z13*AK13</f>
        <v>0</v>
      </c>
      <c r="AM13" s="414">
        <v>0</v>
      </c>
      <c r="AN13" s="37">
        <f t="shared" si="3"/>
        <v>0</v>
      </c>
      <c r="AO13" s="414">
        <v>0</v>
      </c>
      <c r="AP13" s="37">
        <f>$Z13*AO13</f>
        <v>0</v>
      </c>
      <c r="AQ13" s="414">
        <v>1</v>
      </c>
      <c r="AR13" s="37">
        <f t="shared" si="4"/>
        <v>0.5</v>
      </c>
      <c r="AS13" s="414">
        <v>0</v>
      </c>
      <c r="AT13" s="37">
        <f t="shared" si="5"/>
        <v>0</v>
      </c>
      <c r="AU13" s="414">
        <v>0</v>
      </c>
      <c r="AV13" s="37">
        <f t="shared" si="6"/>
        <v>0</v>
      </c>
      <c r="AW13" s="414">
        <v>0</v>
      </c>
      <c r="AX13" s="37">
        <f>$Z13*AW13</f>
        <v>0</v>
      </c>
      <c r="AY13" s="390"/>
      <c r="AZ13" s="37" t="str">
        <f>A13&amp;" "&amp;E13</f>
        <v>18043-LM000 01003 Overall Demolition Work Sheet 3 (Sections)</v>
      </c>
    </row>
    <row r="14" spans="1:53" s="37" customFormat="1" ht="15" customHeight="1" outlineLevel="1">
      <c r="A14" s="43"/>
      <c r="B14" s="40"/>
      <c r="C14" s="41"/>
      <c r="D14" s="38"/>
      <c r="E14" s="41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40"/>
      <c r="S14" s="40"/>
      <c r="T14" s="40" t="str" cm="1">
        <f t="array" ref="T14">IF(A14&lt;&gt;"",_xlfn.XLOOKUP(_xlfn.XLOOKUP(TRUE,F14:N14&lt;&gt;"",F14:N14,"-",-1,-1),F14:N14,$F$6:$N$6,,,-1),"")</f>
        <v/>
      </c>
      <c r="U14" s="324"/>
      <c r="V14" s="304"/>
      <c r="W14" s="415"/>
      <c r="X14" s="239"/>
      <c r="Y14" s="239"/>
      <c r="Z14" s="405"/>
      <c r="AA14" s="414"/>
      <c r="AC14" s="414"/>
      <c r="AE14" s="414"/>
      <c r="AG14" s="414"/>
      <c r="AI14" s="414"/>
      <c r="AK14" s="414"/>
      <c r="AM14" s="414"/>
      <c r="AO14" s="414"/>
      <c r="AQ14" s="414"/>
      <c r="AS14" s="414"/>
      <c r="AU14" s="414"/>
      <c r="AW14" s="414"/>
      <c r="AY14" s="390"/>
    </row>
    <row r="15" spans="1:53" s="37" customFormat="1" ht="15" customHeight="1" outlineLevel="1">
      <c r="A15" s="43" t="s">
        <v>112</v>
      </c>
      <c r="B15" s="38" t="s">
        <v>94</v>
      </c>
      <c r="C15" s="41" t="s">
        <v>95</v>
      </c>
      <c r="D15" s="268"/>
      <c r="E15" s="41" t="s">
        <v>113</v>
      </c>
      <c r="F15" s="38" t="s">
        <v>97</v>
      </c>
      <c r="G15" s="38"/>
      <c r="H15" s="38"/>
      <c r="I15" s="38"/>
      <c r="J15" s="38"/>
      <c r="K15" s="38"/>
      <c r="L15" s="38"/>
      <c r="M15" s="364" t="s">
        <v>34</v>
      </c>
      <c r="N15" s="448" t="s">
        <v>34</v>
      </c>
      <c r="O15" s="38"/>
      <c r="P15" s="38">
        <v>0</v>
      </c>
      <c r="Q15" s="38" t="s">
        <v>98</v>
      </c>
      <c r="R15" s="40" t="s">
        <v>99</v>
      </c>
      <c r="S15" s="40"/>
      <c r="T15" s="40" t="str" cm="1">
        <f t="array" ref="T15">IF(A15&lt;&gt;"",_xlfn.XLOOKUP(_xlfn.XLOOKUP(TRUE,F15:N15&lt;&gt;"",F15:N15,"-",-1,-1),F15:N15,$F$6:$N$6,,,-1),"")</f>
        <v>Add8</v>
      </c>
      <c r="U15" s="324" t="s">
        <v>100</v>
      </c>
      <c r="V15" s="304"/>
      <c r="W15" s="415" t="s">
        <v>101</v>
      </c>
      <c r="X15" s="239" t="s">
        <v>102</v>
      </c>
      <c r="Y15" s="239" t="s">
        <v>103</v>
      </c>
      <c r="Z15" s="405">
        <v>0.5</v>
      </c>
      <c r="AA15" s="414">
        <v>1</v>
      </c>
      <c r="AB15" s="37">
        <f>$Z15*AA15</f>
        <v>0.5</v>
      </c>
      <c r="AC15" s="414">
        <v>1</v>
      </c>
      <c r="AD15" s="37">
        <f>$Z15*AC15</f>
        <v>0.5</v>
      </c>
      <c r="AE15" s="414">
        <v>1</v>
      </c>
      <c r="AF15" s="37">
        <f t="shared" ref="AF15" si="8">$Z15*AE15</f>
        <v>0.5</v>
      </c>
      <c r="AG15" s="414">
        <v>1</v>
      </c>
      <c r="AH15" s="37">
        <f t="shared" ref="AH15" si="9">$Z15*AG15</f>
        <v>0.5</v>
      </c>
      <c r="AI15" s="414">
        <v>0</v>
      </c>
      <c r="AJ15" s="37">
        <f t="shared" ref="AJ15" si="10">$Z15*AI15</f>
        <v>0</v>
      </c>
      <c r="AK15" s="414">
        <v>0</v>
      </c>
      <c r="AL15" s="37">
        <f>$Z15*AK15</f>
        <v>0</v>
      </c>
      <c r="AM15" s="414">
        <v>0</v>
      </c>
      <c r="AN15" s="37">
        <f t="shared" ref="AN15" si="11">$Z15*AM15</f>
        <v>0</v>
      </c>
      <c r="AO15" s="414">
        <v>0</v>
      </c>
      <c r="AP15" s="37">
        <f>$Z15*AO15</f>
        <v>0</v>
      </c>
      <c r="AQ15" s="414">
        <v>1</v>
      </c>
      <c r="AR15" s="37">
        <f t="shared" ref="AR15:AR194" si="12">$Z15*AQ15</f>
        <v>0.5</v>
      </c>
      <c r="AS15" s="414">
        <v>0</v>
      </c>
      <c r="AT15" s="37">
        <f t="shared" ref="AT15:AT106" si="13">$Z15*AS15</f>
        <v>0</v>
      </c>
      <c r="AU15" s="414">
        <v>0</v>
      </c>
      <c r="AV15" s="37">
        <f t="shared" ref="AV15" si="14">$Z15*AU15</f>
        <v>0</v>
      </c>
      <c r="AW15" s="414">
        <v>0</v>
      </c>
      <c r="AX15" s="37">
        <f>$Z15*AW15</f>
        <v>0</v>
      </c>
      <c r="AY15" s="390"/>
      <c r="AZ15" s="37" t="str">
        <f>A15&amp;" "&amp;E15</f>
        <v>18043-LM000 01101 Plot Plan</v>
      </c>
    </row>
    <row r="16" spans="1:53" s="37" customFormat="1" ht="15" customHeight="1" outlineLevel="1">
      <c r="A16" s="43"/>
      <c r="B16" s="38"/>
      <c r="C16" s="41"/>
      <c r="D16" s="38"/>
      <c r="E16" s="213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40"/>
      <c r="S16" s="40"/>
      <c r="T16" s="40" t="str" cm="1">
        <f t="array" ref="T16">IF(A16&lt;&gt;"",_xlfn.XLOOKUP(_xlfn.XLOOKUP(TRUE,F16:N16&lt;&gt;"",F16:N16,"-",-1,-1),F16:N16,$F$6:$N$6,,,-1),"")</f>
        <v/>
      </c>
      <c r="U16" s="324"/>
      <c r="V16" s="304"/>
      <c r="W16" s="236"/>
      <c r="X16" s="239"/>
      <c r="Y16" s="239"/>
      <c r="Z16" s="405"/>
      <c r="AA16" s="414"/>
      <c r="AC16" s="414"/>
      <c r="AE16" s="414"/>
      <c r="AG16" s="414"/>
      <c r="AI16" s="414"/>
      <c r="AK16" s="414"/>
      <c r="AM16" s="414"/>
      <c r="AO16" s="414"/>
      <c r="AQ16" s="414"/>
      <c r="AS16" s="414"/>
      <c r="AU16" s="414"/>
      <c r="AW16" s="414"/>
      <c r="AZ16" s="37" t="str">
        <f>A16&amp;" "&amp;E16</f>
        <v xml:space="preserve"> </v>
      </c>
    </row>
    <row r="17" spans="1:53" s="37" customFormat="1" ht="15" customHeight="1" outlineLevel="1">
      <c r="A17" s="43" t="s">
        <v>114</v>
      </c>
      <c r="B17" s="38" t="s">
        <v>94</v>
      </c>
      <c r="C17" s="233" t="s">
        <v>95</v>
      </c>
      <c r="D17" s="268"/>
      <c r="E17" s="41" t="s">
        <v>115</v>
      </c>
      <c r="F17" s="38" t="s">
        <v>34</v>
      </c>
      <c r="G17" s="38"/>
      <c r="H17" s="38" t="s">
        <v>116</v>
      </c>
      <c r="I17" s="38" t="s">
        <v>38</v>
      </c>
      <c r="J17" s="38"/>
      <c r="K17" s="38"/>
      <c r="L17" s="38" t="s">
        <v>28</v>
      </c>
      <c r="M17" s="364" t="s">
        <v>28</v>
      </c>
      <c r="N17" s="38"/>
      <c r="O17" s="38"/>
      <c r="P17" s="38">
        <v>0</v>
      </c>
      <c r="Q17" s="38" t="s">
        <v>98</v>
      </c>
      <c r="R17" s="40" t="s">
        <v>99</v>
      </c>
      <c r="S17" s="40"/>
      <c r="T17" s="40" t="str" cm="1">
        <f t="array" ref="T17">IF(A17&lt;&gt;"",_xlfn.XLOOKUP(_xlfn.XLOOKUP(TRUE,F17:N17&lt;&gt;"",F17:N17,"-",-1,-1),F17:N17,$F$6:$N$6,,,-1),"")</f>
        <v>Permit</v>
      </c>
      <c r="U17" s="324"/>
      <c r="V17" s="40"/>
      <c r="W17" s="415" t="s">
        <v>117</v>
      </c>
      <c r="X17" s="239" t="s">
        <v>102</v>
      </c>
      <c r="Y17" s="239" t="s">
        <v>102</v>
      </c>
      <c r="Z17" s="405">
        <v>0.5</v>
      </c>
      <c r="AA17" s="414">
        <v>0</v>
      </c>
      <c r="AB17" s="37">
        <f t="shared" ref="AB17:AB19" si="15">$Z17*AA17</f>
        <v>0</v>
      </c>
      <c r="AC17" s="414">
        <v>0</v>
      </c>
      <c r="AD17" s="37">
        <f t="shared" ref="AD17:AD19" si="16">$Z17*AC17</f>
        <v>0</v>
      </c>
      <c r="AE17" s="414">
        <v>0</v>
      </c>
      <c r="AF17" s="37">
        <f t="shared" ref="AF17:AF19" si="17">$Z17*AE17</f>
        <v>0</v>
      </c>
      <c r="AG17" s="414">
        <v>0</v>
      </c>
      <c r="AH17" s="37">
        <f t="shared" ref="AH17:AH19" si="18">$Z17*AG17</f>
        <v>0</v>
      </c>
      <c r="AI17" s="414">
        <v>0</v>
      </c>
      <c r="AJ17" s="37">
        <f t="shared" ref="AJ17:AJ19" si="19">$Z17*AI17</f>
        <v>0</v>
      </c>
      <c r="AK17" s="414">
        <v>0</v>
      </c>
      <c r="AL17" s="37">
        <f t="shared" ref="AL17:AL19" si="20">$Z17*AK17</f>
        <v>0</v>
      </c>
      <c r="AM17" s="414">
        <v>0</v>
      </c>
      <c r="AN17" s="37">
        <f t="shared" ref="AN17:AN19" si="21">$Z17*AM17</f>
        <v>0</v>
      </c>
      <c r="AO17" s="414">
        <v>0</v>
      </c>
      <c r="AP17" s="37">
        <f t="shared" ref="AP17:AP19" si="22">$Z17*AO17</f>
        <v>0</v>
      </c>
      <c r="AQ17" s="414">
        <v>1</v>
      </c>
      <c r="AR17" s="37">
        <f t="shared" ref="AR17:AR19" si="23">$Z17*AQ17</f>
        <v>0.5</v>
      </c>
      <c r="AS17" s="414">
        <v>0</v>
      </c>
      <c r="AT17" s="37">
        <f t="shared" ref="AT17:AT19" si="24">$Z17*AS17</f>
        <v>0</v>
      </c>
      <c r="AU17" s="414">
        <v>0</v>
      </c>
      <c r="AV17" s="37">
        <f t="shared" ref="AV17:AV19" si="25">$Z17*AU17</f>
        <v>0</v>
      </c>
      <c r="AW17" s="414">
        <v>0</v>
      </c>
      <c r="AX17" s="37">
        <f t="shared" ref="AX17:AX19" si="26">$Z17*AW17</f>
        <v>0</v>
      </c>
      <c r="AZ17" s="37" t="str">
        <f>A17&amp;" "&amp;E17</f>
        <v>18043-LMBME 01001 Design Outline &amp; Area Diagram</v>
      </c>
    </row>
    <row r="18" spans="1:53" s="37" customFormat="1" ht="15" customHeight="1" outlineLevel="1">
      <c r="A18" s="43" t="s">
        <v>118</v>
      </c>
      <c r="B18" s="38" t="s">
        <v>94</v>
      </c>
      <c r="C18" s="233" t="s">
        <v>95</v>
      </c>
      <c r="D18" s="268"/>
      <c r="E18" s="41" t="s">
        <v>119</v>
      </c>
      <c r="F18" s="38" t="s">
        <v>97</v>
      </c>
      <c r="G18" s="38"/>
      <c r="H18" s="38"/>
      <c r="I18" s="38" t="s">
        <v>31</v>
      </c>
      <c r="J18" s="38"/>
      <c r="K18" s="38"/>
      <c r="L18" s="38"/>
      <c r="M18" s="364" t="s">
        <v>31</v>
      </c>
      <c r="N18" s="38"/>
      <c r="O18" s="38"/>
      <c r="P18" s="38">
        <v>0</v>
      </c>
      <c r="Q18" s="38" t="s">
        <v>98</v>
      </c>
      <c r="R18" s="40" t="s">
        <v>99</v>
      </c>
      <c r="S18" s="40"/>
      <c r="T18" s="40" t="str" cm="1">
        <f t="array" ref="T18">IF(A18&lt;&gt;"",_xlfn.XLOOKUP(_xlfn.XLOOKUP(TRUE,F18:N18&lt;&gt;"",F18:N18,"-",-1,-1),F18:N18,$F$6:$N$6,,,-1),"")</f>
        <v>Permit</v>
      </c>
      <c r="U18" s="324"/>
      <c r="V18" s="40"/>
      <c r="W18" s="415"/>
      <c r="X18" s="239" t="s">
        <v>102</v>
      </c>
      <c r="Y18" s="239" t="s">
        <v>103</v>
      </c>
      <c r="Z18" s="405">
        <v>0.5</v>
      </c>
      <c r="AA18" s="414">
        <v>0</v>
      </c>
      <c r="AB18" s="37">
        <f t="shared" si="15"/>
        <v>0</v>
      </c>
      <c r="AC18" s="414">
        <v>0</v>
      </c>
      <c r="AD18" s="37">
        <f t="shared" si="16"/>
        <v>0</v>
      </c>
      <c r="AE18" s="414">
        <v>0</v>
      </c>
      <c r="AF18" s="37">
        <f t="shared" si="17"/>
        <v>0</v>
      </c>
      <c r="AG18" s="414">
        <v>0</v>
      </c>
      <c r="AH18" s="37">
        <f t="shared" si="18"/>
        <v>0</v>
      </c>
      <c r="AI18" s="414">
        <v>0</v>
      </c>
      <c r="AJ18" s="37">
        <f t="shared" si="19"/>
        <v>0</v>
      </c>
      <c r="AK18" s="414">
        <v>0</v>
      </c>
      <c r="AL18" s="37">
        <f t="shared" si="20"/>
        <v>0</v>
      </c>
      <c r="AM18" s="414">
        <v>0</v>
      </c>
      <c r="AN18" s="37">
        <f t="shared" si="21"/>
        <v>0</v>
      </c>
      <c r="AO18" s="414">
        <v>0</v>
      </c>
      <c r="AP18" s="37">
        <f t="shared" si="22"/>
        <v>0</v>
      </c>
      <c r="AQ18" s="414">
        <v>1</v>
      </c>
      <c r="AR18" s="37">
        <f t="shared" si="23"/>
        <v>0.5</v>
      </c>
      <c r="AS18" s="414">
        <v>0</v>
      </c>
      <c r="AT18" s="37">
        <f t="shared" si="24"/>
        <v>0</v>
      </c>
      <c r="AU18" s="414">
        <v>0</v>
      </c>
      <c r="AV18" s="37">
        <f t="shared" si="25"/>
        <v>0</v>
      </c>
      <c r="AW18" s="414">
        <v>0</v>
      </c>
      <c r="AX18" s="37">
        <f t="shared" si="26"/>
        <v>0</v>
      </c>
      <c r="AZ18" s="37" t="str">
        <f>A18&amp;" "&amp;E18</f>
        <v>18043-LMBME 01002 Abbreviation &amp; Finishing Material list</v>
      </c>
      <c r="BA18" s="237" t="s">
        <v>120</v>
      </c>
    </row>
    <row r="19" spans="1:53" s="37" customFormat="1" ht="15" customHeight="1" outlineLevel="1">
      <c r="A19" s="43" t="s">
        <v>121</v>
      </c>
      <c r="B19" s="38" t="s">
        <v>94</v>
      </c>
      <c r="C19" s="233" t="s">
        <v>95</v>
      </c>
      <c r="D19" s="268"/>
      <c r="E19" s="41" t="s">
        <v>122</v>
      </c>
      <c r="F19" s="38" t="s">
        <v>34</v>
      </c>
      <c r="G19" s="38"/>
      <c r="H19" s="38"/>
      <c r="I19" s="38"/>
      <c r="J19" s="38"/>
      <c r="K19" s="38"/>
      <c r="L19" s="38" t="s">
        <v>31</v>
      </c>
      <c r="M19" s="364" t="s">
        <v>31</v>
      </c>
      <c r="N19" s="38"/>
      <c r="O19" s="38"/>
      <c r="P19" s="38">
        <v>0</v>
      </c>
      <c r="Q19" s="38" t="s">
        <v>98</v>
      </c>
      <c r="R19" s="40" t="s">
        <v>99</v>
      </c>
      <c r="S19" s="40"/>
      <c r="T19" s="40" t="str" cm="1">
        <f t="array" ref="T19">IF(A19&lt;&gt;"",_xlfn.XLOOKUP(_xlfn.XLOOKUP(TRUE,F19:N19&lt;&gt;"",F19:N19,"-",-1,-1),F19:N19,$F$6:$N$6,,,-1),"")</f>
        <v>Permit</v>
      </c>
      <c r="U19" s="324"/>
      <c r="V19" s="282" t="s">
        <v>106</v>
      </c>
      <c r="W19" s="415"/>
      <c r="X19" s="239" t="s">
        <v>102</v>
      </c>
      <c r="Y19" s="239" t="s">
        <v>103</v>
      </c>
      <c r="Z19" s="405">
        <v>0.5</v>
      </c>
      <c r="AA19" s="414">
        <v>0</v>
      </c>
      <c r="AB19" s="37">
        <f t="shared" si="15"/>
        <v>0</v>
      </c>
      <c r="AC19" s="414">
        <v>0</v>
      </c>
      <c r="AD19" s="37">
        <f t="shared" si="16"/>
        <v>0</v>
      </c>
      <c r="AE19" s="414">
        <v>0</v>
      </c>
      <c r="AF19" s="37">
        <f t="shared" si="17"/>
        <v>0</v>
      </c>
      <c r="AG19" s="414">
        <v>0</v>
      </c>
      <c r="AH19" s="37">
        <f t="shared" si="18"/>
        <v>0</v>
      </c>
      <c r="AI19" s="414">
        <v>0</v>
      </c>
      <c r="AJ19" s="37">
        <f t="shared" si="19"/>
        <v>0</v>
      </c>
      <c r="AK19" s="414">
        <v>0</v>
      </c>
      <c r="AL19" s="37">
        <f t="shared" si="20"/>
        <v>0</v>
      </c>
      <c r="AM19" s="414">
        <v>0</v>
      </c>
      <c r="AN19" s="37">
        <f t="shared" si="21"/>
        <v>0</v>
      </c>
      <c r="AO19" s="414">
        <v>0</v>
      </c>
      <c r="AP19" s="37">
        <f t="shared" si="22"/>
        <v>0</v>
      </c>
      <c r="AQ19" s="414">
        <v>1</v>
      </c>
      <c r="AR19" s="37">
        <f t="shared" si="23"/>
        <v>0.5</v>
      </c>
      <c r="AS19" s="414">
        <v>0</v>
      </c>
      <c r="AT19" s="37">
        <f t="shared" si="24"/>
        <v>0</v>
      </c>
      <c r="AU19" s="414">
        <v>0</v>
      </c>
      <c r="AV19" s="37">
        <f t="shared" si="25"/>
        <v>0</v>
      </c>
      <c r="AW19" s="414">
        <v>0</v>
      </c>
      <c r="AX19" s="37">
        <f t="shared" si="26"/>
        <v>0</v>
      </c>
      <c r="AZ19" s="37" t="str">
        <f>A19&amp;" "&amp;E19</f>
        <v>18043-LMBME 01003 Overall Ground Floor Plan</v>
      </c>
      <c r="BA19" s="237" t="s">
        <v>120</v>
      </c>
    </row>
    <row r="20" spans="1:53" s="37" customFormat="1" ht="15" customHeight="1" outlineLevel="1">
      <c r="A20" s="43" t="s">
        <v>123</v>
      </c>
      <c r="B20" s="38" t="s">
        <v>94</v>
      </c>
      <c r="C20" s="233" t="s">
        <v>95</v>
      </c>
      <c r="D20" s="38"/>
      <c r="E20" s="41" t="s">
        <v>122</v>
      </c>
      <c r="F20" s="38"/>
      <c r="G20" s="38"/>
      <c r="H20" s="38"/>
      <c r="I20" s="38"/>
      <c r="J20" s="38"/>
      <c r="K20" s="38"/>
      <c r="L20" s="38"/>
      <c r="M20" s="445" t="s">
        <v>97</v>
      </c>
      <c r="N20" s="38"/>
      <c r="O20" s="38"/>
      <c r="P20" s="38"/>
      <c r="Q20" s="38" t="s">
        <v>98</v>
      </c>
      <c r="R20" s="40"/>
      <c r="S20" s="40"/>
      <c r="T20" s="40"/>
      <c r="U20" s="324"/>
      <c r="V20" s="282"/>
      <c r="W20" s="415"/>
      <c r="X20" s="239" t="s">
        <v>102</v>
      </c>
      <c r="Y20" s="239" t="s">
        <v>103</v>
      </c>
      <c r="Z20" s="405"/>
      <c r="AA20" s="414"/>
      <c r="AC20" s="414"/>
      <c r="AE20" s="414"/>
      <c r="AG20" s="414"/>
      <c r="AI20" s="414"/>
      <c r="AK20" s="414"/>
      <c r="AM20" s="414"/>
      <c r="AO20" s="414"/>
      <c r="AQ20" s="414"/>
      <c r="AS20" s="414"/>
      <c r="AU20" s="414"/>
      <c r="AW20" s="414"/>
      <c r="BA20" s="237"/>
    </row>
    <row r="21" spans="1:53" s="37" customFormat="1" ht="15" customHeight="1" outlineLevel="1">
      <c r="A21" s="43" t="s">
        <v>124</v>
      </c>
      <c r="B21" s="38"/>
      <c r="C21" s="233"/>
      <c r="D21" s="38"/>
      <c r="E21" s="41" t="s">
        <v>125</v>
      </c>
      <c r="F21" s="38"/>
      <c r="G21" s="38"/>
      <c r="H21" s="38"/>
      <c r="I21" s="38"/>
      <c r="J21" s="38"/>
      <c r="K21" s="38"/>
      <c r="L21" s="38"/>
      <c r="M21" s="445" t="s">
        <v>97</v>
      </c>
      <c r="N21" s="38"/>
      <c r="O21" s="38"/>
      <c r="P21" s="38"/>
      <c r="Q21" s="38" t="s">
        <v>98</v>
      </c>
      <c r="R21" s="40"/>
      <c r="S21" s="40"/>
      <c r="T21" s="40"/>
      <c r="U21" s="324"/>
      <c r="V21" s="282"/>
      <c r="W21" s="415"/>
      <c r="X21" s="239" t="s">
        <v>102</v>
      </c>
      <c r="Y21" s="239" t="s">
        <v>103</v>
      </c>
      <c r="Z21" s="405"/>
      <c r="AA21" s="414"/>
      <c r="AC21" s="414"/>
      <c r="AE21" s="414"/>
      <c r="AG21" s="414"/>
      <c r="AI21" s="414"/>
      <c r="AK21" s="414"/>
      <c r="AM21" s="414"/>
      <c r="AO21" s="414"/>
      <c r="AQ21" s="414"/>
      <c r="AS21" s="414"/>
      <c r="AU21" s="414"/>
      <c r="AW21" s="414"/>
      <c r="BA21" s="237"/>
    </row>
    <row r="22" spans="1:53" s="37" customFormat="1" ht="15" customHeight="1" outlineLevel="1">
      <c r="A22" s="43" t="s">
        <v>126</v>
      </c>
      <c r="B22" s="38"/>
      <c r="C22" s="233"/>
      <c r="D22" s="38"/>
      <c r="E22" s="41" t="s">
        <v>127</v>
      </c>
      <c r="F22" s="38"/>
      <c r="G22" s="38"/>
      <c r="H22" s="38"/>
      <c r="I22" s="38"/>
      <c r="J22" s="38"/>
      <c r="K22" s="38"/>
      <c r="L22" s="38"/>
      <c r="M22" s="445" t="s">
        <v>97</v>
      </c>
      <c r="N22" s="38"/>
      <c r="O22" s="38"/>
      <c r="P22" s="38"/>
      <c r="Q22" s="38" t="s">
        <v>98</v>
      </c>
      <c r="R22" s="40"/>
      <c r="S22" s="40"/>
      <c r="T22" s="40"/>
      <c r="U22" s="324"/>
      <c r="V22" s="282"/>
      <c r="W22" s="415"/>
      <c r="X22" s="239" t="s">
        <v>102</v>
      </c>
      <c r="Y22" s="239" t="s">
        <v>103</v>
      </c>
      <c r="Z22" s="405"/>
      <c r="AA22" s="414"/>
      <c r="AC22" s="414"/>
      <c r="AE22" s="414"/>
      <c r="AG22" s="414"/>
      <c r="AI22" s="414"/>
      <c r="AK22" s="414"/>
      <c r="AM22" s="414"/>
      <c r="AO22" s="414"/>
      <c r="AQ22" s="414"/>
      <c r="AS22" s="414"/>
      <c r="AU22" s="414"/>
      <c r="AW22" s="414"/>
      <c r="BA22" s="237"/>
    </row>
    <row r="23" spans="1:53" s="37" customFormat="1" ht="15" customHeight="1" outlineLevel="1">
      <c r="A23" s="43" t="s">
        <v>128</v>
      </c>
      <c r="B23" s="38"/>
      <c r="C23" s="233"/>
      <c r="D23" s="38"/>
      <c r="E23" s="41" t="s">
        <v>129</v>
      </c>
      <c r="F23" s="38"/>
      <c r="G23" s="38"/>
      <c r="H23" s="38"/>
      <c r="I23" s="38"/>
      <c r="J23" s="38"/>
      <c r="K23" s="38"/>
      <c r="L23" s="38"/>
      <c r="M23" s="445" t="s">
        <v>97</v>
      </c>
      <c r="N23" s="38"/>
      <c r="O23" s="38"/>
      <c r="P23" s="38"/>
      <c r="Q23" s="38" t="s">
        <v>98</v>
      </c>
      <c r="R23" s="40"/>
      <c r="S23" s="40"/>
      <c r="T23" s="40"/>
      <c r="U23" s="324"/>
      <c r="V23" s="282"/>
      <c r="W23" s="415"/>
      <c r="X23" s="239" t="s">
        <v>102</v>
      </c>
      <c r="Y23" s="239" t="s">
        <v>103</v>
      </c>
      <c r="Z23" s="405"/>
      <c r="AA23" s="414"/>
      <c r="AC23" s="414"/>
      <c r="AE23" s="414"/>
      <c r="AG23" s="414"/>
      <c r="AI23" s="414"/>
      <c r="AK23" s="414"/>
      <c r="AM23" s="414"/>
      <c r="AO23" s="414"/>
      <c r="AQ23" s="414"/>
      <c r="AS23" s="414"/>
      <c r="AU23" s="414"/>
      <c r="AW23" s="414"/>
      <c r="BA23" s="237"/>
    </row>
    <row r="24" spans="1:53" s="37" customFormat="1" ht="15" customHeight="1" outlineLevel="1">
      <c r="A24" s="43" t="s">
        <v>130</v>
      </c>
      <c r="B24" s="38"/>
      <c r="C24" s="233"/>
      <c r="D24" s="38"/>
      <c r="E24" s="41" t="s">
        <v>131</v>
      </c>
      <c r="F24" s="38"/>
      <c r="G24" s="38"/>
      <c r="H24" s="38"/>
      <c r="I24" s="38"/>
      <c r="J24" s="38"/>
      <c r="K24" s="38"/>
      <c r="L24" s="38"/>
      <c r="M24" s="445" t="s">
        <v>97</v>
      </c>
      <c r="N24" s="38"/>
      <c r="O24" s="38"/>
      <c r="P24" s="38"/>
      <c r="Q24" s="38" t="s">
        <v>98</v>
      </c>
      <c r="R24" s="40"/>
      <c r="S24" s="40"/>
      <c r="T24" s="40"/>
      <c r="U24" s="324"/>
      <c r="V24" s="282"/>
      <c r="W24" s="415"/>
      <c r="X24" s="239" t="s">
        <v>102</v>
      </c>
      <c r="Y24" s="239" t="s">
        <v>103</v>
      </c>
      <c r="Z24" s="405"/>
      <c r="AA24" s="414"/>
      <c r="AC24" s="414"/>
      <c r="AE24" s="414"/>
      <c r="AG24" s="414"/>
      <c r="AI24" s="414"/>
      <c r="AK24" s="414"/>
      <c r="AM24" s="414"/>
      <c r="AO24" s="414"/>
      <c r="AQ24" s="414"/>
      <c r="AS24" s="414"/>
      <c r="AU24" s="414"/>
      <c r="AW24" s="414"/>
      <c r="BA24" s="237"/>
    </row>
    <row r="25" spans="1:53" s="37" customFormat="1" ht="15" customHeight="1" outlineLevel="1">
      <c r="A25" s="43"/>
      <c r="B25" s="38"/>
      <c r="C25" s="41"/>
      <c r="D25" s="38"/>
      <c r="E25" s="41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40"/>
      <c r="S25" s="40"/>
      <c r="T25" s="40" t="str" cm="1">
        <f t="array" ref="T25">IF(A25&lt;&gt;"",_xlfn.XLOOKUP(_xlfn.XLOOKUP(TRUE,F25:N25&lt;&gt;"",F25:N25,"-",-1,-1),F25:N25,$F$6:$N$6,,,-1),"")</f>
        <v/>
      </c>
      <c r="U25" s="324"/>
      <c r="V25" s="304"/>
      <c r="W25" s="415"/>
      <c r="X25" s="239"/>
      <c r="Y25" s="239"/>
      <c r="Z25" s="405"/>
      <c r="AA25" s="414"/>
      <c r="AC25" s="414"/>
      <c r="AE25" s="414"/>
      <c r="AG25" s="414"/>
      <c r="AI25" s="414"/>
      <c r="AK25" s="414"/>
      <c r="AM25" s="414"/>
      <c r="AO25" s="414"/>
      <c r="AQ25" s="414"/>
      <c r="AS25" s="414"/>
      <c r="AU25" s="414"/>
      <c r="AW25" s="414"/>
    </row>
    <row r="26" spans="1:53" s="37" customFormat="1" ht="15" customHeight="1" outlineLevel="1">
      <c r="A26" s="43" t="s">
        <v>132</v>
      </c>
      <c r="B26" s="38" t="s">
        <v>94</v>
      </c>
      <c r="C26" s="233" t="s">
        <v>95</v>
      </c>
      <c r="D26" s="268"/>
      <c r="E26" s="213" t="s">
        <v>133</v>
      </c>
      <c r="F26" s="38" t="s">
        <v>97</v>
      </c>
      <c r="G26" s="38"/>
      <c r="H26" s="38"/>
      <c r="I26" s="38"/>
      <c r="J26" s="38" t="s">
        <v>31</v>
      </c>
      <c r="K26" s="38"/>
      <c r="L26" s="38" t="s">
        <v>116</v>
      </c>
      <c r="M26" s="364" t="s">
        <v>116</v>
      </c>
      <c r="N26" s="38"/>
      <c r="O26" s="38"/>
      <c r="P26" s="38">
        <v>0</v>
      </c>
      <c r="Q26" s="38" t="s">
        <v>98</v>
      </c>
      <c r="R26" s="40"/>
      <c r="S26" s="40"/>
      <c r="T26" s="40" t="str" cm="1">
        <f t="array" ref="T26">IF(A26&lt;&gt;"",_xlfn.XLOOKUP(_xlfn.XLOOKUP(TRUE,F26:N26&lt;&gt;"",F26:N26,"-",-1,-1),F26:N26,$F$6:$N$6,,,-1),"")</f>
        <v>Permit</v>
      </c>
      <c r="U26" s="324" t="s">
        <v>134</v>
      </c>
      <c r="V26" s="304"/>
      <c r="W26" s="415" t="s">
        <v>135</v>
      </c>
      <c r="X26" s="239" t="s">
        <v>102</v>
      </c>
      <c r="Y26" s="239" t="s">
        <v>103</v>
      </c>
      <c r="Z26" s="405">
        <v>0.5</v>
      </c>
      <c r="AA26" s="414">
        <v>0</v>
      </c>
      <c r="AB26" s="37">
        <f>$Z26*AA26</f>
        <v>0</v>
      </c>
      <c r="AC26" s="414">
        <v>0</v>
      </c>
      <c r="AD26" s="37">
        <f>$Z26*AC26</f>
        <v>0</v>
      </c>
      <c r="AE26" s="414">
        <v>0</v>
      </c>
      <c r="AF26" s="37">
        <f>$Z26*AE26</f>
        <v>0</v>
      </c>
      <c r="AG26" s="414">
        <v>0</v>
      </c>
      <c r="AH26" s="37">
        <f>$Z26*AG26</f>
        <v>0</v>
      </c>
      <c r="AI26" s="414">
        <v>0</v>
      </c>
      <c r="AJ26" s="37">
        <f>$Z26*AI26</f>
        <v>0</v>
      </c>
      <c r="AK26" s="414">
        <v>0</v>
      </c>
      <c r="AL26" s="37">
        <f>$Z26*AK26</f>
        <v>0</v>
      </c>
      <c r="AM26" s="414">
        <v>0</v>
      </c>
      <c r="AN26" s="37">
        <f>$Z26*AM26</f>
        <v>0</v>
      </c>
      <c r="AO26" s="414">
        <v>0</v>
      </c>
      <c r="AP26" s="37">
        <f>$Z26*AO26</f>
        <v>0</v>
      </c>
      <c r="AQ26" s="414">
        <v>1</v>
      </c>
      <c r="AR26" s="37">
        <f>$Z26*AQ26</f>
        <v>0.5</v>
      </c>
      <c r="AS26" s="414">
        <v>0</v>
      </c>
      <c r="AT26" s="37">
        <f>$Z26*AS26</f>
        <v>0</v>
      </c>
      <c r="AU26" s="414">
        <v>0</v>
      </c>
      <c r="AV26" s="37">
        <f>$Z26*AU26</f>
        <v>0</v>
      </c>
      <c r="AW26" s="414">
        <v>0</v>
      </c>
      <c r="AX26" s="37">
        <f>$Z26*AW26</f>
        <v>0</v>
      </c>
      <c r="AZ26" s="37" t="str">
        <f>A26&amp;" "&amp;E26</f>
        <v>18043-LMBME 01101 B642 - Demolition Work Sheet 1</v>
      </c>
      <c r="BA26" s="237"/>
    </row>
    <row r="27" spans="1:53" s="37" customFormat="1" ht="15" customHeight="1" outlineLevel="1">
      <c r="A27" s="43" t="s">
        <v>136</v>
      </c>
      <c r="B27" s="38" t="s">
        <v>94</v>
      </c>
      <c r="C27" s="233" t="s">
        <v>95</v>
      </c>
      <c r="D27" s="268"/>
      <c r="E27" s="213" t="s">
        <v>137</v>
      </c>
      <c r="F27" s="38" t="s">
        <v>97</v>
      </c>
      <c r="G27" s="38"/>
      <c r="H27" s="38"/>
      <c r="I27" s="38"/>
      <c r="J27" s="38"/>
      <c r="K27" s="38"/>
      <c r="L27" s="38"/>
      <c r="M27" s="364" t="s">
        <v>97</v>
      </c>
      <c r="N27" s="38"/>
      <c r="O27" s="38"/>
      <c r="P27" s="38">
        <v>0</v>
      </c>
      <c r="Q27" s="38" t="s">
        <v>98</v>
      </c>
      <c r="R27" s="40"/>
      <c r="S27" s="40"/>
      <c r="T27" s="40" t="str" cm="1">
        <f t="array" ref="T27">IF(A27&lt;&gt;"",_xlfn.XLOOKUP(_xlfn.XLOOKUP(TRUE,F27:N27&lt;&gt;"",F27:N27,"-",-1,-1),F27:N27,$F$6:$N$6,,,-1),"")</f>
        <v>Permit</v>
      </c>
      <c r="U27" s="324" t="s">
        <v>134</v>
      </c>
      <c r="V27" s="304"/>
      <c r="W27" s="415" t="s">
        <v>135</v>
      </c>
      <c r="X27" s="239" t="s">
        <v>102</v>
      </c>
      <c r="Y27" s="239" t="s">
        <v>103</v>
      </c>
      <c r="Z27" s="405">
        <v>0.5</v>
      </c>
      <c r="AA27" s="414">
        <v>0</v>
      </c>
      <c r="AB27" s="37">
        <f>$Z27*AA27</f>
        <v>0</v>
      </c>
      <c r="AC27" s="414">
        <v>0</v>
      </c>
      <c r="AD27" s="37">
        <f>$Z27*AC27</f>
        <v>0</v>
      </c>
      <c r="AE27" s="414">
        <v>0</v>
      </c>
      <c r="AF27" s="37">
        <f>$Z27*AE27</f>
        <v>0</v>
      </c>
      <c r="AG27" s="414">
        <v>0</v>
      </c>
      <c r="AH27" s="37">
        <f>$Z27*AG27</f>
        <v>0</v>
      </c>
      <c r="AI27" s="414">
        <v>0</v>
      </c>
      <c r="AJ27" s="37">
        <f>$Z27*AI27</f>
        <v>0</v>
      </c>
      <c r="AK27" s="414">
        <v>0</v>
      </c>
      <c r="AL27" s="37">
        <f>$Z27*AK27</f>
        <v>0</v>
      </c>
      <c r="AM27" s="414">
        <v>0</v>
      </c>
      <c r="AN27" s="37">
        <f>$Z27*AM27</f>
        <v>0</v>
      </c>
      <c r="AO27" s="414">
        <v>0</v>
      </c>
      <c r="AP27" s="37">
        <f>$Z27*AO27</f>
        <v>0</v>
      </c>
      <c r="AQ27" s="414">
        <v>1</v>
      </c>
      <c r="AR27" s="37">
        <f>$Z27*AQ27</f>
        <v>0.5</v>
      </c>
      <c r="AS27" s="414">
        <v>0</v>
      </c>
      <c r="AT27" s="37">
        <f>$Z27*AS27</f>
        <v>0</v>
      </c>
      <c r="AU27" s="414">
        <v>0</v>
      </c>
      <c r="AV27" s="37">
        <f>$Z27*AU27</f>
        <v>0</v>
      </c>
      <c r="AW27" s="414">
        <v>0</v>
      </c>
      <c r="AX27" s="37">
        <f>$Z27*AW27</f>
        <v>0</v>
      </c>
      <c r="AZ27" s="37" t="str">
        <f>A27&amp;" "&amp;E27</f>
        <v>18043-LMBME 01102 B642 - Demolition Work Sheet 2</v>
      </c>
      <c r="BA27" s="237"/>
    </row>
    <row r="28" spans="1:53" s="37" customFormat="1" ht="15" customHeight="1" outlineLevel="1">
      <c r="A28" s="43" t="s">
        <v>138</v>
      </c>
      <c r="B28" s="38" t="s">
        <v>94</v>
      </c>
      <c r="C28" s="233" t="s">
        <v>95</v>
      </c>
      <c r="D28" s="268"/>
      <c r="E28" s="213" t="s">
        <v>139</v>
      </c>
      <c r="F28" s="38" t="s">
        <v>97</v>
      </c>
      <c r="G28" s="38" t="s">
        <v>34</v>
      </c>
      <c r="H28" s="38"/>
      <c r="I28" s="38"/>
      <c r="J28" s="38"/>
      <c r="K28" s="38"/>
      <c r="L28" s="38"/>
      <c r="M28" s="364" t="s">
        <v>34</v>
      </c>
      <c r="N28" s="448" t="s">
        <v>34</v>
      </c>
      <c r="O28" s="38"/>
      <c r="P28" s="38">
        <v>0</v>
      </c>
      <c r="Q28" s="38" t="s">
        <v>98</v>
      </c>
      <c r="R28" s="40"/>
      <c r="S28" s="40"/>
      <c r="T28" s="40" t="str" cm="1">
        <f t="array" ref="T28">IF(A28&lt;&gt;"",_xlfn.XLOOKUP(_xlfn.XLOOKUP(TRUE,F28:N28&lt;&gt;"",F28:N28,"-",-1,-1),F28:N28,$F$6:$N$6,,,-1),"")</f>
        <v>Add8</v>
      </c>
      <c r="U28" s="324" t="s">
        <v>140</v>
      </c>
      <c r="V28" s="304"/>
      <c r="W28" s="415" t="s">
        <v>135</v>
      </c>
      <c r="X28" s="239" t="s">
        <v>102</v>
      </c>
      <c r="Y28" s="239" t="s">
        <v>103</v>
      </c>
      <c r="Z28" s="405">
        <v>0.5</v>
      </c>
      <c r="AA28" s="414">
        <v>0</v>
      </c>
      <c r="AB28" s="37">
        <f>$Z28*AA28</f>
        <v>0</v>
      </c>
      <c r="AC28" s="414">
        <v>0</v>
      </c>
      <c r="AD28" s="37">
        <f>$Z28*AC28</f>
        <v>0</v>
      </c>
      <c r="AE28" s="414">
        <v>0</v>
      </c>
      <c r="AF28" s="37">
        <f>$Z28*AE28</f>
        <v>0</v>
      </c>
      <c r="AG28" s="414">
        <v>0</v>
      </c>
      <c r="AH28" s="37">
        <f>$Z28*AG28</f>
        <v>0</v>
      </c>
      <c r="AI28" s="414">
        <v>0</v>
      </c>
      <c r="AJ28" s="37">
        <f>$Z28*AI28</f>
        <v>0</v>
      </c>
      <c r="AK28" s="414">
        <v>0</v>
      </c>
      <c r="AL28" s="37">
        <f>$Z28*AK28</f>
        <v>0</v>
      </c>
      <c r="AM28" s="414">
        <v>0</v>
      </c>
      <c r="AN28" s="37">
        <f>$Z28*AM28</f>
        <v>0</v>
      </c>
      <c r="AO28" s="414">
        <v>0</v>
      </c>
      <c r="AP28" s="37">
        <f>$Z28*AO28</f>
        <v>0</v>
      </c>
      <c r="AQ28" s="414">
        <v>1</v>
      </c>
      <c r="AR28" s="37">
        <f>$Z28*AQ28</f>
        <v>0.5</v>
      </c>
      <c r="AS28" s="414">
        <v>0</v>
      </c>
      <c r="AT28" s="37">
        <f>$Z28*AS28</f>
        <v>0</v>
      </c>
      <c r="AU28" s="414">
        <v>0</v>
      </c>
      <c r="AV28" s="37">
        <f>$Z28*AU28</f>
        <v>0</v>
      </c>
      <c r="AW28" s="414">
        <v>0</v>
      </c>
      <c r="AX28" s="37">
        <f>$Z28*AW28</f>
        <v>0</v>
      </c>
      <c r="AY28" s="390"/>
      <c r="AZ28" s="37" t="str">
        <f>A28&amp;" "&amp;E28</f>
        <v>18043-LMBME 01103 B642 - Demolition Work Sheet 3</v>
      </c>
      <c r="BA28" s="237"/>
    </row>
    <row r="29" spans="1:53" s="37" customFormat="1" ht="15" customHeight="1" outlineLevel="1">
      <c r="A29" s="43" t="s">
        <v>141</v>
      </c>
      <c r="B29" s="38" t="s">
        <v>94</v>
      </c>
      <c r="C29" s="233" t="s">
        <v>95</v>
      </c>
      <c r="D29" s="268"/>
      <c r="E29" s="213" t="s">
        <v>142</v>
      </c>
      <c r="F29" s="38" t="s">
        <v>97</v>
      </c>
      <c r="G29" s="38" t="s">
        <v>34</v>
      </c>
      <c r="H29" s="38"/>
      <c r="I29" s="38"/>
      <c r="J29" s="38"/>
      <c r="K29" s="38"/>
      <c r="L29" s="38"/>
      <c r="M29" s="364" t="s">
        <v>34</v>
      </c>
      <c r="N29" s="448" t="s">
        <v>34</v>
      </c>
      <c r="O29" s="38"/>
      <c r="P29" s="38">
        <v>0</v>
      </c>
      <c r="Q29" s="38" t="s">
        <v>98</v>
      </c>
      <c r="R29" s="40"/>
      <c r="S29" s="40"/>
      <c r="T29" s="40" t="str" cm="1">
        <f t="array" ref="T29">IF(A29&lt;&gt;"",_xlfn.XLOOKUP(_xlfn.XLOOKUP(TRUE,F29:N29&lt;&gt;"",F29:N29,"-",-1,-1),F29:N29,$F$6:$N$6,,,-1),"")</f>
        <v>Add8</v>
      </c>
      <c r="U29" s="324" t="s">
        <v>140</v>
      </c>
      <c r="V29" s="304"/>
      <c r="W29" s="415" t="s">
        <v>135</v>
      </c>
      <c r="X29" s="239" t="s">
        <v>102</v>
      </c>
      <c r="Y29" s="239" t="s">
        <v>103</v>
      </c>
      <c r="Z29" s="405">
        <v>0.5</v>
      </c>
      <c r="AA29" s="414">
        <v>0</v>
      </c>
      <c r="AB29" s="37">
        <f>$Z29*AA29</f>
        <v>0</v>
      </c>
      <c r="AC29" s="414">
        <v>0</v>
      </c>
      <c r="AD29" s="37">
        <f>$Z29*AC29</f>
        <v>0</v>
      </c>
      <c r="AE29" s="414">
        <v>0</v>
      </c>
      <c r="AF29" s="37">
        <f>$Z29*AE29</f>
        <v>0</v>
      </c>
      <c r="AG29" s="414">
        <v>0</v>
      </c>
      <c r="AH29" s="37">
        <f>$Z29*AG29</f>
        <v>0</v>
      </c>
      <c r="AI29" s="414">
        <v>0</v>
      </c>
      <c r="AJ29" s="37">
        <f>$Z29*AI29</f>
        <v>0</v>
      </c>
      <c r="AK29" s="414">
        <v>0</v>
      </c>
      <c r="AL29" s="37">
        <f>$Z29*AK29</f>
        <v>0</v>
      </c>
      <c r="AM29" s="414">
        <v>0</v>
      </c>
      <c r="AN29" s="37">
        <f>$Z29*AM29</f>
        <v>0</v>
      </c>
      <c r="AO29" s="414">
        <v>0</v>
      </c>
      <c r="AP29" s="37">
        <f>$Z29*AO29</f>
        <v>0</v>
      </c>
      <c r="AQ29" s="414">
        <v>1</v>
      </c>
      <c r="AR29" s="37">
        <f>$Z29*AQ29</f>
        <v>0.5</v>
      </c>
      <c r="AS29" s="414">
        <v>0</v>
      </c>
      <c r="AT29" s="37">
        <f>$Z29*AS29</f>
        <v>0</v>
      </c>
      <c r="AU29" s="414">
        <v>0</v>
      </c>
      <c r="AV29" s="37">
        <f>$Z29*AU29</f>
        <v>0</v>
      </c>
      <c r="AW29" s="414">
        <v>0</v>
      </c>
      <c r="AX29" s="37">
        <f>$Z29*AW29</f>
        <v>0</v>
      </c>
      <c r="AY29" s="390"/>
      <c r="AZ29" s="37" t="str">
        <f>A29&amp;" "&amp;E29</f>
        <v>18043-LMBME 01104 B642 - Demolition Work Sheet 4</v>
      </c>
      <c r="BA29" s="237"/>
    </row>
    <row r="30" spans="1:53" s="37" customFormat="1" ht="15" customHeight="1" outlineLevel="1">
      <c r="A30" s="440" t="s">
        <v>143</v>
      </c>
      <c r="B30" s="309"/>
      <c r="C30" s="439"/>
      <c r="D30" s="498"/>
      <c r="E30" s="441" t="s">
        <v>144</v>
      </c>
      <c r="F30" s="38" t="s">
        <v>97</v>
      </c>
      <c r="G30" s="38"/>
      <c r="H30" s="38" t="s">
        <v>34</v>
      </c>
      <c r="I30" s="38"/>
      <c r="J30" s="38"/>
      <c r="K30" s="38"/>
      <c r="L30" s="38"/>
      <c r="M30" s="38"/>
      <c r="N30" s="38"/>
      <c r="O30" s="38"/>
      <c r="P30" s="38">
        <v>0</v>
      </c>
      <c r="Q30" s="38" t="s">
        <v>98</v>
      </c>
      <c r="R30" s="40"/>
      <c r="S30" s="40"/>
      <c r="T30" s="40" t="str" cm="1">
        <f t="array" ref="T30">IF(A30&lt;&gt;"",_xlfn.XLOOKUP(_xlfn.XLOOKUP(TRUE,F30:N30&lt;&gt;"",F30:N30,"-",-1,-1),F30:N30,$F$6:$N$6,,,-1),"")</f>
        <v>Add1</v>
      </c>
      <c r="U30" s="324"/>
      <c r="V30" s="304"/>
      <c r="W30" s="415"/>
      <c r="X30" s="239"/>
      <c r="Y30" s="239"/>
      <c r="Z30" s="405"/>
      <c r="AA30" s="414"/>
      <c r="AC30" s="414"/>
      <c r="AE30" s="414"/>
      <c r="AG30" s="414"/>
      <c r="AI30" s="414"/>
      <c r="AK30" s="414"/>
      <c r="AM30" s="414"/>
      <c r="AO30" s="414"/>
      <c r="AQ30" s="414"/>
      <c r="AS30" s="414"/>
      <c r="AU30" s="414"/>
      <c r="AW30" s="414"/>
      <c r="AY30" s="390"/>
      <c r="BA30" s="237"/>
    </row>
    <row r="31" spans="1:53" s="37" customFormat="1" ht="15" customHeight="1" outlineLevel="1">
      <c r="A31" s="43" t="s">
        <v>145</v>
      </c>
      <c r="B31" s="38" t="s">
        <v>94</v>
      </c>
      <c r="C31" s="233" t="s">
        <v>95</v>
      </c>
      <c r="D31" s="268"/>
      <c r="E31" s="213" t="s">
        <v>146</v>
      </c>
      <c r="F31" s="38"/>
      <c r="G31" s="38"/>
      <c r="H31" s="38" t="s">
        <v>97</v>
      </c>
      <c r="I31" s="38"/>
      <c r="J31" s="38"/>
      <c r="K31" s="38"/>
      <c r="L31" s="38"/>
      <c r="M31" s="38"/>
      <c r="N31" s="38"/>
      <c r="O31" s="38"/>
      <c r="P31" s="38">
        <v>0</v>
      </c>
      <c r="Q31" s="38" t="s">
        <v>98</v>
      </c>
      <c r="R31" s="40" t="s">
        <v>99</v>
      </c>
      <c r="S31" s="40"/>
      <c r="T31" s="40" t="str" cm="1">
        <f t="array" ref="T31">IF(A31&lt;&gt;"",_xlfn.XLOOKUP(_xlfn.XLOOKUP(TRUE,F31:N31&lt;&gt;"",F31:N31,"-",-1,-1),F31:N31,$F$6:$N$6,,,-1),"")</f>
        <v>Add1</v>
      </c>
      <c r="U31" s="324"/>
      <c r="V31" s="40"/>
      <c r="W31" s="416"/>
      <c r="X31" s="239" t="s">
        <v>102</v>
      </c>
      <c r="Y31" s="239" t="s">
        <v>103</v>
      </c>
      <c r="Z31" s="405">
        <v>1</v>
      </c>
      <c r="AA31" s="414">
        <v>0</v>
      </c>
      <c r="AB31" s="37">
        <f t="shared" ref="AB31:AB53" si="27">$Z31*AA31</f>
        <v>0</v>
      </c>
      <c r="AC31" s="414">
        <v>0</v>
      </c>
      <c r="AD31" s="37">
        <f t="shared" ref="AD31:AD53" si="28">$Z31*AC31</f>
        <v>0</v>
      </c>
      <c r="AE31" s="414">
        <v>0</v>
      </c>
      <c r="AF31" s="37">
        <f t="shared" ref="AF31" si="29">$Z31*AE31</f>
        <v>0</v>
      </c>
      <c r="AG31" s="414">
        <v>0</v>
      </c>
      <c r="AH31" s="37">
        <f t="shared" ref="AH31" si="30">$Z31*AG31</f>
        <v>0</v>
      </c>
      <c r="AI31" s="414">
        <v>0</v>
      </c>
      <c r="AJ31" s="37">
        <f t="shared" ref="AJ31" si="31">$Z31*AI31</f>
        <v>0</v>
      </c>
      <c r="AK31" s="414">
        <v>0</v>
      </c>
      <c r="AL31" s="37">
        <f>$Z31*AK31</f>
        <v>0</v>
      </c>
      <c r="AM31" s="414">
        <v>0</v>
      </c>
      <c r="AN31" s="37">
        <f t="shared" ref="AN31" si="32">$Z31*AM31</f>
        <v>0</v>
      </c>
      <c r="AO31" s="414">
        <v>0</v>
      </c>
      <c r="AP31" s="37">
        <f>$Z31*AO31</f>
        <v>0</v>
      </c>
      <c r="AQ31" s="414">
        <v>1</v>
      </c>
      <c r="AR31" s="37">
        <f t="shared" si="12"/>
        <v>1</v>
      </c>
      <c r="AS31" s="414">
        <v>0</v>
      </c>
      <c r="AT31" s="37">
        <f t="shared" si="13"/>
        <v>0</v>
      </c>
      <c r="AU31" s="414">
        <v>0</v>
      </c>
      <c r="AV31" s="37">
        <f t="shared" ref="AV31" si="33">$Z31*AU31</f>
        <v>0</v>
      </c>
      <c r="AW31" s="414">
        <v>0</v>
      </c>
      <c r="AX31" s="37">
        <f>$Z31*AW31</f>
        <v>0</v>
      </c>
      <c r="AY31" s="390"/>
      <c r="AZ31" s="37" t="str">
        <f>A31&amp;" "&amp;E31</f>
        <v>18043-LMBME 01121 B561-521 - Modification Work Sheet 1</v>
      </c>
      <c r="BA31" s="237" t="s">
        <v>147</v>
      </c>
    </row>
    <row r="32" spans="1:53" s="37" customFormat="1" ht="15" customHeight="1" outlineLevel="1">
      <c r="A32" s="43"/>
      <c r="B32" s="38"/>
      <c r="C32" s="233"/>
      <c r="D32" s="38"/>
      <c r="E32" s="41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40"/>
      <c r="S32" s="40"/>
      <c r="T32" s="40" t="str" cm="1">
        <f t="array" ref="T32">IF(A32&lt;&gt;"",_xlfn.XLOOKUP(_xlfn.XLOOKUP(TRUE,F32:N32&lt;&gt;"",F32:N32,"-",-1,-1),F32:N32,$F$6:$N$6,,,-1),"")</f>
        <v/>
      </c>
      <c r="U32" s="324"/>
      <c r="V32" s="40"/>
      <c r="W32" s="415"/>
      <c r="X32" s="239"/>
      <c r="Y32" s="239"/>
      <c r="Z32" s="405"/>
      <c r="AA32" s="414"/>
      <c r="AC32" s="414"/>
      <c r="AE32" s="414"/>
      <c r="AG32" s="414"/>
      <c r="AI32" s="414"/>
      <c r="AK32" s="414"/>
      <c r="AM32" s="414"/>
      <c r="AO32" s="414"/>
      <c r="AQ32" s="414"/>
      <c r="AS32" s="414"/>
      <c r="AU32" s="414"/>
      <c r="AW32" s="414"/>
      <c r="BA32" s="237"/>
    </row>
    <row r="33" spans="1:53" s="37" customFormat="1" ht="15" customHeight="1" outlineLevel="1">
      <c r="A33" s="43" t="s">
        <v>148</v>
      </c>
      <c r="B33" s="38" t="s">
        <v>94</v>
      </c>
      <c r="C33" s="233" t="s">
        <v>95</v>
      </c>
      <c r="D33" s="268"/>
      <c r="E33" s="213" t="s">
        <v>149</v>
      </c>
      <c r="F33" s="38" t="s">
        <v>97</v>
      </c>
      <c r="G33" s="38"/>
      <c r="H33" s="38" t="s">
        <v>31</v>
      </c>
      <c r="I33" s="38"/>
      <c r="J33" s="38"/>
      <c r="K33" s="38"/>
      <c r="L33" s="38"/>
      <c r="M33" s="364" t="s">
        <v>31</v>
      </c>
      <c r="N33" s="38"/>
      <c r="O33" s="38"/>
      <c r="P33" s="38">
        <v>0</v>
      </c>
      <c r="Q33" s="38" t="s">
        <v>98</v>
      </c>
      <c r="R33" s="40" t="s">
        <v>99</v>
      </c>
      <c r="S33" s="40"/>
      <c r="T33" s="40" t="str" cm="1">
        <f t="array" ref="T33">IF(A33&lt;&gt;"",_xlfn.XLOOKUP(_xlfn.XLOOKUP(TRUE,F33:N33&lt;&gt;"",F33:N33,"-",-1,-1),F33:N33,$F$6:$N$6,,,-1),"")</f>
        <v>Permit</v>
      </c>
      <c r="U33" s="324"/>
      <c r="V33" s="40"/>
      <c r="W33" s="416"/>
      <c r="X33" s="239" t="s">
        <v>102</v>
      </c>
      <c r="Y33" s="239" t="s">
        <v>103</v>
      </c>
      <c r="Z33" s="405">
        <v>1</v>
      </c>
      <c r="AA33" s="414">
        <v>0</v>
      </c>
      <c r="AB33" s="37">
        <f t="shared" ref="AB33:AB34" si="34">$Z33*AA33</f>
        <v>0</v>
      </c>
      <c r="AC33" s="414">
        <v>0</v>
      </c>
      <c r="AD33" s="37">
        <f t="shared" ref="AD33:AD34" si="35">$Z33*AC33</f>
        <v>0</v>
      </c>
      <c r="AE33" s="414">
        <v>0</v>
      </c>
      <c r="AF33" s="37">
        <f t="shared" ref="AF33:AF34" si="36">$Z33*AE33</f>
        <v>0</v>
      </c>
      <c r="AG33" s="414">
        <v>0</v>
      </c>
      <c r="AH33" s="37">
        <f t="shared" ref="AH33:AH34" si="37">$Z33*AG33</f>
        <v>0</v>
      </c>
      <c r="AI33" s="414">
        <v>0</v>
      </c>
      <c r="AJ33" s="37">
        <f t="shared" ref="AJ33:AJ34" si="38">$Z33*AI33</f>
        <v>0</v>
      </c>
      <c r="AK33" s="414">
        <v>0</v>
      </c>
      <c r="AL33" s="37">
        <f>$Z33*AK33</f>
        <v>0</v>
      </c>
      <c r="AM33" s="414">
        <v>0</v>
      </c>
      <c r="AN33" s="37">
        <f t="shared" ref="AN33:AN34" si="39">$Z33*AM33</f>
        <v>0</v>
      </c>
      <c r="AO33" s="414">
        <v>0</v>
      </c>
      <c r="AP33" s="37">
        <f>$Z33*AO33</f>
        <v>0</v>
      </c>
      <c r="AQ33" s="414">
        <v>1</v>
      </c>
      <c r="AR33" s="37">
        <f t="shared" ref="AR33:AR34" si="40">$Z33*AQ33</f>
        <v>1</v>
      </c>
      <c r="AS33" s="414">
        <v>0</v>
      </c>
      <c r="AT33" s="37">
        <f t="shared" ref="AT33:AT34" si="41">$Z33*AS33</f>
        <v>0</v>
      </c>
      <c r="AU33" s="414">
        <v>0</v>
      </c>
      <c r="AV33" s="37">
        <f t="shared" ref="AV33:AV34" si="42">$Z33*AU33</f>
        <v>0</v>
      </c>
      <c r="AW33" s="414">
        <v>0</v>
      </c>
      <c r="AX33" s="37">
        <f>$Z33*AW33</f>
        <v>0</v>
      </c>
      <c r="AY33" s="390"/>
      <c r="AZ33" s="37" t="str">
        <f t="shared" ref="AZ33:AZ39" si="43">A33&amp;" "&amp;E33</f>
        <v>18043-LMBME 01131 B190 - Demolition Work Sheet 1 (Ground Floor Plan &amp; Roof Plan)</v>
      </c>
      <c r="BA33" s="237" t="s">
        <v>147</v>
      </c>
    </row>
    <row r="34" spans="1:53" s="37" customFormat="1" ht="15" customHeight="1" outlineLevel="1">
      <c r="A34" s="43" t="s">
        <v>150</v>
      </c>
      <c r="B34" s="38" t="s">
        <v>94</v>
      </c>
      <c r="C34" s="233" t="s">
        <v>95</v>
      </c>
      <c r="D34" s="268"/>
      <c r="E34" s="213" t="s">
        <v>151</v>
      </c>
      <c r="F34" s="38" t="s">
        <v>97</v>
      </c>
      <c r="G34" s="38"/>
      <c r="H34" s="38"/>
      <c r="I34" s="38"/>
      <c r="J34" s="38"/>
      <c r="K34" s="38"/>
      <c r="L34" s="38"/>
      <c r="M34" s="364" t="s">
        <v>97</v>
      </c>
      <c r="N34" s="38"/>
      <c r="O34" s="38"/>
      <c r="P34" s="38">
        <v>0</v>
      </c>
      <c r="Q34" s="38" t="s">
        <v>98</v>
      </c>
      <c r="R34" s="40" t="s">
        <v>99</v>
      </c>
      <c r="S34" s="40"/>
      <c r="T34" s="40" t="str" cm="1">
        <f t="array" ref="T34">IF(A34&lt;&gt;"",_xlfn.XLOOKUP(_xlfn.XLOOKUP(TRUE,F34:N34&lt;&gt;"",F34:N34,"-",-1,-1),F34:N34,$F$6:$N$6,,,-1),"")</f>
        <v>Permit</v>
      </c>
      <c r="U34" s="324"/>
      <c r="V34" s="40"/>
      <c r="W34" s="416"/>
      <c r="X34" s="239" t="s">
        <v>102</v>
      </c>
      <c r="Y34" s="239" t="s">
        <v>103</v>
      </c>
      <c r="Z34" s="405">
        <v>1</v>
      </c>
      <c r="AA34" s="414">
        <v>0</v>
      </c>
      <c r="AB34" s="37">
        <f t="shared" si="34"/>
        <v>0</v>
      </c>
      <c r="AC34" s="414">
        <v>0</v>
      </c>
      <c r="AD34" s="37">
        <f t="shared" si="35"/>
        <v>0</v>
      </c>
      <c r="AE34" s="414">
        <v>0</v>
      </c>
      <c r="AF34" s="37">
        <f t="shared" si="36"/>
        <v>0</v>
      </c>
      <c r="AG34" s="414">
        <v>0</v>
      </c>
      <c r="AH34" s="37">
        <f t="shared" si="37"/>
        <v>0</v>
      </c>
      <c r="AI34" s="414">
        <v>0</v>
      </c>
      <c r="AJ34" s="37">
        <f t="shared" si="38"/>
        <v>0</v>
      </c>
      <c r="AK34" s="414">
        <v>0</v>
      </c>
      <c r="AL34" s="37">
        <f>$Z34*AK34</f>
        <v>0</v>
      </c>
      <c r="AM34" s="414">
        <v>0</v>
      </c>
      <c r="AN34" s="37">
        <f t="shared" si="39"/>
        <v>0</v>
      </c>
      <c r="AO34" s="414">
        <v>0</v>
      </c>
      <c r="AP34" s="37">
        <f>$Z34*AO34</f>
        <v>0</v>
      </c>
      <c r="AQ34" s="414">
        <v>1</v>
      </c>
      <c r="AR34" s="37">
        <f t="shared" si="40"/>
        <v>1</v>
      </c>
      <c r="AS34" s="414">
        <v>0</v>
      </c>
      <c r="AT34" s="37">
        <f t="shared" si="41"/>
        <v>0</v>
      </c>
      <c r="AU34" s="414">
        <v>0</v>
      </c>
      <c r="AV34" s="37">
        <f t="shared" si="42"/>
        <v>0</v>
      </c>
      <c r="AW34" s="414">
        <v>0</v>
      </c>
      <c r="AX34" s="37">
        <f>$Z34*AW34</f>
        <v>0</v>
      </c>
      <c r="AY34" s="390"/>
      <c r="AZ34" s="37" t="str">
        <f t="shared" si="43"/>
        <v>18043-LMBME 01132 B190 - Demolition Work Sheet 2 (Section &amp; Elevation)</v>
      </c>
      <c r="BA34" s="237" t="s">
        <v>152</v>
      </c>
    </row>
    <row r="35" spans="1:53" s="37" customFormat="1" ht="15" customHeight="1" outlineLevel="1">
      <c r="A35" s="43"/>
      <c r="B35" s="38"/>
      <c r="C35" s="233"/>
      <c r="D35" s="38"/>
      <c r="E35" s="213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40"/>
      <c r="S35" s="40"/>
      <c r="T35" s="40" t="str" cm="1">
        <f t="array" ref="T35">IF(A35&lt;&gt;"",_xlfn.XLOOKUP(_xlfn.XLOOKUP(TRUE,F35:N35&lt;&gt;"",F35:N35,"-",-1,-1),F35:N35,$F$6:$N$6,,,-1),"")</f>
        <v/>
      </c>
      <c r="U35" s="324"/>
      <c r="V35" s="40"/>
      <c r="W35" s="416"/>
      <c r="X35" s="239"/>
      <c r="Z35" s="405"/>
      <c r="AA35" s="414"/>
      <c r="AC35" s="414"/>
      <c r="AE35" s="414"/>
      <c r="AG35" s="414"/>
      <c r="AI35" s="414"/>
      <c r="AK35" s="414"/>
      <c r="AM35" s="414"/>
      <c r="AO35" s="414"/>
      <c r="AQ35" s="414"/>
      <c r="AS35" s="414"/>
      <c r="AU35" s="414"/>
      <c r="AW35" s="414"/>
      <c r="AZ35" s="37" t="str">
        <f t="shared" si="43"/>
        <v xml:space="preserve"> </v>
      </c>
    </row>
    <row r="36" spans="1:53" s="37" customFormat="1" ht="15" customHeight="1" outlineLevel="1">
      <c r="A36" s="43" t="s">
        <v>153</v>
      </c>
      <c r="B36" s="38" t="s">
        <v>94</v>
      </c>
      <c r="C36" s="233" t="s">
        <v>95</v>
      </c>
      <c r="D36" s="268"/>
      <c r="E36" s="42" t="s">
        <v>154</v>
      </c>
      <c r="H36" s="38" t="s">
        <v>97</v>
      </c>
      <c r="I36" s="38"/>
      <c r="J36" s="38"/>
      <c r="K36" s="38"/>
      <c r="L36" s="38"/>
      <c r="M36" s="38"/>
      <c r="N36" s="38"/>
      <c r="O36" s="38"/>
      <c r="P36" s="38">
        <v>0</v>
      </c>
      <c r="Q36" s="38" t="s">
        <v>98</v>
      </c>
      <c r="R36" s="40" t="s">
        <v>99</v>
      </c>
      <c r="S36" s="304"/>
      <c r="T36" s="40" t="str" cm="1">
        <f t="array" ref="T36">IF(A36&lt;&gt;"",_xlfn.XLOOKUP(_xlfn.XLOOKUP(TRUE,F36:N36&lt;&gt;"",F36:N36,"-",-1,-1),F36:N36,$F$6:$N$6,,,-1),"")</f>
        <v>Add1</v>
      </c>
      <c r="U36" s="324"/>
      <c r="V36" s="40"/>
      <c r="W36" s="415" t="s">
        <v>117</v>
      </c>
      <c r="X36" s="239" t="s">
        <v>102</v>
      </c>
      <c r="Y36" s="239" t="s">
        <v>103</v>
      </c>
      <c r="Z36" s="417">
        <v>0.5</v>
      </c>
      <c r="AA36" s="414">
        <v>0</v>
      </c>
      <c r="AB36" s="37">
        <f t="shared" si="27"/>
        <v>0</v>
      </c>
      <c r="AC36" s="414">
        <v>0</v>
      </c>
      <c r="AD36" s="37">
        <f t="shared" si="28"/>
        <v>0</v>
      </c>
      <c r="AE36" s="414">
        <v>0.8</v>
      </c>
      <c r="AF36" s="37">
        <f t="shared" ref="AF36:AF53" si="44">$Z36*AE36</f>
        <v>0.4</v>
      </c>
      <c r="AG36" s="414">
        <v>0</v>
      </c>
      <c r="AH36" s="37">
        <f t="shared" ref="AH36:AH53" si="45">$Z36*AG36</f>
        <v>0</v>
      </c>
      <c r="AI36" s="414">
        <v>0</v>
      </c>
      <c r="AJ36" s="37">
        <f t="shared" ref="AJ36:AJ53" si="46">$Z36*AI36</f>
        <v>0</v>
      </c>
      <c r="AK36" s="414">
        <v>0</v>
      </c>
      <c r="AL36" s="37">
        <f t="shared" ref="AL36:AL53" si="47">$Z36*AK36</f>
        <v>0</v>
      </c>
      <c r="AM36" s="414">
        <v>0</v>
      </c>
      <c r="AN36" s="37">
        <f t="shared" ref="AN36:AN53" si="48">$Z36*AM36</f>
        <v>0</v>
      </c>
      <c r="AO36" s="414">
        <v>0</v>
      </c>
      <c r="AP36" s="37">
        <f t="shared" ref="AP36:AP53" si="49">$Z36*AO36</f>
        <v>0</v>
      </c>
      <c r="AQ36" s="414">
        <v>1</v>
      </c>
      <c r="AR36" s="37">
        <f t="shared" si="12"/>
        <v>0.5</v>
      </c>
      <c r="AS36" s="414">
        <v>0</v>
      </c>
      <c r="AT36" s="37">
        <f t="shared" si="13"/>
        <v>0</v>
      </c>
      <c r="AU36" s="414">
        <v>0</v>
      </c>
      <c r="AV36" s="37">
        <f t="shared" ref="AV36:AV53" si="50">$Z36*AU36</f>
        <v>0</v>
      </c>
      <c r="AW36" s="414">
        <v>0</v>
      </c>
      <c r="AX36" s="37">
        <f t="shared" ref="AX36:AX53" si="51">$Z36*AW36</f>
        <v>0</v>
      </c>
      <c r="AY36" s="390"/>
      <c r="AZ36" s="37" t="str">
        <f t="shared" si="43"/>
        <v>18043-LMBMS 01101 Typical Details Sheet 1 (Metal roof &amp; Siding)</v>
      </c>
    </row>
    <row r="37" spans="1:53" s="37" customFormat="1" ht="15" customHeight="1" outlineLevel="1">
      <c r="A37" s="43" t="s">
        <v>155</v>
      </c>
      <c r="B37" s="38" t="s">
        <v>94</v>
      </c>
      <c r="C37" s="233" t="s">
        <v>95</v>
      </c>
      <c r="D37" s="268"/>
      <c r="E37" s="42" t="s">
        <v>156</v>
      </c>
      <c r="H37" s="38" t="s">
        <v>97</v>
      </c>
      <c r="I37" s="236" t="s">
        <v>34</v>
      </c>
      <c r="J37" s="38"/>
      <c r="K37" s="38"/>
      <c r="L37" s="38"/>
      <c r="M37" s="38"/>
      <c r="N37" s="38"/>
      <c r="O37" s="38"/>
      <c r="P37" s="38">
        <v>0</v>
      </c>
      <c r="Q37" s="38" t="s">
        <v>98</v>
      </c>
      <c r="R37" s="40" t="s">
        <v>99</v>
      </c>
      <c r="S37" s="304"/>
      <c r="T37" s="40" t="str" cm="1">
        <f t="array" ref="T37">IF(A37&lt;&gt;"",_xlfn.XLOOKUP(_xlfn.XLOOKUP(TRUE,F37:N37&lt;&gt;"",F37:N37,"-",-1,-1),F37:N37,$F$6:$N$6,,,-1),"")</f>
        <v>Add2</v>
      </c>
      <c r="U37" s="324"/>
      <c r="V37" s="40"/>
      <c r="W37" s="415" t="s">
        <v>117</v>
      </c>
      <c r="X37" s="239" t="s">
        <v>102</v>
      </c>
      <c r="Y37" s="239" t="s">
        <v>103</v>
      </c>
      <c r="Z37" s="417">
        <v>0.5</v>
      </c>
      <c r="AA37" s="414">
        <v>0</v>
      </c>
      <c r="AB37" s="37">
        <f t="shared" si="27"/>
        <v>0</v>
      </c>
      <c r="AC37" s="414">
        <v>0</v>
      </c>
      <c r="AD37" s="37">
        <f t="shared" si="28"/>
        <v>0</v>
      </c>
      <c r="AE37" s="414">
        <v>0.8</v>
      </c>
      <c r="AF37" s="37">
        <f t="shared" si="44"/>
        <v>0.4</v>
      </c>
      <c r="AG37" s="414">
        <v>0</v>
      </c>
      <c r="AH37" s="37">
        <f t="shared" si="45"/>
        <v>0</v>
      </c>
      <c r="AI37" s="414">
        <v>0</v>
      </c>
      <c r="AJ37" s="37">
        <f t="shared" si="46"/>
        <v>0</v>
      </c>
      <c r="AK37" s="414">
        <v>0</v>
      </c>
      <c r="AL37" s="37">
        <f t="shared" si="47"/>
        <v>0</v>
      </c>
      <c r="AM37" s="414">
        <v>0</v>
      </c>
      <c r="AN37" s="37">
        <f t="shared" si="48"/>
        <v>0</v>
      </c>
      <c r="AO37" s="414">
        <v>0</v>
      </c>
      <c r="AP37" s="37">
        <f t="shared" si="49"/>
        <v>0</v>
      </c>
      <c r="AQ37" s="414">
        <v>1</v>
      </c>
      <c r="AR37" s="37">
        <f t="shared" si="12"/>
        <v>0.5</v>
      </c>
      <c r="AS37" s="414">
        <v>0</v>
      </c>
      <c r="AT37" s="37">
        <f t="shared" si="13"/>
        <v>0</v>
      </c>
      <c r="AU37" s="414">
        <v>0</v>
      </c>
      <c r="AV37" s="37">
        <f t="shared" si="50"/>
        <v>0</v>
      </c>
      <c r="AW37" s="414">
        <v>0</v>
      </c>
      <c r="AX37" s="37">
        <f t="shared" si="51"/>
        <v>0</v>
      </c>
      <c r="AY37" s="390"/>
      <c r="AZ37" s="37" t="str">
        <f t="shared" si="43"/>
        <v>18043-LMBMS 01102 Typical Details Sheet 2 (Metal roof &amp; Siding)</v>
      </c>
    </row>
    <row r="38" spans="1:53" s="37" customFormat="1" ht="15" customHeight="1" outlineLevel="1">
      <c r="A38" s="43" t="s">
        <v>157</v>
      </c>
      <c r="B38" s="38" t="s">
        <v>94</v>
      </c>
      <c r="C38" s="233" t="s">
        <v>95</v>
      </c>
      <c r="D38" s="268"/>
      <c r="E38" s="42" t="s">
        <v>158</v>
      </c>
      <c r="H38" s="38" t="s">
        <v>97</v>
      </c>
      <c r="I38" s="236" t="s">
        <v>34</v>
      </c>
      <c r="J38" s="38"/>
      <c r="K38" s="38"/>
      <c r="L38" s="236"/>
      <c r="N38" s="448" t="s">
        <v>31</v>
      </c>
      <c r="O38" s="38"/>
      <c r="P38" s="38">
        <v>0</v>
      </c>
      <c r="Q38" s="38" t="s">
        <v>98</v>
      </c>
      <c r="R38" s="40" t="s">
        <v>99</v>
      </c>
      <c r="S38" s="304"/>
      <c r="T38" s="40" t="str" cm="1">
        <f t="array" ref="T38">IF(A38&lt;&gt;"",_xlfn.XLOOKUP(_xlfn.XLOOKUP(TRUE,F38:N38&lt;&gt;"",F38:N38,"-",-1,-1),F38:N38,$F$6:$N$6,,,-1),"")</f>
        <v>Add8</v>
      </c>
      <c r="U38" s="324"/>
      <c r="V38" s="40"/>
      <c r="W38" s="415" t="s">
        <v>117</v>
      </c>
      <c r="X38" s="239" t="s">
        <v>102</v>
      </c>
      <c r="Y38" s="239" t="s">
        <v>103</v>
      </c>
      <c r="Z38" s="417">
        <v>1</v>
      </c>
      <c r="AA38" s="414">
        <v>0</v>
      </c>
      <c r="AB38" s="37">
        <f t="shared" si="27"/>
        <v>0</v>
      </c>
      <c r="AC38" s="414">
        <v>0</v>
      </c>
      <c r="AD38" s="37">
        <f t="shared" si="28"/>
        <v>0</v>
      </c>
      <c r="AE38" s="414">
        <v>0.8</v>
      </c>
      <c r="AF38" s="37">
        <f t="shared" si="44"/>
        <v>0.8</v>
      </c>
      <c r="AG38" s="414">
        <v>0</v>
      </c>
      <c r="AH38" s="37">
        <f t="shared" si="45"/>
        <v>0</v>
      </c>
      <c r="AI38" s="414">
        <v>0</v>
      </c>
      <c r="AJ38" s="37">
        <f t="shared" si="46"/>
        <v>0</v>
      </c>
      <c r="AK38" s="414">
        <v>0</v>
      </c>
      <c r="AL38" s="37">
        <f t="shared" si="47"/>
        <v>0</v>
      </c>
      <c r="AM38" s="414">
        <v>0</v>
      </c>
      <c r="AN38" s="37">
        <f t="shared" si="48"/>
        <v>0</v>
      </c>
      <c r="AO38" s="414">
        <v>0</v>
      </c>
      <c r="AP38" s="37">
        <f t="shared" si="49"/>
        <v>0</v>
      </c>
      <c r="AQ38" s="414">
        <v>1</v>
      </c>
      <c r="AR38" s="37">
        <f t="shared" si="12"/>
        <v>1</v>
      </c>
      <c r="AS38" s="414">
        <v>0</v>
      </c>
      <c r="AT38" s="37">
        <f t="shared" si="13"/>
        <v>0</v>
      </c>
      <c r="AU38" s="414">
        <v>0</v>
      </c>
      <c r="AV38" s="37">
        <f t="shared" si="50"/>
        <v>0</v>
      </c>
      <c r="AW38" s="414">
        <v>0</v>
      </c>
      <c r="AX38" s="37">
        <f t="shared" si="51"/>
        <v>0</v>
      </c>
      <c r="AZ38" s="37" t="str">
        <f t="shared" si="43"/>
        <v>18043-LMBMS 01103 Typical Details Sheet 3 (Roof Drainage &amp; Downspout)</v>
      </c>
    </row>
    <row r="39" spans="1:53" s="37" customFormat="1" ht="15" customHeight="1" outlineLevel="1">
      <c r="A39" s="43" t="s">
        <v>159</v>
      </c>
      <c r="B39" s="38" t="s">
        <v>94</v>
      </c>
      <c r="C39" s="233" t="s">
        <v>95</v>
      </c>
      <c r="D39" s="268"/>
      <c r="E39" s="42" t="s">
        <v>160</v>
      </c>
      <c r="H39" s="38" t="s">
        <v>97</v>
      </c>
      <c r="I39" s="38" t="s">
        <v>34</v>
      </c>
      <c r="J39" s="38"/>
      <c r="K39" s="38"/>
      <c r="L39" s="38"/>
      <c r="M39" s="38"/>
      <c r="N39" s="38"/>
      <c r="O39" s="38"/>
      <c r="P39" s="38">
        <v>0</v>
      </c>
      <c r="Q39" s="38" t="s">
        <v>98</v>
      </c>
      <c r="R39" s="40" t="s">
        <v>99</v>
      </c>
      <c r="S39" s="304"/>
      <c r="T39" s="40" t="str" cm="1">
        <f t="array" ref="T39">IF(A39&lt;&gt;"",_xlfn.XLOOKUP(_xlfn.XLOOKUP(TRUE,F39:N39&lt;&gt;"",F39:N39,"-",-1,-1),F39:N39,$F$6:$N$6,,,-1),"")</f>
        <v>Add2</v>
      </c>
      <c r="U39" s="324"/>
      <c r="V39" s="40"/>
      <c r="W39" s="415" t="s">
        <v>117</v>
      </c>
      <c r="X39" s="239" t="s">
        <v>102</v>
      </c>
      <c r="Y39" s="239" t="s">
        <v>103</v>
      </c>
      <c r="Z39" s="417">
        <v>1</v>
      </c>
      <c r="AA39" s="414">
        <v>0</v>
      </c>
      <c r="AB39" s="37">
        <f t="shared" si="27"/>
        <v>0</v>
      </c>
      <c r="AC39" s="414">
        <v>0</v>
      </c>
      <c r="AD39" s="37">
        <f t="shared" si="28"/>
        <v>0</v>
      </c>
      <c r="AE39" s="414">
        <v>0.8</v>
      </c>
      <c r="AF39" s="37">
        <f t="shared" si="44"/>
        <v>0.8</v>
      </c>
      <c r="AG39" s="414">
        <v>0</v>
      </c>
      <c r="AH39" s="37">
        <f t="shared" si="45"/>
        <v>0</v>
      </c>
      <c r="AI39" s="414">
        <v>0</v>
      </c>
      <c r="AJ39" s="37">
        <f t="shared" si="46"/>
        <v>0</v>
      </c>
      <c r="AK39" s="414">
        <v>0</v>
      </c>
      <c r="AL39" s="37">
        <f t="shared" si="47"/>
        <v>0</v>
      </c>
      <c r="AM39" s="414">
        <v>0</v>
      </c>
      <c r="AN39" s="37">
        <f t="shared" si="48"/>
        <v>0</v>
      </c>
      <c r="AO39" s="414">
        <v>0</v>
      </c>
      <c r="AP39" s="37">
        <f t="shared" si="49"/>
        <v>0</v>
      </c>
      <c r="AQ39" s="414">
        <v>1</v>
      </c>
      <c r="AR39" s="37">
        <f t="shared" si="12"/>
        <v>1</v>
      </c>
      <c r="AS39" s="414">
        <v>0</v>
      </c>
      <c r="AT39" s="37">
        <f t="shared" si="13"/>
        <v>0</v>
      </c>
      <c r="AU39" s="414">
        <v>0</v>
      </c>
      <c r="AV39" s="37">
        <f t="shared" si="50"/>
        <v>0</v>
      </c>
      <c r="AW39" s="414">
        <v>0</v>
      </c>
      <c r="AX39" s="37">
        <f t="shared" si="51"/>
        <v>0</v>
      </c>
      <c r="AZ39" s="37" t="str">
        <f t="shared" si="43"/>
        <v>18043-LMBMS 01104 Typical Details Sheet 4 (Masonry Work 1)</v>
      </c>
    </row>
    <row r="40" spans="1:53" s="37" customFormat="1" ht="15" customHeight="1" outlineLevel="1">
      <c r="A40" s="43" t="s">
        <v>161</v>
      </c>
      <c r="B40" s="38"/>
      <c r="C40" s="233"/>
      <c r="D40" s="268"/>
      <c r="E40" s="42" t="s">
        <v>162</v>
      </c>
      <c r="H40" s="38" t="s">
        <v>97</v>
      </c>
      <c r="I40" s="38"/>
      <c r="J40" s="38"/>
      <c r="K40" s="38"/>
      <c r="L40" s="38"/>
      <c r="M40" s="38"/>
      <c r="N40" s="38"/>
      <c r="O40" s="38"/>
      <c r="P40" s="38">
        <v>0</v>
      </c>
      <c r="Q40" s="38" t="s">
        <v>98</v>
      </c>
      <c r="R40" s="40" t="s">
        <v>99</v>
      </c>
      <c r="S40" s="304"/>
      <c r="T40" s="40" t="str" cm="1">
        <f t="array" ref="T40">IF(A40&lt;&gt;"",_xlfn.XLOOKUP(_xlfn.XLOOKUP(TRUE,F40:N40&lt;&gt;"",F40:N40,"-",-1,-1),F40:N40,$F$6:$N$6,,,-1),"")</f>
        <v>Add1</v>
      </c>
      <c r="U40" s="322"/>
      <c r="V40" s="38"/>
      <c r="W40" s="415" t="s">
        <v>117</v>
      </c>
      <c r="X40" s="239" t="s">
        <v>102</v>
      </c>
      <c r="Y40" s="239" t="s">
        <v>103</v>
      </c>
      <c r="Z40" s="417"/>
      <c r="AA40" s="414"/>
      <c r="AC40" s="414"/>
      <c r="AE40" s="414"/>
      <c r="AG40" s="414"/>
      <c r="AI40" s="414"/>
      <c r="AK40" s="414"/>
      <c r="AM40" s="414"/>
      <c r="AO40" s="414"/>
      <c r="AQ40" s="414"/>
      <c r="AS40" s="414"/>
      <c r="AU40" s="414"/>
      <c r="AW40" s="414"/>
      <c r="AY40" s="390"/>
    </row>
    <row r="41" spans="1:53" s="37" customFormat="1" ht="15" customHeight="1" outlineLevel="1">
      <c r="A41" s="43" t="s">
        <v>163</v>
      </c>
      <c r="B41" s="38"/>
      <c r="C41" s="233"/>
      <c r="D41" s="268"/>
      <c r="E41" s="42" t="s">
        <v>164</v>
      </c>
      <c r="H41" s="38" t="s">
        <v>97</v>
      </c>
      <c r="I41" s="38"/>
      <c r="J41" s="38"/>
      <c r="K41" s="38"/>
      <c r="L41" s="38"/>
      <c r="M41" s="38"/>
      <c r="N41" s="38"/>
      <c r="O41" s="38"/>
      <c r="P41" s="38">
        <v>0</v>
      </c>
      <c r="Q41" s="38" t="s">
        <v>98</v>
      </c>
      <c r="R41" s="40" t="s">
        <v>99</v>
      </c>
      <c r="S41" s="304"/>
      <c r="T41" s="40" t="str" cm="1">
        <f t="array" ref="T41">IF(A41&lt;&gt;"",_xlfn.XLOOKUP(_xlfn.XLOOKUP(TRUE,F41:N41&lt;&gt;"",F41:N41,"-",-1,-1),F41:N41,$F$6:$N$6,,,-1),"")</f>
        <v>Add1</v>
      </c>
      <c r="U41" s="322"/>
      <c r="V41" s="38"/>
      <c r="W41" s="415" t="s">
        <v>117</v>
      </c>
      <c r="X41" s="239" t="s">
        <v>102</v>
      </c>
      <c r="Y41" s="239" t="s">
        <v>103</v>
      </c>
      <c r="Z41" s="417"/>
      <c r="AA41" s="414"/>
      <c r="AC41" s="414"/>
      <c r="AE41" s="414"/>
      <c r="AG41" s="414"/>
      <c r="AI41" s="414"/>
      <c r="AK41" s="414"/>
      <c r="AM41" s="414"/>
      <c r="AO41" s="414"/>
      <c r="AQ41" s="414"/>
      <c r="AS41" s="414"/>
      <c r="AU41" s="414"/>
      <c r="AW41" s="414"/>
      <c r="AY41" s="390"/>
    </row>
    <row r="42" spans="1:53" s="37" customFormat="1" ht="15" customHeight="1" outlineLevel="1">
      <c r="A42" s="43" t="s">
        <v>165</v>
      </c>
      <c r="B42" s="38"/>
      <c r="C42" s="233"/>
      <c r="D42" s="268"/>
      <c r="E42" s="42" t="s">
        <v>166</v>
      </c>
      <c r="H42" s="38" t="s">
        <v>97</v>
      </c>
      <c r="I42" s="38"/>
      <c r="J42" s="38"/>
      <c r="K42" s="38"/>
      <c r="L42" s="38"/>
      <c r="M42" s="38"/>
      <c r="N42" s="38"/>
      <c r="O42" s="38"/>
      <c r="P42" s="38">
        <v>0</v>
      </c>
      <c r="Q42" s="38" t="s">
        <v>98</v>
      </c>
      <c r="R42" s="40" t="s">
        <v>99</v>
      </c>
      <c r="S42" s="304"/>
      <c r="T42" s="40" t="str" cm="1">
        <f t="array" ref="T42">IF(A42&lt;&gt;"",_xlfn.XLOOKUP(_xlfn.XLOOKUP(TRUE,F42:N42&lt;&gt;"",F42:N42,"-",-1,-1),F42:N42,$F$6:$N$6,,,-1),"")</f>
        <v>Add1</v>
      </c>
      <c r="U42" s="322"/>
      <c r="V42" s="38"/>
      <c r="W42" s="415" t="s">
        <v>117</v>
      </c>
      <c r="X42" s="239" t="s">
        <v>102</v>
      </c>
      <c r="Y42" s="239" t="s">
        <v>103</v>
      </c>
      <c r="Z42" s="417"/>
      <c r="AA42" s="414"/>
      <c r="AC42" s="414"/>
      <c r="AE42" s="414"/>
      <c r="AG42" s="414"/>
      <c r="AI42" s="414"/>
      <c r="AK42" s="414"/>
      <c r="AM42" s="414"/>
      <c r="AO42" s="414"/>
      <c r="AQ42" s="414"/>
      <c r="AS42" s="414"/>
      <c r="AU42" s="414"/>
      <c r="AW42" s="414"/>
      <c r="AY42" s="390"/>
    </row>
    <row r="43" spans="1:53" s="37" customFormat="1" ht="15" customHeight="1" outlineLevel="1">
      <c r="A43" s="43" t="s">
        <v>167</v>
      </c>
      <c r="B43" s="38" t="s">
        <v>94</v>
      </c>
      <c r="C43" s="233" t="s">
        <v>95</v>
      </c>
      <c r="D43" s="268"/>
      <c r="E43" s="42" t="s">
        <v>168</v>
      </c>
      <c r="H43" s="38" t="s">
        <v>97</v>
      </c>
      <c r="I43" s="38"/>
      <c r="J43" s="38"/>
      <c r="K43" s="38"/>
      <c r="L43" s="38" t="s">
        <v>34</v>
      </c>
      <c r="M43" s="38"/>
      <c r="N43" s="448" t="s">
        <v>31</v>
      </c>
      <c r="O43" s="38"/>
      <c r="P43" s="38">
        <v>0</v>
      </c>
      <c r="Q43" s="38" t="s">
        <v>98</v>
      </c>
      <c r="R43" s="40" t="s">
        <v>99</v>
      </c>
      <c r="S43" s="304"/>
      <c r="T43" s="40" t="str" cm="1">
        <f t="array" ref="T43">IF(A43&lt;&gt;"",_xlfn.XLOOKUP(_xlfn.XLOOKUP(TRUE,F43:N43&lt;&gt;"",F43:N43,"-",-1,-1),F43:N43,$F$6:$N$6,,,-1),"")</f>
        <v>Add8</v>
      </c>
      <c r="U43" s="324"/>
      <c r="V43" s="40"/>
      <c r="W43" s="415" t="s">
        <v>117</v>
      </c>
      <c r="X43" s="239" t="s">
        <v>102</v>
      </c>
      <c r="Y43" s="239" t="s">
        <v>103</v>
      </c>
      <c r="Z43" s="417">
        <v>1</v>
      </c>
      <c r="AA43" s="414">
        <v>0</v>
      </c>
      <c r="AB43" s="37">
        <f t="shared" si="27"/>
        <v>0</v>
      </c>
      <c r="AC43" s="414">
        <v>0</v>
      </c>
      <c r="AD43" s="37">
        <f t="shared" si="28"/>
        <v>0</v>
      </c>
      <c r="AE43" s="414">
        <v>0.8</v>
      </c>
      <c r="AF43" s="37">
        <f t="shared" si="44"/>
        <v>0.8</v>
      </c>
      <c r="AG43" s="414">
        <v>0</v>
      </c>
      <c r="AH43" s="37">
        <f t="shared" si="45"/>
        <v>0</v>
      </c>
      <c r="AI43" s="414">
        <v>0</v>
      </c>
      <c r="AJ43" s="37">
        <f t="shared" si="46"/>
        <v>0</v>
      </c>
      <c r="AK43" s="414">
        <v>0</v>
      </c>
      <c r="AL43" s="37">
        <f t="shared" si="47"/>
        <v>0</v>
      </c>
      <c r="AM43" s="414">
        <v>0</v>
      </c>
      <c r="AN43" s="37">
        <f t="shared" si="48"/>
        <v>0</v>
      </c>
      <c r="AO43" s="414">
        <v>0</v>
      </c>
      <c r="AP43" s="37">
        <f t="shared" si="49"/>
        <v>0</v>
      </c>
      <c r="AQ43" s="414">
        <v>1</v>
      </c>
      <c r="AR43" s="37">
        <f t="shared" si="12"/>
        <v>1</v>
      </c>
      <c r="AS43" s="414">
        <v>0</v>
      </c>
      <c r="AT43" s="37">
        <f t="shared" si="13"/>
        <v>0</v>
      </c>
      <c r="AU43" s="414">
        <v>0</v>
      </c>
      <c r="AV43" s="37">
        <f t="shared" si="50"/>
        <v>0</v>
      </c>
      <c r="AW43" s="414">
        <v>0</v>
      </c>
      <c r="AX43" s="37">
        <f t="shared" si="51"/>
        <v>0</v>
      </c>
      <c r="AZ43" s="37" t="str">
        <f t="shared" ref="AZ43:AZ54" si="52">A43&amp;" "&amp;E43</f>
        <v>18043-LMBMS 01108 Typical Details Sheet 8 (External Sandwich Panel)</v>
      </c>
    </row>
    <row r="44" spans="1:53" s="37" customFormat="1" ht="15" customHeight="1" outlineLevel="1">
      <c r="A44" s="43" t="s">
        <v>169</v>
      </c>
      <c r="B44" s="38" t="s">
        <v>94</v>
      </c>
      <c r="C44" s="233" t="s">
        <v>95</v>
      </c>
      <c r="D44" s="268"/>
      <c r="E44" s="42" t="s">
        <v>170</v>
      </c>
      <c r="H44" s="38" t="s">
        <v>97</v>
      </c>
      <c r="I44" s="38"/>
      <c r="J44" s="38"/>
      <c r="K44" s="38"/>
      <c r="L44" s="38"/>
      <c r="M44" s="38"/>
      <c r="N44" s="448" t="s">
        <v>34</v>
      </c>
      <c r="O44" s="38"/>
      <c r="P44" s="38">
        <v>0</v>
      </c>
      <c r="Q44" s="38" t="s">
        <v>98</v>
      </c>
      <c r="R44" s="40" t="s">
        <v>99</v>
      </c>
      <c r="S44" s="304"/>
      <c r="T44" s="40" t="str" cm="1">
        <f t="array" ref="T44">IF(A44&lt;&gt;"",_xlfn.XLOOKUP(_xlfn.XLOOKUP(TRUE,F44:N44&lt;&gt;"",F44:N44,"-",-1,-1),F44:N44,$F$6:$N$6,,,-1),"")</f>
        <v>Add8</v>
      </c>
      <c r="U44" s="324"/>
      <c r="V44" s="40"/>
      <c r="W44" s="415" t="s">
        <v>117</v>
      </c>
      <c r="X44" s="239" t="s">
        <v>102</v>
      </c>
      <c r="Y44" s="239" t="s">
        <v>103</v>
      </c>
      <c r="Z44" s="417">
        <v>1</v>
      </c>
      <c r="AA44" s="414">
        <v>0</v>
      </c>
      <c r="AB44" s="37">
        <f t="shared" si="27"/>
        <v>0</v>
      </c>
      <c r="AC44" s="414">
        <v>0</v>
      </c>
      <c r="AD44" s="37">
        <f t="shared" si="28"/>
        <v>0</v>
      </c>
      <c r="AE44" s="414">
        <v>0.8</v>
      </c>
      <c r="AF44" s="37">
        <f t="shared" si="44"/>
        <v>0.8</v>
      </c>
      <c r="AG44" s="414">
        <v>0</v>
      </c>
      <c r="AH44" s="37">
        <f t="shared" si="45"/>
        <v>0</v>
      </c>
      <c r="AI44" s="414">
        <v>0</v>
      </c>
      <c r="AJ44" s="37">
        <f t="shared" si="46"/>
        <v>0</v>
      </c>
      <c r="AK44" s="414">
        <v>0</v>
      </c>
      <c r="AL44" s="37">
        <f t="shared" si="47"/>
        <v>0</v>
      </c>
      <c r="AM44" s="414">
        <v>0</v>
      </c>
      <c r="AN44" s="37">
        <f t="shared" si="48"/>
        <v>0</v>
      </c>
      <c r="AO44" s="414">
        <v>0</v>
      </c>
      <c r="AP44" s="37">
        <f t="shared" si="49"/>
        <v>0</v>
      </c>
      <c r="AQ44" s="414">
        <v>1</v>
      </c>
      <c r="AR44" s="37">
        <f t="shared" si="12"/>
        <v>1</v>
      </c>
      <c r="AS44" s="414">
        <v>0</v>
      </c>
      <c r="AT44" s="37">
        <f t="shared" si="13"/>
        <v>0</v>
      </c>
      <c r="AU44" s="414">
        <v>0</v>
      </c>
      <c r="AV44" s="37">
        <f t="shared" si="50"/>
        <v>0</v>
      </c>
      <c r="AW44" s="414">
        <v>0</v>
      </c>
      <c r="AX44" s="37">
        <f t="shared" si="51"/>
        <v>0</v>
      </c>
      <c r="AZ44" s="37" t="str">
        <f t="shared" si="52"/>
        <v>18043-LMBMS 01109 Typical Details Sheet 9 (Internal Sandwich Panel)</v>
      </c>
    </row>
    <row r="45" spans="1:53" s="37" customFormat="1" ht="15" customHeight="1" outlineLevel="1">
      <c r="A45" s="43" t="s">
        <v>171</v>
      </c>
      <c r="B45" s="38" t="s">
        <v>94</v>
      </c>
      <c r="C45" s="233" t="s">
        <v>95</v>
      </c>
      <c r="D45" s="268"/>
      <c r="E45" s="42" t="s">
        <v>172</v>
      </c>
      <c r="H45" s="38" t="s">
        <v>97</v>
      </c>
      <c r="J45" s="38"/>
      <c r="K45" s="38"/>
      <c r="L45" s="38"/>
      <c r="N45" s="38"/>
      <c r="O45" s="38"/>
      <c r="P45" s="38">
        <v>0</v>
      </c>
      <c r="Q45" s="38" t="s">
        <v>98</v>
      </c>
      <c r="R45" s="40" t="s">
        <v>99</v>
      </c>
      <c r="S45" s="304"/>
      <c r="T45" s="40" t="str" cm="1">
        <f t="array" ref="T45">IF(A45&lt;&gt;"",_xlfn.XLOOKUP(_xlfn.XLOOKUP(TRUE,F45:N45&lt;&gt;"",F45:N45,"-",-1,-1),F45:N45,$F$6:$N$6,,,-1),"")</f>
        <v>Add1</v>
      </c>
      <c r="U45" s="324"/>
      <c r="V45" s="40"/>
      <c r="W45" s="415" t="s">
        <v>117</v>
      </c>
      <c r="X45" s="239" t="s">
        <v>102</v>
      </c>
      <c r="Y45" s="239" t="s">
        <v>103</v>
      </c>
      <c r="Z45" s="417">
        <v>1</v>
      </c>
      <c r="AA45" s="414">
        <v>0</v>
      </c>
      <c r="AB45" s="37">
        <f t="shared" si="27"/>
        <v>0</v>
      </c>
      <c r="AC45" s="414">
        <v>0</v>
      </c>
      <c r="AD45" s="37">
        <f t="shared" si="28"/>
        <v>0</v>
      </c>
      <c r="AE45" s="414">
        <v>0.8</v>
      </c>
      <c r="AF45" s="37">
        <f t="shared" si="44"/>
        <v>0.8</v>
      </c>
      <c r="AG45" s="414">
        <v>0</v>
      </c>
      <c r="AH45" s="37">
        <f t="shared" si="45"/>
        <v>0</v>
      </c>
      <c r="AI45" s="414">
        <v>0</v>
      </c>
      <c r="AJ45" s="37">
        <f t="shared" si="46"/>
        <v>0</v>
      </c>
      <c r="AK45" s="414">
        <v>0</v>
      </c>
      <c r="AL45" s="37">
        <f t="shared" si="47"/>
        <v>0</v>
      </c>
      <c r="AM45" s="414">
        <v>0</v>
      </c>
      <c r="AN45" s="37">
        <f t="shared" si="48"/>
        <v>0</v>
      </c>
      <c r="AO45" s="414">
        <v>0</v>
      </c>
      <c r="AP45" s="37">
        <f t="shared" si="49"/>
        <v>0</v>
      </c>
      <c r="AQ45" s="414">
        <v>1</v>
      </c>
      <c r="AR45" s="37">
        <f t="shared" si="12"/>
        <v>1</v>
      </c>
      <c r="AS45" s="414">
        <v>0</v>
      </c>
      <c r="AT45" s="37">
        <f t="shared" si="13"/>
        <v>0</v>
      </c>
      <c r="AU45" s="414">
        <v>0</v>
      </c>
      <c r="AV45" s="37">
        <f t="shared" si="50"/>
        <v>0</v>
      </c>
      <c r="AW45" s="414">
        <v>0</v>
      </c>
      <c r="AX45" s="37">
        <f t="shared" si="51"/>
        <v>0</v>
      </c>
      <c r="AY45" s="390"/>
      <c r="AZ45" s="37" t="str">
        <f t="shared" si="52"/>
        <v>18043-LMBMS 01110 Typical Details Sheet 10 (Sandwich Panel-Horizontal Installation)</v>
      </c>
    </row>
    <row r="46" spans="1:53" s="37" customFormat="1" ht="15" customHeight="1" outlineLevel="1">
      <c r="A46" s="43" t="s">
        <v>173</v>
      </c>
      <c r="B46" s="38" t="s">
        <v>94</v>
      </c>
      <c r="C46" s="233" t="s">
        <v>95</v>
      </c>
      <c r="D46" s="268"/>
      <c r="E46" s="42" t="s">
        <v>174</v>
      </c>
      <c r="H46" s="38" t="s">
        <v>97</v>
      </c>
      <c r="J46" s="38"/>
      <c r="K46" s="38"/>
      <c r="L46" s="38"/>
      <c r="N46" s="38"/>
      <c r="O46" s="38"/>
      <c r="P46" s="38">
        <v>0</v>
      </c>
      <c r="Q46" s="38" t="s">
        <v>98</v>
      </c>
      <c r="R46" s="40" t="s">
        <v>99</v>
      </c>
      <c r="S46" s="304"/>
      <c r="T46" s="40" t="str" cm="1">
        <f t="array" ref="T46">IF(A46&lt;&gt;"",_xlfn.XLOOKUP(_xlfn.XLOOKUP(TRUE,F46:N46&lt;&gt;"",F46:N46,"-",-1,-1),F46:N46,$F$6:$N$6,,,-1),"")</f>
        <v>Add1</v>
      </c>
      <c r="U46" s="324"/>
      <c r="V46" s="40"/>
      <c r="W46" s="415" t="s">
        <v>117</v>
      </c>
      <c r="X46" s="239" t="s">
        <v>102</v>
      </c>
      <c r="Y46" s="239" t="s">
        <v>103</v>
      </c>
      <c r="Z46" s="417">
        <v>1</v>
      </c>
      <c r="AA46" s="414">
        <v>0</v>
      </c>
      <c r="AB46" s="37">
        <f t="shared" si="27"/>
        <v>0</v>
      </c>
      <c r="AC46" s="414">
        <v>0</v>
      </c>
      <c r="AD46" s="37">
        <f t="shared" si="28"/>
        <v>0</v>
      </c>
      <c r="AE46" s="414">
        <v>0.8</v>
      </c>
      <c r="AF46" s="37">
        <f t="shared" si="44"/>
        <v>0.8</v>
      </c>
      <c r="AG46" s="414">
        <v>0</v>
      </c>
      <c r="AH46" s="37">
        <f t="shared" si="45"/>
        <v>0</v>
      </c>
      <c r="AI46" s="414">
        <v>0</v>
      </c>
      <c r="AJ46" s="37">
        <f t="shared" si="46"/>
        <v>0</v>
      </c>
      <c r="AK46" s="414">
        <v>0</v>
      </c>
      <c r="AL46" s="37">
        <f t="shared" si="47"/>
        <v>0</v>
      </c>
      <c r="AM46" s="414">
        <v>0</v>
      </c>
      <c r="AN46" s="37">
        <f t="shared" si="48"/>
        <v>0</v>
      </c>
      <c r="AO46" s="414">
        <v>0</v>
      </c>
      <c r="AP46" s="37">
        <f t="shared" si="49"/>
        <v>0</v>
      </c>
      <c r="AQ46" s="414">
        <v>1</v>
      </c>
      <c r="AR46" s="37">
        <f t="shared" si="12"/>
        <v>1</v>
      </c>
      <c r="AS46" s="414">
        <v>0</v>
      </c>
      <c r="AT46" s="37">
        <f t="shared" si="13"/>
        <v>0</v>
      </c>
      <c r="AU46" s="414">
        <v>0</v>
      </c>
      <c r="AV46" s="37">
        <f t="shared" si="50"/>
        <v>0</v>
      </c>
      <c r="AW46" s="414">
        <v>0</v>
      </c>
      <c r="AX46" s="37">
        <f t="shared" si="51"/>
        <v>0</v>
      </c>
      <c r="AY46" s="390"/>
      <c r="AZ46" s="37" t="str">
        <f t="shared" si="52"/>
        <v>18043-LMBMS 01111 Typical Details Sheet 11 (Sandwich Panel-Vertical Installation)</v>
      </c>
    </row>
    <row r="47" spans="1:53" s="37" customFormat="1" ht="15" customHeight="1" outlineLevel="1">
      <c r="A47" s="43" t="s">
        <v>175</v>
      </c>
      <c r="B47" s="38" t="s">
        <v>94</v>
      </c>
      <c r="C47" s="233" t="s">
        <v>95</v>
      </c>
      <c r="D47" s="268"/>
      <c r="E47" s="42" t="s">
        <v>176</v>
      </c>
      <c r="H47" s="236" t="s">
        <v>97</v>
      </c>
      <c r="I47" s="38"/>
      <c r="J47" s="38"/>
      <c r="K47" s="38"/>
      <c r="L47" s="38"/>
      <c r="M47" s="38"/>
      <c r="N47" s="38"/>
      <c r="O47" s="38"/>
      <c r="P47" s="38">
        <v>0</v>
      </c>
      <c r="Q47" s="38" t="s">
        <v>98</v>
      </c>
      <c r="R47" s="40" t="s">
        <v>99</v>
      </c>
      <c r="S47" s="304"/>
      <c r="T47" s="40" t="str" cm="1">
        <f t="array" ref="T47">IF(A47&lt;&gt;"",_xlfn.XLOOKUP(_xlfn.XLOOKUP(TRUE,F47:N47&lt;&gt;"",F47:N47,"-",-1,-1),F47:N47,$F$6:$N$6,,,-1),"")</f>
        <v>Add1</v>
      </c>
      <c r="U47" s="324"/>
      <c r="V47" s="40"/>
      <c r="W47" s="415" t="s">
        <v>117</v>
      </c>
      <c r="X47" s="239" t="s">
        <v>102</v>
      </c>
      <c r="Y47" s="239" t="s">
        <v>103</v>
      </c>
      <c r="Z47" s="417">
        <v>1</v>
      </c>
      <c r="AA47" s="414">
        <v>0</v>
      </c>
      <c r="AB47" s="37">
        <f t="shared" si="27"/>
        <v>0</v>
      </c>
      <c r="AC47" s="414">
        <v>0</v>
      </c>
      <c r="AD47" s="37">
        <f t="shared" si="28"/>
        <v>0</v>
      </c>
      <c r="AE47" s="414">
        <v>0.8</v>
      </c>
      <c r="AF47" s="37">
        <f t="shared" si="44"/>
        <v>0.8</v>
      </c>
      <c r="AG47" s="414">
        <v>0</v>
      </c>
      <c r="AH47" s="37">
        <f t="shared" si="45"/>
        <v>0</v>
      </c>
      <c r="AI47" s="414">
        <v>0</v>
      </c>
      <c r="AJ47" s="37">
        <f t="shared" si="46"/>
        <v>0</v>
      </c>
      <c r="AK47" s="414">
        <v>0</v>
      </c>
      <c r="AL47" s="37">
        <f t="shared" si="47"/>
        <v>0</v>
      </c>
      <c r="AM47" s="414">
        <v>0</v>
      </c>
      <c r="AN47" s="37">
        <f t="shared" si="48"/>
        <v>0</v>
      </c>
      <c r="AO47" s="414">
        <v>0</v>
      </c>
      <c r="AP47" s="37">
        <f t="shared" si="49"/>
        <v>0</v>
      </c>
      <c r="AQ47" s="414">
        <v>1</v>
      </c>
      <c r="AR47" s="37">
        <f t="shared" si="12"/>
        <v>1</v>
      </c>
      <c r="AS47" s="414">
        <v>0</v>
      </c>
      <c r="AT47" s="37">
        <f t="shared" si="13"/>
        <v>0</v>
      </c>
      <c r="AU47" s="414">
        <v>0</v>
      </c>
      <c r="AV47" s="37">
        <f t="shared" si="50"/>
        <v>0</v>
      </c>
      <c r="AW47" s="414">
        <v>0</v>
      </c>
      <c r="AX47" s="37">
        <f t="shared" si="51"/>
        <v>0</v>
      </c>
      <c r="AY47" s="390"/>
      <c r="AZ47" s="37" t="str">
        <f t="shared" si="52"/>
        <v>18043-LMBMS 01112 Typical Details Sheet 12 (Penetration for M&amp;E Work)</v>
      </c>
    </row>
    <row r="48" spans="1:53" s="37" customFormat="1" ht="15" customHeight="1" outlineLevel="1">
      <c r="A48" s="43" t="s">
        <v>177</v>
      </c>
      <c r="B48" s="38" t="s">
        <v>94</v>
      </c>
      <c r="C48" s="233" t="s">
        <v>95</v>
      </c>
      <c r="D48" s="268"/>
      <c r="E48" s="42" t="s">
        <v>178</v>
      </c>
      <c r="H48" s="38" t="s">
        <v>97</v>
      </c>
      <c r="I48" s="38"/>
      <c r="J48" s="38"/>
      <c r="K48" s="38"/>
      <c r="L48" s="38"/>
      <c r="M48" s="38"/>
      <c r="N48" s="38"/>
      <c r="O48" s="38"/>
      <c r="P48" s="38">
        <v>0</v>
      </c>
      <c r="Q48" s="38" t="s">
        <v>98</v>
      </c>
      <c r="R48" s="40" t="s">
        <v>99</v>
      </c>
      <c r="S48" s="304"/>
      <c r="T48" s="40" t="str" cm="1">
        <f t="array" ref="T48">IF(A48&lt;&gt;"",_xlfn.XLOOKUP(_xlfn.XLOOKUP(TRUE,F48:N48&lt;&gt;"",F48:N48,"-",-1,-1),F48:N48,$F$6:$N$6,,,-1),"")</f>
        <v>Add1</v>
      </c>
      <c r="U48" s="324"/>
      <c r="V48" s="40"/>
      <c r="W48" s="415" t="s">
        <v>117</v>
      </c>
      <c r="X48" s="239" t="s">
        <v>102</v>
      </c>
      <c r="Y48" s="239" t="s">
        <v>103</v>
      </c>
      <c r="Z48" s="417">
        <v>1</v>
      </c>
      <c r="AA48" s="414">
        <v>0</v>
      </c>
      <c r="AB48" s="37">
        <f t="shared" si="27"/>
        <v>0</v>
      </c>
      <c r="AC48" s="414">
        <v>0</v>
      </c>
      <c r="AD48" s="37">
        <f t="shared" si="28"/>
        <v>0</v>
      </c>
      <c r="AE48" s="414">
        <v>0.8</v>
      </c>
      <c r="AF48" s="37">
        <f t="shared" si="44"/>
        <v>0.8</v>
      </c>
      <c r="AG48" s="414">
        <v>0</v>
      </c>
      <c r="AH48" s="37">
        <f t="shared" si="45"/>
        <v>0</v>
      </c>
      <c r="AI48" s="414">
        <v>0</v>
      </c>
      <c r="AJ48" s="37">
        <f t="shared" si="46"/>
        <v>0</v>
      </c>
      <c r="AK48" s="414">
        <v>0</v>
      </c>
      <c r="AL48" s="37">
        <f t="shared" si="47"/>
        <v>0</v>
      </c>
      <c r="AM48" s="414">
        <v>0</v>
      </c>
      <c r="AN48" s="37">
        <f t="shared" si="48"/>
        <v>0</v>
      </c>
      <c r="AO48" s="414">
        <v>0</v>
      </c>
      <c r="AP48" s="37">
        <f t="shared" si="49"/>
        <v>0</v>
      </c>
      <c r="AQ48" s="414">
        <v>1</v>
      </c>
      <c r="AR48" s="37">
        <f t="shared" si="12"/>
        <v>1</v>
      </c>
      <c r="AS48" s="414">
        <v>0</v>
      </c>
      <c r="AT48" s="37">
        <f t="shared" si="13"/>
        <v>0</v>
      </c>
      <c r="AU48" s="414">
        <v>0</v>
      </c>
      <c r="AV48" s="37">
        <f t="shared" si="50"/>
        <v>0</v>
      </c>
      <c r="AW48" s="414">
        <v>0</v>
      </c>
      <c r="AX48" s="37">
        <f t="shared" si="51"/>
        <v>0</v>
      </c>
      <c r="AY48" s="390"/>
      <c r="AZ48" s="37" t="str">
        <f t="shared" si="52"/>
        <v>18043-LMBMS 01113 Typical Details Sheet 13 (Dry Wall &amp; Joinery)</v>
      </c>
    </row>
    <row r="49" spans="1:52" s="37" customFormat="1" ht="15" customHeight="1" outlineLevel="1">
      <c r="A49" s="43" t="s">
        <v>179</v>
      </c>
      <c r="B49" s="38" t="s">
        <v>94</v>
      </c>
      <c r="C49" s="233" t="s">
        <v>95</v>
      </c>
      <c r="D49" s="268"/>
      <c r="E49" s="42" t="s">
        <v>180</v>
      </c>
      <c r="H49" s="38" t="s">
        <v>97</v>
      </c>
      <c r="I49" s="38"/>
      <c r="J49" s="38"/>
      <c r="K49" s="38"/>
      <c r="L49" s="38"/>
      <c r="M49" s="38"/>
      <c r="N49" s="38"/>
      <c r="O49" s="38"/>
      <c r="P49" s="38">
        <v>0</v>
      </c>
      <c r="Q49" s="38" t="s">
        <v>98</v>
      </c>
      <c r="R49" s="40" t="s">
        <v>99</v>
      </c>
      <c r="S49" s="304"/>
      <c r="T49" s="40" t="str" cm="1">
        <f t="array" ref="T49">IF(A49&lt;&gt;"",_xlfn.XLOOKUP(_xlfn.XLOOKUP(TRUE,F49:N49&lt;&gt;"",F49:N49,"-",-1,-1),F49:N49,$F$6:$N$6,,,-1),"")</f>
        <v>Add1</v>
      </c>
      <c r="U49" s="324"/>
      <c r="V49" s="40"/>
      <c r="W49" s="415" t="s">
        <v>117</v>
      </c>
      <c r="X49" s="239" t="s">
        <v>102</v>
      </c>
      <c r="Y49" s="239" t="s">
        <v>103</v>
      </c>
      <c r="Z49" s="417">
        <v>1</v>
      </c>
      <c r="AA49" s="414">
        <v>0</v>
      </c>
      <c r="AB49" s="37">
        <f t="shared" si="27"/>
        <v>0</v>
      </c>
      <c r="AC49" s="414">
        <v>0</v>
      </c>
      <c r="AD49" s="37">
        <f t="shared" si="28"/>
        <v>0</v>
      </c>
      <c r="AE49" s="414">
        <v>0.8</v>
      </c>
      <c r="AF49" s="37">
        <f t="shared" si="44"/>
        <v>0.8</v>
      </c>
      <c r="AG49" s="414">
        <v>0</v>
      </c>
      <c r="AH49" s="37">
        <f t="shared" si="45"/>
        <v>0</v>
      </c>
      <c r="AI49" s="414">
        <v>0</v>
      </c>
      <c r="AJ49" s="37">
        <f t="shared" si="46"/>
        <v>0</v>
      </c>
      <c r="AK49" s="414">
        <v>0</v>
      </c>
      <c r="AL49" s="37">
        <f t="shared" si="47"/>
        <v>0</v>
      </c>
      <c r="AM49" s="414">
        <v>0</v>
      </c>
      <c r="AN49" s="37">
        <f t="shared" si="48"/>
        <v>0</v>
      </c>
      <c r="AO49" s="414">
        <v>0</v>
      </c>
      <c r="AP49" s="37">
        <f t="shared" si="49"/>
        <v>0</v>
      </c>
      <c r="AQ49" s="414">
        <v>1</v>
      </c>
      <c r="AR49" s="37">
        <f t="shared" si="12"/>
        <v>1</v>
      </c>
      <c r="AS49" s="414">
        <v>0</v>
      </c>
      <c r="AT49" s="37">
        <f t="shared" si="13"/>
        <v>0</v>
      </c>
      <c r="AU49" s="414">
        <v>0</v>
      </c>
      <c r="AV49" s="37">
        <f t="shared" si="50"/>
        <v>0</v>
      </c>
      <c r="AW49" s="414">
        <v>0</v>
      </c>
      <c r="AX49" s="37">
        <f t="shared" si="51"/>
        <v>0</v>
      </c>
      <c r="AY49" s="390"/>
      <c r="AZ49" s="37" t="str">
        <f t="shared" si="52"/>
        <v>18043-LMBMS 01114 Typical Details Sheet 14 (Steel Handrail &amp; Stair 1)</v>
      </c>
    </row>
    <row r="50" spans="1:52" s="37" customFormat="1" ht="15" customHeight="1" outlineLevel="1">
      <c r="A50" s="43" t="s">
        <v>181</v>
      </c>
      <c r="B50" s="38" t="s">
        <v>94</v>
      </c>
      <c r="C50" s="233" t="s">
        <v>95</v>
      </c>
      <c r="D50" s="268"/>
      <c r="E50" s="42" t="s">
        <v>182</v>
      </c>
      <c r="H50" s="38" t="s">
        <v>97</v>
      </c>
      <c r="I50" s="38" t="s">
        <v>34</v>
      </c>
      <c r="J50" s="38"/>
      <c r="K50" s="38"/>
      <c r="L50" s="38"/>
      <c r="M50" s="38"/>
      <c r="N50" s="38"/>
      <c r="O50" s="38"/>
      <c r="P50" s="38">
        <v>0</v>
      </c>
      <c r="Q50" s="38" t="s">
        <v>98</v>
      </c>
      <c r="R50" s="40" t="s">
        <v>99</v>
      </c>
      <c r="S50" s="304"/>
      <c r="T50" s="40" t="str" cm="1">
        <f t="array" ref="T50">IF(A50&lt;&gt;"",_xlfn.XLOOKUP(_xlfn.XLOOKUP(TRUE,F50:N50&lt;&gt;"",F50:N50,"-",-1,-1),F50:N50,$F$6:$N$6,,,-1),"")</f>
        <v>Add2</v>
      </c>
      <c r="U50" s="324"/>
      <c r="V50" s="40"/>
      <c r="W50" s="415" t="s">
        <v>117</v>
      </c>
      <c r="X50" s="239" t="s">
        <v>102</v>
      </c>
      <c r="Y50" s="239" t="s">
        <v>103</v>
      </c>
      <c r="Z50" s="417">
        <v>1</v>
      </c>
      <c r="AA50" s="414">
        <v>0</v>
      </c>
      <c r="AB50" s="37">
        <f t="shared" si="27"/>
        <v>0</v>
      </c>
      <c r="AC50" s="414">
        <v>0</v>
      </c>
      <c r="AD50" s="37">
        <f t="shared" si="28"/>
        <v>0</v>
      </c>
      <c r="AE50" s="414">
        <v>0.8</v>
      </c>
      <c r="AF50" s="37">
        <f t="shared" si="44"/>
        <v>0.8</v>
      </c>
      <c r="AG50" s="414">
        <v>0</v>
      </c>
      <c r="AH50" s="37">
        <f t="shared" si="45"/>
        <v>0</v>
      </c>
      <c r="AI50" s="414">
        <v>0</v>
      </c>
      <c r="AJ50" s="37">
        <f t="shared" si="46"/>
        <v>0</v>
      </c>
      <c r="AK50" s="414">
        <v>0</v>
      </c>
      <c r="AL50" s="37">
        <f t="shared" si="47"/>
        <v>0</v>
      </c>
      <c r="AM50" s="414">
        <v>0</v>
      </c>
      <c r="AN50" s="37">
        <f t="shared" si="48"/>
        <v>0</v>
      </c>
      <c r="AO50" s="414">
        <v>0</v>
      </c>
      <c r="AP50" s="37">
        <f t="shared" si="49"/>
        <v>0</v>
      </c>
      <c r="AQ50" s="414">
        <v>1</v>
      </c>
      <c r="AR50" s="37">
        <f t="shared" si="12"/>
        <v>1</v>
      </c>
      <c r="AS50" s="414">
        <v>0</v>
      </c>
      <c r="AT50" s="37">
        <f t="shared" si="13"/>
        <v>0</v>
      </c>
      <c r="AU50" s="414">
        <v>0</v>
      </c>
      <c r="AV50" s="37">
        <f t="shared" si="50"/>
        <v>0</v>
      </c>
      <c r="AW50" s="414">
        <v>0</v>
      </c>
      <c r="AX50" s="37">
        <f t="shared" si="51"/>
        <v>0</v>
      </c>
      <c r="AZ50" s="37" t="str">
        <f t="shared" si="52"/>
        <v>18043-LMBMS 01115 Typical Details Sheet 15 (Steel Handrail &amp; Stair 2)</v>
      </c>
    </row>
    <row r="51" spans="1:52" s="37" customFormat="1" ht="15" customHeight="1" outlineLevel="1">
      <c r="A51" s="43" t="s">
        <v>183</v>
      </c>
      <c r="B51" s="38" t="s">
        <v>94</v>
      </c>
      <c r="C51" s="233" t="s">
        <v>95</v>
      </c>
      <c r="D51" s="268"/>
      <c r="E51" s="42" t="s">
        <v>184</v>
      </c>
      <c r="H51" s="38" t="s">
        <v>97</v>
      </c>
      <c r="J51" s="38"/>
      <c r="K51" s="38"/>
      <c r="L51" s="38" t="s">
        <v>34</v>
      </c>
      <c r="N51" s="38"/>
      <c r="O51" s="38"/>
      <c r="P51" s="38">
        <v>0</v>
      </c>
      <c r="Q51" s="38" t="s">
        <v>98</v>
      </c>
      <c r="R51" s="40" t="s">
        <v>99</v>
      </c>
      <c r="S51" s="304"/>
      <c r="T51" s="40" t="str" cm="1">
        <f t="array" ref="T51">IF(A51&lt;&gt;"",_xlfn.XLOOKUP(_xlfn.XLOOKUP(TRUE,F51:N51&lt;&gt;"",F51:N51,"-",-1,-1),F51:N51,$F$6:$N$6,,,-1),"")</f>
        <v>Add7</v>
      </c>
      <c r="U51" s="324"/>
      <c r="V51" s="40"/>
      <c r="W51" s="415" t="s">
        <v>117</v>
      </c>
      <c r="X51" s="239" t="s">
        <v>102</v>
      </c>
      <c r="Y51" s="239" t="s">
        <v>103</v>
      </c>
      <c r="Z51" s="417">
        <v>1</v>
      </c>
      <c r="AA51" s="414">
        <v>0</v>
      </c>
      <c r="AB51" s="37">
        <f t="shared" si="27"/>
        <v>0</v>
      </c>
      <c r="AC51" s="414">
        <v>0</v>
      </c>
      <c r="AD51" s="37">
        <f t="shared" si="28"/>
        <v>0</v>
      </c>
      <c r="AE51" s="414">
        <v>0.8</v>
      </c>
      <c r="AF51" s="37">
        <f t="shared" si="44"/>
        <v>0.8</v>
      </c>
      <c r="AG51" s="414">
        <v>0</v>
      </c>
      <c r="AH51" s="37">
        <f t="shared" si="45"/>
        <v>0</v>
      </c>
      <c r="AI51" s="414">
        <v>0</v>
      </c>
      <c r="AJ51" s="37">
        <f t="shared" si="46"/>
        <v>0</v>
      </c>
      <c r="AK51" s="414">
        <v>0</v>
      </c>
      <c r="AL51" s="37">
        <f t="shared" si="47"/>
        <v>0</v>
      </c>
      <c r="AM51" s="414">
        <v>0</v>
      </c>
      <c r="AN51" s="37">
        <f t="shared" si="48"/>
        <v>0</v>
      </c>
      <c r="AO51" s="414">
        <v>0</v>
      </c>
      <c r="AP51" s="37">
        <f t="shared" si="49"/>
        <v>0</v>
      </c>
      <c r="AQ51" s="414">
        <v>1</v>
      </c>
      <c r="AR51" s="37">
        <f t="shared" si="12"/>
        <v>1</v>
      </c>
      <c r="AS51" s="414">
        <v>0</v>
      </c>
      <c r="AT51" s="37">
        <f t="shared" si="13"/>
        <v>0</v>
      </c>
      <c r="AU51" s="414">
        <v>0</v>
      </c>
      <c r="AV51" s="37">
        <f t="shared" si="50"/>
        <v>0</v>
      </c>
      <c r="AW51" s="414">
        <v>0</v>
      </c>
      <c r="AX51" s="37">
        <f t="shared" si="51"/>
        <v>0</v>
      </c>
      <c r="AZ51" s="37" t="str">
        <f t="shared" si="52"/>
        <v>18043-LMBMS 01116 Typical Details Sheet 16 (Building Protection &amp; Traffic Paint)</v>
      </c>
    </row>
    <row r="52" spans="1:52" s="37" customFormat="1" ht="15" customHeight="1" outlineLevel="1">
      <c r="A52" s="43" t="s">
        <v>185</v>
      </c>
      <c r="B52" s="38" t="s">
        <v>94</v>
      </c>
      <c r="C52" s="233" t="s">
        <v>95</v>
      </c>
      <c r="D52" s="268"/>
      <c r="E52" s="42" t="s">
        <v>186</v>
      </c>
      <c r="H52" s="38" t="s">
        <v>97</v>
      </c>
      <c r="I52" s="38"/>
      <c r="J52" s="38"/>
      <c r="K52" s="38"/>
      <c r="L52" s="38"/>
      <c r="M52" s="38"/>
      <c r="N52" s="38"/>
      <c r="O52" s="38"/>
      <c r="P52" s="38">
        <v>0</v>
      </c>
      <c r="Q52" s="38" t="s">
        <v>98</v>
      </c>
      <c r="R52" s="40" t="s">
        <v>99</v>
      </c>
      <c r="S52" s="304"/>
      <c r="T52" s="40" t="str" cm="1">
        <f t="array" ref="T52">IF(A52&lt;&gt;"",_xlfn.XLOOKUP(_xlfn.XLOOKUP(TRUE,F52:N52&lt;&gt;"",F52:N52,"-",-1,-1),F52:N52,$F$6:$N$6,,,-1),"")</f>
        <v>Add1</v>
      </c>
      <c r="U52" s="324"/>
      <c r="V52" s="40"/>
      <c r="W52" s="415" t="s">
        <v>117</v>
      </c>
      <c r="X52" s="239" t="s">
        <v>102</v>
      </c>
      <c r="Y52" s="239" t="s">
        <v>103</v>
      </c>
      <c r="Z52" s="417">
        <v>1</v>
      </c>
      <c r="AA52" s="414">
        <v>0</v>
      </c>
      <c r="AB52" s="37">
        <f t="shared" si="27"/>
        <v>0</v>
      </c>
      <c r="AC52" s="414">
        <v>0</v>
      </c>
      <c r="AD52" s="37">
        <f t="shared" si="28"/>
        <v>0</v>
      </c>
      <c r="AE52" s="414">
        <v>0.8</v>
      </c>
      <c r="AF52" s="37">
        <f t="shared" si="44"/>
        <v>0.8</v>
      </c>
      <c r="AG52" s="414">
        <v>0</v>
      </c>
      <c r="AH52" s="37">
        <f t="shared" si="45"/>
        <v>0</v>
      </c>
      <c r="AI52" s="414">
        <v>0</v>
      </c>
      <c r="AJ52" s="37">
        <f t="shared" si="46"/>
        <v>0</v>
      </c>
      <c r="AK52" s="414">
        <v>0</v>
      </c>
      <c r="AL52" s="37">
        <f t="shared" si="47"/>
        <v>0</v>
      </c>
      <c r="AM52" s="414">
        <v>0</v>
      </c>
      <c r="AN52" s="37">
        <f t="shared" si="48"/>
        <v>0</v>
      </c>
      <c r="AO52" s="414">
        <v>0</v>
      </c>
      <c r="AP52" s="37">
        <f t="shared" si="49"/>
        <v>0</v>
      </c>
      <c r="AQ52" s="414">
        <v>1</v>
      </c>
      <c r="AR52" s="37">
        <f t="shared" si="12"/>
        <v>1</v>
      </c>
      <c r="AS52" s="414">
        <v>0</v>
      </c>
      <c r="AT52" s="37">
        <f t="shared" si="13"/>
        <v>0</v>
      </c>
      <c r="AU52" s="414">
        <v>0</v>
      </c>
      <c r="AV52" s="37">
        <f t="shared" si="50"/>
        <v>0</v>
      </c>
      <c r="AW52" s="414">
        <v>0</v>
      </c>
      <c r="AX52" s="37">
        <f t="shared" si="51"/>
        <v>0</v>
      </c>
      <c r="AY52" s="390"/>
      <c r="AZ52" s="37" t="str">
        <f t="shared" si="52"/>
        <v>18043-LMBMS 01117 Typical Details Sheet 17 (Fire proof joint &amp; Fire Rate Details)</v>
      </c>
    </row>
    <row r="53" spans="1:52" s="37" customFormat="1" ht="15" customHeight="1" outlineLevel="1">
      <c r="A53" s="43" t="s">
        <v>187</v>
      </c>
      <c r="B53" s="38" t="s">
        <v>94</v>
      </c>
      <c r="C53" s="233" t="s">
        <v>95</v>
      </c>
      <c r="D53" s="268"/>
      <c r="E53" s="42" t="s">
        <v>188</v>
      </c>
      <c r="I53" s="38" t="s">
        <v>97</v>
      </c>
      <c r="J53" s="38"/>
      <c r="K53" s="38"/>
      <c r="L53" s="38"/>
      <c r="M53" s="38"/>
      <c r="N53" s="38"/>
      <c r="O53" s="38"/>
      <c r="P53" s="38">
        <v>0</v>
      </c>
      <c r="Q53" s="38" t="s">
        <v>98</v>
      </c>
      <c r="R53" s="40" t="s">
        <v>99</v>
      </c>
      <c r="S53" s="304"/>
      <c r="T53" s="40" t="str" cm="1">
        <f t="array" ref="T53">IF(A53&lt;&gt;"",_xlfn.XLOOKUP(_xlfn.XLOOKUP(TRUE,F53:N53&lt;&gt;"",F53:N53,"-",-1,-1),F53:N53,$F$6:$N$6,,,-1),"")</f>
        <v>Add2</v>
      </c>
      <c r="U53" s="324"/>
      <c r="V53" s="40"/>
      <c r="W53" s="415" t="s">
        <v>117</v>
      </c>
      <c r="X53" s="239" t="s">
        <v>102</v>
      </c>
      <c r="Y53" s="239" t="s">
        <v>103</v>
      </c>
      <c r="Z53" s="417">
        <v>0.5</v>
      </c>
      <c r="AA53" s="414">
        <v>0</v>
      </c>
      <c r="AB53" s="37">
        <f t="shared" si="27"/>
        <v>0</v>
      </c>
      <c r="AC53" s="414">
        <v>0</v>
      </c>
      <c r="AD53" s="37">
        <f t="shared" si="28"/>
        <v>0</v>
      </c>
      <c r="AE53" s="414">
        <v>0.8</v>
      </c>
      <c r="AF53" s="37">
        <f t="shared" si="44"/>
        <v>0.4</v>
      </c>
      <c r="AG53" s="414">
        <v>0</v>
      </c>
      <c r="AH53" s="37">
        <f t="shared" si="45"/>
        <v>0</v>
      </c>
      <c r="AI53" s="414">
        <v>0</v>
      </c>
      <c r="AJ53" s="37">
        <f t="shared" si="46"/>
        <v>0</v>
      </c>
      <c r="AK53" s="414">
        <v>0</v>
      </c>
      <c r="AL53" s="37">
        <f t="shared" si="47"/>
        <v>0</v>
      </c>
      <c r="AM53" s="414">
        <v>0</v>
      </c>
      <c r="AN53" s="37">
        <f t="shared" si="48"/>
        <v>0</v>
      </c>
      <c r="AO53" s="414">
        <v>0</v>
      </c>
      <c r="AP53" s="37">
        <f t="shared" si="49"/>
        <v>0</v>
      </c>
      <c r="AQ53" s="414">
        <v>1</v>
      </c>
      <c r="AR53" s="37">
        <f t="shared" si="12"/>
        <v>0.5</v>
      </c>
      <c r="AS53" s="414">
        <v>0</v>
      </c>
      <c r="AT53" s="37">
        <f t="shared" si="13"/>
        <v>0</v>
      </c>
      <c r="AU53" s="414">
        <v>0</v>
      </c>
      <c r="AV53" s="37">
        <f t="shared" si="50"/>
        <v>0</v>
      </c>
      <c r="AW53" s="414">
        <v>0</v>
      </c>
      <c r="AX53" s="37">
        <f t="shared" si="51"/>
        <v>0</v>
      </c>
      <c r="AZ53" s="37" t="str">
        <f t="shared" si="52"/>
        <v>18043-LMBMS 01118 Typical Details Sheet 18 (Toilet &amp; Sanitary Ware Installation)</v>
      </c>
    </row>
    <row r="54" spans="1:52" s="37" customFormat="1" ht="15" customHeight="1" outlineLevel="1">
      <c r="A54" s="43"/>
      <c r="B54" s="38"/>
      <c r="C54" s="233"/>
      <c r="D54" s="38"/>
      <c r="E54" s="42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40"/>
      <c r="S54" s="40"/>
      <c r="T54" s="40" t="str" cm="1">
        <f t="array" ref="T54">IF(A54&lt;&gt;"",_xlfn.XLOOKUP(_xlfn.XLOOKUP(TRUE,F54:N54&lt;&gt;"",F54:N54,"-",-1,-1),F54:N54,$F$6:$N$6,,,-1),"")</f>
        <v/>
      </c>
      <c r="U54" s="324"/>
      <c r="V54" s="40"/>
      <c r="W54" s="236"/>
      <c r="X54" s="239"/>
      <c r="Y54" s="239"/>
      <c r="Z54" s="405"/>
      <c r="AA54" s="414"/>
      <c r="AC54" s="414"/>
      <c r="AE54" s="414"/>
      <c r="AG54" s="414"/>
      <c r="AI54" s="414"/>
      <c r="AK54" s="414"/>
      <c r="AM54" s="414"/>
      <c r="AO54" s="414"/>
      <c r="AQ54" s="414"/>
      <c r="AS54" s="414"/>
      <c r="AU54" s="414"/>
      <c r="AW54" s="414"/>
      <c r="AZ54" s="37" t="str">
        <f t="shared" si="52"/>
        <v xml:space="preserve"> </v>
      </c>
    </row>
    <row r="55" spans="1:52" s="37" customFormat="1" ht="15" customHeight="1" thickBot="1">
      <c r="A55" s="41"/>
      <c r="B55" s="38"/>
      <c r="C55" s="41"/>
      <c r="D55" s="38"/>
      <c r="E55" s="43" t="str">
        <f>"SUB-TOTAL "&amp;UPPER(A3)&amp;" DRAWINGS"</f>
        <v>SUB-TOTAL ARCHITECTURAL WORK DRAWINGS</v>
      </c>
      <c r="F55" s="133">
        <f t="shared" ref="F55:N55" si="53">COUNTA(F11:F54)</f>
        <v>13</v>
      </c>
      <c r="G55" s="133"/>
      <c r="H55" s="133">
        <f t="shared" si="53"/>
        <v>21</v>
      </c>
      <c r="I55" s="133">
        <f t="shared" si="53"/>
        <v>7</v>
      </c>
      <c r="J55" s="133">
        <f t="shared" si="53"/>
        <v>1</v>
      </c>
      <c r="K55" s="133">
        <f t="shared" si="53"/>
        <v>0</v>
      </c>
      <c r="L55" s="133">
        <f t="shared" si="53"/>
        <v>5</v>
      </c>
      <c r="M55" s="133">
        <f t="shared" si="53"/>
        <v>17</v>
      </c>
      <c r="N55" s="133">
        <f t="shared" si="53"/>
        <v>6</v>
      </c>
      <c r="O55" s="133"/>
      <c r="P55" s="133">
        <f>COUNTA(P10:P54)</f>
        <v>33</v>
      </c>
      <c r="Q55" s="38"/>
      <c r="R55" s="36"/>
      <c r="S55" s="36"/>
      <c r="T55" s="40" t="str" cm="1">
        <f t="array" ref="T55">IF(A55&lt;&gt;"",_xlfn.XLOOKUP(_xlfn.XLOOKUP(TRUE,F55:N55&lt;&gt;"",F55:N55,"-",-1,-1),F55:N55,$F$6:$N$6,,,-1),"")</f>
        <v/>
      </c>
      <c r="U55" s="322"/>
      <c r="V55" s="36"/>
      <c r="W55" s="236"/>
      <c r="X55" s="239"/>
      <c r="Y55" s="239"/>
      <c r="Z55" s="405"/>
      <c r="AA55" s="414"/>
      <c r="AC55" s="414"/>
      <c r="AE55" s="414"/>
      <c r="AG55" s="414"/>
      <c r="AI55" s="414"/>
      <c r="AK55" s="414"/>
      <c r="AM55" s="414"/>
      <c r="AO55" s="414"/>
      <c r="AQ55" s="414"/>
      <c r="AS55" s="414"/>
      <c r="AU55" s="414"/>
      <c r="AW55" s="414"/>
    </row>
    <row r="56" spans="1:52" s="37" customFormat="1" ht="15" customHeight="1" thickTop="1">
      <c r="A56" s="41"/>
      <c r="B56" s="38"/>
      <c r="C56" s="41"/>
      <c r="D56" s="38"/>
      <c r="E56" s="43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6"/>
      <c r="S56" s="36"/>
      <c r="T56" s="40" t="str" cm="1">
        <f t="array" ref="T56">IF(A56&lt;&gt;"",_xlfn.XLOOKUP(_xlfn.XLOOKUP(TRUE,F56:N56&lt;&gt;"",F56:N56,"-",-1,-1),F56:N56,$F$6:$N$6,,,-1),"")</f>
        <v/>
      </c>
      <c r="U56" s="322"/>
      <c r="V56" s="36"/>
      <c r="W56" s="236"/>
      <c r="X56" s="239"/>
      <c r="Y56" s="239"/>
      <c r="Z56" s="405"/>
      <c r="AA56" s="414"/>
      <c r="AC56" s="414"/>
      <c r="AE56" s="414"/>
      <c r="AG56" s="414"/>
      <c r="AI56" s="414"/>
      <c r="AK56" s="414"/>
      <c r="AM56" s="414"/>
      <c r="AO56" s="414"/>
      <c r="AQ56" s="414"/>
      <c r="AS56" s="414"/>
      <c r="AU56" s="414"/>
      <c r="AW56" s="414"/>
      <c r="AZ56" s="37" t="str">
        <f>A56&amp;" "&amp;E56</f>
        <v xml:space="preserve"> </v>
      </c>
    </row>
    <row r="57" spans="1:52" s="37" customFormat="1" ht="18" customHeight="1">
      <c r="A57" s="32" t="s">
        <v>189</v>
      </c>
      <c r="B57" s="235"/>
      <c r="C57" s="32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40"/>
      <c r="U57" s="321"/>
      <c r="V57" s="11"/>
      <c r="W57" s="412"/>
      <c r="X57" s="322"/>
      <c r="Y57" s="322"/>
      <c r="Z57" s="47"/>
      <c r="AA57" s="413"/>
      <c r="AC57" s="413"/>
      <c r="AE57" s="413"/>
      <c r="AG57" s="413"/>
      <c r="AI57" s="413"/>
      <c r="AK57" s="413"/>
      <c r="AM57" s="413"/>
      <c r="AO57" s="413"/>
      <c r="AS57" s="414"/>
      <c r="AU57" s="413"/>
      <c r="AW57" s="413"/>
    </row>
    <row r="58" spans="1:52" s="37" customFormat="1" ht="15" customHeight="1">
      <c r="B58" s="236"/>
      <c r="D58" s="38"/>
      <c r="E58" s="41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40"/>
      <c r="S58" s="40"/>
      <c r="T58" s="40" t="str" cm="1">
        <f t="array" ref="T58">IF(A58&lt;&gt;"",_xlfn.XLOOKUP(_xlfn.XLOOKUP(TRUE,F58:N58&lt;&gt;"",F58:N58,"-",-1,-1),F58:N58,$F$6:$N$6,,,-1),"")</f>
        <v/>
      </c>
      <c r="U58" s="324"/>
      <c r="V58" s="40"/>
      <c r="W58" s="236"/>
      <c r="X58" s="239"/>
      <c r="Y58" s="239"/>
      <c r="Z58" s="405"/>
      <c r="AA58" s="414"/>
      <c r="AC58" s="414"/>
      <c r="AE58" s="414"/>
      <c r="AG58" s="414"/>
      <c r="AI58" s="414"/>
      <c r="AK58" s="414"/>
      <c r="AM58" s="414"/>
      <c r="AO58" s="414"/>
      <c r="AQ58" s="414"/>
      <c r="AS58" s="414"/>
      <c r="AU58" s="414"/>
      <c r="AW58" s="414"/>
      <c r="AZ58" s="37" t="str">
        <f>A58&amp;" "&amp;E58</f>
        <v xml:space="preserve"> </v>
      </c>
    </row>
    <row r="59" spans="1:52" s="37" customFormat="1" ht="15" customHeight="1" outlineLevel="1">
      <c r="A59" s="43" t="s">
        <v>190</v>
      </c>
      <c r="B59" s="38" t="s">
        <v>94</v>
      </c>
      <c r="C59" s="255" t="s">
        <v>95</v>
      </c>
      <c r="D59" s="38"/>
      <c r="E59" s="213" t="s">
        <v>191</v>
      </c>
      <c r="F59" s="418"/>
      <c r="G59" s="418"/>
      <c r="H59" s="236"/>
      <c r="I59" s="236"/>
      <c r="J59" s="236"/>
      <c r="K59" s="236"/>
      <c r="L59" s="236" t="s">
        <v>97</v>
      </c>
      <c r="M59" s="363" t="s">
        <v>97</v>
      </c>
      <c r="N59" s="448" t="s">
        <v>34</v>
      </c>
      <c r="O59" s="236"/>
      <c r="P59" s="492">
        <v>0</v>
      </c>
      <c r="Q59" s="38" t="s">
        <v>98</v>
      </c>
      <c r="R59" s="262" t="s">
        <v>192</v>
      </c>
      <c r="S59" s="131"/>
      <c r="T59" s="40" t="str" cm="1">
        <f t="array" ref="T59">IF(A59&lt;&gt;"",_xlfn.XLOOKUP(_xlfn.XLOOKUP(TRUE,F59:N59&lt;&gt;"",F59:N59,"-",-1,-1),F59:N59,$F$6:$N$6,,,-1),"")</f>
        <v>Add8</v>
      </c>
      <c r="U59" s="362" t="s">
        <v>193</v>
      </c>
      <c r="V59" s="283" t="s">
        <v>194</v>
      </c>
      <c r="W59" s="415" t="s">
        <v>195</v>
      </c>
      <c r="X59" s="239" t="s">
        <v>102</v>
      </c>
      <c r="Y59" s="239" t="s">
        <v>193</v>
      </c>
      <c r="Z59" s="405">
        <v>1</v>
      </c>
      <c r="AA59" s="414">
        <v>0.8</v>
      </c>
      <c r="AB59" s="37">
        <f>$Z59*AA59</f>
        <v>0.8</v>
      </c>
      <c r="AC59" s="414">
        <v>0</v>
      </c>
      <c r="AD59" s="37">
        <f>$Z59*AC59</f>
        <v>0</v>
      </c>
      <c r="AE59" s="414">
        <v>1</v>
      </c>
      <c r="AF59" s="37">
        <f>$Z59*AE59</f>
        <v>1</v>
      </c>
      <c r="AG59" s="414">
        <v>0</v>
      </c>
      <c r="AH59" s="37">
        <f>$Z59*AG59</f>
        <v>0</v>
      </c>
      <c r="AI59" s="414">
        <v>0</v>
      </c>
      <c r="AJ59" s="37">
        <f>$Z59*AI59</f>
        <v>0</v>
      </c>
      <c r="AK59" s="414">
        <v>0</v>
      </c>
      <c r="AL59" s="37">
        <f>$Z59*AK59</f>
        <v>0</v>
      </c>
      <c r="AM59" s="414">
        <v>0</v>
      </c>
      <c r="AN59" s="37">
        <f>$Z59*AM59</f>
        <v>0</v>
      </c>
      <c r="AO59" s="414">
        <v>0</v>
      </c>
      <c r="AP59" s="37">
        <f>$Z59*AO59</f>
        <v>0</v>
      </c>
      <c r="AQ59" s="414">
        <v>1</v>
      </c>
      <c r="AR59" s="37">
        <f>$Z59*AQ59</f>
        <v>1</v>
      </c>
      <c r="AS59" s="414">
        <v>0</v>
      </c>
      <c r="AT59" s="37">
        <f>$Z59*AS59</f>
        <v>0</v>
      </c>
      <c r="AU59" s="414">
        <v>0</v>
      </c>
      <c r="AV59" s="37">
        <f>$Z59*AU59</f>
        <v>0</v>
      </c>
      <c r="AW59" s="414">
        <v>0</v>
      </c>
      <c r="AX59" s="37">
        <f>$Z59*AW59</f>
        <v>0</v>
      </c>
      <c r="AY59" s="390"/>
      <c r="AZ59" s="37" t="str">
        <f>A59&amp;" "&amp;E59</f>
        <v>18043-LM646 11001 Room Schedule Sheet 1</v>
      </c>
    </row>
    <row r="60" spans="1:52" s="37" customFormat="1" ht="15" customHeight="1">
      <c r="B60" s="236"/>
      <c r="D60" s="38"/>
      <c r="E60" s="41"/>
      <c r="F60" s="418"/>
      <c r="G60" s="418"/>
      <c r="H60" s="38"/>
      <c r="I60" s="38"/>
      <c r="J60" s="38"/>
      <c r="K60" s="38"/>
      <c r="L60" s="38"/>
      <c r="M60" s="38"/>
      <c r="N60" s="383"/>
      <c r="O60" s="38"/>
      <c r="P60" s="38"/>
      <c r="Q60" s="38"/>
      <c r="R60" s="40"/>
      <c r="S60" s="40"/>
      <c r="T60" s="40"/>
      <c r="U60" s="324"/>
      <c r="V60" s="40"/>
      <c r="W60" s="236"/>
      <c r="Y60" s="239"/>
      <c r="Z60" s="405"/>
      <c r="AA60" s="414"/>
      <c r="AC60" s="414"/>
      <c r="AE60" s="414"/>
      <c r="AG60" s="414"/>
      <c r="AI60" s="414"/>
      <c r="AK60" s="414"/>
      <c r="AM60" s="414"/>
      <c r="AO60" s="414"/>
      <c r="AQ60" s="414"/>
      <c r="AS60" s="414"/>
      <c r="AU60" s="414"/>
      <c r="AW60" s="414"/>
      <c r="AY60" s="390"/>
    </row>
    <row r="61" spans="1:52" s="37" customFormat="1" ht="15" customHeight="1" outlineLevel="1">
      <c r="A61" s="43" t="s">
        <v>196</v>
      </c>
      <c r="B61" s="38" t="s">
        <v>94</v>
      </c>
      <c r="C61" s="255" t="s">
        <v>95</v>
      </c>
      <c r="D61" s="38"/>
      <c r="E61" s="213" t="s">
        <v>197</v>
      </c>
      <c r="F61" s="418"/>
      <c r="G61" s="418"/>
      <c r="H61" s="236"/>
      <c r="I61" s="236"/>
      <c r="J61" s="236"/>
      <c r="K61" s="236"/>
      <c r="L61" s="236" t="s">
        <v>97</v>
      </c>
      <c r="M61" s="363" t="s">
        <v>97</v>
      </c>
      <c r="N61" s="448" t="s">
        <v>34</v>
      </c>
      <c r="O61" s="435" t="s">
        <v>31</v>
      </c>
      <c r="P61" s="492">
        <v>0</v>
      </c>
      <c r="Q61" s="38" t="s">
        <v>98</v>
      </c>
      <c r="R61" s="262" t="s">
        <v>192</v>
      </c>
      <c r="T61" s="40" t="str" cm="1">
        <f t="array" ref="T61">IF(A61&lt;&gt;"",_xlfn.XLOOKUP(_xlfn.XLOOKUP(TRUE,F61:N61&lt;&gt;"",F61:N61,"-",-1,-1),F61:N61,$F$6:$N$6,,,-1),"")</f>
        <v>Add8</v>
      </c>
      <c r="U61" s="362" t="s">
        <v>193</v>
      </c>
      <c r="W61" s="415" t="s">
        <v>195</v>
      </c>
      <c r="X61" s="239" t="s">
        <v>102</v>
      </c>
      <c r="Y61" s="239" t="s">
        <v>193</v>
      </c>
      <c r="Z61" s="405">
        <v>2.5</v>
      </c>
      <c r="AA61" s="414">
        <v>0.7</v>
      </c>
      <c r="AB61" s="37">
        <f t="shared" ref="AB61:AB213" si="54">$Z61*AA61</f>
        <v>1.75</v>
      </c>
      <c r="AC61" s="414">
        <v>0</v>
      </c>
      <c r="AD61" s="37">
        <f t="shared" ref="AD61:AD213" si="55">$Z61*AC61</f>
        <v>0</v>
      </c>
      <c r="AE61" s="414">
        <v>0.8</v>
      </c>
      <c r="AF61" s="37">
        <f t="shared" ref="AF61:AF68" si="56">$Z61*AE61</f>
        <v>2</v>
      </c>
      <c r="AG61" s="414">
        <v>0</v>
      </c>
      <c r="AH61" s="37">
        <f t="shared" ref="AH61:AH68" si="57">$Z61*AG61</f>
        <v>0</v>
      </c>
      <c r="AI61" s="414">
        <v>0.8</v>
      </c>
      <c r="AJ61" s="37">
        <f t="shared" ref="AJ61:AJ68" si="58">$Z61*AI61</f>
        <v>2</v>
      </c>
      <c r="AK61" s="414">
        <v>0</v>
      </c>
      <c r="AL61" s="37">
        <f t="shared" ref="AL61:AL68" si="59">$Z61*AK61</f>
        <v>0</v>
      </c>
      <c r="AM61" s="414">
        <v>0.8</v>
      </c>
      <c r="AN61" s="37">
        <f t="shared" ref="AN61:AN68" si="60">$Z61*AM61</f>
        <v>2</v>
      </c>
      <c r="AO61" s="414">
        <v>0</v>
      </c>
      <c r="AP61" s="37">
        <f t="shared" ref="AP61:AP68" si="61">$Z61*AO61</f>
        <v>0</v>
      </c>
      <c r="AQ61" s="414">
        <v>1</v>
      </c>
      <c r="AR61" s="37">
        <f t="shared" si="12"/>
        <v>2.5</v>
      </c>
      <c r="AS61" s="414">
        <v>0</v>
      </c>
      <c r="AT61" s="37">
        <f t="shared" si="13"/>
        <v>0</v>
      </c>
      <c r="AU61" s="414">
        <v>0.8</v>
      </c>
      <c r="AV61" s="37">
        <f t="shared" ref="AV61:AV68" si="62">$Z61*AU61</f>
        <v>2</v>
      </c>
      <c r="AW61" s="414">
        <v>0</v>
      </c>
      <c r="AX61" s="37">
        <f t="shared" ref="AX61:AX68" si="63">$Z61*AW61</f>
        <v>0</v>
      </c>
      <c r="AY61" s="390"/>
      <c r="AZ61" s="37" t="str">
        <f t="shared" ref="AZ61:AZ68" si="64">A61&amp;" "&amp;E61</f>
        <v>18043-LM646 11101 Ground Floor Plan EL.+0.00</v>
      </c>
    </row>
    <row r="62" spans="1:52" s="37" customFormat="1" ht="15" customHeight="1" outlineLevel="1">
      <c r="A62" s="43" t="s">
        <v>198</v>
      </c>
      <c r="B62" s="38" t="s">
        <v>94</v>
      </c>
      <c r="C62" s="255" t="s">
        <v>95</v>
      </c>
      <c r="D62" s="38"/>
      <c r="E62" s="213" t="s">
        <v>199</v>
      </c>
      <c r="F62" s="418"/>
      <c r="G62" s="418"/>
      <c r="H62" s="236"/>
      <c r="I62" s="236"/>
      <c r="J62" s="236"/>
      <c r="K62" s="236"/>
      <c r="L62" s="236" t="s">
        <v>97</v>
      </c>
      <c r="M62" s="363" t="s">
        <v>97</v>
      </c>
      <c r="N62" s="448" t="s">
        <v>34</v>
      </c>
      <c r="O62" s="435" t="s">
        <v>31</v>
      </c>
      <c r="P62" s="492">
        <v>0</v>
      </c>
      <c r="Q62" s="38" t="s">
        <v>98</v>
      </c>
      <c r="R62" s="262" t="s">
        <v>192</v>
      </c>
      <c r="T62" s="40" t="str" cm="1">
        <f t="array" ref="T62">IF(A62&lt;&gt;"",_xlfn.XLOOKUP(_xlfn.XLOOKUP(TRUE,F62:N62&lt;&gt;"",F62:N62,"-",-1,-1),F62:N62,$F$6:$N$6,,,-1),"")</f>
        <v>Add8</v>
      </c>
      <c r="U62" s="362" t="s">
        <v>193</v>
      </c>
      <c r="W62" s="415" t="s">
        <v>195</v>
      </c>
      <c r="X62" s="239" t="s">
        <v>102</v>
      </c>
      <c r="Y62" s="239" t="s">
        <v>193</v>
      </c>
      <c r="Z62" s="405">
        <v>2.5</v>
      </c>
      <c r="AA62" s="414">
        <v>0.7</v>
      </c>
      <c r="AB62" s="37">
        <f t="shared" ref="AB62" si="65">$Z62*AA62</f>
        <v>1.75</v>
      </c>
      <c r="AC62" s="414">
        <v>0</v>
      </c>
      <c r="AD62" s="37">
        <f t="shared" ref="AD62" si="66">$Z62*AC62</f>
        <v>0</v>
      </c>
      <c r="AE62" s="414">
        <v>0.8</v>
      </c>
      <c r="AF62" s="37">
        <f t="shared" ref="AF62" si="67">$Z62*AE62</f>
        <v>2</v>
      </c>
      <c r="AG62" s="414">
        <v>0</v>
      </c>
      <c r="AH62" s="37">
        <f t="shared" ref="AH62" si="68">$Z62*AG62</f>
        <v>0</v>
      </c>
      <c r="AI62" s="414">
        <v>0.8</v>
      </c>
      <c r="AJ62" s="37">
        <f t="shared" ref="AJ62" si="69">$Z62*AI62</f>
        <v>2</v>
      </c>
      <c r="AK62" s="414">
        <v>0</v>
      </c>
      <c r="AL62" s="37">
        <f t="shared" ref="AL62" si="70">$Z62*AK62</f>
        <v>0</v>
      </c>
      <c r="AM62" s="414">
        <v>0.8</v>
      </c>
      <c r="AN62" s="37">
        <f t="shared" ref="AN62" si="71">$Z62*AM62</f>
        <v>2</v>
      </c>
      <c r="AO62" s="414">
        <v>0</v>
      </c>
      <c r="AP62" s="37">
        <f t="shared" ref="AP62" si="72">$Z62*AO62</f>
        <v>0</v>
      </c>
      <c r="AQ62" s="414">
        <v>1</v>
      </c>
      <c r="AR62" s="37">
        <f t="shared" ref="AR62" si="73">$Z62*AQ62</f>
        <v>2.5</v>
      </c>
      <c r="AS62" s="414">
        <v>0</v>
      </c>
      <c r="AT62" s="37">
        <f t="shared" ref="AT62" si="74">$Z62*AS62</f>
        <v>0</v>
      </c>
      <c r="AU62" s="414">
        <v>0.8</v>
      </c>
      <c r="AV62" s="37">
        <f t="shared" ref="AV62" si="75">$Z62*AU62</f>
        <v>2</v>
      </c>
      <c r="AW62" s="414">
        <v>0</v>
      </c>
      <c r="AX62" s="37">
        <f t="shared" ref="AX62" si="76">$Z62*AW62</f>
        <v>0</v>
      </c>
      <c r="AY62" s="390"/>
      <c r="AZ62" s="37" t="str">
        <f t="shared" si="64"/>
        <v>18043-LM646 11102 AHU PLATFORM 1 EL.+7.40</v>
      </c>
    </row>
    <row r="63" spans="1:52" s="37" customFormat="1" ht="15" customHeight="1" outlineLevel="1">
      <c r="A63" s="43" t="s">
        <v>200</v>
      </c>
      <c r="B63" s="38" t="s">
        <v>94</v>
      </c>
      <c r="C63" s="255" t="s">
        <v>95</v>
      </c>
      <c r="D63" s="38"/>
      <c r="E63" s="213" t="s">
        <v>201</v>
      </c>
      <c r="F63" s="418"/>
      <c r="G63" s="418"/>
      <c r="H63" s="236"/>
      <c r="I63" s="236"/>
      <c r="J63" s="236"/>
      <c r="K63" s="236"/>
      <c r="L63" s="236" t="s">
        <v>97</v>
      </c>
      <c r="M63" s="363" t="s">
        <v>97</v>
      </c>
      <c r="N63" s="448" t="s">
        <v>34</v>
      </c>
      <c r="O63" s="435" t="s">
        <v>31</v>
      </c>
      <c r="P63" s="492">
        <v>0</v>
      </c>
      <c r="Q63" s="38" t="s">
        <v>98</v>
      </c>
      <c r="R63" s="262" t="s">
        <v>192</v>
      </c>
      <c r="T63" s="40" t="str" cm="1">
        <f t="array" ref="T63">IF(A63&lt;&gt;"",_xlfn.XLOOKUP(_xlfn.XLOOKUP(TRUE,F63:N63&lt;&gt;"",F63:N63,"-",-1,-1),F63:N63,$F$6:$N$6,,,-1),"")</f>
        <v>Add8</v>
      </c>
      <c r="U63" s="362" t="s">
        <v>193</v>
      </c>
      <c r="W63" s="415" t="s">
        <v>195</v>
      </c>
      <c r="X63" s="239" t="s">
        <v>102</v>
      </c>
      <c r="Y63" s="239" t="s">
        <v>193</v>
      </c>
      <c r="Z63" s="405">
        <v>2.5</v>
      </c>
      <c r="AA63" s="414">
        <v>0.7</v>
      </c>
      <c r="AB63" s="37">
        <f t="shared" si="54"/>
        <v>1.75</v>
      </c>
      <c r="AC63" s="414">
        <v>0</v>
      </c>
      <c r="AD63" s="37">
        <f t="shared" si="55"/>
        <v>0</v>
      </c>
      <c r="AE63" s="414">
        <v>0.8</v>
      </c>
      <c r="AF63" s="37">
        <f t="shared" si="56"/>
        <v>2</v>
      </c>
      <c r="AG63" s="414">
        <v>0</v>
      </c>
      <c r="AH63" s="37">
        <f t="shared" si="57"/>
        <v>0</v>
      </c>
      <c r="AI63" s="414">
        <v>0.8</v>
      </c>
      <c r="AJ63" s="37">
        <f t="shared" si="58"/>
        <v>2</v>
      </c>
      <c r="AK63" s="414">
        <v>0</v>
      </c>
      <c r="AL63" s="37">
        <f t="shared" si="59"/>
        <v>0</v>
      </c>
      <c r="AM63" s="414">
        <v>0.8</v>
      </c>
      <c r="AN63" s="37">
        <f t="shared" si="60"/>
        <v>2</v>
      </c>
      <c r="AO63" s="414">
        <v>0</v>
      </c>
      <c r="AP63" s="37">
        <f t="shared" si="61"/>
        <v>0</v>
      </c>
      <c r="AQ63" s="414">
        <v>1</v>
      </c>
      <c r="AR63" s="37">
        <f t="shared" si="12"/>
        <v>2.5</v>
      </c>
      <c r="AS63" s="414">
        <v>0</v>
      </c>
      <c r="AT63" s="37">
        <f t="shared" si="13"/>
        <v>0</v>
      </c>
      <c r="AU63" s="414">
        <v>0.8</v>
      </c>
      <c r="AV63" s="37">
        <f t="shared" si="62"/>
        <v>2</v>
      </c>
      <c r="AW63" s="414">
        <v>0</v>
      </c>
      <c r="AX63" s="37">
        <f t="shared" si="63"/>
        <v>0</v>
      </c>
      <c r="AY63" s="390"/>
      <c r="AZ63" s="37" t="str">
        <f t="shared" si="64"/>
        <v>18043-LM646 11103 2nd Floor Plan EL.+12.00</v>
      </c>
    </row>
    <row r="64" spans="1:52" s="37" customFormat="1" ht="15" customHeight="1" outlineLevel="1">
      <c r="A64" s="43" t="s">
        <v>202</v>
      </c>
      <c r="B64" s="38"/>
      <c r="C64" s="255"/>
      <c r="D64" s="38"/>
      <c r="E64" s="213" t="s">
        <v>203</v>
      </c>
      <c r="F64" s="418"/>
      <c r="G64" s="418"/>
      <c r="H64" s="236"/>
      <c r="I64" s="236"/>
      <c r="J64" s="236"/>
      <c r="K64" s="236"/>
      <c r="L64" s="236" t="s">
        <v>97</v>
      </c>
      <c r="M64" s="363" t="s">
        <v>97</v>
      </c>
      <c r="N64" s="448" t="s">
        <v>34</v>
      </c>
      <c r="O64" s="435" t="s">
        <v>31</v>
      </c>
      <c r="P64" s="492">
        <v>0</v>
      </c>
      <c r="Q64" s="38" t="s">
        <v>98</v>
      </c>
      <c r="R64" s="262"/>
      <c r="T64" s="40" t="str" cm="1">
        <f t="array" ref="T64">IF(A64&lt;&gt;"",_xlfn.XLOOKUP(_xlfn.XLOOKUP(TRUE,F64:N64&lt;&gt;"",F64:N64,"-",-1,-1),F64:N64,$F$6:$N$6,,,-1),"")</f>
        <v>Add8</v>
      </c>
      <c r="U64" s="362" t="s">
        <v>193</v>
      </c>
      <c r="W64" s="415"/>
      <c r="X64" s="239"/>
      <c r="Y64" s="239"/>
      <c r="Z64" s="405"/>
      <c r="AA64" s="414"/>
      <c r="AC64" s="414"/>
      <c r="AE64" s="414"/>
      <c r="AG64" s="414"/>
      <c r="AI64" s="414"/>
      <c r="AK64" s="414"/>
      <c r="AM64" s="414"/>
      <c r="AO64" s="414"/>
      <c r="AQ64" s="414"/>
      <c r="AS64" s="414"/>
      <c r="AU64" s="414"/>
      <c r="AW64" s="414"/>
      <c r="AY64" s="390"/>
      <c r="AZ64" s="37" t="str">
        <f t="shared" si="64"/>
        <v>18043-LM646 11104 2.1nd Floor Plan EL.+15.50</v>
      </c>
    </row>
    <row r="65" spans="1:56" s="37" customFormat="1" ht="15" customHeight="1" outlineLevel="1">
      <c r="A65" s="43" t="s">
        <v>204</v>
      </c>
      <c r="B65" s="38"/>
      <c r="C65" s="255"/>
      <c r="D65" s="38"/>
      <c r="E65" s="213" t="s">
        <v>205</v>
      </c>
      <c r="F65" s="418"/>
      <c r="G65" s="418"/>
      <c r="H65" s="236"/>
      <c r="I65" s="236"/>
      <c r="J65" s="236"/>
      <c r="K65" s="236"/>
      <c r="L65" s="236" t="s">
        <v>97</v>
      </c>
      <c r="M65" s="363" t="s">
        <v>97</v>
      </c>
      <c r="N65" s="448" t="s">
        <v>34</v>
      </c>
      <c r="O65" s="435" t="s">
        <v>31</v>
      </c>
      <c r="P65" s="492">
        <v>0</v>
      </c>
      <c r="Q65" s="38" t="s">
        <v>98</v>
      </c>
      <c r="R65" s="262"/>
      <c r="T65" s="40" t="str" cm="1">
        <f t="array" ref="T65">IF(A65&lt;&gt;"",_xlfn.XLOOKUP(_xlfn.XLOOKUP(TRUE,F65:N65&lt;&gt;"",F65:N65,"-",-1,-1),F65:N65,$F$6:$N$6,,,-1),"")</f>
        <v>Add8</v>
      </c>
      <c r="U65" s="362" t="s">
        <v>193</v>
      </c>
      <c r="W65" s="415"/>
      <c r="X65" s="239"/>
      <c r="Y65" s="239"/>
      <c r="Z65" s="405"/>
      <c r="AA65" s="414"/>
      <c r="AC65" s="414"/>
      <c r="AE65" s="414"/>
      <c r="AG65" s="414"/>
      <c r="AI65" s="414"/>
      <c r="AK65" s="414"/>
      <c r="AM65" s="414"/>
      <c r="AO65" s="414"/>
      <c r="AQ65" s="414"/>
      <c r="AS65" s="414"/>
      <c r="AU65" s="414"/>
      <c r="AW65" s="414"/>
      <c r="AY65" s="390"/>
      <c r="AZ65" s="37" t="str">
        <f t="shared" si="64"/>
        <v>18043-LM646 11105 AHU PLATFORM 2 EL.+19.00</v>
      </c>
    </row>
    <row r="66" spans="1:56" s="37" customFormat="1" ht="15" customHeight="1" outlineLevel="1">
      <c r="A66" s="43" t="s">
        <v>206</v>
      </c>
      <c r="B66" s="38" t="s">
        <v>94</v>
      </c>
      <c r="C66" s="255" t="s">
        <v>95</v>
      </c>
      <c r="D66" s="38"/>
      <c r="E66" s="213" t="s">
        <v>207</v>
      </c>
      <c r="F66" s="418"/>
      <c r="G66" s="418"/>
      <c r="H66" s="236"/>
      <c r="I66" s="236"/>
      <c r="J66" s="236"/>
      <c r="K66" s="236"/>
      <c r="L66" s="236" t="s">
        <v>97</v>
      </c>
      <c r="M66" s="363" t="s">
        <v>97</v>
      </c>
      <c r="N66" s="448" t="s">
        <v>34</v>
      </c>
      <c r="O66" s="435" t="s">
        <v>31</v>
      </c>
      <c r="P66" s="492">
        <v>0</v>
      </c>
      <c r="Q66" s="38" t="s">
        <v>98</v>
      </c>
      <c r="R66" s="262" t="s">
        <v>192</v>
      </c>
      <c r="T66" s="40" t="str" cm="1">
        <f t="array" ref="T66">IF(A66&lt;&gt;"",_xlfn.XLOOKUP(_xlfn.XLOOKUP(TRUE,F66:N66&lt;&gt;"",F66:N66,"-",-1,-1),F66:N66,$F$6:$N$6,,,-1),"")</f>
        <v>Add8</v>
      </c>
      <c r="U66" s="362" t="s">
        <v>193</v>
      </c>
      <c r="W66" s="415" t="s">
        <v>195</v>
      </c>
      <c r="X66" s="239" t="s">
        <v>102</v>
      </c>
      <c r="Y66" s="239" t="s">
        <v>193</v>
      </c>
      <c r="Z66" s="405">
        <v>2.5</v>
      </c>
      <c r="AA66" s="414">
        <v>0.7</v>
      </c>
      <c r="AB66" s="37">
        <f t="shared" si="54"/>
        <v>1.75</v>
      </c>
      <c r="AC66" s="414">
        <v>0</v>
      </c>
      <c r="AD66" s="37">
        <f t="shared" si="55"/>
        <v>0</v>
      </c>
      <c r="AE66" s="414">
        <v>0.8</v>
      </c>
      <c r="AF66" s="37">
        <f t="shared" si="56"/>
        <v>2</v>
      </c>
      <c r="AG66" s="414">
        <v>0</v>
      </c>
      <c r="AH66" s="37">
        <f t="shared" si="57"/>
        <v>0</v>
      </c>
      <c r="AI66" s="414">
        <v>0.8</v>
      </c>
      <c r="AJ66" s="37">
        <f t="shared" si="58"/>
        <v>2</v>
      </c>
      <c r="AK66" s="414">
        <v>0</v>
      </c>
      <c r="AL66" s="37">
        <f t="shared" si="59"/>
        <v>0</v>
      </c>
      <c r="AM66" s="414">
        <v>0.8</v>
      </c>
      <c r="AN66" s="37">
        <f t="shared" si="60"/>
        <v>2</v>
      </c>
      <c r="AO66" s="414">
        <v>0</v>
      </c>
      <c r="AP66" s="37">
        <f t="shared" si="61"/>
        <v>0</v>
      </c>
      <c r="AQ66" s="414">
        <v>1</v>
      </c>
      <c r="AR66" s="37">
        <f t="shared" si="12"/>
        <v>2.5</v>
      </c>
      <c r="AS66" s="414">
        <v>0</v>
      </c>
      <c r="AT66" s="37">
        <f t="shared" si="13"/>
        <v>0</v>
      </c>
      <c r="AU66" s="414">
        <v>0.8</v>
      </c>
      <c r="AV66" s="37">
        <f t="shared" si="62"/>
        <v>2</v>
      </c>
      <c r="AW66" s="414">
        <v>0</v>
      </c>
      <c r="AX66" s="37">
        <f t="shared" si="63"/>
        <v>0</v>
      </c>
      <c r="AY66" s="390"/>
      <c r="AZ66" s="37" t="str">
        <f t="shared" si="64"/>
        <v>18043-LM646 11106 3rd Floor Plan EL.+24.00 &amp; 3.1rd Floor Plan EL.+27.50</v>
      </c>
    </row>
    <row r="67" spans="1:56" s="37" customFormat="1" ht="15" customHeight="1" outlineLevel="1">
      <c r="A67" s="43" t="s">
        <v>208</v>
      </c>
      <c r="B67" s="38"/>
      <c r="C67" s="255"/>
      <c r="D67" s="38"/>
      <c r="E67" s="213" t="s">
        <v>209</v>
      </c>
      <c r="F67" s="418"/>
      <c r="G67" s="418"/>
      <c r="H67" s="236"/>
      <c r="I67" s="236"/>
      <c r="J67" s="236"/>
      <c r="K67" s="236"/>
      <c r="L67" s="236" t="s">
        <v>97</v>
      </c>
      <c r="M67" s="363" t="s">
        <v>97</v>
      </c>
      <c r="N67" s="448" t="s">
        <v>34</v>
      </c>
      <c r="O67" s="435" t="s">
        <v>31</v>
      </c>
      <c r="P67" s="492">
        <v>0</v>
      </c>
      <c r="Q67" s="38" t="s">
        <v>98</v>
      </c>
      <c r="R67" s="262"/>
      <c r="T67" s="40" t="str" cm="1">
        <f t="array" ref="T67">IF(A67&lt;&gt;"",_xlfn.XLOOKUP(_xlfn.XLOOKUP(TRUE,F67:N67&lt;&gt;"",F67:N67,"-",-1,-1),F67:N67,$F$6:$N$6,,,-1),"")</f>
        <v>Add8</v>
      </c>
      <c r="U67" s="362" t="s">
        <v>193</v>
      </c>
      <c r="W67" s="415"/>
      <c r="X67" s="239"/>
      <c r="Y67" s="239"/>
      <c r="Z67" s="405"/>
      <c r="AA67" s="414"/>
      <c r="AC67" s="414"/>
      <c r="AE67" s="414"/>
      <c r="AG67" s="414"/>
      <c r="AI67" s="414"/>
      <c r="AK67" s="414"/>
      <c r="AM67" s="414"/>
      <c r="AO67" s="414"/>
      <c r="AQ67" s="414"/>
      <c r="AS67" s="414"/>
      <c r="AU67" s="414"/>
      <c r="AW67" s="414"/>
      <c r="AY67" s="390"/>
      <c r="AZ67" s="37" t="str">
        <f t="shared" si="64"/>
        <v>18043-LM646 11107 AHU PLATFORM 3 EL.+31.00</v>
      </c>
    </row>
    <row r="68" spans="1:56" s="37" customFormat="1" ht="15" customHeight="1" outlineLevel="1">
      <c r="A68" s="43" t="s">
        <v>210</v>
      </c>
      <c r="B68" s="38" t="s">
        <v>94</v>
      </c>
      <c r="C68" s="255" t="s">
        <v>95</v>
      </c>
      <c r="D68" s="38"/>
      <c r="E68" s="213" t="s">
        <v>211</v>
      </c>
      <c r="F68" s="418"/>
      <c r="G68" s="418"/>
      <c r="H68" s="236"/>
      <c r="I68" s="236"/>
      <c r="J68" s="236"/>
      <c r="K68" s="236"/>
      <c r="L68" s="236" t="s">
        <v>97</v>
      </c>
      <c r="M68" s="363" t="s">
        <v>97</v>
      </c>
      <c r="N68" s="448" t="s">
        <v>34</v>
      </c>
      <c r="O68" s="236"/>
      <c r="P68" s="492">
        <v>0</v>
      </c>
      <c r="Q68" s="38" t="s">
        <v>98</v>
      </c>
      <c r="R68" s="262" t="s">
        <v>192</v>
      </c>
      <c r="S68" s="40"/>
      <c r="T68" s="40" t="str" cm="1">
        <f t="array" ref="T68">IF(A68&lt;&gt;"",_xlfn.XLOOKUP(_xlfn.XLOOKUP(TRUE,F68:N68&lt;&gt;"",F68:N68,"-",-1,-1),F68:N68,$F$6:$N$6,,,-1),"")</f>
        <v>Add8</v>
      </c>
      <c r="U68" s="362" t="s">
        <v>193</v>
      </c>
      <c r="V68" s="40"/>
      <c r="W68" s="415" t="s">
        <v>195</v>
      </c>
      <c r="X68" s="239" t="s">
        <v>102</v>
      </c>
      <c r="Y68" s="239" t="s">
        <v>193</v>
      </c>
      <c r="Z68" s="405">
        <v>2.5</v>
      </c>
      <c r="AA68" s="414">
        <v>0.7</v>
      </c>
      <c r="AB68" s="37">
        <f t="shared" si="54"/>
        <v>1.75</v>
      </c>
      <c r="AC68" s="414">
        <v>0</v>
      </c>
      <c r="AD68" s="37">
        <f t="shared" si="55"/>
        <v>0</v>
      </c>
      <c r="AE68" s="414">
        <v>0.8</v>
      </c>
      <c r="AF68" s="37">
        <f t="shared" si="56"/>
        <v>2</v>
      </c>
      <c r="AG68" s="414">
        <v>0</v>
      </c>
      <c r="AH68" s="37">
        <f t="shared" si="57"/>
        <v>0</v>
      </c>
      <c r="AI68" s="414">
        <v>0.8</v>
      </c>
      <c r="AJ68" s="37">
        <f t="shared" si="58"/>
        <v>2</v>
      </c>
      <c r="AK68" s="414">
        <v>0</v>
      </c>
      <c r="AL68" s="37">
        <f t="shared" si="59"/>
        <v>0</v>
      </c>
      <c r="AM68" s="414">
        <v>0.8</v>
      </c>
      <c r="AN68" s="37">
        <f t="shared" si="60"/>
        <v>2</v>
      </c>
      <c r="AO68" s="414">
        <v>0</v>
      </c>
      <c r="AP68" s="37">
        <f t="shared" si="61"/>
        <v>0</v>
      </c>
      <c r="AQ68" s="414">
        <v>1</v>
      </c>
      <c r="AR68" s="37">
        <f t="shared" si="12"/>
        <v>2.5</v>
      </c>
      <c r="AS68" s="414">
        <v>0</v>
      </c>
      <c r="AT68" s="37">
        <f t="shared" si="13"/>
        <v>0</v>
      </c>
      <c r="AU68" s="414">
        <v>0.8</v>
      </c>
      <c r="AV68" s="37">
        <f t="shared" si="62"/>
        <v>2</v>
      </c>
      <c r="AW68" s="414">
        <v>0</v>
      </c>
      <c r="AX68" s="37">
        <f t="shared" si="63"/>
        <v>0</v>
      </c>
      <c r="AY68" s="390"/>
      <c r="AZ68" s="37" t="str">
        <f t="shared" si="64"/>
        <v>18043-LM646 11108 Roof Plan</v>
      </c>
    </row>
    <row r="69" spans="1:56" s="37" customFormat="1" ht="15" customHeight="1" outlineLevel="1">
      <c r="A69" s="43"/>
      <c r="B69" s="38"/>
      <c r="C69" s="255"/>
      <c r="D69" s="38"/>
      <c r="E69" s="213"/>
      <c r="F69" s="418"/>
      <c r="G69" s="41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40"/>
      <c r="S69" s="40"/>
      <c r="T69" s="40" t="str" cm="1">
        <f t="array" ref="T69">IF(A69&lt;&gt;"",_xlfn.XLOOKUP(_xlfn.XLOOKUP(TRUE,F69:N69&lt;&gt;"",F69:N69,"-",-1,-1),F69:N69,$F$6:$N$6,,,-1),"")</f>
        <v/>
      </c>
      <c r="U69" s="324"/>
      <c r="V69" s="40"/>
      <c r="W69" s="416"/>
      <c r="X69" s="239"/>
      <c r="Y69" s="239"/>
      <c r="Z69" s="405"/>
      <c r="AA69" s="414"/>
      <c r="AC69" s="414"/>
      <c r="AE69" s="414"/>
      <c r="AG69" s="414"/>
      <c r="AI69" s="414"/>
      <c r="AK69" s="414"/>
      <c r="AM69" s="414"/>
      <c r="AO69" s="414"/>
      <c r="AQ69" s="414"/>
      <c r="AS69" s="414"/>
      <c r="AU69" s="414"/>
      <c r="AW69" s="414"/>
    </row>
    <row r="70" spans="1:56" s="37" customFormat="1" ht="15" customHeight="1" outlineLevel="1">
      <c r="A70" s="43" t="s">
        <v>212</v>
      </c>
      <c r="B70" s="38" t="s">
        <v>94</v>
      </c>
      <c r="C70" s="233" t="s">
        <v>95</v>
      </c>
      <c r="D70" s="38"/>
      <c r="E70" s="213" t="s">
        <v>213</v>
      </c>
      <c r="F70" s="418"/>
      <c r="G70" s="418"/>
      <c r="H70" s="236"/>
      <c r="I70" s="236"/>
      <c r="J70" s="236"/>
      <c r="K70" s="236"/>
      <c r="L70" s="236"/>
      <c r="M70" s="236"/>
      <c r="N70" s="383"/>
      <c r="O70" s="435" t="s">
        <v>97</v>
      </c>
      <c r="P70" s="492">
        <v>0</v>
      </c>
      <c r="Q70" s="38" t="s">
        <v>98</v>
      </c>
      <c r="R70" s="262" t="s">
        <v>192</v>
      </c>
      <c r="S70" s="37" t="s">
        <v>214</v>
      </c>
      <c r="T70" s="40"/>
      <c r="U70" s="437" t="s">
        <v>193</v>
      </c>
      <c r="W70" s="415" t="s">
        <v>195</v>
      </c>
      <c r="X70" s="239" t="s">
        <v>102</v>
      </c>
      <c r="Y70" s="239" t="s">
        <v>193</v>
      </c>
      <c r="Z70" s="405">
        <v>2</v>
      </c>
      <c r="AA70" s="414">
        <v>0</v>
      </c>
      <c r="AB70" s="37">
        <f t="shared" ref="AB70:AB72" si="77">$Z70*AA70</f>
        <v>0</v>
      </c>
      <c r="AC70" s="414">
        <v>0</v>
      </c>
      <c r="AD70" s="37">
        <f t="shared" ref="AD70:AD72" si="78">$Z70*AC70</f>
        <v>0</v>
      </c>
      <c r="AE70" s="414">
        <v>0.8</v>
      </c>
      <c r="AF70" s="37">
        <f t="shared" ref="AF70:AF72" si="79">$Z70*AE70</f>
        <v>1.6</v>
      </c>
      <c r="AG70" s="414">
        <v>0</v>
      </c>
      <c r="AH70" s="37">
        <f t="shared" ref="AH70:AH72" si="80">$Z70*AG70</f>
        <v>0</v>
      </c>
      <c r="AI70" s="414">
        <v>0</v>
      </c>
      <c r="AJ70" s="37">
        <f t="shared" ref="AJ70:AJ72" si="81">$Z70*AI70</f>
        <v>0</v>
      </c>
      <c r="AK70" s="414">
        <v>0</v>
      </c>
      <c r="AL70" s="37">
        <f>$Z70*AK70</f>
        <v>0</v>
      </c>
      <c r="AM70" s="414">
        <v>0</v>
      </c>
      <c r="AN70" s="37">
        <f t="shared" ref="AN70:AN72" si="82">$Z70*AM70</f>
        <v>0</v>
      </c>
      <c r="AO70" s="414">
        <v>0</v>
      </c>
      <c r="AP70" s="37">
        <f>$Z70*AO70</f>
        <v>0</v>
      </c>
      <c r="AQ70" s="414">
        <v>1</v>
      </c>
      <c r="AR70" s="37">
        <f t="shared" ref="AR70:AR72" si="83">$Z70*AQ70</f>
        <v>2</v>
      </c>
      <c r="AS70" s="414">
        <v>0</v>
      </c>
      <c r="AT70" s="37">
        <f t="shared" ref="AT70:AT72" si="84">$Z70*AS70</f>
        <v>0</v>
      </c>
      <c r="AU70" s="414">
        <v>0</v>
      </c>
      <c r="AV70" s="37">
        <f t="shared" ref="AV70:AV72" si="85">$Z70*AU70</f>
        <v>0</v>
      </c>
      <c r="AW70" s="414">
        <v>0</v>
      </c>
      <c r="AX70" s="37">
        <f>$Z70*AW70</f>
        <v>0</v>
      </c>
      <c r="AY70" s="438" t="s">
        <v>215</v>
      </c>
      <c r="AZ70" s="37" t="str">
        <f t="shared" ref="AZ70:AZ101" si="86">A70&amp;" "&amp;E70</f>
        <v>18043-LM646 11111 Reflected Ceiling Ground Floor Plan EL.+0.00</v>
      </c>
    </row>
    <row r="71" spans="1:56" s="37" customFormat="1" ht="15" customHeight="1" outlineLevel="1">
      <c r="A71" s="43" t="s">
        <v>216</v>
      </c>
      <c r="B71" s="38" t="s">
        <v>94</v>
      </c>
      <c r="C71" s="233" t="s">
        <v>95</v>
      </c>
      <c r="D71" s="38"/>
      <c r="E71" s="213" t="s">
        <v>217</v>
      </c>
      <c r="F71" s="418"/>
      <c r="G71" s="418"/>
      <c r="H71" s="236"/>
      <c r="I71" s="236"/>
      <c r="J71" s="236"/>
      <c r="K71" s="236"/>
      <c r="L71" s="236"/>
      <c r="M71" s="236"/>
      <c r="N71" s="383"/>
      <c r="O71" s="435" t="s">
        <v>97</v>
      </c>
      <c r="P71" s="492">
        <v>0</v>
      </c>
      <c r="Q71" s="38" t="s">
        <v>98</v>
      </c>
      <c r="R71" s="262" t="s">
        <v>192</v>
      </c>
      <c r="S71" s="37" t="s">
        <v>214</v>
      </c>
      <c r="T71" s="40"/>
      <c r="U71" s="437" t="s">
        <v>193</v>
      </c>
      <c r="W71" s="415" t="s">
        <v>195</v>
      </c>
      <c r="X71" s="239" t="s">
        <v>102</v>
      </c>
      <c r="Y71" s="239" t="s">
        <v>193</v>
      </c>
      <c r="Z71" s="405">
        <v>2</v>
      </c>
      <c r="AA71" s="414">
        <v>0</v>
      </c>
      <c r="AB71" s="37">
        <f t="shared" si="77"/>
        <v>0</v>
      </c>
      <c r="AC71" s="414">
        <v>0</v>
      </c>
      <c r="AD71" s="37">
        <f t="shared" si="78"/>
        <v>0</v>
      </c>
      <c r="AE71" s="414">
        <v>0.8</v>
      </c>
      <c r="AF71" s="37">
        <f t="shared" si="79"/>
        <v>1.6</v>
      </c>
      <c r="AG71" s="414">
        <v>0</v>
      </c>
      <c r="AH71" s="37">
        <f t="shared" si="80"/>
        <v>0</v>
      </c>
      <c r="AI71" s="414">
        <v>0</v>
      </c>
      <c r="AJ71" s="37">
        <f t="shared" si="81"/>
        <v>0</v>
      </c>
      <c r="AK71" s="414">
        <v>0</v>
      </c>
      <c r="AL71" s="37">
        <f>$Z71*AK71</f>
        <v>0</v>
      </c>
      <c r="AM71" s="414">
        <v>0</v>
      </c>
      <c r="AN71" s="37">
        <f t="shared" si="82"/>
        <v>0</v>
      </c>
      <c r="AO71" s="414">
        <v>0</v>
      </c>
      <c r="AP71" s="37">
        <f>$Z71*AO71</f>
        <v>0</v>
      </c>
      <c r="AQ71" s="414">
        <v>1</v>
      </c>
      <c r="AR71" s="37">
        <f t="shared" si="83"/>
        <v>2</v>
      </c>
      <c r="AS71" s="414">
        <v>0</v>
      </c>
      <c r="AT71" s="37">
        <f t="shared" si="84"/>
        <v>0</v>
      </c>
      <c r="AU71" s="414">
        <v>0</v>
      </c>
      <c r="AV71" s="37">
        <f t="shared" si="85"/>
        <v>0</v>
      </c>
      <c r="AW71" s="414">
        <v>0</v>
      </c>
      <c r="AX71" s="37">
        <f>$Z71*AW71</f>
        <v>0</v>
      </c>
      <c r="AY71" s="316" t="s">
        <v>215</v>
      </c>
      <c r="AZ71" s="37" t="str">
        <f t="shared" si="86"/>
        <v>18043-LM646 11112 Reflected Ceiling AHU PLATFORM 1 EL.+7.40 &amp; 2nd Floor Plan EL.+12.00</v>
      </c>
    </row>
    <row r="72" spans="1:56" s="37" customFormat="1" ht="15" customHeight="1" outlineLevel="1">
      <c r="A72" s="43" t="s">
        <v>218</v>
      </c>
      <c r="B72" s="38" t="s">
        <v>94</v>
      </c>
      <c r="C72" s="233" t="s">
        <v>95</v>
      </c>
      <c r="D72" s="38"/>
      <c r="E72" s="213" t="s">
        <v>219</v>
      </c>
      <c r="F72" s="418"/>
      <c r="G72" s="418"/>
      <c r="H72" s="236"/>
      <c r="I72" s="236"/>
      <c r="J72" s="236"/>
      <c r="K72" s="236"/>
      <c r="L72" s="236"/>
      <c r="M72" s="236"/>
      <c r="N72" s="383"/>
      <c r="O72" s="435" t="s">
        <v>97</v>
      </c>
      <c r="P72" s="492">
        <v>0</v>
      </c>
      <c r="Q72" s="38" t="s">
        <v>98</v>
      </c>
      <c r="R72" s="262" t="s">
        <v>192</v>
      </c>
      <c r="S72" s="37" t="s">
        <v>214</v>
      </c>
      <c r="T72" s="40"/>
      <c r="U72" s="437" t="s">
        <v>193</v>
      </c>
      <c r="W72" s="415" t="s">
        <v>195</v>
      </c>
      <c r="X72" s="239" t="s">
        <v>102</v>
      </c>
      <c r="Y72" s="239" t="s">
        <v>193</v>
      </c>
      <c r="Z72" s="405">
        <v>2</v>
      </c>
      <c r="AA72" s="414">
        <v>0</v>
      </c>
      <c r="AB72" s="37">
        <f t="shared" si="77"/>
        <v>0</v>
      </c>
      <c r="AC72" s="414">
        <v>0</v>
      </c>
      <c r="AD72" s="37">
        <f t="shared" si="78"/>
        <v>0</v>
      </c>
      <c r="AE72" s="414">
        <v>0.8</v>
      </c>
      <c r="AF72" s="37">
        <f t="shared" si="79"/>
        <v>1.6</v>
      </c>
      <c r="AG72" s="414">
        <v>0</v>
      </c>
      <c r="AH72" s="37">
        <f t="shared" si="80"/>
        <v>0</v>
      </c>
      <c r="AI72" s="414">
        <v>0</v>
      </c>
      <c r="AJ72" s="37">
        <f t="shared" si="81"/>
        <v>0</v>
      </c>
      <c r="AK72" s="414">
        <v>0</v>
      </c>
      <c r="AL72" s="37">
        <f>$Z72*AK72</f>
        <v>0</v>
      </c>
      <c r="AM72" s="414">
        <v>0</v>
      </c>
      <c r="AN72" s="37">
        <f t="shared" si="82"/>
        <v>0</v>
      </c>
      <c r="AO72" s="414">
        <v>0</v>
      </c>
      <c r="AP72" s="37">
        <f>$Z72*AO72</f>
        <v>0</v>
      </c>
      <c r="AQ72" s="414">
        <v>1</v>
      </c>
      <c r="AR72" s="37">
        <f t="shared" si="83"/>
        <v>2</v>
      </c>
      <c r="AS72" s="414">
        <v>0</v>
      </c>
      <c r="AT72" s="37">
        <f t="shared" si="84"/>
        <v>0</v>
      </c>
      <c r="AU72" s="414">
        <v>0</v>
      </c>
      <c r="AV72" s="37">
        <f t="shared" si="85"/>
        <v>0</v>
      </c>
      <c r="AW72" s="414">
        <v>0</v>
      </c>
      <c r="AX72" s="37">
        <f>$Z72*AW72</f>
        <v>0</v>
      </c>
      <c r="AY72" s="316" t="s">
        <v>215</v>
      </c>
      <c r="AZ72" s="37" t="str">
        <f t="shared" si="86"/>
        <v>18043-LM646 11113 Reflected Ceiling 2.1nd Floor Plan EL.+15.50 &amp; AHU PLATFORM 2 EL.+19.00</v>
      </c>
    </row>
    <row r="73" spans="1:56" s="37" customFormat="1" ht="15" customHeight="1" outlineLevel="1">
      <c r="A73" s="440" t="s">
        <v>220</v>
      </c>
      <c r="B73" s="383" t="s">
        <v>94</v>
      </c>
      <c r="C73" s="449" t="s">
        <v>95</v>
      </c>
      <c r="D73" s="383"/>
      <c r="E73" s="450" t="s">
        <v>221</v>
      </c>
      <c r="F73" s="451"/>
      <c r="G73" s="451"/>
      <c r="H73" s="452"/>
      <c r="I73" s="452"/>
      <c r="J73" s="452"/>
      <c r="K73" s="452"/>
      <c r="L73" s="452"/>
      <c r="M73" s="452"/>
      <c r="N73" s="383"/>
      <c r="O73" s="444" t="s">
        <v>97</v>
      </c>
      <c r="P73" s="493">
        <v>0</v>
      </c>
      <c r="Q73" s="383" t="s">
        <v>98</v>
      </c>
      <c r="R73" s="453" t="s">
        <v>192</v>
      </c>
      <c r="S73" s="390" t="s">
        <v>214</v>
      </c>
      <c r="T73" s="40"/>
      <c r="U73" s="437" t="s">
        <v>193</v>
      </c>
      <c r="V73" s="390"/>
      <c r="W73" s="454" t="s">
        <v>195</v>
      </c>
      <c r="X73" s="455" t="s">
        <v>102</v>
      </c>
      <c r="Y73" s="239" t="s">
        <v>193</v>
      </c>
      <c r="Z73" s="456">
        <v>2</v>
      </c>
      <c r="AA73" s="457">
        <v>0</v>
      </c>
      <c r="AB73" s="390">
        <f>$Z73*AA73</f>
        <v>0</v>
      </c>
      <c r="AC73" s="457">
        <v>0</v>
      </c>
      <c r="AD73" s="390">
        <f>$Z73*AC73</f>
        <v>0</v>
      </c>
      <c r="AE73" s="457">
        <v>0.8</v>
      </c>
      <c r="AF73" s="390">
        <f>$Z73*AE73</f>
        <v>1.6</v>
      </c>
      <c r="AG73" s="457">
        <v>0</v>
      </c>
      <c r="AH73" s="390">
        <f>$Z73*AG73</f>
        <v>0</v>
      </c>
      <c r="AI73" s="457">
        <v>0</v>
      </c>
      <c r="AJ73" s="390">
        <f>$Z73*AI73</f>
        <v>0</v>
      </c>
      <c r="AK73" s="457">
        <v>0</v>
      </c>
      <c r="AL73" s="390">
        <f>$Z73*AK73</f>
        <v>0</v>
      </c>
      <c r="AM73" s="457">
        <v>0</v>
      </c>
      <c r="AN73" s="390">
        <f>$Z73*AM73</f>
        <v>0</v>
      </c>
      <c r="AO73" s="457">
        <v>0</v>
      </c>
      <c r="AP73" s="390">
        <f>$Z73*AO73</f>
        <v>0</v>
      </c>
      <c r="AQ73" s="457">
        <v>1</v>
      </c>
      <c r="AR73" s="390">
        <f>$Z73*AQ73</f>
        <v>2</v>
      </c>
      <c r="AS73" s="457">
        <v>0</v>
      </c>
      <c r="AT73" s="390">
        <f>$Z73*AS73</f>
        <v>0</v>
      </c>
      <c r="AU73" s="457">
        <v>0</v>
      </c>
      <c r="AV73" s="390">
        <f>$Z73*AU73</f>
        <v>0</v>
      </c>
      <c r="AW73" s="457">
        <v>0</v>
      </c>
      <c r="AX73" s="390">
        <f>$Z73*AW73</f>
        <v>0</v>
      </c>
      <c r="AY73" s="438" t="s">
        <v>215</v>
      </c>
      <c r="AZ73" s="390" t="str">
        <f>A73&amp;" "&amp;E73</f>
        <v>18043-LM646 11114 Reflected Ceiling 3rd Floor Plan EL.+24.00 &amp; 3.1rd Floor Plan EL.+27.50</v>
      </c>
      <c r="BA73" s="390"/>
      <c r="BB73" s="390"/>
      <c r="BC73" s="390"/>
      <c r="BD73" s="390"/>
    </row>
    <row r="74" spans="1:56" s="37" customFormat="1" ht="15" customHeight="1" outlineLevel="1">
      <c r="A74" s="440" t="s">
        <v>222</v>
      </c>
      <c r="B74" s="383" t="s">
        <v>94</v>
      </c>
      <c r="C74" s="449" t="s">
        <v>95</v>
      </c>
      <c r="D74" s="383"/>
      <c r="E74" s="450" t="s">
        <v>223</v>
      </c>
      <c r="F74" s="451"/>
      <c r="G74" s="451"/>
      <c r="H74" s="452"/>
      <c r="I74" s="452"/>
      <c r="J74" s="452"/>
      <c r="K74" s="452"/>
      <c r="L74" s="452"/>
      <c r="M74" s="452"/>
      <c r="N74" s="383"/>
      <c r="O74" s="444" t="s">
        <v>97</v>
      </c>
      <c r="P74" s="493">
        <v>0</v>
      </c>
      <c r="Q74" s="383" t="s">
        <v>98</v>
      </c>
      <c r="R74" s="453" t="s">
        <v>192</v>
      </c>
      <c r="S74" s="390" t="s">
        <v>214</v>
      </c>
      <c r="T74" s="40"/>
      <c r="U74" s="437" t="s">
        <v>193</v>
      </c>
      <c r="V74" s="390"/>
      <c r="W74" s="454" t="s">
        <v>195</v>
      </c>
      <c r="X74" s="455" t="s">
        <v>102</v>
      </c>
      <c r="Y74" s="239" t="s">
        <v>193</v>
      </c>
      <c r="Z74" s="456">
        <v>2</v>
      </c>
      <c r="AA74" s="457">
        <v>0</v>
      </c>
      <c r="AB74" s="390">
        <f>$Z74*AA74</f>
        <v>0</v>
      </c>
      <c r="AC74" s="457">
        <v>0</v>
      </c>
      <c r="AD74" s="390">
        <f>$Z74*AC74</f>
        <v>0</v>
      </c>
      <c r="AE74" s="457">
        <v>0.8</v>
      </c>
      <c r="AF74" s="390">
        <f>$Z74*AE74</f>
        <v>1.6</v>
      </c>
      <c r="AG74" s="457">
        <v>0</v>
      </c>
      <c r="AH74" s="390">
        <f>$Z74*AG74</f>
        <v>0</v>
      </c>
      <c r="AI74" s="457">
        <v>0</v>
      </c>
      <c r="AJ74" s="390">
        <f>$Z74*AI74</f>
        <v>0</v>
      </c>
      <c r="AK74" s="457">
        <v>0</v>
      </c>
      <c r="AL74" s="390">
        <f>$Z74*AK74</f>
        <v>0</v>
      </c>
      <c r="AM74" s="457">
        <v>0</v>
      </c>
      <c r="AN74" s="390">
        <f>$Z74*AM74</f>
        <v>0</v>
      </c>
      <c r="AO74" s="457">
        <v>0</v>
      </c>
      <c r="AP74" s="390">
        <f>$Z74*AO74</f>
        <v>0</v>
      </c>
      <c r="AQ74" s="457">
        <v>1</v>
      </c>
      <c r="AR74" s="390">
        <f>$Z74*AQ74</f>
        <v>2</v>
      </c>
      <c r="AS74" s="457">
        <v>0</v>
      </c>
      <c r="AT74" s="390">
        <f>$Z74*AS74</f>
        <v>0</v>
      </c>
      <c r="AU74" s="457">
        <v>0</v>
      </c>
      <c r="AV74" s="390">
        <f>$Z74*AU74</f>
        <v>0</v>
      </c>
      <c r="AW74" s="457">
        <v>0</v>
      </c>
      <c r="AX74" s="390">
        <f>$Z74*AW74</f>
        <v>0</v>
      </c>
      <c r="AY74" s="438" t="s">
        <v>215</v>
      </c>
      <c r="AZ74" s="390" t="str">
        <f>A74&amp;" "&amp;E74</f>
        <v>18043-LM646 11115 Reflected Ceiling AHU PLATFORM 3 EL.+31.00</v>
      </c>
      <c r="BA74" s="390"/>
      <c r="BB74" s="390"/>
      <c r="BC74" s="390"/>
      <c r="BD74" s="390"/>
    </row>
    <row r="75" spans="1:56" s="37" customFormat="1" ht="15" customHeight="1" outlineLevel="1">
      <c r="A75" s="43"/>
      <c r="B75" s="38"/>
      <c r="C75" s="233"/>
      <c r="D75" s="38"/>
      <c r="E75" s="213"/>
      <c r="F75" s="418"/>
      <c r="G75" s="41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40"/>
      <c r="S75" s="40"/>
      <c r="T75" s="40" t="str" cm="1">
        <f t="array" ref="T75">IF(A75&lt;&gt;"",_xlfn.XLOOKUP(_xlfn.XLOOKUP(TRUE,F75:N75&lt;&gt;"",F75:N75,"-",-1,-1),F75:N75,$F$6:$N$6,,,-1),"")</f>
        <v/>
      </c>
      <c r="U75" s="324"/>
      <c r="V75" s="40"/>
      <c r="W75" s="416"/>
      <c r="X75" s="239"/>
      <c r="Y75" s="239"/>
      <c r="Z75" s="405"/>
      <c r="AA75" s="414"/>
      <c r="AC75" s="414"/>
      <c r="AE75" s="414"/>
      <c r="AG75" s="414"/>
      <c r="AI75" s="414"/>
      <c r="AK75" s="414"/>
      <c r="AM75" s="414"/>
      <c r="AO75" s="414"/>
      <c r="AQ75" s="414"/>
      <c r="AS75" s="414"/>
      <c r="AU75" s="414"/>
      <c r="AW75" s="414"/>
      <c r="AZ75" s="37" t="str">
        <f t="shared" si="86"/>
        <v xml:space="preserve"> </v>
      </c>
    </row>
    <row r="76" spans="1:56" s="37" customFormat="1" ht="15" customHeight="1" outlineLevel="1">
      <c r="A76" s="43" t="s">
        <v>224</v>
      </c>
      <c r="B76" s="38" t="s">
        <v>94</v>
      </c>
      <c r="C76" s="233" t="s">
        <v>95</v>
      </c>
      <c r="D76" s="38"/>
      <c r="E76" s="213" t="s">
        <v>225</v>
      </c>
      <c r="F76" s="418"/>
      <c r="G76" s="418"/>
      <c r="H76" s="38"/>
      <c r="I76" s="38"/>
      <c r="J76" s="38"/>
      <c r="K76" s="38"/>
      <c r="L76" s="38"/>
      <c r="M76" s="38"/>
      <c r="N76" s="383"/>
      <c r="O76" s="436" t="s">
        <v>97</v>
      </c>
      <c r="P76" s="494">
        <v>0</v>
      </c>
      <c r="Q76" s="38" t="s">
        <v>98</v>
      </c>
      <c r="R76" s="262" t="s">
        <v>192</v>
      </c>
      <c r="S76" s="37" t="s">
        <v>214</v>
      </c>
      <c r="T76" s="40"/>
      <c r="U76" s="437" t="s">
        <v>193</v>
      </c>
      <c r="V76" s="40"/>
      <c r="W76" s="415" t="s">
        <v>195</v>
      </c>
      <c r="X76" s="239" t="s">
        <v>102</v>
      </c>
      <c r="Y76" s="239" t="s">
        <v>193</v>
      </c>
      <c r="Z76" s="405">
        <v>1.5</v>
      </c>
      <c r="AA76" s="414">
        <v>0</v>
      </c>
      <c r="AB76" s="37">
        <f t="shared" si="54"/>
        <v>0</v>
      </c>
      <c r="AC76" s="414">
        <v>0</v>
      </c>
      <c r="AD76" s="37">
        <f t="shared" si="55"/>
        <v>0</v>
      </c>
      <c r="AE76" s="414">
        <v>0</v>
      </c>
      <c r="AF76" s="37">
        <f t="shared" ref="AF76:AF77" si="87">$Z76*AE76</f>
        <v>0</v>
      </c>
      <c r="AG76" s="414">
        <v>0</v>
      </c>
      <c r="AH76" s="37">
        <f t="shared" ref="AH76:AH77" si="88">$Z76*AG76</f>
        <v>0</v>
      </c>
      <c r="AI76" s="414">
        <v>0</v>
      </c>
      <c r="AJ76" s="37">
        <f t="shared" ref="AJ76:AJ77" si="89">$Z76*AI76</f>
        <v>0</v>
      </c>
      <c r="AK76" s="414">
        <v>0</v>
      </c>
      <c r="AL76" s="37">
        <f>$Z76*AK76</f>
        <v>0</v>
      </c>
      <c r="AM76" s="414">
        <v>0</v>
      </c>
      <c r="AN76" s="37">
        <f t="shared" ref="AN76:AN77" si="90">$Z76*AM76</f>
        <v>0</v>
      </c>
      <c r="AO76" s="414">
        <v>0</v>
      </c>
      <c r="AP76" s="37">
        <f>$Z76*AO76</f>
        <v>0</v>
      </c>
      <c r="AQ76" s="414">
        <v>1</v>
      </c>
      <c r="AR76" s="37">
        <f t="shared" si="12"/>
        <v>1.5</v>
      </c>
      <c r="AS76" s="414">
        <v>0</v>
      </c>
      <c r="AT76" s="37">
        <f t="shared" si="13"/>
        <v>0</v>
      </c>
      <c r="AU76" s="414">
        <v>0</v>
      </c>
      <c r="AV76" s="37">
        <f t="shared" ref="AV76:AV77" si="91">$Z76*AU76</f>
        <v>0</v>
      </c>
      <c r="AW76" s="414">
        <v>0</v>
      </c>
      <c r="AX76" s="37">
        <f>$Z76*AW76</f>
        <v>0</v>
      </c>
      <c r="AY76" s="316" t="s">
        <v>215</v>
      </c>
      <c r="AZ76" s="37" t="str">
        <f t="shared" si="86"/>
        <v>18043-LM646 11121 Fire Compartment &amp; Evacuation Plan Ground Floor &amp; 2nd Floor Plan</v>
      </c>
    </row>
    <row r="77" spans="1:56" s="37" customFormat="1" ht="15" customHeight="1" outlineLevel="1">
      <c r="A77" s="43" t="s">
        <v>226</v>
      </c>
      <c r="B77" s="38" t="s">
        <v>94</v>
      </c>
      <c r="C77" s="233" t="s">
        <v>95</v>
      </c>
      <c r="D77" s="38"/>
      <c r="E77" s="213" t="s">
        <v>227</v>
      </c>
      <c r="F77" s="418"/>
      <c r="G77" s="418"/>
      <c r="H77" s="38"/>
      <c r="I77" s="38"/>
      <c r="J77" s="38"/>
      <c r="K77" s="38"/>
      <c r="L77" s="38"/>
      <c r="M77" s="38"/>
      <c r="N77" s="383"/>
      <c r="O77" s="436" t="s">
        <v>97</v>
      </c>
      <c r="P77" s="494">
        <v>0</v>
      </c>
      <c r="Q77" s="38" t="s">
        <v>98</v>
      </c>
      <c r="R77" s="262" t="s">
        <v>192</v>
      </c>
      <c r="S77" s="37" t="s">
        <v>214</v>
      </c>
      <c r="T77" s="40"/>
      <c r="U77" s="437" t="s">
        <v>193</v>
      </c>
      <c r="V77" s="40"/>
      <c r="W77" s="415" t="s">
        <v>195</v>
      </c>
      <c r="X77" s="239" t="s">
        <v>102</v>
      </c>
      <c r="Y77" s="239" t="s">
        <v>193</v>
      </c>
      <c r="Z77" s="405">
        <v>1.5</v>
      </c>
      <c r="AA77" s="414">
        <v>0</v>
      </c>
      <c r="AB77" s="37">
        <f t="shared" si="54"/>
        <v>0</v>
      </c>
      <c r="AC77" s="414">
        <v>0</v>
      </c>
      <c r="AD77" s="37">
        <f t="shared" si="55"/>
        <v>0</v>
      </c>
      <c r="AE77" s="414">
        <v>0</v>
      </c>
      <c r="AF77" s="37">
        <f t="shared" si="87"/>
        <v>0</v>
      </c>
      <c r="AG77" s="414">
        <v>0</v>
      </c>
      <c r="AH77" s="37">
        <f t="shared" si="88"/>
        <v>0</v>
      </c>
      <c r="AI77" s="414">
        <v>0</v>
      </c>
      <c r="AJ77" s="37">
        <f t="shared" si="89"/>
        <v>0</v>
      </c>
      <c r="AK77" s="414">
        <v>0</v>
      </c>
      <c r="AL77" s="37">
        <f>$Z77*AK77</f>
        <v>0</v>
      </c>
      <c r="AM77" s="414">
        <v>0</v>
      </c>
      <c r="AN77" s="37">
        <f t="shared" si="90"/>
        <v>0</v>
      </c>
      <c r="AO77" s="414">
        <v>0</v>
      </c>
      <c r="AP77" s="37">
        <f>$Z77*AO77</f>
        <v>0</v>
      </c>
      <c r="AQ77" s="414">
        <v>1</v>
      </c>
      <c r="AR77" s="37">
        <f t="shared" si="12"/>
        <v>1.5</v>
      </c>
      <c r="AS77" s="414">
        <v>0</v>
      </c>
      <c r="AT77" s="37">
        <f t="shared" si="13"/>
        <v>0</v>
      </c>
      <c r="AU77" s="414">
        <v>0</v>
      </c>
      <c r="AV77" s="37">
        <f t="shared" si="91"/>
        <v>0</v>
      </c>
      <c r="AW77" s="414">
        <v>0</v>
      </c>
      <c r="AX77" s="37">
        <f>$Z77*AW77</f>
        <v>0</v>
      </c>
      <c r="AY77" s="316" t="s">
        <v>215</v>
      </c>
      <c r="AZ77" s="37" t="str">
        <f t="shared" si="86"/>
        <v>18043-LM646 11122 Fire Compartment &amp; Evacuation Plan 3rd Floor &amp; Roof Deck Plan</v>
      </c>
    </row>
    <row r="78" spans="1:56" s="37" customFormat="1" ht="15" customHeight="1" outlineLevel="1">
      <c r="A78" s="43"/>
      <c r="B78" s="38"/>
      <c r="C78" s="233"/>
      <c r="D78" s="38"/>
      <c r="E78" s="213"/>
      <c r="F78" s="418"/>
      <c r="G78" s="41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40"/>
      <c r="S78" s="40"/>
      <c r="T78" s="40" t="str" cm="1">
        <f t="array" ref="T78">IF(A78&lt;&gt;"",_xlfn.XLOOKUP(_xlfn.XLOOKUP(TRUE,F78:N78&lt;&gt;"",F78:N78,"-",-1,-1),F78:N78,$F$6:$N$6,,,-1),"")</f>
        <v/>
      </c>
      <c r="U78" s="324"/>
      <c r="V78" s="40"/>
      <c r="W78" s="236"/>
      <c r="X78" s="239"/>
      <c r="Y78" s="239"/>
      <c r="Z78" s="405"/>
      <c r="AA78" s="414"/>
      <c r="AC78" s="414"/>
      <c r="AE78" s="414"/>
      <c r="AG78" s="414"/>
      <c r="AI78" s="414"/>
      <c r="AK78" s="414"/>
      <c r="AM78" s="414"/>
      <c r="AO78" s="414"/>
      <c r="AQ78" s="414"/>
      <c r="AS78" s="414"/>
      <c r="AU78" s="414"/>
      <c r="AW78" s="414"/>
      <c r="AZ78" s="37" t="str">
        <f t="shared" si="86"/>
        <v xml:space="preserve"> </v>
      </c>
    </row>
    <row r="79" spans="1:56" s="37" customFormat="1" ht="15" customHeight="1" outlineLevel="1">
      <c r="A79" s="43" t="s">
        <v>228</v>
      </c>
      <c r="B79" s="38" t="s">
        <v>94</v>
      </c>
      <c r="C79" s="233" t="s">
        <v>95</v>
      </c>
      <c r="D79" s="38"/>
      <c r="E79" s="42" t="s">
        <v>229</v>
      </c>
      <c r="F79" s="418"/>
      <c r="G79" s="418"/>
      <c r="H79" s="38"/>
      <c r="I79" s="38"/>
      <c r="J79" s="38"/>
      <c r="K79" s="38"/>
      <c r="L79" s="38" t="s">
        <v>97</v>
      </c>
      <c r="M79" s="364" t="s">
        <v>97</v>
      </c>
      <c r="N79" s="448" t="s">
        <v>34</v>
      </c>
      <c r="O79" s="38"/>
      <c r="P79" s="492">
        <v>0</v>
      </c>
      <c r="Q79" s="38" t="s">
        <v>98</v>
      </c>
      <c r="R79" s="262" t="s">
        <v>192</v>
      </c>
      <c r="S79" s="304"/>
      <c r="T79" s="40" t="str" cm="1">
        <f t="array" ref="T79">IF(A79&lt;&gt;"",_xlfn.XLOOKUP(_xlfn.XLOOKUP(TRUE,F79:N79&lt;&gt;"",F79:N79,"-",-1,-1),F79:N79,$F$6:$N$6,,,-1),"")</f>
        <v>Add8</v>
      </c>
      <c r="U79" s="362" t="s">
        <v>193</v>
      </c>
      <c r="V79" s="40"/>
      <c r="W79" s="415" t="s">
        <v>195</v>
      </c>
      <c r="X79" s="239" t="s">
        <v>102</v>
      </c>
      <c r="Y79" s="239" t="s">
        <v>193</v>
      </c>
      <c r="Z79" s="405">
        <v>2</v>
      </c>
      <c r="AA79" s="414">
        <v>0.7</v>
      </c>
      <c r="AB79" s="37">
        <f t="shared" si="54"/>
        <v>1.4</v>
      </c>
      <c r="AC79" s="414">
        <v>0</v>
      </c>
      <c r="AD79" s="37">
        <f t="shared" si="55"/>
        <v>0</v>
      </c>
      <c r="AE79" s="414">
        <v>0.8</v>
      </c>
      <c r="AF79" s="37">
        <f t="shared" ref="AF79:AF82" si="92">$Z79*AE79</f>
        <v>1.6</v>
      </c>
      <c r="AG79" s="414">
        <v>0</v>
      </c>
      <c r="AH79" s="37">
        <f t="shared" ref="AH79:AH82" si="93">$Z79*AG79</f>
        <v>0</v>
      </c>
      <c r="AI79" s="414">
        <v>0.9</v>
      </c>
      <c r="AJ79" s="37">
        <f t="shared" ref="AJ79:AJ82" si="94">$Z79*AI79</f>
        <v>1.8</v>
      </c>
      <c r="AK79" s="414">
        <v>0</v>
      </c>
      <c r="AL79" s="37">
        <f>$Z79*AK79</f>
        <v>0</v>
      </c>
      <c r="AM79" s="414">
        <v>0.9</v>
      </c>
      <c r="AN79" s="37">
        <f t="shared" ref="AN79:AN82" si="95">$Z79*AM79</f>
        <v>1.8</v>
      </c>
      <c r="AO79" s="414">
        <v>0</v>
      </c>
      <c r="AP79" s="37">
        <f>$Z79*AO79</f>
        <v>0</v>
      </c>
      <c r="AQ79" s="414">
        <v>1</v>
      </c>
      <c r="AR79" s="37">
        <f t="shared" si="12"/>
        <v>2</v>
      </c>
      <c r="AS79" s="414">
        <v>0</v>
      </c>
      <c r="AT79" s="37">
        <f t="shared" si="13"/>
        <v>0</v>
      </c>
      <c r="AU79" s="414">
        <v>0.9</v>
      </c>
      <c r="AV79" s="37">
        <f t="shared" ref="AV79:AV82" si="96">$Z79*AU79</f>
        <v>1.8</v>
      </c>
      <c r="AW79" s="414">
        <v>0</v>
      </c>
      <c r="AX79" s="37">
        <f>$Z79*AW79</f>
        <v>0</v>
      </c>
      <c r="AY79" s="390"/>
      <c r="AZ79" s="37" t="str">
        <f t="shared" si="86"/>
        <v>18043-LM646 11201 Sections Sheet 1</v>
      </c>
    </row>
    <row r="80" spans="1:56" s="37" customFormat="1" ht="15" customHeight="1" outlineLevel="1">
      <c r="A80" s="43" t="s">
        <v>230</v>
      </c>
      <c r="B80" s="38" t="s">
        <v>94</v>
      </c>
      <c r="C80" s="233" t="s">
        <v>95</v>
      </c>
      <c r="D80" s="38"/>
      <c r="E80" s="42" t="s">
        <v>231</v>
      </c>
      <c r="F80" s="418"/>
      <c r="G80" s="418"/>
      <c r="H80" s="38"/>
      <c r="I80" s="38"/>
      <c r="J80" s="38"/>
      <c r="K80" s="38"/>
      <c r="L80" s="38" t="s">
        <v>97</v>
      </c>
      <c r="M80" s="364" t="s">
        <v>97</v>
      </c>
      <c r="N80" s="448" t="s">
        <v>34</v>
      </c>
      <c r="O80" s="38"/>
      <c r="P80" s="492">
        <v>0</v>
      </c>
      <c r="Q80" s="38" t="s">
        <v>98</v>
      </c>
      <c r="R80" s="262" t="s">
        <v>192</v>
      </c>
      <c r="S80" s="304"/>
      <c r="T80" s="40" t="str" cm="1">
        <f t="array" ref="T80">IF(A80&lt;&gt;"",_xlfn.XLOOKUP(_xlfn.XLOOKUP(TRUE,F80:N80&lt;&gt;"",F80:N80,"-",-1,-1),F80:N80,$F$6:$N$6,,,-1),"")</f>
        <v>Add8</v>
      </c>
      <c r="U80" s="362" t="s">
        <v>193</v>
      </c>
      <c r="V80" s="40"/>
      <c r="W80" s="415" t="s">
        <v>195</v>
      </c>
      <c r="X80" s="239" t="s">
        <v>102</v>
      </c>
      <c r="Y80" s="239" t="s">
        <v>193</v>
      </c>
      <c r="Z80" s="405">
        <v>2</v>
      </c>
      <c r="AA80" s="414">
        <v>0.7</v>
      </c>
      <c r="AB80" s="37">
        <f t="shared" si="54"/>
        <v>1.4</v>
      </c>
      <c r="AC80" s="414">
        <v>0</v>
      </c>
      <c r="AD80" s="37">
        <f t="shared" si="55"/>
        <v>0</v>
      </c>
      <c r="AE80" s="414">
        <v>0.8</v>
      </c>
      <c r="AF80" s="37">
        <f t="shared" si="92"/>
        <v>1.6</v>
      </c>
      <c r="AG80" s="414">
        <v>0</v>
      </c>
      <c r="AH80" s="37">
        <f t="shared" si="93"/>
        <v>0</v>
      </c>
      <c r="AI80" s="414">
        <v>0.9</v>
      </c>
      <c r="AJ80" s="37">
        <f t="shared" si="94"/>
        <v>1.8</v>
      </c>
      <c r="AK80" s="414">
        <v>0</v>
      </c>
      <c r="AL80" s="37">
        <f>$Z80*AK80</f>
        <v>0</v>
      </c>
      <c r="AM80" s="414">
        <v>0.9</v>
      </c>
      <c r="AN80" s="37">
        <f t="shared" si="95"/>
        <v>1.8</v>
      </c>
      <c r="AO80" s="414">
        <v>0</v>
      </c>
      <c r="AP80" s="37">
        <f>$Z80*AO80</f>
        <v>0</v>
      </c>
      <c r="AQ80" s="414">
        <v>1</v>
      </c>
      <c r="AR80" s="37">
        <f t="shared" si="12"/>
        <v>2</v>
      </c>
      <c r="AS80" s="414">
        <v>0</v>
      </c>
      <c r="AT80" s="37">
        <f t="shared" si="13"/>
        <v>0</v>
      </c>
      <c r="AU80" s="414">
        <v>0.9</v>
      </c>
      <c r="AV80" s="37">
        <f t="shared" si="96"/>
        <v>1.8</v>
      </c>
      <c r="AW80" s="414">
        <v>0</v>
      </c>
      <c r="AX80" s="37">
        <f>$Z80*AW80</f>
        <v>0</v>
      </c>
      <c r="AY80" s="390"/>
      <c r="AZ80" s="37" t="str">
        <f t="shared" si="86"/>
        <v>18043-LM646 11202 Sections Sheet 2</v>
      </c>
    </row>
    <row r="81" spans="1:52" s="37" customFormat="1" ht="15" customHeight="1" outlineLevel="1">
      <c r="A81" s="43" t="s">
        <v>232</v>
      </c>
      <c r="B81" s="38" t="s">
        <v>94</v>
      </c>
      <c r="C81" s="233" t="s">
        <v>95</v>
      </c>
      <c r="D81" s="38"/>
      <c r="E81" s="42" t="s">
        <v>233</v>
      </c>
      <c r="F81" s="418"/>
      <c r="G81" s="418"/>
      <c r="H81" s="38"/>
      <c r="I81" s="38"/>
      <c r="J81" s="38"/>
      <c r="K81" s="38"/>
      <c r="L81" s="38" t="s">
        <v>97</v>
      </c>
      <c r="M81" s="38"/>
      <c r="N81" s="38"/>
      <c r="O81" s="38"/>
      <c r="P81" s="492">
        <v>0</v>
      </c>
      <c r="Q81" s="38" t="s">
        <v>98</v>
      </c>
      <c r="R81" s="262" t="s">
        <v>192</v>
      </c>
      <c r="S81" s="304"/>
      <c r="T81" s="40" t="str" cm="1">
        <f t="array" ref="T81">IF(A81&lt;&gt;"",_xlfn.XLOOKUP(_xlfn.XLOOKUP(TRUE,F81:N81&lt;&gt;"",F81:N81,"-",-1,-1),F81:N81,$F$6:$N$6,,,-1),"")</f>
        <v>Add7</v>
      </c>
      <c r="U81" s="362" t="s">
        <v>193</v>
      </c>
      <c r="V81" s="40"/>
      <c r="W81" s="415" t="s">
        <v>195</v>
      </c>
      <c r="X81" s="239" t="s">
        <v>102</v>
      </c>
      <c r="Y81" s="239" t="s">
        <v>193</v>
      </c>
      <c r="Z81" s="405">
        <v>2</v>
      </c>
      <c r="AA81" s="414">
        <v>0.5</v>
      </c>
      <c r="AB81" s="37">
        <f t="shared" si="54"/>
        <v>1</v>
      </c>
      <c r="AC81" s="414">
        <v>0</v>
      </c>
      <c r="AD81" s="37">
        <f t="shared" si="55"/>
        <v>0</v>
      </c>
      <c r="AE81" s="414">
        <v>0.8</v>
      </c>
      <c r="AF81" s="37">
        <f t="shared" si="92"/>
        <v>1.6</v>
      </c>
      <c r="AG81" s="414">
        <v>0</v>
      </c>
      <c r="AH81" s="37">
        <f t="shared" si="93"/>
        <v>0</v>
      </c>
      <c r="AI81" s="414">
        <v>0</v>
      </c>
      <c r="AJ81" s="37">
        <f t="shared" si="94"/>
        <v>0</v>
      </c>
      <c r="AK81" s="414">
        <v>0</v>
      </c>
      <c r="AL81" s="37">
        <f>$Z81*AK81</f>
        <v>0</v>
      </c>
      <c r="AM81" s="414">
        <v>0</v>
      </c>
      <c r="AN81" s="37">
        <f t="shared" si="95"/>
        <v>0</v>
      </c>
      <c r="AO81" s="414">
        <v>0</v>
      </c>
      <c r="AP81" s="37">
        <f>$Z81*AO81</f>
        <v>0</v>
      </c>
      <c r="AQ81" s="414">
        <v>1</v>
      </c>
      <c r="AR81" s="37">
        <f t="shared" si="12"/>
        <v>2</v>
      </c>
      <c r="AS81" s="414">
        <v>0</v>
      </c>
      <c r="AT81" s="37">
        <f t="shared" si="13"/>
        <v>0</v>
      </c>
      <c r="AU81" s="414">
        <v>0</v>
      </c>
      <c r="AV81" s="37">
        <f t="shared" si="96"/>
        <v>0</v>
      </c>
      <c r="AW81" s="414">
        <v>0</v>
      </c>
      <c r="AX81" s="37">
        <f>$Z81*AW81</f>
        <v>0</v>
      </c>
      <c r="AZ81" s="37" t="str">
        <f t="shared" si="86"/>
        <v>18043-LM646 11203 Sections Sheet 3</v>
      </c>
    </row>
    <row r="82" spans="1:52" s="37" customFormat="1" ht="15" customHeight="1" outlineLevel="1">
      <c r="A82" s="43" t="s">
        <v>234</v>
      </c>
      <c r="B82" s="38" t="s">
        <v>94</v>
      </c>
      <c r="C82" s="233" t="s">
        <v>95</v>
      </c>
      <c r="D82" s="38"/>
      <c r="E82" s="42" t="s">
        <v>235</v>
      </c>
      <c r="F82" s="418"/>
      <c r="G82" s="418"/>
      <c r="H82" s="38"/>
      <c r="I82" s="38"/>
      <c r="J82" s="38"/>
      <c r="K82" s="38"/>
      <c r="L82" s="38" t="s">
        <v>97</v>
      </c>
      <c r="M82" s="38"/>
      <c r="N82" s="38"/>
      <c r="O82" s="38"/>
      <c r="P82" s="492">
        <v>0</v>
      </c>
      <c r="Q82" s="38" t="s">
        <v>98</v>
      </c>
      <c r="R82" s="262" t="s">
        <v>192</v>
      </c>
      <c r="S82" s="304"/>
      <c r="T82" s="40" t="str" cm="1">
        <f t="array" ref="T82">IF(A82&lt;&gt;"",_xlfn.XLOOKUP(_xlfn.XLOOKUP(TRUE,F82:N82&lt;&gt;"",F82:N82,"-",-1,-1),F82:N82,$F$6:$N$6,,,-1),"")</f>
        <v>Add7</v>
      </c>
      <c r="U82" s="362" t="s">
        <v>193</v>
      </c>
      <c r="V82" s="40"/>
      <c r="W82" s="415" t="s">
        <v>195</v>
      </c>
      <c r="X82" s="239" t="s">
        <v>102</v>
      </c>
      <c r="Y82" s="239" t="s">
        <v>193</v>
      </c>
      <c r="Z82" s="405">
        <v>2</v>
      </c>
      <c r="AA82" s="414">
        <v>0.5</v>
      </c>
      <c r="AB82" s="37">
        <f t="shared" si="54"/>
        <v>1</v>
      </c>
      <c r="AC82" s="414">
        <v>0</v>
      </c>
      <c r="AD82" s="37">
        <f t="shared" si="55"/>
        <v>0</v>
      </c>
      <c r="AE82" s="414">
        <v>0.8</v>
      </c>
      <c r="AF82" s="37">
        <f t="shared" si="92"/>
        <v>1.6</v>
      </c>
      <c r="AG82" s="414">
        <v>0</v>
      </c>
      <c r="AH82" s="37">
        <f t="shared" si="93"/>
        <v>0</v>
      </c>
      <c r="AI82" s="414">
        <v>0</v>
      </c>
      <c r="AJ82" s="37">
        <f t="shared" si="94"/>
        <v>0</v>
      </c>
      <c r="AK82" s="414">
        <v>0</v>
      </c>
      <c r="AL82" s="37">
        <f>$Z82*AK82</f>
        <v>0</v>
      </c>
      <c r="AM82" s="414">
        <v>0</v>
      </c>
      <c r="AN82" s="37">
        <f t="shared" si="95"/>
        <v>0</v>
      </c>
      <c r="AO82" s="414">
        <v>0</v>
      </c>
      <c r="AP82" s="37">
        <f>$Z82*AO82</f>
        <v>0</v>
      </c>
      <c r="AQ82" s="414">
        <v>1</v>
      </c>
      <c r="AR82" s="37">
        <f t="shared" si="12"/>
        <v>2</v>
      </c>
      <c r="AS82" s="414">
        <v>0</v>
      </c>
      <c r="AT82" s="37">
        <f t="shared" si="13"/>
        <v>0</v>
      </c>
      <c r="AU82" s="414">
        <v>0</v>
      </c>
      <c r="AV82" s="37">
        <f t="shared" si="96"/>
        <v>0</v>
      </c>
      <c r="AW82" s="414">
        <v>0</v>
      </c>
      <c r="AX82" s="37">
        <f>$Z82*AW82</f>
        <v>0</v>
      </c>
      <c r="AZ82" s="37" t="str">
        <f t="shared" si="86"/>
        <v>18043-LM646 11204 Sections Sheet 4</v>
      </c>
    </row>
    <row r="83" spans="1:52" s="37" customFormat="1" ht="15" customHeight="1" outlineLevel="1">
      <c r="A83" s="43"/>
      <c r="B83" s="38"/>
      <c r="C83" s="233"/>
      <c r="D83" s="38"/>
      <c r="E83" s="42"/>
      <c r="F83" s="418"/>
      <c r="G83" s="41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40"/>
      <c r="S83" s="40"/>
      <c r="T83" s="40" t="str" cm="1">
        <f t="array" ref="T83">IF(A83&lt;&gt;"",_xlfn.XLOOKUP(_xlfn.XLOOKUP(TRUE,F83:N83&lt;&gt;"",F83:N83,"-",-1,-1),F83:N83,$F$6:$N$6,,,-1),"")</f>
        <v/>
      </c>
      <c r="U83" s="324"/>
      <c r="V83" s="40"/>
      <c r="W83" s="236"/>
      <c r="X83" s="239"/>
      <c r="Y83" s="239"/>
      <c r="Z83" s="405"/>
      <c r="AA83" s="414"/>
      <c r="AC83" s="414"/>
      <c r="AE83" s="414"/>
      <c r="AG83" s="414"/>
      <c r="AI83" s="414"/>
      <c r="AK83" s="414"/>
      <c r="AM83" s="414"/>
      <c r="AO83" s="414"/>
      <c r="AQ83" s="414"/>
      <c r="AS83" s="414"/>
      <c r="AU83" s="414"/>
      <c r="AW83" s="414"/>
      <c r="AY83" s="390"/>
      <c r="AZ83" s="37" t="str">
        <f t="shared" si="86"/>
        <v xml:space="preserve"> </v>
      </c>
    </row>
    <row r="84" spans="1:52" s="37" customFormat="1" ht="15" customHeight="1" outlineLevel="1">
      <c r="A84" s="43" t="s">
        <v>236</v>
      </c>
      <c r="B84" s="38" t="s">
        <v>94</v>
      </c>
      <c r="C84" s="233" t="s">
        <v>95</v>
      </c>
      <c r="D84" s="38"/>
      <c r="E84" s="42" t="s">
        <v>237</v>
      </c>
      <c r="F84" s="418"/>
      <c r="G84" s="418"/>
      <c r="H84" s="38"/>
      <c r="I84" s="38"/>
      <c r="J84" s="38"/>
      <c r="K84" s="38"/>
      <c r="L84" s="38" t="s">
        <v>97</v>
      </c>
      <c r="M84" s="364" t="s">
        <v>97</v>
      </c>
      <c r="N84" s="38"/>
      <c r="O84" s="38"/>
      <c r="P84" s="492">
        <v>0</v>
      </c>
      <c r="Q84" s="38" t="s">
        <v>98</v>
      </c>
      <c r="R84" s="262" t="s">
        <v>192</v>
      </c>
      <c r="S84" s="40"/>
      <c r="T84" s="40" t="str" cm="1">
        <f t="array" ref="T84">IF(A84&lt;&gt;"",_xlfn.XLOOKUP(_xlfn.XLOOKUP(TRUE,F84:N84&lt;&gt;"",F84:N84,"-",-1,-1),F84:N84,$F$6:$N$6,,,-1),"")</f>
        <v>Permit</v>
      </c>
      <c r="U84" s="362" t="s">
        <v>193</v>
      </c>
      <c r="V84" s="40"/>
      <c r="W84" s="415" t="s">
        <v>195</v>
      </c>
      <c r="X84" s="239" t="s">
        <v>102</v>
      </c>
      <c r="Y84" s="239" t="s">
        <v>193</v>
      </c>
      <c r="Z84" s="405">
        <v>1.5</v>
      </c>
      <c r="AA84" s="414">
        <v>0.7</v>
      </c>
      <c r="AB84" s="37">
        <f t="shared" si="54"/>
        <v>1.0499999999999998</v>
      </c>
      <c r="AC84" s="414">
        <v>0</v>
      </c>
      <c r="AD84" s="37">
        <f t="shared" si="55"/>
        <v>0</v>
      </c>
      <c r="AE84" s="414">
        <v>0.8</v>
      </c>
      <c r="AF84" s="37">
        <f t="shared" ref="AF84:AF87" si="97">$Z84*AE84</f>
        <v>1.2000000000000002</v>
      </c>
      <c r="AG84" s="414">
        <v>0</v>
      </c>
      <c r="AH84" s="37">
        <f t="shared" ref="AH84:AH87" si="98">$Z84*AG84</f>
        <v>0</v>
      </c>
      <c r="AI84" s="414">
        <v>0.9</v>
      </c>
      <c r="AJ84" s="37">
        <f t="shared" ref="AJ84:AJ87" si="99">$Z84*AI84</f>
        <v>1.35</v>
      </c>
      <c r="AK84" s="414">
        <v>0</v>
      </c>
      <c r="AL84" s="37">
        <f>$Z84*AK84</f>
        <v>0</v>
      </c>
      <c r="AM84" s="414">
        <v>0.9</v>
      </c>
      <c r="AN84" s="37">
        <f t="shared" ref="AN84:AN87" si="100">$Z84*AM84</f>
        <v>1.35</v>
      </c>
      <c r="AO84" s="414">
        <v>0</v>
      </c>
      <c r="AP84" s="37">
        <f>$Z84*AO84</f>
        <v>0</v>
      </c>
      <c r="AQ84" s="414">
        <v>1</v>
      </c>
      <c r="AR84" s="37">
        <f t="shared" si="12"/>
        <v>1.5</v>
      </c>
      <c r="AS84" s="414">
        <v>0</v>
      </c>
      <c r="AT84" s="37">
        <f t="shared" si="13"/>
        <v>0</v>
      </c>
      <c r="AU84" s="414">
        <v>0.9</v>
      </c>
      <c r="AV84" s="37">
        <f t="shared" ref="AV84:AV87" si="101">$Z84*AU84</f>
        <v>1.35</v>
      </c>
      <c r="AW84" s="414">
        <v>0</v>
      </c>
      <c r="AX84" s="37">
        <f>$Z84*AW84</f>
        <v>0</v>
      </c>
      <c r="AY84" s="390"/>
      <c r="AZ84" s="37" t="str">
        <f t="shared" si="86"/>
        <v>18043-LM646 11301 Elevation Sheet 1</v>
      </c>
    </row>
    <row r="85" spans="1:52" s="37" customFormat="1" ht="15" customHeight="1" outlineLevel="1">
      <c r="A85" s="43" t="s">
        <v>238</v>
      </c>
      <c r="B85" s="38" t="s">
        <v>94</v>
      </c>
      <c r="C85" s="233" t="s">
        <v>95</v>
      </c>
      <c r="D85" s="38"/>
      <c r="E85" s="42" t="s">
        <v>239</v>
      </c>
      <c r="F85" s="418"/>
      <c r="G85" s="418"/>
      <c r="H85" s="38"/>
      <c r="I85" s="38"/>
      <c r="J85" s="38"/>
      <c r="K85" s="38"/>
      <c r="L85" s="38" t="s">
        <v>97</v>
      </c>
      <c r="M85" s="364" t="s">
        <v>97</v>
      </c>
      <c r="N85" s="38"/>
      <c r="O85" s="38"/>
      <c r="P85" s="492">
        <v>0</v>
      </c>
      <c r="Q85" s="38" t="s">
        <v>98</v>
      </c>
      <c r="R85" s="262" t="s">
        <v>192</v>
      </c>
      <c r="S85" s="40"/>
      <c r="T85" s="40" t="str" cm="1">
        <f t="array" ref="T85">IF(A85&lt;&gt;"",_xlfn.XLOOKUP(_xlfn.XLOOKUP(TRUE,F85:N85&lt;&gt;"",F85:N85,"-",-1,-1),F85:N85,$F$6:$N$6,,,-1),"")</f>
        <v>Permit</v>
      </c>
      <c r="U85" s="362" t="s">
        <v>193</v>
      </c>
      <c r="V85" s="245" t="s">
        <v>240</v>
      </c>
      <c r="W85" s="415" t="s">
        <v>195</v>
      </c>
      <c r="X85" s="239" t="s">
        <v>102</v>
      </c>
      <c r="Y85" s="239" t="s">
        <v>193</v>
      </c>
      <c r="Z85" s="405">
        <v>1.5</v>
      </c>
      <c r="AA85" s="414">
        <v>0.7</v>
      </c>
      <c r="AB85" s="37">
        <f t="shared" si="54"/>
        <v>1.0499999999999998</v>
      </c>
      <c r="AC85" s="414">
        <v>0</v>
      </c>
      <c r="AD85" s="37">
        <f t="shared" si="55"/>
        <v>0</v>
      </c>
      <c r="AE85" s="414">
        <v>0.8</v>
      </c>
      <c r="AF85" s="37">
        <f t="shared" si="97"/>
        <v>1.2000000000000002</v>
      </c>
      <c r="AG85" s="414">
        <v>0</v>
      </c>
      <c r="AH85" s="37">
        <f t="shared" si="98"/>
        <v>0</v>
      </c>
      <c r="AI85" s="414">
        <v>0.9</v>
      </c>
      <c r="AJ85" s="37">
        <f t="shared" si="99"/>
        <v>1.35</v>
      </c>
      <c r="AK85" s="414">
        <v>0</v>
      </c>
      <c r="AL85" s="37">
        <f>$Z85*AK85</f>
        <v>0</v>
      </c>
      <c r="AM85" s="414">
        <v>0.9</v>
      </c>
      <c r="AN85" s="37">
        <f t="shared" si="100"/>
        <v>1.35</v>
      </c>
      <c r="AO85" s="414">
        <v>0</v>
      </c>
      <c r="AP85" s="37">
        <f>$Z85*AO85</f>
        <v>0</v>
      </c>
      <c r="AQ85" s="414">
        <v>1</v>
      </c>
      <c r="AR85" s="37">
        <f t="shared" si="12"/>
        <v>1.5</v>
      </c>
      <c r="AS85" s="414">
        <v>0</v>
      </c>
      <c r="AT85" s="37">
        <f t="shared" si="13"/>
        <v>0</v>
      </c>
      <c r="AU85" s="414">
        <v>0.9</v>
      </c>
      <c r="AV85" s="37">
        <f t="shared" si="101"/>
        <v>1.35</v>
      </c>
      <c r="AW85" s="414">
        <v>0</v>
      </c>
      <c r="AX85" s="37">
        <f>$Z85*AW85</f>
        <v>0</v>
      </c>
      <c r="AY85" s="390"/>
      <c r="AZ85" s="37" t="str">
        <f t="shared" si="86"/>
        <v>18043-LM646 11302 Elevation Sheet 2</v>
      </c>
    </row>
    <row r="86" spans="1:52" s="37" customFormat="1" ht="15" customHeight="1" outlineLevel="1">
      <c r="A86" s="43" t="s">
        <v>241</v>
      </c>
      <c r="B86" s="38" t="s">
        <v>94</v>
      </c>
      <c r="C86" s="233" t="s">
        <v>95</v>
      </c>
      <c r="D86" s="38"/>
      <c r="E86" s="42" t="s">
        <v>242</v>
      </c>
      <c r="F86" s="418"/>
      <c r="G86" s="418"/>
      <c r="H86" s="38"/>
      <c r="I86" s="38"/>
      <c r="J86" s="38"/>
      <c r="K86" s="38"/>
      <c r="L86" s="38" t="s">
        <v>97</v>
      </c>
      <c r="M86" s="38"/>
      <c r="N86" s="38"/>
      <c r="O86" s="38"/>
      <c r="P86" s="492">
        <v>0</v>
      </c>
      <c r="Q86" s="38" t="s">
        <v>98</v>
      </c>
      <c r="R86" s="262" t="s">
        <v>192</v>
      </c>
      <c r="S86" s="40"/>
      <c r="T86" s="40" t="str" cm="1">
        <f t="array" ref="T86">IF(A86&lt;&gt;"",_xlfn.XLOOKUP(_xlfn.XLOOKUP(TRUE,F86:N86&lt;&gt;"",F86:N86,"-",-1,-1),F86:N86,$F$6:$N$6,,,-1),"")</f>
        <v>Add7</v>
      </c>
      <c r="U86" s="362" t="s">
        <v>193</v>
      </c>
      <c r="V86" s="245" t="s">
        <v>240</v>
      </c>
      <c r="W86" s="415" t="s">
        <v>195</v>
      </c>
      <c r="X86" s="239" t="s">
        <v>102</v>
      </c>
      <c r="Y86" s="239" t="s">
        <v>193</v>
      </c>
      <c r="Z86" s="405">
        <v>1.5</v>
      </c>
      <c r="AA86" s="414">
        <v>0</v>
      </c>
      <c r="AB86" s="37">
        <f t="shared" si="54"/>
        <v>0</v>
      </c>
      <c r="AC86" s="414">
        <v>0</v>
      </c>
      <c r="AD86" s="37">
        <f t="shared" si="55"/>
        <v>0</v>
      </c>
      <c r="AE86" s="414">
        <v>0.5</v>
      </c>
      <c r="AF86" s="37">
        <f t="shared" si="97"/>
        <v>0.75</v>
      </c>
      <c r="AG86" s="414">
        <v>0</v>
      </c>
      <c r="AH86" s="37">
        <f t="shared" si="98"/>
        <v>0</v>
      </c>
      <c r="AI86" s="414">
        <v>0</v>
      </c>
      <c r="AJ86" s="37">
        <f t="shared" si="99"/>
        <v>0</v>
      </c>
      <c r="AK86" s="414">
        <v>0</v>
      </c>
      <c r="AL86" s="37">
        <f>$Z86*AK86</f>
        <v>0</v>
      </c>
      <c r="AM86" s="414">
        <v>0</v>
      </c>
      <c r="AN86" s="37">
        <f t="shared" si="100"/>
        <v>0</v>
      </c>
      <c r="AO86" s="414">
        <v>0</v>
      </c>
      <c r="AP86" s="37">
        <f>$Z86*AO86</f>
        <v>0</v>
      </c>
      <c r="AQ86" s="414">
        <v>1</v>
      </c>
      <c r="AR86" s="37">
        <f t="shared" si="12"/>
        <v>1.5</v>
      </c>
      <c r="AS86" s="414">
        <v>0</v>
      </c>
      <c r="AT86" s="37">
        <f t="shared" si="13"/>
        <v>0</v>
      </c>
      <c r="AU86" s="414">
        <v>0</v>
      </c>
      <c r="AV86" s="37">
        <f t="shared" si="101"/>
        <v>0</v>
      </c>
      <c r="AW86" s="414">
        <v>0</v>
      </c>
      <c r="AX86" s="37">
        <f>$Z86*AW86</f>
        <v>0</v>
      </c>
      <c r="AY86" s="390"/>
      <c r="AZ86" s="37" t="str">
        <f t="shared" si="86"/>
        <v>18043-LM646 11303 Elevation Sheet 3</v>
      </c>
    </row>
    <row r="87" spans="1:52" s="37" customFormat="1" ht="15" customHeight="1" outlineLevel="1">
      <c r="A87" s="43" t="s">
        <v>243</v>
      </c>
      <c r="B87" s="38" t="s">
        <v>94</v>
      </c>
      <c r="C87" s="233" t="s">
        <v>95</v>
      </c>
      <c r="D87" s="38"/>
      <c r="E87" s="42" t="s">
        <v>244</v>
      </c>
      <c r="F87" s="418"/>
      <c r="G87" s="418"/>
      <c r="H87" s="38"/>
      <c r="I87" s="38"/>
      <c r="J87" s="38"/>
      <c r="K87" s="38"/>
      <c r="L87" s="38" t="s">
        <v>97</v>
      </c>
      <c r="M87" s="38"/>
      <c r="N87" s="38"/>
      <c r="O87" s="436" t="s">
        <v>34</v>
      </c>
      <c r="P87" s="492">
        <v>0</v>
      </c>
      <c r="Q87" s="38" t="s">
        <v>98</v>
      </c>
      <c r="R87" s="262" t="s">
        <v>192</v>
      </c>
      <c r="S87" s="40"/>
      <c r="T87" s="40" t="str" cm="1">
        <f t="array" ref="T87">IF(A87&lt;&gt;"",_xlfn.XLOOKUP(_xlfn.XLOOKUP(TRUE,F87:N87&lt;&gt;"",F87:N87,"-",-1,-1),F87:N87,$F$6:$N$6,,,-1),"")</f>
        <v>Add7</v>
      </c>
      <c r="U87" s="362" t="s">
        <v>193</v>
      </c>
      <c r="V87" s="245" t="s">
        <v>240</v>
      </c>
      <c r="W87" s="415" t="s">
        <v>195</v>
      </c>
      <c r="X87" s="239" t="s">
        <v>102</v>
      </c>
      <c r="Y87" s="239" t="s">
        <v>193</v>
      </c>
      <c r="Z87" s="405">
        <v>1.5</v>
      </c>
      <c r="AA87" s="414">
        <v>0</v>
      </c>
      <c r="AB87" s="37">
        <f t="shared" si="54"/>
        <v>0</v>
      </c>
      <c r="AC87" s="414">
        <v>0</v>
      </c>
      <c r="AD87" s="37">
        <f t="shared" si="55"/>
        <v>0</v>
      </c>
      <c r="AE87" s="414">
        <v>0.5</v>
      </c>
      <c r="AF87" s="37">
        <f t="shared" si="97"/>
        <v>0.75</v>
      </c>
      <c r="AG87" s="414">
        <v>0</v>
      </c>
      <c r="AH87" s="37">
        <f t="shared" si="98"/>
        <v>0</v>
      </c>
      <c r="AI87" s="414">
        <v>0</v>
      </c>
      <c r="AJ87" s="37">
        <f t="shared" si="99"/>
        <v>0</v>
      </c>
      <c r="AK87" s="414">
        <v>0</v>
      </c>
      <c r="AL87" s="37">
        <f>$Z87*AK87</f>
        <v>0</v>
      </c>
      <c r="AM87" s="414">
        <v>0</v>
      </c>
      <c r="AN87" s="37">
        <f t="shared" si="100"/>
        <v>0</v>
      </c>
      <c r="AO87" s="414">
        <v>0</v>
      </c>
      <c r="AP87" s="37">
        <f>$Z87*AO87</f>
        <v>0</v>
      </c>
      <c r="AQ87" s="414">
        <v>1</v>
      </c>
      <c r="AR87" s="37">
        <f t="shared" si="12"/>
        <v>1.5</v>
      </c>
      <c r="AS87" s="414">
        <v>0</v>
      </c>
      <c r="AT87" s="37">
        <f t="shared" si="13"/>
        <v>0</v>
      </c>
      <c r="AU87" s="414">
        <v>0</v>
      </c>
      <c r="AV87" s="37">
        <f t="shared" si="101"/>
        <v>0</v>
      </c>
      <c r="AW87" s="414">
        <v>0</v>
      </c>
      <c r="AX87" s="37">
        <f>$Z87*AW87</f>
        <v>0</v>
      </c>
      <c r="AY87" s="390"/>
      <c r="AZ87" s="37" t="str">
        <f t="shared" si="86"/>
        <v>18043-LM646 11304 Elevation Sheet 4</v>
      </c>
    </row>
    <row r="88" spans="1:52" s="37" customFormat="1" ht="15" customHeight="1" outlineLevel="1">
      <c r="A88" s="43"/>
      <c r="B88" s="38"/>
      <c r="C88" s="233"/>
      <c r="D88" s="38"/>
      <c r="E88" s="42"/>
      <c r="F88" s="418"/>
      <c r="G88" s="41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40"/>
      <c r="S88" s="40"/>
      <c r="T88" s="40" t="str" cm="1">
        <f t="array" ref="T88">IF(A88&lt;&gt;"",_xlfn.XLOOKUP(_xlfn.XLOOKUP(TRUE,F88:N88&lt;&gt;"",F88:N88,"-",-1,-1),F88:N88,$F$6:$N$6,,,-1),"")</f>
        <v/>
      </c>
      <c r="U88" s="324"/>
      <c r="V88" s="40"/>
      <c r="W88" s="236"/>
      <c r="X88" s="239"/>
      <c r="Y88" s="239"/>
      <c r="Z88" s="405"/>
      <c r="AA88" s="414"/>
      <c r="AC88" s="414"/>
      <c r="AE88" s="414"/>
      <c r="AG88" s="414"/>
      <c r="AI88" s="414"/>
      <c r="AK88" s="414"/>
      <c r="AM88" s="414"/>
      <c r="AO88" s="414"/>
      <c r="AQ88" s="414"/>
      <c r="AS88" s="414"/>
      <c r="AU88" s="414"/>
      <c r="AW88" s="414"/>
      <c r="AY88" s="390"/>
      <c r="AZ88" s="37" t="str">
        <f t="shared" si="86"/>
        <v xml:space="preserve"> </v>
      </c>
    </row>
    <row r="89" spans="1:52" s="37" customFormat="1" ht="15" customHeight="1" outlineLevel="1">
      <c r="A89" s="43" t="s">
        <v>245</v>
      </c>
      <c r="B89" s="38" t="s">
        <v>94</v>
      </c>
      <c r="C89" s="233" t="s">
        <v>95</v>
      </c>
      <c r="D89" s="38"/>
      <c r="E89" s="42" t="s">
        <v>246</v>
      </c>
      <c r="F89" s="418"/>
      <c r="G89" s="418"/>
      <c r="H89" s="38"/>
      <c r="I89" s="38"/>
      <c r="J89" s="38"/>
      <c r="K89" s="38"/>
      <c r="L89" s="38" t="s">
        <v>97</v>
      </c>
      <c r="M89" s="38"/>
      <c r="N89" s="38"/>
      <c r="O89" s="38"/>
      <c r="P89" s="492">
        <v>0</v>
      </c>
      <c r="Q89" s="38" t="s">
        <v>98</v>
      </c>
      <c r="R89" s="262" t="s">
        <v>192</v>
      </c>
      <c r="S89" s="304"/>
      <c r="T89" s="40" t="str" cm="1">
        <f t="array" ref="T89">IF(A89&lt;&gt;"",_xlfn.XLOOKUP(_xlfn.XLOOKUP(TRUE,F89:N89&lt;&gt;"",F89:N89,"-",-1,-1),F89:N89,$F$6:$N$6,,,-1),"")</f>
        <v>Add7</v>
      </c>
      <c r="U89" s="362" t="s">
        <v>193</v>
      </c>
      <c r="V89" s="40"/>
      <c r="W89" s="419">
        <v>7.6388888888888895E-2</v>
      </c>
      <c r="X89" s="239" t="s">
        <v>102</v>
      </c>
      <c r="Y89" s="239" t="s">
        <v>193</v>
      </c>
      <c r="Z89" s="405">
        <v>2.5</v>
      </c>
      <c r="AA89" s="414"/>
      <c r="AB89" s="37">
        <f t="shared" si="54"/>
        <v>0</v>
      </c>
      <c r="AC89" s="414">
        <v>0</v>
      </c>
      <c r="AD89" s="37">
        <f t="shared" si="55"/>
        <v>0</v>
      </c>
      <c r="AE89" s="414">
        <v>0.8</v>
      </c>
      <c r="AF89" s="37">
        <f t="shared" ref="AF89:AF91" si="102">$Z89*AE89</f>
        <v>2</v>
      </c>
      <c r="AG89" s="414">
        <v>0</v>
      </c>
      <c r="AH89" s="37">
        <f t="shared" ref="AH89:AH91" si="103">$Z89*AG89</f>
        <v>0</v>
      </c>
      <c r="AI89" s="414">
        <v>0</v>
      </c>
      <c r="AJ89" s="37">
        <f t="shared" ref="AJ89:AJ91" si="104">$Z89*AI89</f>
        <v>0</v>
      </c>
      <c r="AK89" s="414">
        <v>0</v>
      </c>
      <c r="AL89" s="37">
        <f t="shared" ref="AL89:AL92" si="105">$Z89*AK89</f>
        <v>0</v>
      </c>
      <c r="AM89" s="414">
        <v>0</v>
      </c>
      <c r="AN89" s="37">
        <f t="shared" ref="AN89:AN91" si="106">$Z89*AM89</f>
        <v>0</v>
      </c>
      <c r="AO89" s="414">
        <v>0</v>
      </c>
      <c r="AP89" s="37">
        <f t="shared" ref="AP89:AP92" si="107">$Z89*AO89</f>
        <v>0</v>
      </c>
      <c r="AQ89" s="414">
        <v>1</v>
      </c>
      <c r="AR89" s="37">
        <f t="shared" si="12"/>
        <v>2.5</v>
      </c>
      <c r="AS89" s="414">
        <v>0</v>
      </c>
      <c r="AT89" s="37">
        <f t="shared" si="13"/>
        <v>0</v>
      </c>
      <c r="AU89" s="414">
        <v>0</v>
      </c>
      <c r="AV89" s="37">
        <f t="shared" ref="AV89:AV91" si="108">$Z89*AU89</f>
        <v>0</v>
      </c>
      <c r="AW89" s="414">
        <v>0</v>
      </c>
      <c r="AX89" s="37">
        <f t="shared" ref="AX89:AX92" si="109">$Z89*AW89</f>
        <v>0</v>
      </c>
      <c r="AY89" s="390"/>
      <c r="AZ89" s="37" t="str">
        <f t="shared" si="86"/>
        <v>18043-LM646 11401 Wall Section &amp; Section Details sheet 1</v>
      </c>
    </row>
    <row r="90" spans="1:52" s="37" customFormat="1" ht="15" customHeight="1" outlineLevel="1">
      <c r="A90" s="43" t="s">
        <v>247</v>
      </c>
      <c r="B90" s="38" t="s">
        <v>94</v>
      </c>
      <c r="C90" s="233" t="s">
        <v>95</v>
      </c>
      <c r="D90" s="38"/>
      <c r="E90" s="42" t="s">
        <v>248</v>
      </c>
      <c r="F90" s="418"/>
      <c r="G90" s="418"/>
      <c r="H90" s="38"/>
      <c r="I90" s="38"/>
      <c r="J90" s="38"/>
      <c r="K90" s="38"/>
      <c r="L90" s="38" t="s">
        <v>97</v>
      </c>
      <c r="M90" s="38"/>
      <c r="N90" s="38"/>
      <c r="O90" s="38"/>
      <c r="P90" s="492">
        <v>0</v>
      </c>
      <c r="Q90" s="38" t="s">
        <v>98</v>
      </c>
      <c r="R90" s="262" t="s">
        <v>192</v>
      </c>
      <c r="S90" s="304"/>
      <c r="T90" s="40" t="str" cm="1">
        <f t="array" ref="T90">IF(A90&lt;&gt;"",_xlfn.XLOOKUP(_xlfn.XLOOKUP(TRUE,F90:N90&lt;&gt;"",F90:N90,"-",-1,-1),F90:N90,$F$6:$N$6,,,-1),"")</f>
        <v>Add7</v>
      </c>
      <c r="U90" s="362" t="s">
        <v>193</v>
      </c>
      <c r="V90" s="40"/>
      <c r="W90" s="419">
        <v>7.6388888888888895E-2</v>
      </c>
      <c r="X90" s="239" t="s">
        <v>102</v>
      </c>
      <c r="Y90" s="239" t="s">
        <v>193</v>
      </c>
      <c r="Z90" s="405">
        <v>2.5</v>
      </c>
      <c r="AA90" s="414"/>
      <c r="AB90" s="37">
        <f t="shared" si="54"/>
        <v>0</v>
      </c>
      <c r="AC90" s="414">
        <v>0</v>
      </c>
      <c r="AD90" s="37">
        <f t="shared" si="55"/>
        <v>0</v>
      </c>
      <c r="AE90" s="414">
        <v>0.8</v>
      </c>
      <c r="AF90" s="37">
        <f t="shared" si="102"/>
        <v>2</v>
      </c>
      <c r="AG90" s="414">
        <v>0</v>
      </c>
      <c r="AH90" s="37">
        <f t="shared" si="103"/>
        <v>0</v>
      </c>
      <c r="AI90" s="414">
        <v>0</v>
      </c>
      <c r="AJ90" s="37">
        <f t="shared" si="104"/>
        <v>0</v>
      </c>
      <c r="AK90" s="414">
        <v>0</v>
      </c>
      <c r="AL90" s="37">
        <f t="shared" si="105"/>
        <v>0</v>
      </c>
      <c r="AM90" s="414">
        <v>0</v>
      </c>
      <c r="AN90" s="37">
        <f t="shared" si="106"/>
        <v>0</v>
      </c>
      <c r="AO90" s="414">
        <v>0</v>
      </c>
      <c r="AP90" s="37">
        <f t="shared" si="107"/>
        <v>0</v>
      </c>
      <c r="AQ90" s="414">
        <v>1</v>
      </c>
      <c r="AR90" s="37">
        <f t="shared" si="12"/>
        <v>2.5</v>
      </c>
      <c r="AS90" s="414">
        <v>0</v>
      </c>
      <c r="AT90" s="37">
        <f t="shared" si="13"/>
        <v>0</v>
      </c>
      <c r="AU90" s="414">
        <v>0</v>
      </c>
      <c r="AV90" s="37">
        <f t="shared" si="108"/>
        <v>0</v>
      </c>
      <c r="AW90" s="414">
        <v>0</v>
      </c>
      <c r="AX90" s="37">
        <f t="shared" si="109"/>
        <v>0</v>
      </c>
      <c r="AY90" s="390"/>
      <c r="AZ90" s="37" t="str">
        <f t="shared" si="86"/>
        <v>18043-LM646 11402 Wall Section &amp; Section Details sheet 2</v>
      </c>
    </row>
    <row r="91" spans="1:52" s="37" customFormat="1" ht="15" customHeight="1" outlineLevel="1">
      <c r="A91" s="43" t="s">
        <v>249</v>
      </c>
      <c r="B91" s="38" t="s">
        <v>94</v>
      </c>
      <c r="C91" s="233" t="s">
        <v>95</v>
      </c>
      <c r="D91" s="38"/>
      <c r="E91" s="42" t="s">
        <v>250</v>
      </c>
      <c r="F91" s="418"/>
      <c r="G91" s="418"/>
      <c r="H91" s="38"/>
      <c r="I91" s="38"/>
      <c r="J91" s="38"/>
      <c r="K91" s="38"/>
      <c r="L91" s="38"/>
      <c r="M91" s="38"/>
      <c r="N91" s="446" t="s">
        <v>97</v>
      </c>
      <c r="O91" s="383"/>
      <c r="P91" s="492">
        <v>0</v>
      </c>
      <c r="Q91" s="38" t="s">
        <v>98</v>
      </c>
      <c r="R91" s="262" t="s">
        <v>192</v>
      </c>
      <c r="S91" s="304"/>
      <c r="T91" s="40" t="str" cm="1">
        <f t="array" ref="T91">IF(A91&lt;&gt;"",_xlfn.XLOOKUP(_xlfn.XLOOKUP(TRUE,F91:N91&lt;&gt;"",F91:N91,"-",-1,-1),F91:N91,$F$6:$N$6,,,-1),"")</f>
        <v>Add8</v>
      </c>
      <c r="U91" s="362" t="s">
        <v>193</v>
      </c>
      <c r="V91" s="40"/>
      <c r="W91" s="419">
        <v>7.6388888888888895E-2</v>
      </c>
      <c r="X91" s="239" t="s">
        <v>102</v>
      </c>
      <c r="Y91" s="239" t="s">
        <v>193</v>
      </c>
      <c r="Z91" s="405">
        <v>2.5</v>
      </c>
      <c r="AA91" s="414"/>
      <c r="AB91" s="37">
        <f t="shared" si="54"/>
        <v>0</v>
      </c>
      <c r="AC91" s="414">
        <v>0</v>
      </c>
      <c r="AD91" s="37">
        <f t="shared" si="55"/>
        <v>0</v>
      </c>
      <c r="AE91" s="414">
        <v>0.8</v>
      </c>
      <c r="AF91" s="37">
        <f t="shared" si="102"/>
        <v>2</v>
      </c>
      <c r="AG91" s="414">
        <v>0</v>
      </c>
      <c r="AH91" s="37">
        <f t="shared" si="103"/>
        <v>0</v>
      </c>
      <c r="AI91" s="414">
        <v>0</v>
      </c>
      <c r="AJ91" s="37">
        <f t="shared" si="104"/>
        <v>0</v>
      </c>
      <c r="AK91" s="414">
        <v>0</v>
      </c>
      <c r="AL91" s="37">
        <f t="shared" si="105"/>
        <v>0</v>
      </c>
      <c r="AM91" s="414">
        <v>0</v>
      </c>
      <c r="AN91" s="37">
        <f t="shared" si="106"/>
        <v>0</v>
      </c>
      <c r="AO91" s="414">
        <v>0</v>
      </c>
      <c r="AP91" s="37">
        <f t="shared" si="107"/>
        <v>0</v>
      </c>
      <c r="AQ91" s="414">
        <v>1</v>
      </c>
      <c r="AR91" s="37">
        <f t="shared" si="12"/>
        <v>2.5</v>
      </c>
      <c r="AS91" s="414">
        <v>0</v>
      </c>
      <c r="AT91" s="37">
        <f t="shared" si="13"/>
        <v>0</v>
      </c>
      <c r="AU91" s="414">
        <v>0</v>
      </c>
      <c r="AV91" s="37">
        <f t="shared" si="108"/>
        <v>0</v>
      </c>
      <c r="AW91" s="414">
        <v>0</v>
      </c>
      <c r="AX91" s="37">
        <f t="shared" si="109"/>
        <v>0</v>
      </c>
      <c r="AY91" s="316" t="s">
        <v>251</v>
      </c>
      <c r="AZ91" s="37" t="str">
        <f t="shared" si="86"/>
        <v>18043-LM646 11403 Wall Section &amp; Section Details sheet 3</v>
      </c>
    </row>
    <row r="92" spans="1:52" s="37" customFormat="1" ht="15" customHeight="1" outlineLevel="1">
      <c r="A92" s="43" t="s">
        <v>252</v>
      </c>
      <c r="B92" s="38" t="s">
        <v>94</v>
      </c>
      <c r="C92" s="233" t="s">
        <v>95</v>
      </c>
      <c r="D92" s="38"/>
      <c r="E92" s="42" t="s">
        <v>253</v>
      </c>
      <c r="F92" s="418"/>
      <c r="G92" s="418"/>
      <c r="H92" s="38"/>
      <c r="I92" s="38"/>
      <c r="J92" s="38"/>
      <c r="K92" s="38"/>
      <c r="L92" s="38"/>
      <c r="M92" s="38"/>
      <c r="N92" s="446" t="s">
        <v>97</v>
      </c>
      <c r="O92" s="383"/>
      <c r="P92" s="492">
        <v>0</v>
      </c>
      <c r="Q92" s="38" t="s">
        <v>98</v>
      </c>
      <c r="R92" s="262" t="s">
        <v>192</v>
      </c>
      <c r="S92" s="304"/>
      <c r="T92" s="40" t="str" cm="1">
        <f t="array" ref="T92">IF(A92&lt;&gt;"",_xlfn.XLOOKUP(_xlfn.XLOOKUP(TRUE,F92:N92&lt;&gt;"",F92:N92,"-",-1,-1),F92:N92,$F$6:$N$6,,,-1),"")</f>
        <v>Add8</v>
      </c>
      <c r="U92" s="362" t="s">
        <v>193</v>
      </c>
      <c r="V92" s="40"/>
      <c r="W92" s="419">
        <v>7.6388888888888895E-2</v>
      </c>
      <c r="X92" s="239" t="s">
        <v>102</v>
      </c>
      <c r="Y92" s="239" t="s">
        <v>193</v>
      </c>
      <c r="Z92" s="405">
        <v>2.5</v>
      </c>
      <c r="AA92" s="414">
        <v>0</v>
      </c>
      <c r="AB92" s="37">
        <f>$Z92*AA92</f>
        <v>0</v>
      </c>
      <c r="AC92" s="414">
        <v>0</v>
      </c>
      <c r="AD92" s="37">
        <f>$Z92*AC92</f>
        <v>0</v>
      </c>
      <c r="AE92" s="414">
        <v>0.5</v>
      </c>
      <c r="AF92" s="37">
        <f>$Z92*AE92</f>
        <v>1.25</v>
      </c>
      <c r="AG92" s="414">
        <v>0</v>
      </c>
      <c r="AH92" s="37">
        <f>$Z92*AG92</f>
        <v>0</v>
      </c>
      <c r="AI92" s="414">
        <v>0</v>
      </c>
      <c r="AJ92" s="37">
        <f>$Z92*AI92</f>
        <v>0</v>
      </c>
      <c r="AK92" s="414">
        <v>0</v>
      </c>
      <c r="AL92" s="37">
        <f t="shared" si="105"/>
        <v>0</v>
      </c>
      <c r="AM92" s="414">
        <v>0</v>
      </c>
      <c r="AN92" s="37">
        <f>$Z92*AM92</f>
        <v>0</v>
      </c>
      <c r="AO92" s="414">
        <v>0</v>
      </c>
      <c r="AP92" s="37">
        <f t="shared" si="107"/>
        <v>0</v>
      </c>
      <c r="AQ92" s="414">
        <v>1</v>
      </c>
      <c r="AR92" s="37">
        <f>$Z92*AQ92</f>
        <v>2.5</v>
      </c>
      <c r="AS92" s="414">
        <v>0</v>
      </c>
      <c r="AT92" s="37">
        <f>$Z92*AS92</f>
        <v>0</v>
      </c>
      <c r="AU92" s="414">
        <v>0</v>
      </c>
      <c r="AV92" s="37">
        <f>$Z92*AU92</f>
        <v>0</v>
      </c>
      <c r="AW92" s="414">
        <v>0</v>
      </c>
      <c r="AX92" s="37">
        <f t="shared" si="109"/>
        <v>0</v>
      </c>
      <c r="AY92" s="316" t="s">
        <v>251</v>
      </c>
      <c r="AZ92" s="37" t="str">
        <f t="shared" si="86"/>
        <v>18043-LM646 11404 Wall Section &amp; Section Details sheet 4</v>
      </c>
    </row>
    <row r="93" spans="1:52" s="37" customFormat="1" ht="15" customHeight="1" outlineLevel="1">
      <c r="A93" s="43"/>
      <c r="B93" s="38"/>
      <c r="C93" s="233"/>
      <c r="D93" s="38"/>
      <c r="E93" s="42"/>
      <c r="F93" s="418"/>
      <c r="G93" s="41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40"/>
      <c r="S93" s="40"/>
      <c r="T93" s="40" t="str" cm="1">
        <f t="array" ref="T93">IF(A93&lt;&gt;"",_xlfn.XLOOKUP(_xlfn.XLOOKUP(TRUE,F93:N93&lt;&gt;"",F93:N93,"-",-1,-1),F93:N93,$F$6:$N$6,,,-1),"")</f>
        <v/>
      </c>
      <c r="U93" s="324"/>
      <c r="V93" s="40"/>
      <c r="W93" s="416"/>
      <c r="X93" s="239"/>
      <c r="Y93" s="239"/>
      <c r="Z93" s="405"/>
      <c r="AA93" s="414"/>
      <c r="AC93" s="414"/>
      <c r="AE93" s="414"/>
      <c r="AG93" s="414"/>
      <c r="AI93" s="414"/>
      <c r="AK93" s="414"/>
      <c r="AM93" s="414"/>
      <c r="AO93" s="414"/>
      <c r="AQ93" s="414"/>
      <c r="AS93" s="414"/>
      <c r="AU93" s="414"/>
      <c r="AW93" s="414"/>
      <c r="AZ93" s="37" t="str">
        <f t="shared" si="86"/>
        <v xml:space="preserve"> </v>
      </c>
    </row>
    <row r="94" spans="1:52" s="37" customFormat="1" ht="15" customHeight="1" outlineLevel="1">
      <c r="A94" s="43" t="s">
        <v>254</v>
      </c>
      <c r="B94" s="38" t="s">
        <v>94</v>
      </c>
      <c r="C94" s="233" t="s">
        <v>95</v>
      </c>
      <c r="D94" s="38"/>
      <c r="E94" s="42" t="s">
        <v>255</v>
      </c>
      <c r="F94" s="418"/>
      <c r="G94" s="418"/>
      <c r="H94" s="38"/>
      <c r="I94" s="38"/>
      <c r="J94" s="38"/>
      <c r="K94" s="38"/>
      <c r="L94" s="38" t="s">
        <v>97</v>
      </c>
      <c r="M94" s="364" t="s">
        <v>97</v>
      </c>
      <c r="N94" s="38"/>
      <c r="O94" s="38"/>
      <c r="P94" s="492">
        <v>0</v>
      </c>
      <c r="Q94" s="38" t="s">
        <v>98</v>
      </c>
      <c r="R94" s="262" t="s">
        <v>192</v>
      </c>
      <c r="S94" s="40"/>
      <c r="T94" s="40" t="str" cm="1">
        <f t="array" ref="T94">IF(A94&lt;&gt;"",_xlfn.XLOOKUP(_xlfn.XLOOKUP(TRUE,F94:N94&lt;&gt;"",F94:N94,"-",-1,-1),F94:N94,$F$6:$N$6,,,-1),"")</f>
        <v>Permit</v>
      </c>
      <c r="U94" s="361" t="s">
        <v>256</v>
      </c>
      <c r="V94" s="40"/>
      <c r="W94" s="419">
        <v>7.6388888888888895E-2</v>
      </c>
      <c r="X94" s="239" t="s">
        <v>102</v>
      </c>
      <c r="Y94" s="239" t="s">
        <v>257</v>
      </c>
      <c r="Z94" s="405">
        <v>2</v>
      </c>
      <c r="AA94" s="414">
        <v>0</v>
      </c>
      <c r="AB94" s="37">
        <f>$Z94*AA94</f>
        <v>0</v>
      </c>
      <c r="AC94" s="414">
        <v>0</v>
      </c>
      <c r="AD94" s="37">
        <f>$Z94*AC94</f>
        <v>0</v>
      </c>
      <c r="AE94" s="414">
        <v>0.6</v>
      </c>
      <c r="AF94" s="37">
        <f>$Z94*AE94</f>
        <v>1.2</v>
      </c>
      <c r="AG94" s="414">
        <v>0</v>
      </c>
      <c r="AH94" s="37">
        <f>$Z94*AG94</f>
        <v>0</v>
      </c>
      <c r="AI94" s="414">
        <v>0.8</v>
      </c>
      <c r="AJ94" s="37">
        <f>$Z94*AI94</f>
        <v>1.6</v>
      </c>
      <c r="AK94" s="414">
        <v>0</v>
      </c>
      <c r="AL94" s="37">
        <f>$Z94*AK94</f>
        <v>0</v>
      </c>
      <c r="AM94" s="414">
        <v>0.8</v>
      </c>
      <c r="AN94" s="37">
        <f>$Z94*AM94</f>
        <v>1.6</v>
      </c>
      <c r="AO94" s="414">
        <v>0</v>
      </c>
      <c r="AP94" s="37">
        <f>$Z94*AO94</f>
        <v>0</v>
      </c>
      <c r="AQ94" s="414">
        <v>1</v>
      </c>
      <c r="AR94" s="37">
        <f>$Z94*AQ94</f>
        <v>2</v>
      </c>
      <c r="AS94" s="414">
        <v>0</v>
      </c>
      <c r="AT94" s="37">
        <f>$Z94*AS94</f>
        <v>0</v>
      </c>
      <c r="AU94" s="414">
        <v>0.8</v>
      </c>
      <c r="AV94" s="37">
        <f>$Z94*AU94</f>
        <v>1.6</v>
      </c>
      <c r="AW94" s="414">
        <v>0</v>
      </c>
      <c r="AX94" s="37">
        <f>$Z94*AW94</f>
        <v>0</v>
      </c>
      <c r="AZ94" s="37" t="str">
        <f t="shared" si="86"/>
        <v>18043-LM646 11501 Stair ST-1 Details Sheet 1</v>
      </c>
    </row>
    <row r="95" spans="1:52" s="37" customFormat="1" ht="15" customHeight="1" outlineLevel="1">
      <c r="A95" s="43" t="s">
        <v>258</v>
      </c>
      <c r="B95" s="38" t="s">
        <v>94</v>
      </c>
      <c r="C95" s="233" t="s">
        <v>95</v>
      </c>
      <c r="D95" s="38"/>
      <c r="E95" s="42" t="s">
        <v>259</v>
      </c>
      <c r="F95" s="418"/>
      <c r="G95" s="418"/>
      <c r="H95" s="38"/>
      <c r="I95" s="38"/>
      <c r="J95" s="38"/>
      <c r="K95" s="38"/>
      <c r="L95" s="38" t="s">
        <v>97</v>
      </c>
      <c r="M95" s="364" t="s">
        <v>97</v>
      </c>
      <c r="N95" s="38"/>
      <c r="O95" s="38"/>
      <c r="P95" s="492">
        <v>0</v>
      </c>
      <c r="Q95" s="38" t="s">
        <v>98</v>
      </c>
      <c r="R95" s="262" t="s">
        <v>192</v>
      </c>
      <c r="S95" s="40"/>
      <c r="T95" s="40" t="str" cm="1">
        <f t="array" ref="T95">IF(A95&lt;&gt;"",_xlfn.XLOOKUP(_xlfn.XLOOKUP(TRUE,F95:N95&lt;&gt;"",F95:N95,"-",-1,-1),F95:N95,$F$6:$N$6,,,-1),"")</f>
        <v>Permit</v>
      </c>
      <c r="U95" s="361" t="s">
        <v>256</v>
      </c>
      <c r="V95" s="40"/>
      <c r="W95" s="419">
        <v>7.6388888888888895E-2</v>
      </c>
      <c r="X95" s="239" t="s">
        <v>102</v>
      </c>
      <c r="Y95" s="239" t="s">
        <v>257</v>
      </c>
      <c r="Z95" s="405">
        <v>2</v>
      </c>
      <c r="AA95" s="414">
        <v>0</v>
      </c>
      <c r="AB95" s="37">
        <f t="shared" si="54"/>
        <v>0</v>
      </c>
      <c r="AC95" s="414">
        <v>0</v>
      </c>
      <c r="AD95" s="37">
        <f t="shared" si="55"/>
        <v>0</v>
      </c>
      <c r="AE95" s="414">
        <v>0.6</v>
      </c>
      <c r="AF95" s="37">
        <f t="shared" ref="AF95:AF101" si="110">$Z95*AE95</f>
        <v>1.2</v>
      </c>
      <c r="AG95" s="414">
        <v>0</v>
      </c>
      <c r="AH95" s="37">
        <f t="shared" ref="AH95:AH101" si="111">$Z95*AG95</f>
        <v>0</v>
      </c>
      <c r="AI95" s="414">
        <v>0.8</v>
      </c>
      <c r="AJ95" s="37">
        <f t="shared" ref="AJ95:AJ101" si="112">$Z95*AI95</f>
        <v>1.6</v>
      </c>
      <c r="AK95" s="414">
        <v>0</v>
      </c>
      <c r="AL95" s="37">
        <f t="shared" ref="AL95:AL101" si="113">$Z95*AK95</f>
        <v>0</v>
      </c>
      <c r="AM95" s="414">
        <v>0.8</v>
      </c>
      <c r="AN95" s="37">
        <f t="shared" ref="AN95:AN101" si="114">$Z95*AM95</f>
        <v>1.6</v>
      </c>
      <c r="AO95" s="414">
        <v>0</v>
      </c>
      <c r="AP95" s="37">
        <f t="shared" ref="AP95:AP101" si="115">$Z95*AO95</f>
        <v>0</v>
      </c>
      <c r="AQ95" s="414">
        <v>1</v>
      </c>
      <c r="AR95" s="37">
        <f t="shared" si="12"/>
        <v>2</v>
      </c>
      <c r="AS95" s="414">
        <v>0</v>
      </c>
      <c r="AT95" s="37">
        <f t="shared" si="13"/>
        <v>0</v>
      </c>
      <c r="AU95" s="414">
        <v>0.8</v>
      </c>
      <c r="AV95" s="37">
        <f t="shared" ref="AV95:AV101" si="116">$Z95*AU95</f>
        <v>1.6</v>
      </c>
      <c r="AW95" s="414">
        <v>0</v>
      </c>
      <c r="AX95" s="37">
        <f t="shared" ref="AX95:AX101" si="117">$Z95*AW95</f>
        <v>0</v>
      </c>
      <c r="AZ95" s="37" t="str">
        <f t="shared" si="86"/>
        <v>18043-LM646 11502 Stair ST-1 Details Sheet 2</v>
      </c>
    </row>
    <row r="96" spans="1:52" s="37" customFormat="1" ht="15" customHeight="1" outlineLevel="1">
      <c r="A96" s="43" t="s">
        <v>260</v>
      </c>
      <c r="B96" s="38" t="s">
        <v>94</v>
      </c>
      <c r="C96" s="233" t="s">
        <v>95</v>
      </c>
      <c r="D96" s="38"/>
      <c r="E96" s="42" t="s">
        <v>261</v>
      </c>
      <c r="F96" s="418"/>
      <c r="G96" s="418"/>
      <c r="H96" s="38"/>
      <c r="I96" s="38"/>
      <c r="J96" s="38"/>
      <c r="K96" s="38"/>
      <c r="L96" s="38" t="s">
        <v>97</v>
      </c>
      <c r="M96" s="364" t="s">
        <v>97</v>
      </c>
      <c r="N96" s="38"/>
      <c r="O96" s="38"/>
      <c r="P96" s="492">
        <v>0</v>
      </c>
      <c r="Q96" s="38" t="s">
        <v>98</v>
      </c>
      <c r="R96" s="262" t="s">
        <v>192</v>
      </c>
      <c r="S96" s="40"/>
      <c r="T96" s="40" t="str" cm="1">
        <f t="array" ref="T96">IF(A96&lt;&gt;"",_xlfn.XLOOKUP(_xlfn.XLOOKUP(TRUE,F96:N96&lt;&gt;"",F96:N96,"-",-1,-1),F96:N96,$F$6:$N$6,,,-1),"")</f>
        <v>Permit</v>
      </c>
      <c r="U96" s="361" t="s">
        <v>256</v>
      </c>
      <c r="V96" s="40"/>
      <c r="W96" s="419">
        <v>7.6388888888888895E-2</v>
      </c>
      <c r="X96" s="239" t="s">
        <v>102</v>
      </c>
      <c r="Y96" s="239" t="s">
        <v>257</v>
      </c>
      <c r="Z96" s="405">
        <v>2</v>
      </c>
      <c r="AA96" s="414">
        <v>0</v>
      </c>
      <c r="AB96" s="37">
        <f>$Z96*AA96</f>
        <v>0</v>
      </c>
      <c r="AC96" s="414">
        <v>0</v>
      </c>
      <c r="AD96" s="37">
        <f>$Z96*AC96</f>
        <v>0</v>
      </c>
      <c r="AE96" s="414">
        <v>0.6</v>
      </c>
      <c r="AF96" s="37">
        <f>$Z96*AE96</f>
        <v>1.2</v>
      </c>
      <c r="AG96" s="414">
        <v>0</v>
      </c>
      <c r="AH96" s="37">
        <f>$Z96*AG96</f>
        <v>0</v>
      </c>
      <c r="AI96" s="414">
        <v>0.8</v>
      </c>
      <c r="AJ96" s="37">
        <f>$Z96*AI96</f>
        <v>1.6</v>
      </c>
      <c r="AK96" s="414">
        <v>0</v>
      </c>
      <c r="AL96" s="37">
        <f>$Z96*AK96</f>
        <v>0</v>
      </c>
      <c r="AM96" s="414">
        <v>0.8</v>
      </c>
      <c r="AN96" s="37">
        <f>$Z96*AM96</f>
        <v>1.6</v>
      </c>
      <c r="AO96" s="414">
        <v>0</v>
      </c>
      <c r="AP96" s="37">
        <f>$Z96*AO96</f>
        <v>0</v>
      </c>
      <c r="AQ96" s="414">
        <v>1</v>
      </c>
      <c r="AR96" s="37">
        <f>$Z96*AQ96</f>
        <v>2</v>
      </c>
      <c r="AS96" s="414">
        <v>0</v>
      </c>
      <c r="AT96" s="37">
        <f>$Z96*AS96</f>
        <v>0</v>
      </c>
      <c r="AU96" s="414">
        <v>0.8</v>
      </c>
      <c r="AV96" s="37">
        <f>$Z96*AU96</f>
        <v>1.6</v>
      </c>
      <c r="AW96" s="414">
        <v>0</v>
      </c>
      <c r="AX96" s="37">
        <f>$Z96*AW96</f>
        <v>0</v>
      </c>
      <c r="AZ96" s="37" t="str">
        <f t="shared" si="86"/>
        <v>18043-LM646 11503 Stair ST-2 Details Sheet 1</v>
      </c>
    </row>
    <row r="97" spans="1:55" s="37" customFormat="1" ht="15" customHeight="1" outlineLevel="1">
      <c r="A97" s="43" t="s">
        <v>262</v>
      </c>
      <c r="B97" s="38" t="s">
        <v>94</v>
      </c>
      <c r="C97" s="233" t="s">
        <v>95</v>
      </c>
      <c r="D97" s="38"/>
      <c r="E97" s="42" t="s">
        <v>263</v>
      </c>
      <c r="F97" s="418"/>
      <c r="G97" s="418"/>
      <c r="H97" s="38"/>
      <c r="I97" s="38"/>
      <c r="J97" s="38"/>
      <c r="K97" s="38"/>
      <c r="L97" s="38" t="s">
        <v>97</v>
      </c>
      <c r="M97" s="364" t="s">
        <v>97</v>
      </c>
      <c r="N97" s="38"/>
      <c r="O97" s="38"/>
      <c r="P97" s="492">
        <v>0</v>
      </c>
      <c r="Q97" s="38" t="s">
        <v>98</v>
      </c>
      <c r="R97" s="262" t="s">
        <v>192</v>
      </c>
      <c r="S97" s="40"/>
      <c r="T97" s="40" t="str" cm="1">
        <f t="array" ref="T97">IF(A97&lt;&gt;"",_xlfn.XLOOKUP(_xlfn.XLOOKUP(TRUE,F97:N97&lt;&gt;"",F97:N97,"-",-1,-1),F97:N97,$F$6:$N$6,,,-1),"")</f>
        <v>Permit</v>
      </c>
      <c r="U97" s="361" t="s">
        <v>256</v>
      </c>
      <c r="V97" s="40"/>
      <c r="W97" s="419">
        <v>7.6388888888888895E-2</v>
      </c>
      <c r="X97" s="239" t="s">
        <v>102</v>
      </c>
      <c r="Y97" s="239" t="s">
        <v>257</v>
      </c>
      <c r="Z97" s="405">
        <v>2</v>
      </c>
      <c r="AA97" s="414">
        <v>0</v>
      </c>
      <c r="AB97" s="37">
        <f t="shared" si="54"/>
        <v>0</v>
      </c>
      <c r="AC97" s="414">
        <v>0</v>
      </c>
      <c r="AD97" s="37">
        <f t="shared" si="55"/>
        <v>0</v>
      </c>
      <c r="AE97" s="414">
        <v>0.6</v>
      </c>
      <c r="AF97" s="37">
        <f t="shared" si="110"/>
        <v>1.2</v>
      </c>
      <c r="AG97" s="414">
        <v>0</v>
      </c>
      <c r="AH97" s="37">
        <f t="shared" si="111"/>
        <v>0</v>
      </c>
      <c r="AI97" s="414">
        <v>0.8</v>
      </c>
      <c r="AJ97" s="37">
        <f t="shared" si="112"/>
        <v>1.6</v>
      </c>
      <c r="AK97" s="414">
        <v>0</v>
      </c>
      <c r="AL97" s="37">
        <f t="shared" si="113"/>
        <v>0</v>
      </c>
      <c r="AM97" s="414">
        <v>0.8</v>
      </c>
      <c r="AN97" s="37">
        <f t="shared" si="114"/>
        <v>1.6</v>
      </c>
      <c r="AO97" s="414">
        <v>0</v>
      </c>
      <c r="AP97" s="37">
        <f t="shared" si="115"/>
        <v>0</v>
      </c>
      <c r="AQ97" s="414">
        <v>1</v>
      </c>
      <c r="AR97" s="37">
        <f t="shared" si="12"/>
        <v>2</v>
      </c>
      <c r="AS97" s="414">
        <v>0</v>
      </c>
      <c r="AT97" s="37">
        <f t="shared" si="13"/>
        <v>0</v>
      </c>
      <c r="AU97" s="414">
        <v>0.8</v>
      </c>
      <c r="AV97" s="37">
        <f t="shared" si="116"/>
        <v>1.6</v>
      </c>
      <c r="AW97" s="414">
        <v>0</v>
      </c>
      <c r="AX97" s="37">
        <f t="shared" si="117"/>
        <v>0</v>
      </c>
      <c r="AZ97" s="37" t="str">
        <f t="shared" si="86"/>
        <v>18043-LM646 11504 Stair ST-2 ,ST-3 ,ST-4 Details Sheet 2</v>
      </c>
    </row>
    <row r="98" spans="1:55" s="37" customFormat="1" ht="15" customHeight="1" outlineLevel="1">
      <c r="A98" s="43" t="s">
        <v>264</v>
      </c>
      <c r="B98" s="38" t="s">
        <v>94</v>
      </c>
      <c r="C98" s="233" t="s">
        <v>95</v>
      </c>
      <c r="D98" s="38"/>
      <c r="E98" s="42" t="s">
        <v>265</v>
      </c>
      <c r="F98" s="418"/>
      <c r="G98" s="418"/>
      <c r="H98" s="38"/>
      <c r="I98" s="38"/>
      <c r="J98" s="38"/>
      <c r="K98" s="38"/>
      <c r="L98" s="38"/>
      <c r="M98" s="364" t="s">
        <v>97</v>
      </c>
      <c r="N98" s="446" t="s">
        <v>97</v>
      </c>
      <c r="O98" s="383"/>
      <c r="P98" s="492">
        <v>0</v>
      </c>
      <c r="Q98" s="38" t="s">
        <v>98</v>
      </c>
      <c r="R98" s="262" t="s">
        <v>192</v>
      </c>
      <c r="S98" s="304"/>
      <c r="T98" s="40" t="str" cm="1">
        <f t="array" ref="T98">IF(A98&lt;&gt;"",_xlfn.XLOOKUP(_xlfn.XLOOKUP(TRUE,F98:N98&lt;&gt;"",F98:N98,"-",-1,-1),F98:N98,$F$6:$N$6,,,-1),"")</f>
        <v>Add8</v>
      </c>
      <c r="U98" s="437" t="s">
        <v>193</v>
      </c>
      <c r="V98" s="40"/>
      <c r="W98" s="419">
        <v>7.6388888888888895E-2</v>
      </c>
      <c r="X98" s="239" t="s">
        <v>102</v>
      </c>
      <c r="Y98" s="239" t="s">
        <v>257</v>
      </c>
      <c r="Z98" s="405">
        <v>1.5</v>
      </c>
      <c r="AA98" s="414">
        <v>0</v>
      </c>
      <c r="AB98" s="37">
        <f t="shared" si="54"/>
        <v>0</v>
      </c>
      <c r="AC98" s="414">
        <v>0</v>
      </c>
      <c r="AD98" s="37">
        <f t="shared" si="55"/>
        <v>0</v>
      </c>
      <c r="AE98" s="414">
        <v>0</v>
      </c>
      <c r="AF98" s="37">
        <f t="shared" si="110"/>
        <v>0</v>
      </c>
      <c r="AG98" s="414">
        <v>0</v>
      </c>
      <c r="AH98" s="37">
        <f t="shared" si="111"/>
        <v>0</v>
      </c>
      <c r="AI98" s="414">
        <v>0</v>
      </c>
      <c r="AJ98" s="37">
        <f t="shared" si="112"/>
        <v>0</v>
      </c>
      <c r="AK98" s="414">
        <v>0</v>
      </c>
      <c r="AL98" s="37">
        <f t="shared" si="113"/>
        <v>0</v>
      </c>
      <c r="AM98" s="414">
        <v>0</v>
      </c>
      <c r="AN98" s="37">
        <f t="shared" si="114"/>
        <v>0</v>
      </c>
      <c r="AO98" s="414">
        <v>0</v>
      </c>
      <c r="AP98" s="37">
        <f t="shared" si="115"/>
        <v>0</v>
      </c>
      <c r="AQ98" s="414">
        <v>1</v>
      </c>
      <c r="AR98" s="37">
        <f t="shared" si="12"/>
        <v>1.5</v>
      </c>
      <c r="AS98" s="414">
        <v>0</v>
      </c>
      <c r="AT98" s="37">
        <f t="shared" si="13"/>
        <v>0</v>
      </c>
      <c r="AU98" s="414">
        <v>0</v>
      </c>
      <c r="AV98" s="37">
        <f t="shared" si="116"/>
        <v>0</v>
      </c>
      <c r="AW98" s="414">
        <v>0</v>
      </c>
      <c r="AX98" s="37">
        <f t="shared" si="117"/>
        <v>0</v>
      </c>
      <c r="AY98" s="438" t="s">
        <v>251</v>
      </c>
      <c r="AZ98" s="37" t="str">
        <f t="shared" si="86"/>
        <v>18043-LM646 11505 Stair ST-5 ,ST-6, ST-7, ST-8 Details</v>
      </c>
    </row>
    <row r="99" spans="1:55" s="37" customFormat="1" ht="15" customHeight="1" outlineLevel="1">
      <c r="A99" s="43" t="s">
        <v>266</v>
      </c>
      <c r="B99" s="38" t="s">
        <v>94</v>
      </c>
      <c r="C99" s="233" t="s">
        <v>95</v>
      </c>
      <c r="D99" s="38"/>
      <c r="E99" s="42" t="s">
        <v>267</v>
      </c>
      <c r="F99" s="418"/>
      <c r="G99" s="418"/>
      <c r="H99" s="38"/>
      <c r="I99" s="38"/>
      <c r="J99" s="38"/>
      <c r="K99" s="38"/>
      <c r="L99" s="38" t="s">
        <v>97</v>
      </c>
      <c r="M99" s="364" t="s">
        <v>97</v>
      </c>
      <c r="O99" s="383"/>
      <c r="P99" s="492">
        <v>0</v>
      </c>
      <c r="Q99" s="38" t="s">
        <v>98</v>
      </c>
      <c r="R99" s="262" t="s">
        <v>192</v>
      </c>
      <c r="S99" s="38"/>
      <c r="T99" s="40" t="str" cm="1">
        <f t="array" ref="T99">IF(A99&lt;&gt;"",_xlfn.XLOOKUP(_xlfn.XLOOKUP(TRUE,F99:N99&lt;&gt;"",F99:N99,"-",-1,-1),F99:N99,$F$6:$N$6,,,-1),"")</f>
        <v>Permit</v>
      </c>
      <c r="U99" s="361" t="s">
        <v>256</v>
      </c>
      <c r="V99" s="40"/>
      <c r="W99" s="419">
        <v>7.6388888888888895E-2</v>
      </c>
      <c r="X99" s="239" t="s">
        <v>102</v>
      </c>
      <c r="Y99" s="239" t="s">
        <v>257</v>
      </c>
      <c r="Z99" s="405">
        <v>2</v>
      </c>
      <c r="AA99" s="414">
        <v>0</v>
      </c>
      <c r="AB99" s="37">
        <f t="shared" si="54"/>
        <v>0</v>
      </c>
      <c r="AC99" s="414">
        <v>0</v>
      </c>
      <c r="AD99" s="37">
        <f t="shared" si="55"/>
        <v>0</v>
      </c>
      <c r="AE99" s="414">
        <v>0.6</v>
      </c>
      <c r="AF99" s="37">
        <f t="shared" si="110"/>
        <v>1.2</v>
      </c>
      <c r="AG99" s="414">
        <v>0</v>
      </c>
      <c r="AH99" s="37">
        <f t="shared" si="111"/>
        <v>0</v>
      </c>
      <c r="AI99" s="414">
        <v>0.8</v>
      </c>
      <c r="AJ99" s="37">
        <f t="shared" si="112"/>
        <v>1.6</v>
      </c>
      <c r="AK99" s="414">
        <v>0</v>
      </c>
      <c r="AL99" s="37">
        <f t="shared" si="113"/>
        <v>0</v>
      </c>
      <c r="AM99" s="414">
        <v>0.8</v>
      </c>
      <c r="AN99" s="37">
        <f t="shared" si="114"/>
        <v>1.6</v>
      </c>
      <c r="AO99" s="414">
        <v>0</v>
      </c>
      <c r="AP99" s="37">
        <f t="shared" si="115"/>
        <v>0</v>
      </c>
      <c r="AQ99" s="414">
        <v>1</v>
      </c>
      <c r="AR99" s="37">
        <f t="shared" si="12"/>
        <v>2</v>
      </c>
      <c r="AS99" s="414">
        <v>0</v>
      </c>
      <c r="AT99" s="37">
        <f t="shared" si="13"/>
        <v>0</v>
      </c>
      <c r="AU99" s="414">
        <v>0.8</v>
      </c>
      <c r="AV99" s="37">
        <f t="shared" si="116"/>
        <v>1.6</v>
      </c>
      <c r="AW99" s="414">
        <v>0</v>
      </c>
      <c r="AX99" s="37">
        <f t="shared" si="117"/>
        <v>0</v>
      </c>
      <c r="AZ99" s="37" t="str">
        <f t="shared" si="86"/>
        <v>18043-LM646 11506 Fireman Lift Details Sheet 1</v>
      </c>
    </row>
    <row r="100" spans="1:55" s="37" customFormat="1" ht="15" customHeight="1" outlineLevel="1">
      <c r="A100" s="43" t="s">
        <v>268</v>
      </c>
      <c r="B100" s="38" t="s">
        <v>94</v>
      </c>
      <c r="C100" s="233" t="s">
        <v>95</v>
      </c>
      <c r="D100" s="38"/>
      <c r="E100" s="42" t="s">
        <v>269</v>
      </c>
      <c r="F100" s="418"/>
      <c r="G100" s="418"/>
      <c r="H100" s="38"/>
      <c r="I100" s="38"/>
      <c r="J100" s="38"/>
      <c r="K100" s="38"/>
      <c r="L100" s="38" t="s">
        <v>97</v>
      </c>
      <c r="M100" s="364" t="s">
        <v>97</v>
      </c>
      <c r="O100" s="383"/>
      <c r="P100" s="492">
        <v>0</v>
      </c>
      <c r="Q100" s="38" t="s">
        <v>98</v>
      </c>
      <c r="R100" s="262" t="s">
        <v>192</v>
      </c>
      <c r="S100" s="38"/>
      <c r="T100" s="40" t="str" cm="1">
        <f t="array" ref="T100">IF(A100&lt;&gt;"",_xlfn.XLOOKUP(_xlfn.XLOOKUP(TRUE,F100:N100&lt;&gt;"",F100:N100,"-",-1,-1),F100:N100,$F$6:$N$6,,,-1),"")</f>
        <v>Permit</v>
      </c>
      <c r="U100" s="361" t="s">
        <v>256</v>
      </c>
      <c r="V100" s="40"/>
      <c r="W100" s="419">
        <v>7.6388888888888895E-2</v>
      </c>
      <c r="X100" s="239" t="s">
        <v>102</v>
      </c>
      <c r="Y100" s="239" t="s">
        <v>257</v>
      </c>
      <c r="Z100" s="405">
        <v>2</v>
      </c>
      <c r="AA100" s="414">
        <v>0</v>
      </c>
      <c r="AB100" s="37">
        <f t="shared" si="54"/>
        <v>0</v>
      </c>
      <c r="AC100" s="414">
        <v>0</v>
      </c>
      <c r="AD100" s="37">
        <f t="shared" si="55"/>
        <v>0</v>
      </c>
      <c r="AE100" s="414">
        <v>0.6</v>
      </c>
      <c r="AF100" s="37">
        <f t="shared" si="110"/>
        <v>1.2</v>
      </c>
      <c r="AG100" s="414">
        <v>0</v>
      </c>
      <c r="AH100" s="37">
        <f t="shared" si="111"/>
        <v>0</v>
      </c>
      <c r="AI100" s="414">
        <v>0.8</v>
      </c>
      <c r="AJ100" s="37">
        <f t="shared" si="112"/>
        <v>1.6</v>
      </c>
      <c r="AK100" s="414">
        <v>0</v>
      </c>
      <c r="AL100" s="37">
        <f t="shared" si="113"/>
        <v>0</v>
      </c>
      <c r="AM100" s="414">
        <v>0.8</v>
      </c>
      <c r="AN100" s="37">
        <f t="shared" si="114"/>
        <v>1.6</v>
      </c>
      <c r="AO100" s="414">
        <v>0</v>
      </c>
      <c r="AP100" s="37">
        <f t="shared" si="115"/>
        <v>0</v>
      </c>
      <c r="AQ100" s="414">
        <v>1</v>
      </c>
      <c r="AR100" s="37">
        <f t="shared" si="12"/>
        <v>2</v>
      </c>
      <c r="AS100" s="414">
        <v>0</v>
      </c>
      <c r="AT100" s="37">
        <f t="shared" si="13"/>
        <v>0</v>
      </c>
      <c r="AU100" s="414">
        <v>0.8</v>
      </c>
      <c r="AV100" s="37">
        <f t="shared" si="116"/>
        <v>1.6</v>
      </c>
      <c r="AW100" s="414">
        <v>0</v>
      </c>
      <c r="AX100" s="37">
        <f t="shared" si="117"/>
        <v>0</v>
      </c>
      <c r="AZ100" s="37" t="str">
        <f t="shared" si="86"/>
        <v>18043-LM646 11507 Fireman Lift Details Sheet 2</v>
      </c>
    </row>
    <row r="101" spans="1:55" s="37" customFormat="1" ht="15" customHeight="1" outlineLevel="1">
      <c r="A101" s="43" t="s">
        <v>270</v>
      </c>
      <c r="B101" s="38" t="s">
        <v>94</v>
      </c>
      <c r="C101" s="233" t="s">
        <v>95</v>
      </c>
      <c r="D101" s="38"/>
      <c r="E101" s="42" t="s">
        <v>271</v>
      </c>
      <c r="F101" s="418"/>
      <c r="G101" s="418"/>
      <c r="H101" s="38"/>
      <c r="I101" s="38"/>
      <c r="J101" s="38"/>
      <c r="K101" s="38"/>
      <c r="L101" s="38" t="s">
        <v>97</v>
      </c>
      <c r="M101" s="38"/>
      <c r="N101" s="390"/>
      <c r="O101" s="383"/>
      <c r="P101" s="492">
        <v>0</v>
      </c>
      <c r="Q101" s="38" t="s">
        <v>98</v>
      </c>
      <c r="R101" s="262" t="s">
        <v>192</v>
      </c>
      <c r="S101" s="304"/>
      <c r="T101" s="40" t="str" cm="1">
        <f t="array" ref="T101">IF(A101&lt;&gt;"",_xlfn.XLOOKUP(_xlfn.XLOOKUP(TRUE,F101:N101&lt;&gt;"",F101:N101,"-",-1,-1),F101:N101,$F$6:$N$6,,,-1),"")</f>
        <v>Add7</v>
      </c>
      <c r="U101" s="361" t="s">
        <v>256</v>
      </c>
      <c r="V101" s="40"/>
      <c r="W101" s="419">
        <v>7.6388888888888895E-2</v>
      </c>
      <c r="X101" s="239" t="s">
        <v>102</v>
      </c>
      <c r="Y101" s="239" t="s">
        <v>257</v>
      </c>
      <c r="Z101" s="405">
        <v>1.5</v>
      </c>
      <c r="AA101" s="414">
        <v>0</v>
      </c>
      <c r="AB101" s="37">
        <f t="shared" si="54"/>
        <v>0</v>
      </c>
      <c r="AC101" s="414">
        <v>0</v>
      </c>
      <c r="AD101" s="37">
        <f t="shared" si="55"/>
        <v>0</v>
      </c>
      <c r="AE101" s="414">
        <v>0</v>
      </c>
      <c r="AF101" s="37">
        <f t="shared" si="110"/>
        <v>0</v>
      </c>
      <c r="AG101" s="414">
        <v>0</v>
      </c>
      <c r="AH101" s="37">
        <f t="shared" si="111"/>
        <v>0</v>
      </c>
      <c r="AI101" s="414">
        <v>0</v>
      </c>
      <c r="AJ101" s="37">
        <f t="shared" si="112"/>
        <v>0</v>
      </c>
      <c r="AK101" s="414">
        <v>0</v>
      </c>
      <c r="AL101" s="37">
        <f t="shared" si="113"/>
        <v>0</v>
      </c>
      <c r="AM101" s="414">
        <v>0</v>
      </c>
      <c r="AN101" s="37">
        <f t="shared" si="114"/>
        <v>0</v>
      </c>
      <c r="AO101" s="414">
        <v>0</v>
      </c>
      <c r="AP101" s="37">
        <f t="shared" si="115"/>
        <v>0</v>
      </c>
      <c r="AQ101" s="414">
        <v>1</v>
      </c>
      <c r="AR101" s="37">
        <f t="shared" si="12"/>
        <v>1.5</v>
      </c>
      <c r="AS101" s="414">
        <v>0</v>
      </c>
      <c r="AT101" s="37">
        <f t="shared" si="13"/>
        <v>0</v>
      </c>
      <c r="AU101" s="414">
        <v>0</v>
      </c>
      <c r="AV101" s="37">
        <f t="shared" si="116"/>
        <v>0</v>
      </c>
      <c r="AW101" s="414">
        <v>0</v>
      </c>
      <c r="AX101" s="37">
        <f t="shared" si="117"/>
        <v>0</v>
      </c>
      <c r="AZ101" s="37" t="str">
        <f t="shared" si="86"/>
        <v>18043-LM646 11508 Steel Ladder Details Sheet 1</v>
      </c>
    </row>
    <row r="102" spans="1:55" s="37" customFormat="1" ht="15" customHeight="1" outlineLevel="1">
      <c r="A102" s="43"/>
      <c r="B102" s="38"/>
      <c r="C102" s="233"/>
      <c r="D102" s="38"/>
      <c r="E102" s="42"/>
      <c r="F102" s="418"/>
      <c r="G102" s="41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262"/>
      <c r="S102" s="40"/>
      <c r="T102" s="40" t="str" cm="1">
        <f t="array" ref="T102">IF(A102&lt;&gt;"",_xlfn.XLOOKUP(_xlfn.XLOOKUP(TRUE,F102:N102&lt;&gt;"",F102:N102,"-",-1,-1),F102:N102,$F$6:$N$6,,,-1),"")</f>
        <v/>
      </c>
      <c r="U102" s="324"/>
      <c r="V102" s="40"/>
      <c r="W102" s="419"/>
      <c r="X102" s="239"/>
      <c r="Y102" s="239"/>
      <c r="Z102" s="405"/>
      <c r="AA102" s="414"/>
      <c r="AC102" s="414"/>
      <c r="AE102" s="414"/>
      <c r="AG102" s="414"/>
      <c r="AI102" s="414"/>
      <c r="AK102" s="414"/>
      <c r="AM102" s="414"/>
      <c r="AO102" s="414"/>
      <c r="AQ102" s="414"/>
      <c r="AS102" s="414"/>
      <c r="AU102" s="414"/>
      <c r="AW102" s="414"/>
    </row>
    <row r="103" spans="1:55" s="37" customFormat="1" ht="15" customHeight="1" outlineLevel="1">
      <c r="A103" s="43" t="s">
        <v>272</v>
      </c>
      <c r="B103" s="38" t="s">
        <v>94</v>
      </c>
      <c r="C103" s="233" t="s">
        <v>95</v>
      </c>
      <c r="D103" s="38"/>
      <c r="E103" s="42" t="s">
        <v>273</v>
      </c>
      <c r="F103" s="418"/>
      <c r="G103" s="418"/>
      <c r="H103" s="38"/>
      <c r="I103" s="38"/>
      <c r="J103" s="38"/>
      <c r="K103" s="38"/>
      <c r="L103" s="38" t="s">
        <v>97</v>
      </c>
      <c r="M103" s="364" t="s">
        <v>97</v>
      </c>
      <c r="N103" s="38"/>
      <c r="O103" s="38"/>
      <c r="P103" s="492">
        <v>0</v>
      </c>
      <c r="Q103" s="38" t="s">
        <v>98</v>
      </c>
      <c r="R103" s="262" t="s">
        <v>192</v>
      </c>
      <c r="S103" s="304"/>
      <c r="T103" s="40" t="str" cm="1">
        <f t="array" ref="T103">IF(A103&lt;&gt;"",_xlfn.XLOOKUP(_xlfn.XLOOKUP(TRUE,F103:N103&lt;&gt;"",F103:N103,"-",-1,-1),F103:N103,$F$6:$N$6,,,-1),"")</f>
        <v>Permit</v>
      </c>
      <c r="U103" s="361" t="s">
        <v>256</v>
      </c>
      <c r="V103" s="40"/>
      <c r="W103" s="419">
        <v>7.6388888888888895E-2</v>
      </c>
      <c r="X103" s="239" t="s">
        <v>102</v>
      </c>
      <c r="Y103" s="239" t="s">
        <v>257</v>
      </c>
      <c r="Z103" s="405">
        <v>2</v>
      </c>
      <c r="AA103" s="414">
        <v>0</v>
      </c>
      <c r="AB103" s="37">
        <f>$Z103*AA103</f>
        <v>0</v>
      </c>
      <c r="AC103" s="414">
        <v>0</v>
      </c>
      <c r="AD103" s="37">
        <f>$Z103*AC103</f>
        <v>0</v>
      </c>
      <c r="AE103" s="414">
        <v>0.8</v>
      </c>
      <c r="AF103" s="37">
        <f>$Z103*AE103</f>
        <v>1.6</v>
      </c>
      <c r="AG103" s="414">
        <v>0</v>
      </c>
      <c r="AH103" s="37">
        <f>$Z103*AG103</f>
        <v>0</v>
      </c>
      <c r="AI103" s="414">
        <v>0</v>
      </c>
      <c r="AJ103" s="37">
        <f>$Z103*AI103</f>
        <v>0</v>
      </c>
      <c r="AK103" s="414">
        <v>0</v>
      </c>
      <c r="AL103" s="37">
        <f>$Z103*AK103</f>
        <v>0</v>
      </c>
      <c r="AM103" s="414">
        <v>0</v>
      </c>
      <c r="AN103" s="37">
        <f>$Z103*AM103</f>
        <v>0</v>
      </c>
      <c r="AO103" s="414">
        <v>0</v>
      </c>
      <c r="AP103" s="37">
        <f>$Z103*AO103</f>
        <v>0</v>
      </c>
      <c r="AQ103" s="414">
        <v>1</v>
      </c>
      <c r="AR103" s="37">
        <f>$Z103*AQ103</f>
        <v>2</v>
      </c>
      <c r="AS103" s="414">
        <v>0</v>
      </c>
      <c r="AT103" s="37">
        <f>$Z103*AS103</f>
        <v>0</v>
      </c>
      <c r="AU103" s="414">
        <v>0</v>
      </c>
      <c r="AV103" s="37">
        <f>$Z103*AU103</f>
        <v>0</v>
      </c>
      <c r="AW103" s="414">
        <v>0</v>
      </c>
      <c r="AX103" s="37">
        <f>$Z103*AW103</f>
        <v>0</v>
      </c>
      <c r="AY103" s="390"/>
      <c r="AZ103" s="37" t="str">
        <f t="shared" ref="AZ103:AZ110" si="118">A103&amp;" "&amp;E103</f>
        <v>18043-LM646 11700 Door Equipment List</v>
      </c>
    </row>
    <row r="104" spans="1:55" s="37" customFormat="1" ht="15" customHeight="1" outlineLevel="1">
      <c r="A104" s="43" t="s">
        <v>274</v>
      </c>
      <c r="B104" s="38" t="s">
        <v>94</v>
      </c>
      <c r="C104" s="233" t="s">
        <v>95</v>
      </c>
      <c r="D104" s="38"/>
      <c r="E104" s="42" t="s">
        <v>275</v>
      </c>
      <c r="F104" s="418"/>
      <c r="G104" s="418"/>
      <c r="H104" s="38"/>
      <c r="I104" s="38"/>
      <c r="J104" s="38"/>
      <c r="K104" s="38"/>
      <c r="L104" s="38" t="s">
        <v>97</v>
      </c>
      <c r="M104" s="364" t="s">
        <v>97</v>
      </c>
      <c r="N104" s="38"/>
      <c r="O104" s="38"/>
      <c r="P104" s="492">
        <v>0</v>
      </c>
      <c r="Q104" s="38" t="s">
        <v>98</v>
      </c>
      <c r="R104" s="262" t="s">
        <v>192</v>
      </c>
      <c r="S104" s="304"/>
      <c r="T104" s="40" t="str" cm="1">
        <f t="array" ref="T104">IF(A104&lt;&gt;"",_xlfn.XLOOKUP(_xlfn.XLOOKUP(TRUE,F104:N104&lt;&gt;"",F104:N104,"-",-1,-1),F104:N104,$F$6:$N$6,,,-1),"")</f>
        <v>Permit</v>
      </c>
      <c r="U104" s="361" t="s">
        <v>256</v>
      </c>
      <c r="V104" s="40"/>
      <c r="W104" s="419">
        <v>7.6388888888888895E-2</v>
      </c>
      <c r="X104" s="239" t="s">
        <v>102</v>
      </c>
      <c r="Y104" s="239" t="s">
        <v>257</v>
      </c>
      <c r="Z104" s="405">
        <v>2</v>
      </c>
      <c r="AA104" s="414">
        <v>0</v>
      </c>
      <c r="AB104" s="37">
        <f t="shared" si="54"/>
        <v>0</v>
      </c>
      <c r="AC104" s="414">
        <v>0</v>
      </c>
      <c r="AD104" s="37">
        <f t="shared" si="55"/>
        <v>0</v>
      </c>
      <c r="AE104" s="414">
        <v>0.8</v>
      </c>
      <c r="AF104" s="37">
        <f t="shared" ref="AF104" si="119">$Z104*AE104</f>
        <v>1.6</v>
      </c>
      <c r="AG104" s="414">
        <v>0</v>
      </c>
      <c r="AH104" s="37">
        <f t="shared" ref="AH104" si="120">$Z104*AG104</f>
        <v>0</v>
      </c>
      <c r="AI104" s="414">
        <v>0</v>
      </c>
      <c r="AJ104" s="37">
        <f t="shared" ref="AJ104" si="121">$Z104*AI104</f>
        <v>0</v>
      </c>
      <c r="AK104" s="414">
        <v>0</v>
      </c>
      <c r="AL104" s="37">
        <f>$Z104*AK104</f>
        <v>0</v>
      </c>
      <c r="AM104" s="414">
        <v>0</v>
      </c>
      <c r="AN104" s="37">
        <f t="shared" ref="AN104" si="122">$Z104*AM104</f>
        <v>0</v>
      </c>
      <c r="AO104" s="414">
        <v>0</v>
      </c>
      <c r="AP104" s="37">
        <f>$Z104*AO104</f>
        <v>0</v>
      </c>
      <c r="AQ104" s="414">
        <v>1</v>
      </c>
      <c r="AR104" s="37">
        <f t="shared" si="12"/>
        <v>2</v>
      </c>
      <c r="AS104" s="414">
        <v>0</v>
      </c>
      <c r="AT104" s="37">
        <f t="shared" si="13"/>
        <v>0</v>
      </c>
      <c r="AU104" s="414">
        <v>0</v>
      </c>
      <c r="AV104" s="37">
        <f t="shared" ref="AV104" si="123">$Z104*AU104</f>
        <v>0</v>
      </c>
      <c r="AW104" s="414">
        <v>0</v>
      </c>
      <c r="AX104" s="37">
        <f>$Z104*AW104</f>
        <v>0</v>
      </c>
      <c r="AY104" s="390"/>
      <c r="AZ104" s="37" t="str">
        <f t="shared" si="118"/>
        <v xml:space="preserve">18043-LM646 11701 Door and Window Details </v>
      </c>
    </row>
    <row r="105" spans="1:55" s="37" customFormat="1" ht="15" customHeight="1" outlineLevel="1">
      <c r="A105" s="43"/>
      <c r="B105" s="38"/>
      <c r="C105" s="233"/>
      <c r="D105" s="38"/>
      <c r="E105" s="42"/>
      <c r="F105" s="418"/>
      <c r="G105" s="41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40"/>
      <c r="S105" s="40"/>
      <c r="T105" s="40" t="str" cm="1">
        <f t="array" ref="T105">IF(A105&lt;&gt;"",_xlfn.XLOOKUP(_xlfn.XLOOKUP(TRUE,F105:N105&lt;&gt;"",F105:N105,"-",-1,-1),F105:N105,$F$6:$N$6,,,-1),"")</f>
        <v/>
      </c>
      <c r="U105" s="337"/>
      <c r="V105" s="40"/>
      <c r="X105" s="239"/>
      <c r="Y105" s="239"/>
      <c r="Z105" s="405"/>
      <c r="AA105" s="414"/>
      <c r="AC105" s="414"/>
      <c r="AE105" s="414"/>
      <c r="AG105" s="414"/>
      <c r="AI105" s="414"/>
      <c r="AK105" s="414"/>
      <c r="AM105" s="414"/>
      <c r="AO105" s="414"/>
      <c r="AQ105" s="414"/>
      <c r="AS105" s="414"/>
      <c r="AU105" s="414"/>
      <c r="AW105" s="414"/>
      <c r="AY105" s="390"/>
      <c r="AZ105" s="37" t="str">
        <f t="shared" si="118"/>
        <v xml:space="preserve"> </v>
      </c>
    </row>
    <row r="106" spans="1:55" s="37" customFormat="1" ht="15" customHeight="1" outlineLevel="1">
      <c r="A106" s="43" t="s">
        <v>276</v>
      </c>
      <c r="B106" s="38" t="s">
        <v>94</v>
      </c>
      <c r="C106" s="233" t="s">
        <v>95</v>
      </c>
      <c r="D106" s="38"/>
      <c r="E106" s="42" t="s">
        <v>277</v>
      </c>
      <c r="F106" s="418"/>
      <c r="G106" s="418"/>
      <c r="H106" s="38"/>
      <c r="I106" s="38"/>
      <c r="J106" s="38"/>
      <c r="K106" s="38"/>
      <c r="L106" s="38" t="s">
        <v>97</v>
      </c>
      <c r="M106" s="433"/>
      <c r="N106" s="38"/>
      <c r="O106" s="444" t="s">
        <v>34</v>
      </c>
      <c r="P106" s="492">
        <v>0</v>
      </c>
      <c r="Q106" s="38" t="s">
        <v>98</v>
      </c>
      <c r="R106" s="40" t="s">
        <v>99</v>
      </c>
      <c r="S106" s="304"/>
      <c r="T106" s="40" t="str" cm="1">
        <f t="array" ref="T106">IF(A106&lt;&gt;"",_xlfn.XLOOKUP(_xlfn.XLOOKUP(TRUE,F106:N106&lt;&gt;"",F106:N106,"-",-1,-1),F106:N106,$F$6:$N$6,,,-1),"")</f>
        <v>Add7</v>
      </c>
      <c r="U106" s="362" t="s">
        <v>193</v>
      </c>
      <c r="V106" s="40"/>
      <c r="W106" s="419">
        <v>7.6388888888888895E-2</v>
      </c>
      <c r="X106" s="239" t="s">
        <v>102</v>
      </c>
      <c r="Y106" s="239" t="s">
        <v>193</v>
      </c>
      <c r="Z106" s="405">
        <v>2</v>
      </c>
      <c r="AA106" s="414">
        <v>0</v>
      </c>
      <c r="AB106" s="37">
        <f t="shared" si="54"/>
        <v>0</v>
      </c>
      <c r="AC106" s="414">
        <v>0</v>
      </c>
      <c r="AD106" s="37">
        <f t="shared" si="55"/>
        <v>0</v>
      </c>
      <c r="AE106" s="414">
        <v>0</v>
      </c>
      <c r="AF106" s="37">
        <f t="shared" ref="AF106:AF108" si="124">$Z106*AE106</f>
        <v>0</v>
      </c>
      <c r="AG106" s="414">
        <v>0</v>
      </c>
      <c r="AH106" s="37">
        <f t="shared" ref="AH106:AH108" si="125">$Z106*AG106</f>
        <v>0</v>
      </c>
      <c r="AI106" s="414">
        <v>0</v>
      </c>
      <c r="AJ106" s="37">
        <f t="shared" ref="AJ106:AJ108" si="126">$Z106*AI106</f>
        <v>0</v>
      </c>
      <c r="AK106" s="414">
        <v>0</v>
      </c>
      <c r="AL106" s="37">
        <f t="shared" ref="AL106:AL108" si="127">$Z106*AK106</f>
        <v>0</v>
      </c>
      <c r="AM106" s="414">
        <v>0</v>
      </c>
      <c r="AN106" s="37">
        <f t="shared" ref="AN106:AN108" si="128">$Z106*AM106</f>
        <v>0</v>
      </c>
      <c r="AO106" s="414">
        <v>0</v>
      </c>
      <c r="AP106" s="37">
        <f t="shared" ref="AP106:AP108" si="129">$Z106*AO106</f>
        <v>0</v>
      </c>
      <c r="AQ106" s="414">
        <v>1</v>
      </c>
      <c r="AR106" s="37">
        <f t="shared" si="12"/>
        <v>2</v>
      </c>
      <c r="AS106" s="414">
        <v>0</v>
      </c>
      <c r="AT106" s="37">
        <f t="shared" si="13"/>
        <v>0</v>
      </c>
      <c r="AU106" s="414">
        <v>0</v>
      </c>
      <c r="AV106" s="37">
        <f t="shared" ref="AV106:AV108" si="130">$Z106*AU106</f>
        <v>0</v>
      </c>
      <c r="AW106" s="414">
        <v>0</v>
      </c>
      <c r="AX106" s="37">
        <f t="shared" ref="AX106:AX108" si="131">$Z106*AW106</f>
        <v>0</v>
      </c>
      <c r="AY106" s="390"/>
      <c r="AZ106" s="37" t="str">
        <f t="shared" si="118"/>
        <v>18043-LM646 11801 Enlarge Detail sheet 1</v>
      </c>
    </row>
    <row r="107" spans="1:55" s="37" customFormat="1" ht="15" customHeight="1" outlineLevel="1">
      <c r="A107" s="43" t="s">
        <v>278</v>
      </c>
      <c r="B107" s="38" t="s">
        <v>94</v>
      </c>
      <c r="C107" s="233" t="s">
        <v>95</v>
      </c>
      <c r="D107" s="38"/>
      <c r="E107" s="42" t="s">
        <v>279</v>
      </c>
      <c r="F107" s="418"/>
      <c r="G107" s="418"/>
      <c r="H107" s="38"/>
      <c r="I107" s="38"/>
      <c r="J107" s="38"/>
      <c r="K107" s="38"/>
      <c r="L107" s="34"/>
      <c r="M107" s="34"/>
      <c r="N107" s="446" t="s">
        <v>97</v>
      </c>
      <c r="O107" s="383"/>
      <c r="P107" s="492">
        <v>0</v>
      </c>
      <c r="Q107" s="38" t="s">
        <v>98</v>
      </c>
      <c r="R107" s="40" t="s">
        <v>99</v>
      </c>
      <c r="S107" s="304" t="s">
        <v>214</v>
      </c>
      <c r="T107" s="40" t="str" cm="1">
        <f t="array" ref="T107">IF(A107&lt;&gt;"",_xlfn.XLOOKUP(_xlfn.XLOOKUP(TRUE,F107:N107&lt;&gt;"",F107:N107,"-",-1,-1),F107:N107,$F$6:$N$6,,,-1),"")</f>
        <v>Add8</v>
      </c>
      <c r="U107" s="362" t="s">
        <v>193</v>
      </c>
      <c r="V107" s="40"/>
      <c r="W107" s="419">
        <v>7.6388888888888895E-2</v>
      </c>
      <c r="X107" s="239" t="s">
        <v>102</v>
      </c>
      <c r="Y107" s="239" t="s">
        <v>193</v>
      </c>
      <c r="Z107" s="405">
        <v>2</v>
      </c>
      <c r="AA107" s="414">
        <v>0</v>
      </c>
      <c r="AB107" s="37">
        <f t="shared" si="54"/>
        <v>0</v>
      </c>
      <c r="AC107" s="414">
        <v>0</v>
      </c>
      <c r="AD107" s="37">
        <f t="shared" si="55"/>
        <v>0</v>
      </c>
      <c r="AE107" s="414">
        <v>0</v>
      </c>
      <c r="AF107" s="37">
        <f t="shared" si="124"/>
        <v>0</v>
      </c>
      <c r="AG107" s="414">
        <v>0</v>
      </c>
      <c r="AH107" s="37">
        <f t="shared" si="125"/>
        <v>0</v>
      </c>
      <c r="AI107" s="414">
        <v>0</v>
      </c>
      <c r="AJ107" s="37">
        <f t="shared" si="126"/>
        <v>0</v>
      </c>
      <c r="AK107" s="414">
        <v>0</v>
      </c>
      <c r="AL107" s="37">
        <f t="shared" si="127"/>
        <v>0</v>
      </c>
      <c r="AM107" s="414">
        <v>0</v>
      </c>
      <c r="AN107" s="37">
        <f t="shared" si="128"/>
        <v>0</v>
      </c>
      <c r="AO107" s="414">
        <v>0</v>
      </c>
      <c r="AP107" s="37">
        <f t="shared" si="129"/>
        <v>0</v>
      </c>
      <c r="AQ107" s="414">
        <v>1</v>
      </c>
      <c r="AR107" s="37">
        <f t="shared" si="12"/>
        <v>2</v>
      </c>
      <c r="AS107" s="414">
        <v>0</v>
      </c>
      <c r="AT107" s="37">
        <f t="shared" ref="AT107:AT108" si="132">$Z107*AS107</f>
        <v>0</v>
      </c>
      <c r="AU107" s="414">
        <v>0</v>
      </c>
      <c r="AV107" s="37">
        <f t="shared" si="130"/>
        <v>0</v>
      </c>
      <c r="AW107" s="414">
        <v>0</v>
      </c>
      <c r="AX107" s="37">
        <f t="shared" si="131"/>
        <v>0</v>
      </c>
      <c r="AY107" s="390"/>
      <c r="AZ107" s="37" t="str">
        <f t="shared" si="118"/>
        <v>18043-LM646 11802 Enlarge Detail sheet 2</v>
      </c>
    </row>
    <row r="108" spans="1:55" s="37" customFormat="1" ht="15" customHeight="1" outlineLevel="1">
      <c r="A108" s="43" t="s">
        <v>280</v>
      </c>
      <c r="B108" s="38" t="s">
        <v>94</v>
      </c>
      <c r="C108" s="233" t="s">
        <v>95</v>
      </c>
      <c r="D108" s="38"/>
      <c r="E108" s="42" t="s">
        <v>281</v>
      </c>
      <c r="F108" s="418"/>
      <c r="G108" s="418"/>
      <c r="H108" s="38"/>
      <c r="I108" s="38"/>
      <c r="J108" s="38"/>
      <c r="K108" s="38"/>
      <c r="L108" s="38"/>
      <c r="M108" s="38"/>
      <c r="N108" s="383"/>
      <c r="O108" s="444" t="s">
        <v>97</v>
      </c>
      <c r="P108" s="492">
        <v>0</v>
      </c>
      <c r="Q108" s="38" t="s">
        <v>98</v>
      </c>
      <c r="R108" s="40" t="s">
        <v>99</v>
      </c>
      <c r="S108" s="304"/>
      <c r="T108" s="40"/>
      <c r="U108" s="362" t="s">
        <v>193</v>
      </c>
      <c r="V108" s="40"/>
      <c r="W108" s="419">
        <v>7.6388888888888895E-2</v>
      </c>
      <c r="X108" s="239" t="s">
        <v>102</v>
      </c>
      <c r="Y108" s="239" t="s">
        <v>193</v>
      </c>
      <c r="Z108" s="405">
        <v>2</v>
      </c>
      <c r="AA108" s="414">
        <v>0</v>
      </c>
      <c r="AB108" s="37">
        <f t="shared" si="54"/>
        <v>0</v>
      </c>
      <c r="AC108" s="414">
        <v>0</v>
      </c>
      <c r="AD108" s="37">
        <f t="shared" si="55"/>
        <v>0</v>
      </c>
      <c r="AE108" s="414">
        <v>0</v>
      </c>
      <c r="AF108" s="37">
        <f t="shared" si="124"/>
        <v>0</v>
      </c>
      <c r="AG108" s="414">
        <v>0</v>
      </c>
      <c r="AH108" s="37">
        <f t="shared" si="125"/>
        <v>0</v>
      </c>
      <c r="AI108" s="414">
        <v>0</v>
      </c>
      <c r="AJ108" s="37">
        <f t="shared" si="126"/>
        <v>0</v>
      </c>
      <c r="AK108" s="414">
        <v>0</v>
      </c>
      <c r="AL108" s="37">
        <f t="shared" si="127"/>
        <v>0</v>
      </c>
      <c r="AM108" s="414">
        <v>0</v>
      </c>
      <c r="AN108" s="37">
        <f t="shared" si="128"/>
        <v>0</v>
      </c>
      <c r="AO108" s="414">
        <v>0</v>
      </c>
      <c r="AP108" s="37">
        <f t="shared" si="129"/>
        <v>0</v>
      </c>
      <c r="AQ108" s="414">
        <v>1</v>
      </c>
      <c r="AR108" s="37">
        <f t="shared" si="12"/>
        <v>2</v>
      </c>
      <c r="AS108" s="414">
        <v>0</v>
      </c>
      <c r="AT108" s="37">
        <f t="shared" si="132"/>
        <v>0</v>
      </c>
      <c r="AU108" s="414">
        <v>0</v>
      </c>
      <c r="AV108" s="37">
        <f t="shared" si="130"/>
        <v>0</v>
      </c>
      <c r="AW108" s="414">
        <v>0</v>
      </c>
      <c r="AX108" s="37">
        <f t="shared" si="131"/>
        <v>0</v>
      </c>
      <c r="AY108" s="316" t="s">
        <v>282</v>
      </c>
      <c r="AZ108" s="37" t="str">
        <f t="shared" si="118"/>
        <v>18043-LM646 11803 Enlarge Detail sheet 3</v>
      </c>
    </row>
    <row r="109" spans="1:55" s="37" customFormat="1" ht="15" customHeight="1" outlineLevel="1">
      <c r="A109" s="43" t="s">
        <v>283</v>
      </c>
      <c r="B109" s="38" t="s">
        <v>94</v>
      </c>
      <c r="C109" s="233" t="s">
        <v>95</v>
      </c>
      <c r="D109" s="38"/>
      <c r="E109" s="42" t="s">
        <v>284</v>
      </c>
      <c r="F109" s="418"/>
      <c r="G109" s="418"/>
      <c r="H109" s="38"/>
      <c r="I109" s="38"/>
      <c r="J109" s="38"/>
      <c r="K109" s="38"/>
      <c r="L109" s="38"/>
      <c r="M109" s="38"/>
      <c r="N109" s="383"/>
      <c r="O109" s="444" t="s">
        <v>97</v>
      </c>
      <c r="P109" s="492">
        <v>0</v>
      </c>
      <c r="Q109" s="38" t="s">
        <v>98</v>
      </c>
      <c r="R109" s="40" t="s">
        <v>99</v>
      </c>
      <c r="S109" s="304"/>
      <c r="T109" s="40"/>
      <c r="U109" s="362" t="s">
        <v>193</v>
      </c>
      <c r="V109" s="40"/>
      <c r="W109" s="419">
        <v>7.6388888888888895E-2</v>
      </c>
      <c r="X109" s="239" t="s">
        <v>102</v>
      </c>
      <c r="Y109" s="239" t="s">
        <v>193</v>
      </c>
      <c r="Z109" s="405">
        <v>2</v>
      </c>
      <c r="AA109" s="414">
        <v>0</v>
      </c>
      <c r="AB109" s="37">
        <f>$Z109*AA109</f>
        <v>0</v>
      </c>
      <c r="AC109" s="414">
        <v>0</v>
      </c>
      <c r="AD109" s="37">
        <f>$Z109*AC109</f>
        <v>0</v>
      </c>
      <c r="AE109" s="414">
        <v>0</v>
      </c>
      <c r="AF109" s="37">
        <f>$Z109*AE109</f>
        <v>0</v>
      </c>
      <c r="AG109" s="414">
        <v>0</v>
      </c>
      <c r="AH109" s="37">
        <f>$Z109*AG109</f>
        <v>0</v>
      </c>
      <c r="AI109" s="414">
        <v>0</v>
      </c>
      <c r="AJ109" s="37">
        <f>$Z109*AI109</f>
        <v>0</v>
      </c>
      <c r="AK109" s="414">
        <v>0</v>
      </c>
      <c r="AL109" s="37">
        <f>$Z109*AK109</f>
        <v>0</v>
      </c>
      <c r="AM109" s="414">
        <v>0</v>
      </c>
      <c r="AN109" s="37">
        <f>$Z109*AM109</f>
        <v>0</v>
      </c>
      <c r="AO109" s="414">
        <v>0</v>
      </c>
      <c r="AP109" s="37">
        <f>$Z109*AO109</f>
        <v>0</v>
      </c>
      <c r="AQ109" s="414">
        <v>1</v>
      </c>
      <c r="AR109" s="37">
        <f>$Z109*AQ109</f>
        <v>2</v>
      </c>
      <c r="AS109" s="414">
        <v>0</v>
      </c>
      <c r="AT109" s="37">
        <f>$Z109*AS109</f>
        <v>0</v>
      </c>
      <c r="AU109" s="414">
        <v>0</v>
      </c>
      <c r="AV109" s="37">
        <f>$Z109*AU109</f>
        <v>0</v>
      </c>
      <c r="AW109" s="414">
        <v>0</v>
      </c>
      <c r="AX109" s="37">
        <f>$Z109*AW109</f>
        <v>0</v>
      </c>
      <c r="AY109" s="316" t="s">
        <v>282</v>
      </c>
      <c r="AZ109" s="37" t="str">
        <f t="shared" si="118"/>
        <v>18043-LM646 11804 Enlarge Detail sheet 4 (Inbound Conveyor)</v>
      </c>
    </row>
    <row r="110" spans="1:55" s="37" customFormat="1" ht="15" customHeight="1" outlineLevel="1">
      <c r="A110" s="43"/>
      <c r="B110" s="38"/>
      <c r="C110" s="233"/>
      <c r="D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40"/>
      <c r="S110" s="40"/>
      <c r="T110" s="40"/>
      <c r="U110" s="324"/>
      <c r="V110" s="40"/>
      <c r="W110" s="236"/>
      <c r="X110" s="239"/>
      <c r="Y110" s="239"/>
      <c r="Z110" s="405"/>
      <c r="AA110" s="414"/>
      <c r="AC110" s="414"/>
      <c r="AE110" s="414"/>
      <c r="AG110" s="414"/>
      <c r="AI110" s="414"/>
      <c r="AK110" s="414"/>
      <c r="AM110" s="414"/>
      <c r="AO110" s="414"/>
      <c r="AQ110" s="414"/>
      <c r="AS110" s="414"/>
      <c r="AU110" s="414"/>
      <c r="AW110" s="414"/>
      <c r="AY110" s="390"/>
      <c r="AZ110" s="37" t="str">
        <f t="shared" si="118"/>
        <v xml:space="preserve"> </v>
      </c>
    </row>
    <row r="111" spans="1:55" s="37" customFormat="1" ht="15" customHeight="1" outlineLevel="1">
      <c r="A111" s="317" t="s">
        <v>285</v>
      </c>
      <c r="B111" s="38" t="s">
        <v>94</v>
      </c>
      <c r="C111" s="255" t="s">
        <v>95</v>
      </c>
      <c r="D111" s="38"/>
      <c r="E111" s="270" t="s">
        <v>191</v>
      </c>
      <c r="F111" s="350" t="s">
        <v>34</v>
      </c>
      <c r="G111" s="350"/>
      <c r="H111" s="350"/>
      <c r="I111" s="350"/>
      <c r="J111" s="350"/>
      <c r="K111" s="350"/>
      <c r="L111" s="577" t="s">
        <v>286</v>
      </c>
      <c r="M111" s="236"/>
      <c r="N111" s="236"/>
      <c r="O111" s="383"/>
      <c r="P111" s="236"/>
      <c r="Q111" s="38" t="s">
        <v>98</v>
      </c>
      <c r="R111" s="236"/>
      <c r="S111" s="38"/>
      <c r="T111" s="40"/>
      <c r="U111" s="38" t="s">
        <v>98</v>
      </c>
      <c r="V111" s="262" t="s">
        <v>192</v>
      </c>
      <c r="W111" s="131"/>
      <c r="X111" s="325" t="s">
        <v>287</v>
      </c>
      <c r="Y111" s="283" t="s">
        <v>194</v>
      </c>
      <c r="Z111" s="415" t="s">
        <v>195</v>
      </c>
      <c r="AA111" s="239" t="s">
        <v>102</v>
      </c>
      <c r="AB111" s="239" t="s">
        <v>193</v>
      </c>
      <c r="AC111" s="405">
        <v>1</v>
      </c>
      <c r="AD111" s="414">
        <v>0.8</v>
      </c>
      <c r="AE111" s="37">
        <f>$AC111*AD111</f>
        <v>0.8</v>
      </c>
      <c r="AF111" s="414">
        <v>0</v>
      </c>
      <c r="AG111" s="37">
        <f>$AC111*AF111</f>
        <v>0</v>
      </c>
      <c r="AH111" s="414">
        <v>1</v>
      </c>
      <c r="AI111" s="37">
        <f>$AC111*AH111</f>
        <v>1</v>
      </c>
      <c r="AJ111" s="414">
        <v>0</v>
      </c>
      <c r="AK111" s="37">
        <f>$AC111*AJ111</f>
        <v>0</v>
      </c>
      <c r="AL111" s="414">
        <v>0</v>
      </c>
      <c r="AM111" s="37">
        <f>$AC111*AL111</f>
        <v>0</v>
      </c>
      <c r="AN111" s="414">
        <v>0</v>
      </c>
      <c r="AO111" s="37">
        <f>$AC111*AN111</f>
        <v>0</v>
      </c>
      <c r="AP111" s="414">
        <v>0</v>
      </c>
      <c r="AQ111" s="37">
        <f>$AC111*AP111</f>
        <v>0</v>
      </c>
      <c r="AR111" s="414">
        <v>0</v>
      </c>
      <c r="AS111" s="37">
        <f>$AC111*AR111</f>
        <v>0</v>
      </c>
      <c r="AT111" s="414">
        <v>1</v>
      </c>
      <c r="AU111" s="37">
        <f>$AC111*AT111</f>
        <v>1</v>
      </c>
      <c r="AV111" s="414">
        <v>0</v>
      </c>
      <c r="AW111" s="37">
        <f>$AC111*AV111</f>
        <v>0</v>
      </c>
      <c r="AX111" s="414">
        <v>0</v>
      </c>
      <c r="AZ111" s="414">
        <v>0</v>
      </c>
      <c r="BA111" s="37">
        <f>$AC111*AZ111</f>
        <v>0</v>
      </c>
      <c r="BB111" s="316"/>
      <c r="BC111" s="37" t="str">
        <f>A111&amp;" "&amp;E111</f>
        <v>18043-LM646 01001 Room Schedule Sheet 1</v>
      </c>
    </row>
    <row r="112" spans="1:55" s="37" customFormat="1" ht="15" customHeight="1">
      <c r="B112" s="236"/>
      <c r="D112" s="38"/>
      <c r="E112" s="41"/>
      <c r="F112" s="310"/>
      <c r="G112" s="310"/>
      <c r="H112" s="310"/>
      <c r="I112" s="310"/>
      <c r="J112" s="310"/>
      <c r="K112" s="310"/>
      <c r="L112" s="577"/>
      <c r="M112" s="38"/>
      <c r="N112" s="38"/>
      <c r="O112" s="38"/>
      <c r="P112" s="38"/>
      <c r="Q112" s="38"/>
      <c r="R112" s="38"/>
      <c r="S112" s="38"/>
      <c r="T112" s="40"/>
      <c r="U112" s="38"/>
      <c r="V112" s="40"/>
      <c r="W112" s="40"/>
      <c r="X112" s="324"/>
      <c r="Y112" s="40"/>
      <c r="Z112" s="236"/>
      <c r="AB112" s="239"/>
      <c r="AC112" s="405"/>
      <c r="AD112" s="414"/>
      <c r="AF112" s="414"/>
      <c r="AH112" s="414"/>
      <c r="AJ112" s="414"/>
      <c r="AL112" s="414"/>
      <c r="AN112" s="414"/>
      <c r="AP112" s="414"/>
      <c r="AR112" s="414"/>
      <c r="AT112" s="414"/>
      <c r="AV112" s="414"/>
      <c r="AX112" s="414"/>
      <c r="AZ112" s="414"/>
      <c r="BB112" s="316"/>
    </row>
    <row r="113" spans="1:56" s="37" customFormat="1" ht="15" customHeight="1" outlineLevel="1">
      <c r="A113" s="317" t="s">
        <v>288</v>
      </c>
      <c r="B113" s="38" t="s">
        <v>94</v>
      </c>
      <c r="C113" s="255" t="s">
        <v>95</v>
      </c>
      <c r="D113" s="38"/>
      <c r="E113" s="270" t="s">
        <v>197</v>
      </c>
      <c r="F113" s="350" t="s">
        <v>34</v>
      </c>
      <c r="G113" s="350"/>
      <c r="H113" s="350" t="s">
        <v>116</v>
      </c>
      <c r="I113" s="350" t="s">
        <v>38</v>
      </c>
      <c r="J113" s="350" t="s">
        <v>28</v>
      </c>
      <c r="K113" s="350" t="s">
        <v>289</v>
      </c>
      <c r="L113" s="577"/>
      <c r="M113" s="236"/>
      <c r="N113" s="236"/>
      <c r="O113" s="383"/>
      <c r="P113" s="236"/>
      <c r="Q113" s="38" t="s">
        <v>98</v>
      </c>
      <c r="R113" s="236" t="s">
        <v>290</v>
      </c>
      <c r="S113" s="236"/>
      <c r="T113" s="40"/>
      <c r="U113" s="38" t="s">
        <v>98</v>
      </c>
      <c r="V113" s="262" t="s">
        <v>192</v>
      </c>
      <c r="X113" s="326"/>
      <c r="Z113" s="415" t="s">
        <v>195</v>
      </c>
      <c r="AA113" s="239" t="s">
        <v>102</v>
      </c>
      <c r="AB113" s="239" t="s">
        <v>193</v>
      </c>
      <c r="AC113" s="405">
        <v>2.5</v>
      </c>
      <c r="AD113" s="414">
        <v>0.7</v>
      </c>
      <c r="AE113" s="37">
        <f t="shared" ref="AE113:AE119" si="133">$AC113*AD113</f>
        <v>1.75</v>
      </c>
      <c r="AF113" s="414">
        <v>0</v>
      </c>
      <c r="AG113" s="37">
        <f t="shared" ref="AG113:AG119" si="134">$AC113*AF113</f>
        <v>0</v>
      </c>
      <c r="AH113" s="414">
        <v>0.8</v>
      </c>
      <c r="AI113" s="37">
        <f t="shared" ref="AI113:AI119" si="135">$AC113*AH113</f>
        <v>2</v>
      </c>
      <c r="AJ113" s="414">
        <v>0</v>
      </c>
      <c r="AK113" s="37">
        <f t="shared" ref="AK113:AK119" si="136">$AC113*AJ113</f>
        <v>0</v>
      </c>
      <c r="AL113" s="414">
        <v>0.8</v>
      </c>
      <c r="AM113" s="37">
        <f t="shared" ref="AM113:AM119" si="137">$AC113*AL113</f>
        <v>2</v>
      </c>
      <c r="AN113" s="414">
        <v>0</v>
      </c>
      <c r="AO113" s="37">
        <f t="shared" ref="AO113:AO119" si="138">$AC113*AN113</f>
        <v>0</v>
      </c>
      <c r="AP113" s="414">
        <v>0.8</v>
      </c>
      <c r="AQ113" s="37">
        <f t="shared" ref="AQ113:AQ119" si="139">$AC113*AP113</f>
        <v>2</v>
      </c>
      <c r="AR113" s="414">
        <v>0</v>
      </c>
      <c r="AS113" s="37">
        <f t="shared" ref="AS113:AS119" si="140">$AC113*AR113</f>
        <v>0</v>
      </c>
      <c r="AT113" s="414">
        <v>1</v>
      </c>
      <c r="AU113" s="37">
        <f t="shared" ref="AU113:AU119" si="141">$AC113*AT113</f>
        <v>2.5</v>
      </c>
      <c r="AV113" s="414">
        <v>0</v>
      </c>
      <c r="AW113" s="37">
        <f t="shared" ref="AW113:AW119" si="142">$AC113*AV113</f>
        <v>0</v>
      </c>
      <c r="AX113" s="414">
        <v>0.8</v>
      </c>
      <c r="AZ113" s="414">
        <v>0</v>
      </c>
      <c r="BA113" s="37">
        <f t="shared" ref="BA113:BA119" si="143">$AC113*AZ113</f>
        <v>0</v>
      </c>
      <c r="BC113" s="37" t="str">
        <f t="shared" ref="BC113:BC119" si="144">A113&amp;" "&amp;E113</f>
        <v>18043-LM646 01101 Ground Floor Plan EL.+0.00</v>
      </c>
    </row>
    <row r="114" spans="1:56" s="37" customFormat="1" ht="15" customHeight="1" outlineLevel="1">
      <c r="A114" s="317" t="s">
        <v>291</v>
      </c>
      <c r="B114" s="38" t="s">
        <v>94</v>
      </c>
      <c r="C114" s="255" t="s">
        <v>95</v>
      </c>
      <c r="D114" s="38"/>
      <c r="E114" s="270" t="s">
        <v>292</v>
      </c>
      <c r="F114" s="350" t="s">
        <v>34</v>
      </c>
      <c r="G114" s="350"/>
      <c r="H114" s="350" t="s">
        <v>116</v>
      </c>
      <c r="I114" s="350" t="s">
        <v>38</v>
      </c>
      <c r="J114" s="350" t="s">
        <v>28</v>
      </c>
      <c r="K114" s="350" t="s">
        <v>289</v>
      </c>
      <c r="L114" s="577"/>
      <c r="M114" s="236"/>
      <c r="N114" s="236"/>
      <c r="O114" s="236"/>
      <c r="P114" s="236"/>
      <c r="Q114" s="38" t="s">
        <v>98</v>
      </c>
      <c r="R114" s="236" t="s">
        <v>290</v>
      </c>
      <c r="S114" s="236"/>
      <c r="T114" s="40"/>
      <c r="U114" s="38" t="s">
        <v>98</v>
      </c>
      <c r="V114" s="262" t="s">
        <v>192</v>
      </c>
      <c r="X114" s="326"/>
      <c r="Z114" s="415" t="s">
        <v>195</v>
      </c>
      <c r="AA114" s="239" t="s">
        <v>102</v>
      </c>
      <c r="AB114" s="239" t="s">
        <v>193</v>
      </c>
      <c r="AC114" s="405">
        <v>2.5</v>
      </c>
      <c r="AD114" s="414">
        <v>0.7</v>
      </c>
      <c r="AE114" s="37">
        <f t="shared" si="133"/>
        <v>1.75</v>
      </c>
      <c r="AF114" s="414">
        <v>0</v>
      </c>
      <c r="AG114" s="37">
        <f t="shared" si="134"/>
        <v>0</v>
      </c>
      <c r="AH114" s="414">
        <v>0.8</v>
      </c>
      <c r="AI114" s="37">
        <f t="shared" si="135"/>
        <v>2</v>
      </c>
      <c r="AJ114" s="414">
        <v>0</v>
      </c>
      <c r="AK114" s="37">
        <f t="shared" si="136"/>
        <v>0</v>
      </c>
      <c r="AL114" s="414">
        <v>0.8</v>
      </c>
      <c r="AM114" s="37">
        <f t="shared" si="137"/>
        <v>2</v>
      </c>
      <c r="AN114" s="414">
        <v>0</v>
      </c>
      <c r="AO114" s="37">
        <f t="shared" si="138"/>
        <v>0</v>
      </c>
      <c r="AP114" s="414">
        <v>0.8</v>
      </c>
      <c r="AQ114" s="37">
        <f t="shared" si="139"/>
        <v>2</v>
      </c>
      <c r="AR114" s="414">
        <v>0</v>
      </c>
      <c r="AS114" s="37">
        <f t="shared" si="140"/>
        <v>0</v>
      </c>
      <c r="AT114" s="414">
        <v>1</v>
      </c>
      <c r="AU114" s="37">
        <f t="shared" si="141"/>
        <v>2.5</v>
      </c>
      <c r="AV114" s="414">
        <v>0</v>
      </c>
      <c r="AW114" s="37">
        <f t="shared" si="142"/>
        <v>0</v>
      </c>
      <c r="AX114" s="414">
        <v>0.8</v>
      </c>
      <c r="AZ114" s="414">
        <v>0</v>
      </c>
      <c r="BA114" s="37">
        <f t="shared" si="143"/>
        <v>0</v>
      </c>
      <c r="BC114" s="37" t="str">
        <f t="shared" si="144"/>
        <v>18043-LM646 01102 1.1st Floor Plan EL.+9.00</v>
      </c>
    </row>
    <row r="115" spans="1:56" s="37" customFormat="1" ht="15" customHeight="1" outlineLevel="1">
      <c r="A115" s="317" t="s">
        <v>293</v>
      </c>
      <c r="B115" s="38" t="s">
        <v>94</v>
      </c>
      <c r="C115" s="255" t="s">
        <v>95</v>
      </c>
      <c r="D115" s="38"/>
      <c r="E115" s="270" t="s">
        <v>294</v>
      </c>
      <c r="F115" s="350" t="s">
        <v>34</v>
      </c>
      <c r="G115" s="350"/>
      <c r="H115" s="350" t="s">
        <v>116</v>
      </c>
      <c r="I115" s="350" t="s">
        <v>38</v>
      </c>
      <c r="J115" s="350" t="s">
        <v>28</v>
      </c>
      <c r="K115" s="350" t="s">
        <v>289</v>
      </c>
      <c r="L115" s="577"/>
      <c r="M115" s="236"/>
      <c r="N115" s="236"/>
      <c r="O115" s="236"/>
      <c r="P115" s="236"/>
      <c r="Q115" s="38" t="s">
        <v>98</v>
      </c>
      <c r="R115" s="236" t="s">
        <v>290</v>
      </c>
      <c r="S115" s="236"/>
      <c r="T115" s="40"/>
      <c r="U115" s="38" t="s">
        <v>98</v>
      </c>
      <c r="V115" s="262" t="s">
        <v>192</v>
      </c>
      <c r="X115" s="326"/>
      <c r="Z115" s="415" t="s">
        <v>195</v>
      </c>
      <c r="AA115" s="239" t="s">
        <v>102</v>
      </c>
      <c r="AB115" s="239" t="s">
        <v>193</v>
      </c>
      <c r="AC115" s="405">
        <v>2.5</v>
      </c>
      <c r="AD115" s="414">
        <v>0.7</v>
      </c>
      <c r="AE115" s="37">
        <f t="shared" si="133"/>
        <v>1.75</v>
      </c>
      <c r="AF115" s="414">
        <v>0</v>
      </c>
      <c r="AG115" s="37">
        <f t="shared" si="134"/>
        <v>0</v>
      </c>
      <c r="AH115" s="414">
        <v>0.8</v>
      </c>
      <c r="AI115" s="37">
        <f t="shared" si="135"/>
        <v>2</v>
      </c>
      <c r="AJ115" s="414">
        <v>0</v>
      </c>
      <c r="AK115" s="37">
        <f t="shared" si="136"/>
        <v>0</v>
      </c>
      <c r="AL115" s="414">
        <v>0.8</v>
      </c>
      <c r="AM115" s="37">
        <f t="shared" si="137"/>
        <v>2</v>
      </c>
      <c r="AN115" s="414">
        <v>0</v>
      </c>
      <c r="AO115" s="37">
        <f t="shared" si="138"/>
        <v>0</v>
      </c>
      <c r="AP115" s="414">
        <v>0.8</v>
      </c>
      <c r="AQ115" s="37">
        <f t="shared" si="139"/>
        <v>2</v>
      </c>
      <c r="AR115" s="414">
        <v>0</v>
      </c>
      <c r="AS115" s="37">
        <f t="shared" si="140"/>
        <v>0</v>
      </c>
      <c r="AT115" s="414">
        <v>1</v>
      </c>
      <c r="AU115" s="37">
        <f t="shared" si="141"/>
        <v>2.5</v>
      </c>
      <c r="AV115" s="414">
        <v>0</v>
      </c>
      <c r="AW115" s="37">
        <f t="shared" si="142"/>
        <v>0</v>
      </c>
      <c r="AX115" s="414">
        <v>0.8</v>
      </c>
      <c r="AZ115" s="414">
        <v>0</v>
      </c>
      <c r="BA115" s="37">
        <f t="shared" si="143"/>
        <v>0</v>
      </c>
      <c r="BC115" s="37" t="str">
        <f t="shared" si="144"/>
        <v>18043-LM646 01103 1.2st Floor Plan EL.+14.00</v>
      </c>
    </row>
    <row r="116" spans="1:56" s="37" customFormat="1" ht="15" customHeight="1" outlineLevel="1">
      <c r="A116" s="317" t="s">
        <v>29</v>
      </c>
      <c r="B116" s="38" t="s">
        <v>94</v>
      </c>
      <c r="C116" s="255" t="s">
        <v>95</v>
      </c>
      <c r="D116" s="38"/>
      <c r="E116" s="270" t="s">
        <v>30</v>
      </c>
      <c r="F116" s="350" t="s">
        <v>34</v>
      </c>
      <c r="G116" s="350"/>
      <c r="H116" s="350" t="s">
        <v>116</v>
      </c>
      <c r="I116" s="350" t="s">
        <v>38</v>
      </c>
      <c r="J116" s="350" t="s">
        <v>28</v>
      </c>
      <c r="K116" s="350" t="s">
        <v>289</v>
      </c>
      <c r="L116" s="577"/>
      <c r="M116" s="236"/>
      <c r="N116" s="236"/>
      <c r="O116" s="236"/>
      <c r="P116" s="236"/>
      <c r="Q116" s="38" t="s">
        <v>98</v>
      </c>
      <c r="R116" s="236" t="s">
        <v>290</v>
      </c>
      <c r="S116" s="236"/>
      <c r="T116" s="40"/>
      <c r="U116" s="38" t="s">
        <v>98</v>
      </c>
      <c r="V116" s="262" t="s">
        <v>192</v>
      </c>
      <c r="X116" s="326"/>
      <c r="Z116" s="415" t="s">
        <v>195</v>
      </c>
      <c r="AA116" s="239" t="s">
        <v>102</v>
      </c>
      <c r="AB116" s="239" t="s">
        <v>193</v>
      </c>
      <c r="AC116" s="405">
        <v>2.5</v>
      </c>
      <c r="AD116" s="414">
        <v>0.7</v>
      </c>
      <c r="AE116" s="37">
        <f t="shared" si="133"/>
        <v>1.75</v>
      </c>
      <c r="AF116" s="414">
        <v>0</v>
      </c>
      <c r="AG116" s="37">
        <f t="shared" si="134"/>
        <v>0</v>
      </c>
      <c r="AH116" s="414">
        <v>0.8</v>
      </c>
      <c r="AI116" s="37">
        <f t="shared" si="135"/>
        <v>2</v>
      </c>
      <c r="AJ116" s="414">
        <v>0</v>
      </c>
      <c r="AK116" s="37">
        <f t="shared" si="136"/>
        <v>0</v>
      </c>
      <c r="AL116" s="414">
        <v>0.8</v>
      </c>
      <c r="AM116" s="37">
        <f t="shared" si="137"/>
        <v>2</v>
      </c>
      <c r="AN116" s="414">
        <v>0</v>
      </c>
      <c r="AO116" s="37">
        <f t="shared" si="138"/>
        <v>0</v>
      </c>
      <c r="AP116" s="414">
        <v>0.8</v>
      </c>
      <c r="AQ116" s="37">
        <f t="shared" si="139"/>
        <v>2</v>
      </c>
      <c r="AR116" s="414">
        <v>0</v>
      </c>
      <c r="AS116" s="37">
        <f t="shared" si="140"/>
        <v>0</v>
      </c>
      <c r="AT116" s="414">
        <v>1</v>
      </c>
      <c r="AU116" s="37">
        <f t="shared" si="141"/>
        <v>2.5</v>
      </c>
      <c r="AV116" s="414">
        <v>0</v>
      </c>
      <c r="AW116" s="37">
        <f t="shared" si="142"/>
        <v>0</v>
      </c>
      <c r="AX116" s="414">
        <v>0.8</v>
      </c>
      <c r="AZ116" s="414">
        <v>0</v>
      </c>
      <c r="BA116" s="37">
        <f t="shared" si="143"/>
        <v>0</v>
      </c>
      <c r="BB116" s="316"/>
      <c r="BC116" s="37" t="str">
        <f t="shared" si="144"/>
        <v>18043-LM646 01708 Steel Stair Details Sheet8</v>
      </c>
    </row>
    <row r="117" spans="1:56" s="37" customFormat="1" ht="15" customHeight="1" outlineLevel="1">
      <c r="A117" s="317" t="s">
        <v>32</v>
      </c>
      <c r="B117" s="38" t="s">
        <v>94</v>
      </c>
      <c r="C117" s="255" t="s">
        <v>95</v>
      </c>
      <c r="D117" s="38"/>
      <c r="E117" s="270" t="s">
        <v>33</v>
      </c>
      <c r="F117" s="350" t="s">
        <v>34</v>
      </c>
      <c r="G117" s="350"/>
      <c r="H117" s="350" t="s">
        <v>116</v>
      </c>
      <c r="I117" s="350" t="s">
        <v>38</v>
      </c>
      <c r="J117" s="350" t="s">
        <v>28</v>
      </c>
      <c r="K117" s="350" t="s">
        <v>289</v>
      </c>
      <c r="L117" s="577"/>
      <c r="M117" s="236"/>
      <c r="N117" s="236"/>
      <c r="O117" s="236"/>
      <c r="P117" s="236"/>
      <c r="Q117" s="38" t="s">
        <v>98</v>
      </c>
      <c r="R117" s="236"/>
      <c r="S117" s="236"/>
      <c r="T117" s="40"/>
      <c r="U117" s="38" t="s">
        <v>98</v>
      </c>
      <c r="V117" s="262" t="s">
        <v>192</v>
      </c>
      <c r="W117" s="40"/>
      <c r="X117" s="324"/>
      <c r="Y117" s="40"/>
      <c r="Z117" s="415" t="s">
        <v>195</v>
      </c>
      <c r="AA117" s="239" t="s">
        <v>102</v>
      </c>
      <c r="AB117" s="239" t="s">
        <v>193</v>
      </c>
      <c r="AC117" s="405">
        <v>2.5</v>
      </c>
      <c r="AD117" s="414">
        <v>0.7</v>
      </c>
      <c r="AE117" s="37">
        <f t="shared" si="133"/>
        <v>1.75</v>
      </c>
      <c r="AF117" s="414">
        <v>0</v>
      </c>
      <c r="AG117" s="37">
        <f t="shared" si="134"/>
        <v>0</v>
      </c>
      <c r="AH117" s="414">
        <v>0.8</v>
      </c>
      <c r="AI117" s="37">
        <f t="shared" si="135"/>
        <v>2</v>
      </c>
      <c r="AJ117" s="414">
        <v>0</v>
      </c>
      <c r="AK117" s="37">
        <f t="shared" si="136"/>
        <v>0</v>
      </c>
      <c r="AL117" s="414">
        <v>0.8</v>
      </c>
      <c r="AM117" s="37">
        <f t="shared" si="137"/>
        <v>2</v>
      </c>
      <c r="AN117" s="414">
        <v>0</v>
      </c>
      <c r="AO117" s="37">
        <f t="shared" si="138"/>
        <v>0</v>
      </c>
      <c r="AP117" s="414">
        <v>0.8</v>
      </c>
      <c r="AQ117" s="37">
        <f t="shared" si="139"/>
        <v>2</v>
      </c>
      <c r="AR117" s="414">
        <v>0</v>
      </c>
      <c r="AS117" s="37">
        <f t="shared" si="140"/>
        <v>0</v>
      </c>
      <c r="AT117" s="414">
        <v>1</v>
      </c>
      <c r="AU117" s="37">
        <f t="shared" si="141"/>
        <v>2.5</v>
      </c>
      <c r="AV117" s="414">
        <v>0</v>
      </c>
      <c r="AW117" s="37">
        <f t="shared" si="142"/>
        <v>0</v>
      </c>
      <c r="AX117" s="414">
        <v>0.8</v>
      </c>
      <c r="AZ117" s="414">
        <v>0</v>
      </c>
      <c r="BA117" s="37">
        <f t="shared" si="143"/>
        <v>0</v>
      </c>
      <c r="BB117" s="316"/>
      <c r="BC117" s="37" t="str">
        <f t="shared" si="144"/>
        <v>18043-LM646 01709 Steel Stair Details Sheet9</v>
      </c>
      <c r="BD117" s="237"/>
    </row>
    <row r="118" spans="1:56" s="37" customFormat="1" ht="15" customHeight="1" outlineLevel="1">
      <c r="A118" s="317" t="s">
        <v>295</v>
      </c>
      <c r="B118" s="38" t="s">
        <v>94</v>
      </c>
      <c r="C118" s="255" t="s">
        <v>95</v>
      </c>
      <c r="D118" s="38"/>
      <c r="E118" s="270" t="s">
        <v>296</v>
      </c>
      <c r="F118" s="350" t="s">
        <v>34</v>
      </c>
      <c r="G118" s="350"/>
      <c r="H118" s="350" t="s">
        <v>116</v>
      </c>
      <c r="I118" s="350"/>
      <c r="J118" s="350" t="s">
        <v>38</v>
      </c>
      <c r="K118" s="350"/>
      <c r="L118" s="577"/>
      <c r="M118" s="236"/>
      <c r="N118" s="236"/>
      <c r="O118" s="236"/>
      <c r="P118" s="236"/>
      <c r="Q118" s="38" t="s">
        <v>98</v>
      </c>
      <c r="R118" s="236"/>
      <c r="S118" s="236"/>
      <c r="T118" s="40"/>
      <c r="U118" s="38" t="s">
        <v>98</v>
      </c>
      <c r="V118" s="262" t="s">
        <v>192</v>
      </c>
      <c r="W118" s="40"/>
      <c r="X118" s="324"/>
      <c r="Y118" s="40"/>
      <c r="Z118" s="415" t="s">
        <v>195</v>
      </c>
      <c r="AA118" s="239" t="s">
        <v>102</v>
      </c>
      <c r="AB118" s="239" t="s">
        <v>193</v>
      </c>
      <c r="AC118" s="405">
        <v>2.5</v>
      </c>
      <c r="AD118" s="414">
        <v>0.7</v>
      </c>
      <c r="AE118" s="37">
        <f t="shared" si="133"/>
        <v>1.75</v>
      </c>
      <c r="AF118" s="414">
        <v>0</v>
      </c>
      <c r="AG118" s="37">
        <f t="shared" si="134"/>
        <v>0</v>
      </c>
      <c r="AH118" s="414">
        <v>0.8</v>
      </c>
      <c r="AI118" s="37">
        <f t="shared" si="135"/>
        <v>2</v>
      </c>
      <c r="AJ118" s="414">
        <v>0</v>
      </c>
      <c r="AK118" s="37">
        <f t="shared" si="136"/>
        <v>0</v>
      </c>
      <c r="AL118" s="414">
        <v>0.8</v>
      </c>
      <c r="AM118" s="37">
        <f t="shared" si="137"/>
        <v>2</v>
      </c>
      <c r="AN118" s="414">
        <v>0</v>
      </c>
      <c r="AO118" s="37">
        <f t="shared" si="138"/>
        <v>0</v>
      </c>
      <c r="AP118" s="414">
        <v>0.8</v>
      </c>
      <c r="AQ118" s="37">
        <f t="shared" si="139"/>
        <v>2</v>
      </c>
      <c r="AR118" s="414">
        <v>0</v>
      </c>
      <c r="AS118" s="37">
        <f t="shared" si="140"/>
        <v>0</v>
      </c>
      <c r="AT118" s="414">
        <v>1</v>
      </c>
      <c r="AU118" s="37">
        <f t="shared" si="141"/>
        <v>2.5</v>
      </c>
      <c r="AV118" s="414">
        <v>0</v>
      </c>
      <c r="AW118" s="37">
        <f t="shared" si="142"/>
        <v>0</v>
      </c>
      <c r="AX118" s="414">
        <v>0.8</v>
      </c>
      <c r="AZ118" s="414">
        <v>0</v>
      </c>
      <c r="BA118" s="37">
        <f t="shared" si="143"/>
        <v>0</v>
      </c>
      <c r="BB118" s="316"/>
      <c r="BC118" s="37" t="str">
        <f t="shared" si="144"/>
        <v>18043-LM646 01106 Roof Deck EL.+40.00</v>
      </c>
      <c r="BD118" s="237"/>
    </row>
    <row r="119" spans="1:56" s="37" customFormat="1" ht="15" customHeight="1" outlineLevel="1">
      <c r="A119" s="317" t="s">
        <v>297</v>
      </c>
      <c r="B119" s="38" t="s">
        <v>94</v>
      </c>
      <c r="C119" s="255" t="s">
        <v>95</v>
      </c>
      <c r="D119" s="38"/>
      <c r="E119" s="270" t="s">
        <v>298</v>
      </c>
      <c r="F119" s="350" t="s">
        <v>34</v>
      </c>
      <c r="G119" s="350"/>
      <c r="H119" s="350" t="s">
        <v>116</v>
      </c>
      <c r="I119" s="350" t="s">
        <v>38</v>
      </c>
      <c r="J119" s="350" t="s">
        <v>28</v>
      </c>
      <c r="K119" s="350"/>
      <c r="L119" s="577"/>
      <c r="M119" s="236"/>
      <c r="N119" s="236"/>
      <c r="O119" s="236"/>
      <c r="P119" s="236"/>
      <c r="Q119" s="38" t="s">
        <v>98</v>
      </c>
      <c r="R119" s="236"/>
      <c r="S119" s="236"/>
      <c r="T119" s="40"/>
      <c r="U119" s="38" t="s">
        <v>98</v>
      </c>
      <c r="V119" s="262" t="s">
        <v>192</v>
      </c>
      <c r="W119" s="40"/>
      <c r="X119" s="324"/>
      <c r="Y119" s="40"/>
      <c r="Z119" s="415" t="s">
        <v>195</v>
      </c>
      <c r="AA119" s="239" t="s">
        <v>102</v>
      </c>
      <c r="AB119" s="239" t="s">
        <v>193</v>
      </c>
      <c r="AC119" s="405">
        <v>2.5</v>
      </c>
      <c r="AD119" s="414">
        <v>0.7</v>
      </c>
      <c r="AE119" s="37">
        <f t="shared" si="133"/>
        <v>1.75</v>
      </c>
      <c r="AF119" s="414">
        <v>0</v>
      </c>
      <c r="AG119" s="37">
        <f t="shared" si="134"/>
        <v>0</v>
      </c>
      <c r="AH119" s="414">
        <v>0.8</v>
      </c>
      <c r="AI119" s="37">
        <f t="shared" si="135"/>
        <v>2</v>
      </c>
      <c r="AJ119" s="414">
        <v>0</v>
      </c>
      <c r="AK119" s="37">
        <f t="shared" si="136"/>
        <v>0</v>
      </c>
      <c r="AL119" s="414">
        <v>0.8</v>
      </c>
      <c r="AM119" s="37">
        <f t="shared" si="137"/>
        <v>2</v>
      </c>
      <c r="AN119" s="414">
        <v>0</v>
      </c>
      <c r="AO119" s="37">
        <f t="shared" si="138"/>
        <v>0</v>
      </c>
      <c r="AP119" s="414">
        <v>0.8</v>
      </c>
      <c r="AQ119" s="37">
        <f t="shared" si="139"/>
        <v>2</v>
      </c>
      <c r="AR119" s="414">
        <v>0</v>
      </c>
      <c r="AS119" s="37">
        <f t="shared" si="140"/>
        <v>0</v>
      </c>
      <c r="AT119" s="414">
        <v>1</v>
      </c>
      <c r="AU119" s="37">
        <f t="shared" si="141"/>
        <v>2.5</v>
      </c>
      <c r="AV119" s="414">
        <v>0</v>
      </c>
      <c r="AW119" s="37">
        <f t="shared" si="142"/>
        <v>0</v>
      </c>
      <c r="AX119" s="414">
        <v>0.8</v>
      </c>
      <c r="AZ119" s="414">
        <v>0</v>
      </c>
      <c r="BA119" s="37">
        <f t="shared" si="143"/>
        <v>0</v>
      </c>
      <c r="BB119" s="316"/>
      <c r="BC119" s="37" t="str">
        <f t="shared" si="144"/>
        <v>18043-LM646 01107 Roof Plan EL.+43.50</v>
      </c>
    </row>
    <row r="120" spans="1:56" s="37" customFormat="1" ht="15" customHeight="1" outlineLevel="1">
      <c r="A120" s="317"/>
      <c r="B120" s="38"/>
      <c r="C120" s="255"/>
      <c r="D120" s="38"/>
      <c r="E120" s="213"/>
      <c r="F120" s="310"/>
      <c r="G120" s="310"/>
      <c r="H120" s="310"/>
      <c r="I120" s="310"/>
      <c r="J120" s="310"/>
      <c r="K120" s="310"/>
      <c r="L120" s="577"/>
      <c r="M120" s="38"/>
      <c r="N120" s="38"/>
      <c r="O120" s="38"/>
      <c r="P120" s="38"/>
      <c r="Q120" s="38"/>
      <c r="R120" s="38"/>
      <c r="S120" s="38"/>
      <c r="T120" s="40"/>
      <c r="U120" s="38"/>
      <c r="V120" s="40"/>
      <c r="W120" s="40"/>
      <c r="X120" s="324"/>
      <c r="Y120" s="40"/>
      <c r="Z120" s="416"/>
      <c r="AA120" s="239"/>
      <c r="AB120" s="239"/>
      <c r="AC120" s="405"/>
      <c r="AD120" s="414"/>
      <c r="AF120" s="414"/>
      <c r="AH120" s="414"/>
      <c r="AJ120" s="414"/>
      <c r="AL120" s="414"/>
      <c r="AN120" s="414"/>
      <c r="AP120" s="414"/>
      <c r="AR120" s="414"/>
      <c r="AT120" s="414"/>
      <c r="AV120" s="414"/>
      <c r="AX120" s="414"/>
      <c r="AZ120" s="414"/>
      <c r="BB120" s="316"/>
    </row>
    <row r="121" spans="1:56" s="37" customFormat="1" ht="15" customHeight="1" outlineLevel="1">
      <c r="A121" s="317" t="s">
        <v>299</v>
      </c>
      <c r="B121" s="38" t="s">
        <v>94</v>
      </c>
      <c r="C121" s="255" t="s">
        <v>95</v>
      </c>
      <c r="D121" s="38"/>
      <c r="E121" s="270" t="s">
        <v>213</v>
      </c>
      <c r="F121" s="350" t="s">
        <v>97</v>
      </c>
      <c r="G121" s="350"/>
      <c r="H121" s="350"/>
      <c r="I121" s="350"/>
      <c r="J121" s="350"/>
      <c r="K121" s="350"/>
      <c r="L121" s="577"/>
      <c r="M121" s="236"/>
      <c r="N121" s="236"/>
      <c r="O121" s="236"/>
      <c r="P121" s="236"/>
      <c r="Q121" s="38" t="s">
        <v>98</v>
      </c>
      <c r="R121" s="236"/>
      <c r="S121" s="236"/>
      <c r="T121" s="40"/>
      <c r="U121" s="38" t="s">
        <v>98</v>
      </c>
      <c r="V121" s="262" t="s">
        <v>192</v>
      </c>
      <c r="X121" s="326"/>
      <c r="Z121" s="415" t="s">
        <v>195</v>
      </c>
      <c r="AA121" s="239" t="s">
        <v>102</v>
      </c>
      <c r="AB121" s="239" t="s">
        <v>257</v>
      </c>
      <c r="AC121" s="405">
        <v>2</v>
      </c>
      <c r="AD121" s="414">
        <v>0</v>
      </c>
      <c r="AE121" s="37">
        <f>$AC121*AD121</f>
        <v>0</v>
      </c>
      <c r="AF121" s="414">
        <v>0</v>
      </c>
      <c r="AG121" s="37">
        <f>$AC121*AF121</f>
        <v>0</v>
      </c>
      <c r="AH121" s="414">
        <v>0.8</v>
      </c>
      <c r="AI121" s="37">
        <f>$AC121*AH121</f>
        <v>1.6</v>
      </c>
      <c r="AJ121" s="414">
        <v>0</v>
      </c>
      <c r="AK121" s="37">
        <f>$AC121*AJ121</f>
        <v>0</v>
      </c>
      <c r="AL121" s="414">
        <v>0</v>
      </c>
      <c r="AM121" s="37">
        <f>$AC121*AL121</f>
        <v>0</v>
      </c>
      <c r="AN121" s="414">
        <v>0</v>
      </c>
      <c r="AO121" s="37">
        <f>$AC121*AN121</f>
        <v>0</v>
      </c>
      <c r="AP121" s="414">
        <v>0</v>
      </c>
      <c r="AQ121" s="37">
        <f>$AC121*AP121</f>
        <v>0</v>
      </c>
      <c r="AR121" s="414">
        <v>0</v>
      </c>
      <c r="AS121" s="37">
        <f>$AC121*AR121</f>
        <v>0</v>
      </c>
      <c r="AT121" s="414">
        <v>1</v>
      </c>
      <c r="AU121" s="37">
        <f>$AC121*AT121</f>
        <v>2</v>
      </c>
      <c r="AV121" s="414">
        <v>0</v>
      </c>
      <c r="AW121" s="37">
        <f>$AC121*AV121</f>
        <v>0</v>
      </c>
      <c r="AX121" s="414">
        <v>0</v>
      </c>
      <c r="AZ121" s="414">
        <v>0</v>
      </c>
      <c r="BA121" s="37">
        <f>$AC121*AZ121</f>
        <v>0</v>
      </c>
      <c r="BB121" s="316"/>
      <c r="BC121" s="37" t="str">
        <f t="shared" ref="BC121:BC162" si="145">A121&amp;" "&amp;E121</f>
        <v>18043-LM646 01111 Reflected Ceiling Ground Floor Plan EL.+0.00</v>
      </c>
    </row>
    <row r="122" spans="1:56" s="37" customFormat="1" ht="15" customHeight="1" outlineLevel="1">
      <c r="A122" s="317" t="s">
        <v>300</v>
      </c>
      <c r="B122" s="38" t="s">
        <v>94</v>
      </c>
      <c r="C122" s="255" t="s">
        <v>95</v>
      </c>
      <c r="D122" s="38"/>
      <c r="E122" s="270" t="s">
        <v>301</v>
      </c>
      <c r="F122" s="350" t="s">
        <v>97</v>
      </c>
      <c r="G122" s="350"/>
      <c r="H122" s="350"/>
      <c r="I122" s="350"/>
      <c r="J122" s="350"/>
      <c r="K122" s="350"/>
      <c r="L122" s="577"/>
      <c r="M122" s="236"/>
      <c r="N122" s="236"/>
      <c r="O122" s="236"/>
      <c r="P122" s="236"/>
      <c r="Q122" s="38" t="s">
        <v>98</v>
      </c>
      <c r="R122" s="236"/>
      <c r="S122" s="236"/>
      <c r="T122" s="40"/>
      <c r="U122" s="38" t="s">
        <v>98</v>
      </c>
      <c r="V122" s="262" t="s">
        <v>192</v>
      </c>
      <c r="X122" s="326"/>
      <c r="Z122" s="415" t="s">
        <v>195</v>
      </c>
      <c r="AA122" s="239" t="s">
        <v>102</v>
      </c>
      <c r="AB122" s="239" t="s">
        <v>257</v>
      </c>
      <c r="AC122" s="405">
        <v>2</v>
      </c>
      <c r="AD122" s="414">
        <v>0</v>
      </c>
      <c r="AE122" s="37">
        <f>$AC122*AD122</f>
        <v>0</v>
      </c>
      <c r="AF122" s="414">
        <v>0</v>
      </c>
      <c r="AG122" s="37">
        <f>$AC122*AF122</f>
        <v>0</v>
      </c>
      <c r="AH122" s="414">
        <v>0.8</v>
      </c>
      <c r="AI122" s="37">
        <f>$AC122*AH122</f>
        <v>1.6</v>
      </c>
      <c r="AJ122" s="414">
        <v>0</v>
      </c>
      <c r="AK122" s="37">
        <f>$AC122*AJ122</f>
        <v>0</v>
      </c>
      <c r="AL122" s="414">
        <v>0</v>
      </c>
      <c r="AM122" s="37">
        <f>$AC122*AL122</f>
        <v>0</v>
      </c>
      <c r="AN122" s="414">
        <v>0</v>
      </c>
      <c r="AO122" s="37">
        <f>$AC122*AN122</f>
        <v>0</v>
      </c>
      <c r="AP122" s="414">
        <v>0</v>
      </c>
      <c r="AQ122" s="37">
        <f>$AC122*AP122</f>
        <v>0</v>
      </c>
      <c r="AR122" s="414">
        <v>0</v>
      </c>
      <c r="AS122" s="37">
        <f>$AC122*AR122</f>
        <v>0</v>
      </c>
      <c r="AT122" s="414">
        <v>1</v>
      </c>
      <c r="AU122" s="37">
        <f>$AC122*AT122</f>
        <v>2</v>
      </c>
      <c r="AV122" s="414">
        <v>0</v>
      </c>
      <c r="AW122" s="37">
        <f>$AC122*AV122</f>
        <v>0</v>
      </c>
      <c r="AX122" s="414">
        <v>0</v>
      </c>
      <c r="AZ122" s="414">
        <v>0</v>
      </c>
      <c r="BA122" s="37">
        <f>$AC122*AZ122</f>
        <v>0</v>
      </c>
      <c r="BB122" s="316"/>
      <c r="BC122" s="37" t="str">
        <f t="shared" si="145"/>
        <v>18043-LM646 01112 Reflected Ceiling 1.1st Floor Plan EL.+9.00</v>
      </c>
    </row>
    <row r="123" spans="1:56" s="37" customFormat="1" ht="15" customHeight="1" outlineLevel="1">
      <c r="A123" s="317" t="s">
        <v>302</v>
      </c>
      <c r="B123" s="38" t="s">
        <v>94</v>
      </c>
      <c r="C123" s="255" t="s">
        <v>95</v>
      </c>
      <c r="D123" s="38"/>
      <c r="E123" s="270" t="s">
        <v>303</v>
      </c>
      <c r="F123" s="350" t="s">
        <v>97</v>
      </c>
      <c r="G123" s="350"/>
      <c r="H123" s="350"/>
      <c r="I123" s="350"/>
      <c r="J123" s="350"/>
      <c r="K123" s="350"/>
      <c r="L123" s="577"/>
      <c r="M123" s="236"/>
      <c r="N123" s="236"/>
      <c r="O123" s="236"/>
      <c r="P123" s="236"/>
      <c r="Q123" s="38" t="s">
        <v>98</v>
      </c>
      <c r="R123" s="236"/>
      <c r="S123" s="236"/>
      <c r="T123" s="40"/>
      <c r="U123" s="38" t="s">
        <v>98</v>
      </c>
      <c r="V123" s="262" t="s">
        <v>192</v>
      </c>
      <c r="X123" s="326"/>
      <c r="Z123" s="415" t="s">
        <v>195</v>
      </c>
      <c r="AA123" s="239" t="s">
        <v>102</v>
      </c>
      <c r="AB123" s="239" t="s">
        <v>257</v>
      </c>
      <c r="AC123" s="405">
        <v>2</v>
      </c>
      <c r="AD123" s="414">
        <v>0</v>
      </c>
      <c r="AE123" s="37">
        <f>$AC123*AD123</f>
        <v>0</v>
      </c>
      <c r="AF123" s="414">
        <v>0</v>
      </c>
      <c r="AG123" s="37">
        <f>$AC123*AF123</f>
        <v>0</v>
      </c>
      <c r="AH123" s="414">
        <v>0.8</v>
      </c>
      <c r="AI123" s="37">
        <f>$AC123*AH123</f>
        <v>1.6</v>
      </c>
      <c r="AJ123" s="414">
        <v>0</v>
      </c>
      <c r="AK123" s="37">
        <f>$AC123*AJ123</f>
        <v>0</v>
      </c>
      <c r="AL123" s="414">
        <v>0</v>
      </c>
      <c r="AM123" s="37">
        <f>$AC123*AL123</f>
        <v>0</v>
      </c>
      <c r="AN123" s="414">
        <v>0</v>
      </c>
      <c r="AO123" s="37">
        <f>$AC123*AN123</f>
        <v>0</v>
      </c>
      <c r="AP123" s="414">
        <v>0</v>
      </c>
      <c r="AQ123" s="37">
        <f>$AC123*AP123</f>
        <v>0</v>
      </c>
      <c r="AR123" s="414">
        <v>0</v>
      </c>
      <c r="AS123" s="37">
        <f>$AC123*AR123</f>
        <v>0</v>
      </c>
      <c r="AT123" s="414">
        <v>1</v>
      </c>
      <c r="AU123" s="37">
        <f>$AC123*AT123</f>
        <v>2</v>
      </c>
      <c r="AV123" s="414">
        <v>0</v>
      </c>
      <c r="AW123" s="37">
        <f>$AC123*AV123</f>
        <v>0</v>
      </c>
      <c r="AX123" s="414">
        <v>0</v>
      </c>
      <c r="AZ123" s="414">
        <v>0</v>
      </c>
      <c r="BA123" s="37">
        <f>$AC123*AZ123</f>
        <v>0</v>
      </c>
      <c r="BB123" s="316"/>
      <c r="BC123" s="37" t="str">
        <f t="shared" si="145"/>
        <v>18043-LM646 01113 Reflected Ceiling 1.2st Floor Plan EL.+14.00</v>
      </c>
    </row>
    <row r="124" spans="1:56" s="37" customFormat="1" ht="15" customHeight="1" outlineLevel="1">
      <c r="A124" s="317" t="s">
        <v>304</v>
      </c>
      <c r="B124" s="38" t="s">
        <v>94</v>
      </c>
      <c r="C124" s="255" t="s">
        <v>95</v>
      </c>
      <c r="D124" s="38"/>
      <c r="E124" s="270" t="s">
        <v>305</v>
      </c>
      <c r="F124" s="350" t="s">
        <v>97</v>
      </c>
      <c r="G124" s="350"/>
      <c r="H124" s="350"/>
      <c r="I124" s="350"/>
      <c r="J124" s="350"/>
      <c r="K124" s="350"/>
      <c r="L124" s="577"/>
      <c r="M124" s="236"/>
      <c r="N124" s="236"/>
      <c r="O124" s="236"/>
      <c r="P124" s="236"/>
      <c r="Q124" s="38" t="s">
        <v>98</v>
      </c>
      <c r="R124" s="236"/>
      <c r="S124" s="236"/>
      <c r="T124" s="40"/>
      <c r="U124" s="38" t="s">
        <v>98</v>
      </c>
      <c r="V124" s="262" t="s">
        <v>192</v>
      </c>
      <c r="X124" s="326"/>
      <c r="Z124" s="415" t="s">
        <v>195</v>
      </c>
      <c r="AA124" s="239" t="s">
        <v>102</v>
      </c>
      <c r="AB124" s="239" t="s">
        <v>257</v>
      </c>
      <c r="AC124" s="405">
        <v>2</v>
      </c>
      <c r="AD124" s="414">
        <v>0</v>
      </c>
      <c r="AE124" s="37">
        <f>$AC124*AD124</f>
        <v>0</v>
      </c>
      <c r="AF124" s="414">
        <v>0</v>
      </c>
      <c r="AG124" s="37">
        <f>$AC124*AF124</f>
        <v>0</v>
      </c>
      <c r="AH124" s="414">
        <v>0.8</v>
      </c>
      <c r="AI124" s="37">
        <f>$AC124*AH124</f>
        <v>1.6</v>
      </c>
      <c r="AJ124" s="414">
        <v>0</v>
      </c>
      <c r="AK124" s="37">
        <f>$AC124*AJ124</f>
        <v>0</v>
      </c>
      <c r="AL124" s="414">
        <v>0</v>
      </c>
      <c r="AM124" s="37">
        <f>$AC124*AL124</f>
        <v>0</v>
      </c>
      <c r="AN124" s="414">
        <v>0</v>
      </c>
      <c r="AO124" s="37">
        <f>$AC124*AN124</f>
        <v>0</v>
      </c>
      <c r="AP124" s="414">
        <v>0</v>
      </c>
      <c r="AQ124" s="37">
        <f>$AC124*AP124</f>
        <v>0</v>
      </c>
      <c r="AR124" s="414">
        <v>0</v>
      </c>
      <c r="AS124" s="37">
        <f>$AC124*AR124</f>
        <v>0</v>
      </c>
      <c r="AT124" s="414">
        <v>1</v>
      </c>
      <c r="AU124" s="37">
        <f>$AC124*AT124</f>
        <v>2</v>
      </c>
      <c r="AV124" s="414">
        <v>0</v>
      </c>
      <c r="AW124" s="37">
        <f>$AC124*AV124</f>
        <v>0</v>
      </c>
      <c r="AX124" s="414">
        <v>0</v>
      </c>
      <c r="AZ124" s="414">
        <v>0</v>
      </c>
      <c r="BA124" s="37">
        <f>$AC124*AZ124</f>
        <v>0</v>
      </c>
      <c r="BB124" s="316"/>
      <c r="BC124" s="37" t="str">
        <f t="shared" si="145"/>
        <v>18043-LM646 01114 Reflected Ceiling 2nd Floor plan EL.+22.00</v>
      </c>
    </row>
    <row r="125" spans="1:56" s="37" customFormat="1" ht="15" customHeight="1" outlineLevel="1">
      <c r="A125" s="317" t="s">
        <v>306</v>
      </c>
      <c r="B125" s="38" t="s">
        <v>94</v>
      </c>
      <c r="C125" s="255" t="s">
        <v>95</v>
      </c>
      <c r="D125" s="38"/>
      <c r="E125" s="270" t="s">
        <v>307</v>
      </c>
      <c r="F125" s="350" t="s">
        <v>97</v>
      </c>
      <c r="G125" s="350"/>
      <c r="H125" s="310"/>
      <c r="I125" s="350"/>
      <c r="J125" s="350"/>
      <c r="K125" s="350"/>
      <c r="L125" s="577"/>
      <c r="M125" s="236"/>
      <c r="N125" s="236"/>
      <c r="O125" s="236"/>
      <c r="P125" s="236"/>
      <c r="Q125" s="38" t="s">
        <v>98</v>
      </c>
      <c r="R125" s="236"/>
      <c r="S125" s="236"/>
      <c r="T125" s="40"/>
      <c r="U125" s="38" t="s">
        <v>98</v>
      </c>
      <c r="V125" s="262" t="s">
        <v>192</v>
      </c>
      <c r="W125" s="40"/>
      <c r="X125" s="324"/>
      <c r="Y125" s="40"/>
      <c r="Z125" s="415" t="s">
        <v>195</v>
      </c>
      <c r="AA125" s="239" t="s">
        <v>102</v>
      </c>
      <c r="AB125" s="239" t="s">
        <v>257</v>
      </c>
      <c r="AC125" s="405">
        <v>2</v>
      </c>
      <c r="AD125" s="414">
        <v>0</v>
      </c>
      <c r="AE125" s="37">
        <f>$AC125*AD125</f>
        <v>0</v>
      </c>
      <c r="AF125" s="414">
        <v>0</v>
      </c>
      <c r="AG125" s="37">
        <f>$AC125*AF125</f>
        <v>0</v>
      </c>
      <c r="AH125" s="414">
        <v>0.8</v>
      </c>
      <c r="AI125" s="37">
        <f>$AC125*AH125</f>
        <v>1.6</v>
      </c>
      <c r="AJ125" s="414">
        <v>0</v>
      </c>
      <c r="AK125" s="37">
        <f>$AC125*AJ125</f>
        <v>0</v>
      </c>
      <c r="AL125" s="414">
        <v>0</v>
      </c>
      <c r="AM125" s="37">
        <f>$AC125*AL125</f>
        <v>0</v>
      </c>
      <c r="AN125" s="414">
        <v>0</v>
      </c>
      <c r="AO125" s="37">
        <f>$AC125*AN125</f>
        <v>0</v>
      </c>
      <c r="AP125" s="414">
        <v>0</v>
      </c>
      <c r="AQ125" s="37">
        <f>$AC125*AP125</f>
        <v>0</v>
      </c>
      <c r="AR125" s="414">
        <v>0</v>
      </c>
      <c r="AS125" s="37">
        <f>$AC125*AR125</f>
        <v>0</v>
      </c>
      <c r="AT125" s="414">
        <v>1</v>
      </c>
      <c r="AU125" s="37">
        <f>$AC125*AT125</f>
        <v>2</v>
      </c>
      <c r="AV125" s="414">
        <v>0</v>
      </c>
      <c r="AW125" s="37">
        <f>$AC125*AV125</f>
        <v>0</v>
      </c>
      <c r="AX125" s="414">
        <v>0</v>
      </c>
      <c r="AZ125" s="414">
        <v>0</v>
      </c>
      <c r="BA125" s="37">
        <f>$AC125*AZ125</f>
        <v>0</v>
      </c>
      <c r="BB125" s="316"/>
      <c r="BC125" s="37" t="str">
        <f t="shared" si="145"/>
        <v>18043-LM646 01115 Reflected Ceiling 2.1nd Floor Plan EL.+27.00 &amp; 2.2nd Floor Plan EL.+32.00</v>
      </c>
      <c r="BD125" s="237"/>
    </row>
    <row r="126" spans="1:56" s="37" customFormat="1" ht="15" customHeight="1" outlineLevel="1">
      <c r="A126" s="317"/>
      <c r="B126" s="38"/>
      <c r="C126" s="233"/>
      <c r="D126" s="38"/>
      <c r="E126" s="213"/>
      <c r="F126" s="310"/>
      <c r="G126" s="310"/>
      <c r="H126" s="310"/>
      <c r="I126" s="310"/>
      <c r="J126" s="310"/>
      <c r="K126" s="310"/>
      <c r="L126" s="577"/>
      <c r="M126" s="38"/>
      <c r="N126" s="38"/>
      <c r="O126" s="38"/>
      <c r="P126" s="38"/>
      <c r="Q126" s="38"/>
      <c r="R126" s="38"/>
      <c r="S126" s="38"/>
      <c r="T126" s="40"/>
      <c r="U126" s="38"/>
      <c r="V126" s="40"/>
      <c r="W126" s="40"/>
      <c r="X126" s="324"/>
      <c r="Y126" s="40"/>
      <c r="Z126" s="416"/>
      <c r="AA126" s="239"/>
      <c r="AB126" s="239"/>
      <c r="AC126" s="405"/>
      <c r="AD126" s="414"/>
      <c r="AF126" s="414"/>
      <c r="AH126" s="414"/>
      <c r="AJ126" s="414"/>
      <c r="AL126" s="414"/>
      <c r="AN126" s="414"/>
      <c r="AP126" s="414"/>
      <c r="AR126" s="414"/>
      <c r="AT126" s="414"/>
      <c r="AV126" s="414"/>
      <c r="AX126" s="414"/>
      <c r="AZ126" s="414"/>
      <c r="BB126" s="316"/>
      <c r="BC126" s="37" t="str">
        <f t="shared" si="145"/>
        <v xml:space="preserve"> </v>
      </c>
    </row>
    <row r="127" spans="1:56" s="37" customFormat="1" ht="15" customHeight="1" outlineLevel="1">
      <c r="A127" s="317" t="s">
        <v>308</v>
      </c>
      <c r="B127" s="38" t="s">
        <v>94</v>
      </c>
      <c r="C127" s="255" t="s">
        <v>95</v>
      </c>
      <c r="D127" s="38"/>
      <c r="E127" s="270" t="s">
        <v>309</v>
      </c>
      <c r="F127" s="310"/>
      <c r="G127" s="310"/>
      <c r="H127" s="310"/>
      <c r="I127" s="310"/>
      <c r="J127" s="310"/>
      <c r="K127" s="310"/>
      <c r="L127" s="577"/>
      <c r="M127" s="38"/>
      <c r="N127" s="38"/>
      <c r="O127" s="38"/>
      <c r="P127" s="38"/>
      <c r="Q127" s="38" t="s">
        <v>98</v>
      </c>
      <c r="R127" s="38"/>
      <c r="S127" s="38"/>
      <c r="T127" s="40"/>
      <c r="U127" s="38" t="s">
        <v>98</v>
      </c>
      <c r="V127" s="262" t="s">
        <v>192</v>
      </c>
      <c r="W127" s="304"/>
      <c r="X127" s="324"/>
      <c r="Y127" s="40"/>
      <c r="Z127" s="415" t="s">
        <v>195</v>
      </c>
      <c r="AA127" s="239" t="s">
        <v>102</v>
      </c>
      <c r="AB127" s="239" t="s">
        <v>193</v>
      </c>
      <c r="AC127" s="405">
        <v>1.5</v>
      </c>
      <c r="AD127" s="414">
        <v>0</v>
      </c>
      <c r="AE127" s="37">
        <f>$AC127*AD127</f>
        <v>0</v>
      </c>
      <c r="AF127" s="414">
        <v>0</v>
      </c>
      <c r="AG127" s="37">
        <f>$AC127*AF127</f>
        <v>0</v>
      </c>
      <c r="AH127" s="414">
        <v>0</v>
      </c>
      <c r="AI127" s="37">
        <f>$AC127*AH127</f>
        <v>0</v>
      </c>
      <c r="AJ127" s="414">
        <v>0</v>
      </c>
      <c r="AK127" s="37">
        <f>$AC127*AJ127</f>
        <v>0</v>
      </c>
      <c r="AL127" s="414">
        <v>0</v>
      </c>
      <c r="AM127" s="37">
        <f>$AC127*AL127</f>
        <v>0</v>
      </c>
      <c r="AN127" s="414">
        <v>0</v>
      </c>
      <c r="AO127" s="37">
        <f>$AC127*AN127</f>
        <v>0</v>
      </c>
      <c r="AP127" s="414">
        <v>0</v>
      </c>
      <c r="AQ127" s="37">
        <f>$AC127*AP127</f>
        <v>0</v>
      </c>
      <c r="AR127" s="414">
        <v>0</v>
      </c>
      <c r="AS127" s="37">
        <f>$AC127*AR127</f>
        <v>0</v>
      </c>
      <c r="AT127" s="414">
        <v>1</v>
      </c>
      <c r="AU127" s="37">
        <f>$AC127*AT127</f>
        <v>1.5</v>
      </c>
      <c r="AV127" s="414">
        <v>0</v>
      </c>
      <c r="AW127" s="37">
        <f>$AC127*AV127</f>
        <v>0</v>
      </c>
      <c r="AX127" s="414">
        <v>0</v>
      </c>
      <c r="AZ127" s="414">
        <v>0</v>
      </c>
      <c r="BA127" s="37">
        <f>$AC127*AZ127</f>
        <v>0</v>
      </c>
      <c r="BB127" s="316"/>
      <c r="BC127" s="37" t="str">
        <f t="shared" si="145"/>
        <v>18043-LM646 01121 Fire Compartment &amp; Evacuation Plan Ground Floor &amp; 1.1st Floor</v>
      </c>
    </row>
    <row r="128" spans="1:56" s="37" customFormat="1" ht="15" customHeight="1" outlineLevel="1">
      <c r="A128" s="317" t="s">
        <v>310</v>
      </c>
      <c r="B128" s="38" t="s">
        <v>94</v>
      </c>
      <c r="C128" s="255" t="s">
        <v>95</v>
      </c>
      <c r="D128" s="38"/>
      <c r="E128" s="270" t="s">
        <v>311</v>
      </c>
      <c r="F128" s="310"/>
      <c r="G128" s="310"/>
      <c r="H128" s="310"/>
      <c r="I128" s="310"/>
      <c r="J128" s="310"/>
      <c r="K128" s="310"/>
      <c r="L128" s="577"/>
      <c r="M128" s="38"/>
      <c r="N128" s="38"/>
      <c r="O128" s="38"/>
      <c r="P128" s="38"/>
      <c r="Q128" s="38" t="s">
        <v>98</v>
      </c>
      <c r="R128" s="38"/>
      <c r="S128" s="38"/>
      <c r="T128" s="40"/>
      <c r="U128" s="38" t="s">
        <v>98</v>
      </c>
      <c r="V128" s="262" t="s">
        <v>192</v>
      </c>
      <c r="W128" s="304"/>
      <c r="X128" s="324"/>
      <c r="Y128" s="40"/>
      <c r="Z128" s="415" t="s">
        <v>195</v>
      </c>
      <c r="AA128" s="239" t="s">
        <v>102</v>
      </c>
      <c r="AB128" s="239" t="s">
        <v>193</v>
      </c>
      <c r="AC128" s="405">
        <v>1.5</v>
      </c>
      <c r="AD128" s="414">
        <v>0</v>
      </c>
      <c r="AE128" s="37">
        <f>$AC128*AD128</f>
        <v>0</v>
      </c>
      <c r="AF128" s="414">
        <v>0</v>
      </c>
      <c r="AG128" s="37">
        <f>$AC128*AF128</f>
        <v>0</v>
      </c>
      <c r="AH128" s="414">
        <v>0</v>
      </c>
      <c r="AI128" s="37">
        <f>$AC128*AH128</f>
        <v>0</v>
      </c>
      <c r="AJ128" s="414">
        <v>0</v>
      </c>
      <c r="AK128" s="37">
        <f>$AC128*AJ128</f>
        <v>0</v>
      </c>
      <c r="AL128" s="414">
        <v>0</v>
      </c>
      <c r="AM128" s="37">
        <f>$AC128*AL128</f>
        <v>0</v>
      </c>
      <c r="AN128" s="414">
        <v>0</v>
      </c>
      <c r="AO128" s="37">
        <f>$AC128*AN128</f>
        <v>0</v>
      </c>
      <c r="AP128" s="414">
        <v>0</v>
      </c>
      <c r="AQ128" s="37">
        <f>$AC128*AP128</f>
        <v>0</v>
      </c>
      <c r="AR128" s="414">
        <v>0</v>
      </c>
      <c r="AS128" s="37">
        <f>$AC128*AR128</f>
        <v>0</v>
      </c>
      <c r="AT128" s="414">
        <v>1</v>
      </c>
      <c r="AU128" s="37">
        <f>$AC128*AT128</f>
        <v>1.5</v>
      </c>
      <c r="AV128" s="414">
        <v>0</v>
      </c>
      <c r="AW128" s="37">
        <f>$AC128*AV128</f>
        <v>0</v>
      </c>
      <c r="AX128" s="414">
        <v>0</v>
      </c>
      <c r="AZ128" s="414">
        <v>0</v>
      </c>
      <c r="BA128" s="37">
        <f>$AC128*AZ128</f>
        <v>0</v>
      </c>
      <c r="BB128" s="316"/>
      <c r="BC128" s="37" t="str">
        <f t="shared" si="145"/>
        <v>18043-LM646 01122 Fire Compartment &amp; Evacuation Plan 1.2st Floor &amp; 2nd Floor</v>
      </c>
    </row>
    <row r="129" spans="1:55" s="37" customFormat="1" ht="15" customHeight="1" outlineLevel="1">
      <c r="A129" s="317" t="s">
        <v>312</v>
      </c>
      <c r="B129" s="38" t="s">
        <v>94</v>
      </c>
      <c r="C129" s="255" t="s">
        <v>95</v>
      </c>
      <c r="D129" s="38"/>
      <c r="E129" s="270" t="s">
        <v>313</v>
      </c>
      <c r="F129" s="310"/>
      <c r="G129" s="310"/>
      <c r="H129" s="310"/>
      <c r="I129" s="310"/>
      <c r="J129" s="310"/>
      <c r="K129" s="310"/>
      <c r="L129" s="577"/>
      <c r="M129" s="38"/>
      <c r="N129" s="38"/>
      <c r="O129" s="38"/>
      <c r="P129" s="38"/>
      <c r="Q129" s="38" t="s">
        <v>98</v>
      </c>
      <c r="R129" s="38"/>
      <c r="S129" s="38"/>
      <c r="T129" s="40"/>
      <c r="U129" s="38" t="s">
        <v>98</v>
      </c>
      <c r="V129" s="262" t="s">
        <v>192</v>
      </c>
      <c r="W129" s="304"/>
      <c r="X129" s="324"/>
      <c r="Y129" s="40"/>
      <c r="Z129" s="415" t="s">
        <v>195</v>
      </c>
      <c r="AA129" s="239" t="s">
        <v>102</v>
      </c>
      <c r="AB129" s="239" t="s">
        <v>193</v>
      </c>
      <c r="AC129" s="405">
        <v>1.5</v>
      </c>
      <c r="AD129" s="414">
        <v>0</v>
      </c>
      <c r="AE129" s="37">
        <f>$AC129*AD129</f>
        <v>0</v>
      </c>
      <c r="AF129" s="414">
        <v>0</v>
      </c>
      <c r="AG129" s="37">
        <f>$AC129*AF129</f>
        <v>0</v>
      </c>
      <c r="AH129" s="414">
        <v>0</v>
      </c>
      <c r="AI129" s="37">
        <f>$AC129*AH129</f>
        <v>0</v>
      </c>
      <c r="AJ129" s="414">
        <v>0</v>
      </c>
      <c r="AK129" s="37">
        <f>$AC129*AJ129</f>
        <v>0</v>
      </c>
      <c r="AL129" s="414">
        <v>0</v>
      </c>
      <c r="AM129" s="37">
        <f>$AC129*AL129</f>
        <v>0</v>
      </c>
      <c r="AN129" s="414">
        <v>0</v>
      </c>
      <c r="AO129" s="37">
        <f>$AC129*AN129</f>
        <v>0</v>
      </c>
      <c r="AP129" s="414">
        <v>0</v>
      </c>
      <c r="AQ129" s="37">
        <f>$AC129*AP129</f>
        <v>0</v>
      </c>
      <c r="AR129" s="414">
        <v>0</v>
      </c>
      <c r="AS129" s="37">
        <f>$AC129*AR129</f>
        <v>0</v>
      </c>
      <c r="AT129" s="414">
        <v>1</v>
      </c>
      <c r="AU129" s="37">
        <f>$AC129*AT129</f>
        <v>1.5</v>
      </c>
      <c r="AV129" s="414">
        <v>0</v>
      </c>
      <c r="AW129" s="37">
        <f>$AC129*AV129</f>
        <v>0</v>
      </c>
      <c r="AX129" s="414">
        <v>0</v>
      </c>
      <c r="AZ129" s="414">
        <v>0</v>
      </c>
      <c r="BA129" s="37">
        <f>$AC129*AZ129</f>
        <v>0</v>
      </c>
      <c r="BB129" s="316"/>
      <c r="BC129" s="37" t="str">
        <f t="shared" si="145"/>
        <v>18043-LM646 01123 Fire Compartment &amp; Evacuation Plan 2.1nd Floor &amp; 2.2nd Floor</v>
      </c>
    </row>
    <row r="130" spans="1:55" s="37" customFormat="1" ht="15" customHeight="1" outlineLevel="1">
      <c r="A130" s="317" t="s">
        <v>314</v>
      </c>
      <c r="B130" s="38" t="s">
        <v>94</v>
      </c>
      <c r="C130" s="255" t="s">
        <v>95</v>
      </c>
      <c r="D130" s="38"/>
      <c r="E130" s="270" t="s">
        <v>315</v>
      </c>
      <c r="F130" s="310"/>
      <c r="G130" s="310"/>
      <c r="H130" s="310"/>
      <c r="I130" s="310"/>
      <c r="J130" s="310"/>
      <c r="K130" s="310"/>
      <c r="L130" s="577"/>
      <c r="M130" s="38"/>
      <c r="N130" s="38"/>
      <c r="O130" s="38"/>
      <c r="P130" s="38"/>
      <c r="Q130" s="38" t="s">
        <v>98</v>
      </c>
      <c r="R130" s="38"/>
      <c r="S130" s="38"/>
      <c r="T130" s="40"/>
      <c r="U130" s="38" t="s">
        <v>98</v>
      </c>
      <c r="V130" s="262" t="s">
        <v>192</v>
      </c>
      <c r="W130" s="304"/>
      <c r="X130" s="324"/>
      <c r="Y130" s="40"/>
      <c r="Z130" s="415" t="s">
        <v>195</v>
      </c>
      <c r="AA130" s="239" t="s">
        <v>102</v>
      </c>
      <c r="AB130" s="239" t="s">
        <v>193</v>
      </c>
      <c r="AC130" s="405">
        <v>1.5</v>
      </c>
      <c r="AD130" s="414">
        <v>0</v>
      </c>
      <c r="AE130" s="37">
        <f>$AC130*AD130</f>
        <v>0</v>
      </c>
      <c r="AF130" s="414">
        <v>0</v>
      </c>
      <c r="AG130" s="37">
        <f>$AC130*AF130</f>
        <v>0</v>
      </c>
      <c r="AH130" s="414">
        <v>0</v>
      </c>
      <c r="AI130" s="37">
        <f>$AC130*AH130</f>
        <v>0</v>
      </c>
      <c r="AJ130" s="414">
        <v>0</v>
      </c>
      <c r="AK130" s="37">
        <f>$AC130*AJ130</f>
        <v>0</v>
      </c>
      <c r="AL130" s="414">
        <v>0</v>
      </c>
      <c r="AM130" s="37">
        <f>$AC130*AL130</f>
        <v>0</v>
      </c>
      <c r="AN130" s="414">
        <v>0</v>
      </c>
      <c r="AO130" s="37">
        <f>$AC130*AN130</f>
        <v>0</v>
      </c>
      <c r="AP130" s="414">
        <v>0</v>
      </c>
      <c r="AQ130" s="37">
        <f>$AC130*AP130</f>
        <v>0</v>
      </c>
      <c r="AR130" s="414">
        <v>0</v>
      </c>
      <c r="AS130" s="37">
        <f>$AC130*AR130</f>
        <v>0</v>
      </c>
      <c r="AT130" s="414">
        <v>1</v>
      </c>
      <c r="AU130" s="37">
        <f>$AC130*AT130</f>
        <v>1.5</v>
      </c>
      <c r="AV130" s="414">
        <v>0</v>
      </c>
      <c r="AW130" s="37">
        <f>$AC130*AV130</f>
        <v>0</v>
      </c>
      <c r="AX130" s="414">
        <v>0</v>
      </c>
      <c r="AZ130" s="414">
        <v>0</v>
      </c>
      <c r="BA130" s="37">
        <f>$AC130*AZ130</f>
        <v>0</v>
      </c>
      <c r="BB130" s="316"/>
      <c r="BC130" s="37" t="str">
        <f t="shared" si="145"/>
        <v>18043-LM646 01124 Fire Compartment &amp; Evacuation Plan Roof Deck</v>
      </c>
    </row>
    <row r="131" spans="1:55" s="37" customFormat="1" ht="15" customHeight="1" outlineLevel="1">
      <c r="A131" s="317"/>
      <c r="B131" s="38"/>
      <c r="C131" s="233"/>
      <c r="D131" s="38"/>
      <c r="E131" s="213"/>
      <c r="F131" s="310"/>
      <c r="G131" s="310"/>
      <c r="H131" s="310"/>
      <c r="I131" s="310"/>
      <c r="J131" s="310"/>
      <c r="K131" s="310"/>
      <c r="L131" s="577"/>
      <c r="M131" s="38"/>
      <c r="N131" s="38"/>
      <c r="O131" s="38"/>
      <c r="P131" s="38"/>
      <c r="Q131" s="38"/>
      <c r="R131" s="38"/>
      <c r="S131" s="38"/>
      <c r="T131" s="40"/>
      <c r="U131" s="38"/>
      <c r="V131" s="40"/>
      <c r="W131" s="40"/>
      <c r="X131" s="324"/>
      <c r="Y131" s="40"/>
      <c r="Z131" s="416"/>
      <c r="AA131" s="239"/>
      <c r="AB131" s="239"/>
      <c r="AC131" s="405"/>
      <c r="AD131" s="414"/>
      <c r="AF131" s="414"/>
      <c r="AH131" s="414"/>
      <c r="AJ131" s="414"/>
      <c r="AL131" s="414"/>
      <c r="AN131" s="414"/>
      <c r="AP131" s="414"/>
      <c r="AR131" s="414"/>
      <c r="AT131" s="414"/>
      <c r="AV131" s="414"/>
      <c r="AX131" s="414"/>
      <c r="AZ131" s="414"/>
      <c r="BB131" s="316"/>
      <c r="BC131" s="37" t="str">
        <f t="shared" si="145"/>
        <v xml:space="preserve"> </v>
      </c>
    </row>
    <row r="132" spans="1:55" s="37" customFormat="1" ht="15" customHeight="1" outlineLevel="1">
      <c r="A132" s="317" t="s">
        <v>316</v>
      </c>
      <c r="B132" s="38" t="s">
        <v>94</v>
      </c>
      <c r="C132" s="255" t="s">
        <v>95</v>
      </c>
      <c r="D132" s="38"/>
      <c r="E132" s="270" t="s">
        <v>317</v>
      </c>
      <c r="F132" s="310"/>
      <c r="G132" s="310"/>
      <c r="H132" s="310"/>
      <c r="I132" s="310"/>
      <c r="J132" s="310"/>
      <c r="K132" s="310"/>
      <c r="L132" s="577"/>
      <c r="M132" s="38"/>
      <c r="N132" s="38"/>
      <c r="O132" s="38"/>
      <c r="P132" s="38"/>
      <c r="Q132" s="38" t="s">
        <v>98</v>
      </c>
      <c r="R132" s="38"/>
      <c r="S132" s="38"/>
      <c r="T132" s="40"/>
      <c r="U132" s="38" t="s">
        <v>98</v>
      </c>
      <c r="V132" s="262" t="s">
        <v>192</v>
      </c>
      <c r="W132" s="304"/>
      <c r="X132" s="324"/>
      <c r="Y132" s="40"/>
      <c r="Z132" s="415" t="s">
        <v>195</v>
      </c>
      <c r="AA132" s="239" t="s">
        <v>102</v>
      </c>
      <c r="AB132" s="239" t="s">
        <v>257</v>
      </c>
      <c r="AC132" s="405">
        <v>1</v>
      </c>
      <c r="AD132" s="414">
        <v>0</v>
      </c>
      <c r="AE132" s="37">
        <f>$AC132*AD132</f>
        <v>0</v>
      </c>
      <c r="AF132" s="414">
        <v>0</v>
      </c>
      <c r="AG132" s="37">
        <f>$AC132*AF132</f>
        <v>0</v>
      </c>
      <c r="AH132" s="414">
        <v>0</v>
      </c>
      <c r="AI132" s="37">
        <f>$AC132*AH132</f>
        <v>0</v>
      </c>
      <c r="AJ132" s="414">
        <v>0</v>
      </c>
      <c r="AK132" s="37">
        <f>$AC132*AJ132</f>
        <v>0</v>
      </c>
      <c r="AL132" s="414">
        <v>0</v>
      </c>
      <c r="AM132" s="37">
        <f>$AC132*AL132</f>
        <v>0</v>
      </c>
      <c r="AN132" s="414">
        <v>0</v>
      </c>
      <c r="AO132" s="37">
        <f>$AC132*AN132</f>
        <v>0</v>
      </c>
      <c r="AP132" s="414">
        <v>0</v>
      </c>
      <c r="AQ132" s="37">
        <f>$AC132*AP132</f>
        <v>0</v>
      </c>
      <c r="AR132" s="414">
        <v>0</v>
      </c>
      <c r="AS132" s="37">
        <f>$AC132*AR132</f>
        <v>0</v>
      </c>
      <c r="AT132" s="414">
        <v>1</v>
      </c>
      <c r="AU132" s="37">
        <f>$AC132*AT132</f>
        <v>1</v>
      </c>
      <c r="AV132" s="414">
        <v>0</v>
      </c>
      <c r="AW132" s="37">
        <f>$AC132*AV132</f>
        <v>0</v>
      </c>
      <c r="AX132" s="414">
        <v>0</v>
      </c>
      <c r="AZ132" s="414">
        <v>0</v>
      </c>
      <c r="BA132" s="37">
        <f>$AC132*AZ132</f>
        <v>0</v>
      </c>
      <c r="BB132" s="316"/>
      <c r="BC132" s="37" t="str">
        <f t="shared" si="145"/>
        <v>18043-LM646 01141 Process Clear Height Plan Ground Floor &amp; 2nd Floor</v>
      </c>
    </row>
    <row r="133" spans="1:55" s="37" customFormat="1" ht="15" customHeight="1" outlineLevel="1">
      <c r="A133" s="317"/>
      <c r="B133" s="38"/>
      <c r="C133" s="233"/>
      <c r="D133" s="38"/>
      <c r="E133" s="270"/>
      <c r="F133" s="310"/>
      <c r="G133" s="310"/>
      <c r="H133" s="310"/>
      <c r="I133" s="310"/>
      <c r="J133" s="310"/>
      <c r="K133" s="310"/>
      <c r="L133" s="577"/>
      <c r="M133" s="38"/>
      <c r="N133" s="38"/>
      <c r="O133" s="38"/>
      <c r="P133" s="38"/>
      <c r="Q133" s="38"/>
      <c r="R133" s="38"/>
      <c r="S133" s="38"/>
      <c r="T133" s="40"/>
      <c r="U133" s="38"/>
      <c r="V133" s="40"/>
      <c r="W133" s="40"/>
      <c r="X133" s="324"/>
      <c r="Y133" s="40"/>
      <c r="Z133" s="236"/>
      <c r="AA133" s="239"/>
      <c r="AB133" s="239"/>
      <c r="AC133" s="405"/>
      <c r="AD133" s="414"/>
      <c r="AF133" s="414"/>
      <c r="AH133" s="414"/>
      <c r="AJ133" s="414"/>
      <c r="AL133" s="414"/>
      <c r="AN133" s="414"/>
      <c r="AP133" s="414"/>
      <c r="AR133" s="414"/>
      <c r="AT133" s="414"/>
      <c r="AV133" s="414"/>
      <c r="AX133" s="414"/>
      <c r="AZ133" s="414"/>
      <c r="BB133" s="316"/>
      <c r="BC133" s="37" t="str">
        <f t="shared" si="145"/>
        <v xml:space="preserve"> </v>
      </c>
    </row>
    <row r="134" spans="1:55" s="37" customFormat="1" ht="15" customHeight="1" outlineLevel="1">
      <c r="A134" s="317" t="s">
        <v>318</v>
      </c>
      <c r="B134" s="38" t="s">
        <v>94</v>
      </c>
      <c r="C134" s="255" t="s">
        <v>95</v>
      </c>
      <c r="D134" s="38"/>
      <c r="E134" s="270" t="s">
        <v>229</v>
      </c>
      <c r="F134" s="310" t="s">
        <v>34</v>
      </c>
      <c r="G134" s="310"/>
      <c r="H134" s="315"/>
      <c r="I134" s="310" t="s">
        <v>116</v>
      </c>
      <c r="J134" s="310"/>
      <c r="K134" s="310"/>
      <c r="L134" s="577"/>
      <c r="M134" s="38"/>
      <c r="N134" s="38"/>
      <c r="O134" s="38"/>
      <c r="P134" s="38"/>
      <c r="Q134" s="38" t="s">
        <v>98</v>
      </c>
      <c r="R134" s="38"/>
      <c r="S134" s="38"/>
      <c r="T134" s="40"/>
      <c r="U134" s="38" t="s">
        <v>98</v>
      </c>
      <c r="V134" s="262" t="s">
        <v>192</v>
      </c>
      <c r="W134" s="304"/>
      <c r="X134" s="324"/>
      <c r="Y134" s="40"/>
      <c r="Z134" s="415" t="s">
        <v>195</v>
      </c>
      <c r="AA134" s="239" t="s">
        <v>102</v>
      </c>
      <c r="AB134" s="239" t="s">
        <v>193</v>
      </c>
      <c r="AC134" s="405">
        <v>2</v>
      </c>
      <c r="AD134" s="414">
        <v>0.7</v>
      </c>
      <c r="AE134" s="37">
        <f>$AC134*AD134</f>
        <v>1.4</v>
      </c>
      <c r="AF134" s="414">
        <v>0</v>
      </c>
      <c r="AG134" s="37">
        <f>$AC134*AF134</f>
        <v>0</v>
      </c>
      <c r="AH134" s="414">
        <v>0.8</v>
      </c>
      <c r="AI134" s="37">
        <f>$AC134*AH134</f>
        <v>1.6</v>
      </c>
      <c r="AJ134" s="414">
        <v>0</v>
      </c>
      <c r="AK134" s="37">
        <f>$AC134*AJ134</f>
        <v>0</v>
      </c>
      <c r="AL134" s="414">
        <v>0.9</v>
      </c>
      <c r="AM134" s="37">
        <f>$AC134*AL134</f>
        <v>1.8</v>
      </c>
      <c r="AN134" s="414">
        <v>0</v>
      </c>
      <c r="AO134" s="37">
        <f>$AC134*AN134</f>
        <v>0</v>
      </c>
      <c r="AP134" s="414">
        <v>0.9</v>
      </c>
      <c r="AQ134" s="37">
        <f>$AC134*AP134</f>
        <v>1.8</v>
      </c>
      <c r="AR134" s="414">
        <v>0</v>
      </c>
      <c r="AS134" s="37">
        <f>$AC134*AR134</f>
        <v>0</v>
      </c>
      <c r="AT134" s="414">
        <v>1</v>
      </c>
      <c r="AU134" s="37">
        <f>$AC134*AT134</f>
        <v>2</v>
      </c>
      <c r="AV134" s="414">
        <v>0</v>
      </c>
      <c r="AW134" s="37">
        <f>$AC134*AV134</f>
        <v>0</v>
      </c>
      <c r="AX134" s="414">
        <v>0.9</v>
      </c>
      <c r="AZ134" s="414">
        <v>0</v>
      </c>
      <c r="BA134" s="37">
        <f>$AC134*AZ134</f>
        <v>0</v>
      </c>
      <c r="BC134" s="37" t="str">
        <f t="shared" si="145"/>
        <v>18043-LM646 01201 Sections Sheet 1</v>
      </c>
    </row>
    <row r="135" spans="1:55" s="37" customFormat="1" ht="15" customHeight="1" outlineLevel="1">
      <c r="A135" s="317" t="s">
        <v>319</v>
      </c>
      <c r="B135" s="38" t="s">
        <v>94</v>
      </c>
      <c r="C135" s="255" t="s">
        <v>95</v>
      </c>
      <c r="D135" s="38"/>
      <c r="E135" s="270" t="s">
        <v>231</v>
      </c>
      <c r="F135" s="310" t="s">
        <v>34</v>
      </c>
      <c r="G135" s="310"/>
      <c r="H135" s="315"/>
      <c r="I135" s="310" t="s">
        <v>116</v>
      </c>
      <c r="J135" s="310"/>
      <c r="K135" s="310" t="s">
        <v>38</v>
      </c>
      <c r="L135" s="577"/>
      <c r="M135" s="38"/>
      <c r="N135" s="38"/>
      <c r="O135" s="38"/>
      <c r="P135" s="38"/>
      <c r="Q135" s="38" t="s">
        <v>98</v>
      </c>
      <c r="R135" s="38"/>
      <c r="S135" s="38"/>
      <c r="T135" s="40"/>
      <c r="U135" s="38" t="s">
        <v>98</v>
      </c>
      <c r="V135" s="262" t="s">
        <v>192</v>
      </c>
      <c r="W135" s="304"/>
      <c r="X135" s="324"/>
      <c r="Y135" s="40"/>
      <c r="Z135" s="415" t="s">
        <v>195</v>
      </c>
      <c r="AA135" s="239" t="s">
        <v>102</v>
      </c>
      <c r="AB135" s="239" t="s">
        <v>193</v>
      </c>
      <c r="AC135" s="405">
        <v>2</v>
      </c>
      <c r="AD135" s="414">
        <v>0.7</v>
      </c>
      <c r="AE135" s="37">
        <f>$AC135*AD135</f>
        <v>1.4</v>
      </c>
      <c r="AF135" s="414">
        <v>0</v>
      </c>
      <c r="AG135" s="37">
        <f>$AC135*AF135</f>
        <v>0</v>
      </c>
      <c r="AH135" s="414">
        <v>0.8</v>
      </c>
      <c r="AI135" s="37">
        <f>$AC135*AH135</f>
        <v>1.6</v>
      </c>
      <c r="AJ135" s="414">
        <v>0</v>
      </c>
      <c r="AK135" s="37">
        <f>$AC135*AJ135</f>
        <v>0</v>
      </c>
      <c r="AL135" s="414">
        <v>0.9</v>
      </c>
      <c r="AM135" s="37">
        <f>$AC135*AL135</f>
        <v>1.8</v>
      </c>
      <c r="AN135" s="414">
        <v>0</v>
      </c>
      <c r="AO135" s="37">
        <f>$AC135*AN135</f>
        <v>0</v>
      </c>
      <c r="AP135" s="414">
        <v>0.9</v>
      </c>
      <c r="AQ135" s="37">
        <f>$AC135*AP135</f>
        <v>1.8</v>
      </c>
      <c r="AR135" s="414">
        <v>0</v>
      </c>
      <c r="AS135" s="37">
        <f>$AC135*AR135</f>
        <v>0</v>
      </c>
      <c r="AT135" s="414">
        <v>1</v>
      </c>
      <c r="AU135" s="37">
        <f>$AC135*AT135</f>
        <v>2</v>
      </c>
      <c r="AV135" s="414">
        <v>0</v>
      </c>
      <c r="AW135" s="37">
        <f>$AC135*AV135</f>
        <v>0</v>
      </c>
      <c r="AX135" s="414">
        <v>0.9</v>
      </c>
      <c r="AZ135" s="414">
        <v>0</v>
      </c>
      <c r="BA135" s="37">
        <f>$AC135*AZ135</f>
        <v>0</v>
      </c>
      <c r="BC135" s="37" t="str">
        <f t="shared" si="145"/>
        <v>18043-LM646 01202 Sections Sheet 2</v>
      </c>
    </row>
    <row r="136" spans="1:55" s="37" customFormat="1" ht="15" customHeight="1" outlineLevel="1">
      <c r="A136" s="317" t="s">
        <v>320</v>
      </c>
      <c r="B136" s="38" t="s">
        <v>94</v>
      </c>
      <c r="C136" s="255" t="s">
        <v>95</v>
      </c>
      <c r="D136" s="38"/>
      <c r="E136" s="270" t="s">
        <v>233</v>
      </c>
      <c r="F136" s="310" t="s">
        <v>34</v>
      </c>
      <c r="G136" s="310"/>
      <c r="H136" s="315"/>
      <c r="I136" s="310" t="s">
        <v>31</v>
      </c>
      <c r="J136" s="310" t="s">
        <v>116</v>
      </c>
      <c r="K136" s="310"/>
      <c r="L136" s="577"/>
      <c r="M136" s="38"/>
      <c r="N136" s="38"/>
      <c r="O136" s="38"/>
      <c r="P136" s="38"/>
      <c r="Q136" s="38" t="s">
        <v>98</v>
      </c>
      <c r="R136" s="38"/>
      <c r="S136" s="38"/>
      <c r="T136" s="40"/>
      <c r="U136" s="38" t="s">
        <v>98</v>
      </c>
      <c r="V136" s="262" t="s">
        <v>192</v>
      </c>
      <c r="W136" s="304"/>
      <c r="X136" s="324"/>
      <c r="Y136" s="40"/>
      <c r="Z136" s="415" t="s">
        <v>195</v>
      </c>
      <c r="AA136" s="239" t="s">
        <v>102</v>
      </c>
      <c r="AB136" s="239" t="s">
        <v>193</v>
      </c>
      <c r="AC136" s="405">
        <v>2</v>
      </c>
      <c r="AD136" s="414">
        <v>0.5</v>
      </c>
      <c r="AE136" s="37">
        <f>$AC136*AD136</f>
        <v>1</v>
      </c>
      <c r="AF136" s="414">
        <v>0</v>
      </c>
      <c r="AG136" s="37">
        <f>$AC136*AF136</f>
        <v>0</v>
      </c>
      <c r="AH136" s="414">
        <v>0.8</v>
      </c>
      <c r="AI136" s="37">
        <f>$AC136*AH136</f>
        <v>1.6</v>
      </c>
      <c r="AJ136" s="414">
        <v>0</v>
      </c>
      <c r="AK136" s="37">
        <f>$AC136*AJ136</f>
        <v>0</v>
      </c>
      <c r="AL136" s="414">
        <v>0</v>
      </c>
      <c r="AM136" s="37">
        <f>$AC136*AL136</f>
        <v>0</v>
      </c>
      <c r="AN136" s="414">
        <v>0</v>
      </c>
      <c r="AO136" s="37">
        <f>$AC136*AN136</f>
        <v>0</v>
      </c>
      <c r="AP136" s="414">
        <v>0</v>
      </c>
      <c r="AQ136" s="37">
        <f>$AC136*AP136</f>
        <v>0</v>
      </c>
      <c r="AR136" s="414">
        <v>0</v>
      </c>
      <c r="AS136" s="37">
        <f>$AC136*AR136</f>
        <v>0</v>
      </c>
      <c r="AT136" s="414">
        <v>1</v>
      </c>
      <c r="AU136" s="37">
        <f>$AC136*AT136</f>
        <v>2</v>
      </c>
      <c r="AV136" s="414">
        <v>0</v>
      </c>
      <c r="AW136" s="37">
        <f>$AC136*AV136</f>
        <v>0</v>
      </c>
      <c r="AX136" s="414">
        <v>0</v>
      </c>
      <c r="AZ136" s="414">
        <v>0</v>
      </c>
      <c r="BA136" s="37">
        <f>$AC136*AZ136</f>
        <v>0</v>
      </c>
      <c r="BC136" s="37" t="str">
        <f t="shared" si="145"/>
        <v>18043-LM646 01203 Sections Sheet 3</v>
      </c>
    </row>
    <row r="137" spans="1:55" s="37" customFormat="1" ht="15" customHeight="1" outlineLevel="1">
      <c r="A137" s="317" t="s">
        <v>321</v>
      </c>
      <c r="B137" s="38" t="s">
        <v>94</v>
      </c>
      <c r="C137" s="255" t="s">
        <v>95</v>
      </c>
      <c r="D137" s="38"/>
      <c r="E137" s="270" t="s">
        <v>235</v>
      </c>
      <c r="F137" s="310" t="s">
        <v>34</v>
      </c>
      <c r="G137" s="310"/>
      <c r="H137" s="315"/>
      <c r="I137" s="310" t="s">
        <v>31</v>
      </c>
      <c r="J137" s="310"/>
      <c r="K137" s="310"/>
      <c r="L137" s="577"/>
      <c r="M137" s="38"/>
      <c r="N137" s="38"/>
      <c r="O137" s="38"/>
      <c r="P137" s="38"/>
      <c r="Q137" s="38" t="s">
        <v>98</v>
      </c>
      <c r="R137" s="38"/>
      <c r="S137" s="38"/>
      <c r="T137" s="40"/>
      <c r="U137" s="38" t="s">
        <v>98</v>
      </c>
      <c r="V137" s="262" t="s">
        <v>192</v>
      </c>
      <c r="W137" s="304"/>
      <c r="X137" s="324"/>
      <c r="Y137" s="40"/>
      <c r="Z137" s="415" t="s">
        <v>195</v>
      </c>
      <c r="AA137" s="239" t="s">
        <v>102</v>
      </c>
      <c r="AB137" s="239" t="s">
        <v>193</v>
      </c>
      <c r="AC137" s="405">
        <v>2</v>
      </c>
      <c r="AD137" s="414">
        <v>0.5</v>
      </c>
      <c r="AE137" s="37">
        <f>$AC137*AD137</f>
        <v>1</v>
      </c>
      <c r="AF137" s="414">
        <v>0</v>
      </c>
      <c r="AG137" s="37">
        <f>$AC137*AF137</f>
        <v>0</v>
      </c>
      <c r="AH137" s="414">
        <v>0.8</v>
      </c>
      <c r="AI137" s="37">
        <f>$AC137*AH137</f>
        <v>1.6</v>
      </c>
      <c r="AJ137" s="414">
        <v>0</v>
      </c>
      <c r="AK137" s="37">
        <f>$AC137*AJ137</f>
        <v>0</v>
      </c>
      <c r="AL137" s="414">
        <v>0</v>
      </c>
      <c r="AM137" s="37">
        <f>$AC137*AL137</f>
        <v>0</v>
      </c>
      <c r="AN137" s="414">
        <v>0</v>
      </c>
      <c r="AO137" s="37">
        <f>$AC137*AN137</f>
        <v>0</v>
      </c>
      <c r="AP137" s="414">
        <v>0</v>
      </c>
      <c r="AQ137" s="37">
        <f>$AC137*AP137</f>
        <v>0</v>
      </c>
      <c r="AR137" s="414">
        <v>0</v>
      </c>
      <c r="AS137" s="37">
        <f>$AC137*AR137</f>
        <v>0</v>
      </c>
      <c r="AT137" s="414">
        <v>1</v>
      </c>
      <c r="AU137" s="37">
        <f>$AC137*AT137</f>
        <v>2</v>
      </c>
      <c r="AV137" s="414">
        <v>0</v>
      </c>
      <c r="AW137" s="37">
        <f>$AC137*AV137</f>
        <v>0</v>
      </c>
      <c r="AX137" s="414">
        <v>0</v>
      </c>
      <c r="AZ137" s="414">
        <v>0</v>
      </c>
      <c r="BA137" s="37">
        <f>$AC137*AZ137</f>
        <v>0</v>
      </c>
      <c r="BC137" s="37" t="str">
        <f t="shared" si="145"/>
        <v>18043-LM646 01204 Sections Sheet 4</v>
      </c>
    </row>
    <row r="138" spans="1:55" s="37" customFormat="1" ht="15" customHeight="1" outlineLevel="1">
      <c r="A138" s="317" t="s">
        <v>322</v>
      </c>
      <c r="B138" s="38" t="s">
        <v>94</v>
      </c>
      <c r="C138" s="255" t="s">
        <v>95</v>
      </c>
      <c r="D138" s="38"/>
      <c r="E138" s="270" t="s">
        <v>323</v>
      </c>
      <c r="F138" s="310" t="s">
        <v>34</v>
      </c>
      <c r="G138" s="310"/>
      <c r="H138" s="315"/>
      <c r="I138" s="310" t="s">
        <v>31</v>
      </c>
      <c r="J138" s="310" t="s">
        <v>116</v>
      </c>
      <c r="K138" s="310"/>
      <c r="L138" s="577"/>
      <c r="M138" s="38"/>
      <c r="N138" s="38"/>
      <c r="O138" s="38"/>
      <c r="P138" s="38"/>
      <c r="Q138" s="38" t="s">
        <v>98</v>
      </c>
      <c r="R138" s="38"/>
      <c r="S138" s="38"/>
      <c r="T138" s="40"/>
      <c r="U138" s="38" t="s">
        <v>98</v>
      </c>
      <c r="V138" s="262" t="s">
        <v>192</v>
      </c>
      <c r="W138" s="304"/>
      <c r="X138" s="324"/>
      <c r="Y138" s="40"/>
      <c r="Z138" s="415" t="s">
        <v>195</v>
      </c>
      <c r="AA138" s="239" t="s">
        <v>102</v>
      </c>
      <c r="AB138" s="239" t="s">
        <v>193</v>
      </c>
      <c r="AC138" s="405">
        <v>2</v>
      </c>
      <c r="AD138" s="414">
        <v>0.5</v>
      </c>
      <c r="AE138" s="37">
        <f>$AC138*AD138</f>
        <v>1</v>
      </c>
      <c r="AF138" s="414">
        <v>0</v>
      </c>
      <c r="AG138" s="37">
        <f>$AC138*AF138</f>
        <v>0</v>
      </c>
      <c r="AH138" s="414">
        <v>0.8</v>
      </c>
      <c r="AI138" s="37">
        <f>$AC138*AH138</f>
        <v>1.6</v>
      </c>
      <c r="AJ138" s="414">
        <v>0</v>
      </c>
      <c r="AK138" s="37">
        <f>$AC138*AJ138</f>
        <v>0</v>
      </c>
      <c r="AL138" s="414">
        <v>0</v>
      </c>
      <c r="AM138" s="37">
        <f>$AC138*AL138</f>
        <v>0</v>
      </c>
      <c r="AN138" s="414">
        <v>0</v>
      </c>
      <c r="AO138" s="37">
        <f>$AC138*AN138</f>
        <v>0</v>
      </c>
      <c r="AP138" s="414">
        <v>0</v>
      </c>
      <c r="AQ138" s="37">
        <f>$AC138*AP138</f>
        <v>0</v>
      </c>
      <c r="AR138" s="414">
        <v>0</v>
      </c>
      <c r="AS138" s="37">
        <f>$AC138*AR138</f>
        <v>0</v>
      </c>
      <c r="AT138" s="414">
        <v>1</v>
      </c>
      <c r="AU138" s="37">
        <f>$AC138*AT138</f>
        <v>2</v>
      </c>
      <c r="AV138" s="414">
        <v>0</v>
      </c>
      <c r="AW138" s="37">
        <f>$AC138*AV138</f>
        <v>0</v>
      </c>
      <c r="AX138" s="414">
        <v>0</v>
      </c>
      <c r="AZ138" s="414">
        <v>0</v>
      </c>
      <c r="BA138" s="37">
        <f>$AC138*AZ138</f>
        <v>0</v>
      </c>
      <c r="BC138" s="37" t="str">
        <f t="shared" si="145"/>
        <v>18043-LM646 01205 Sections Sheet 5</v>
      </c>
    </row>
    <row r="139" spans="1:55" s="37" customFormat="1" ht="15" customHeight="1" outlineLevel="1">
      <c r="A139" s="317"/>
      <c r="B139" s="38"/>
      <c r="C139" s="233"/>
      <c r="D139" s="38"/>
      <c r="E139" s="270"/>
      <c r="F139" s="310"/>
      <c r="G139" s="310"/>
      <c r="H139" s="310"/>
      <c r="I139" s="310"/>
      <c r="J139" s="310"/>
      <c r="K139" s="310"/>
      <c r="L139" s="577"/>
      <c r="M139" s="38"/>
      <c r="N139" s="38"/>
      <c r="O139" s="38"/>
      <c r="P139" s="38"/>
      <c r="Q139" s="38"/>
      <c r="R139" s="38"/>
      <c r="S139" s="38"/>
      <c r="T139" s="40"/>
      <c r="U139" s="38"/>
      <c r="V139" s="40"/>
      <c r="W139" s="40"/>
      <c r="X139" s="324"/>
      <c r="Y139" s="40"/>
      <c r="Z139" s="236"/>
      <c r="AA139" s="239"/>
      <c r="AB139" s="239"/>
      <c r="AC139" s="405"/>
      <c r="AD139" s="414"/>
      <c r="AF139" s="414"/>
      <c r="AH139" s="414"/>
      <c r="AJ139" s="414"/>
      <c r="AL139" s="414"/>
      <c r="AN139" s="414"/>
      <c r="AP139" s="414"/>
      <c r="AR139" s="414"/>
      <c r="AT139" s="414"/>
      <c r="AV139" s="414"/>
      <c r="AX139" s="414"/>
      <c r="AZ139" s="414"/>
      <c r="BB139" s="316"/>
      <c r="BC139" s="37" t="str">
        <f t="shared" si="145"/>
        <v xml:space="preserve"> </v>
      </c>
    </row>
    <row r="140" spans="1:55" s="37" customFormat="1" ht="15" customHeight="1" outlineLevel="1">
      <c r="A140" s="317" t="s">
        <v>324</v>
      </c>
      <c r="B140" s="38" t="s">
        <v>94</v>
      </c>
      <c r="C140" s="255" t="s">
        <v>95</v>
      </c>
      <c r="D140" s="38"/>
      <c r="E140" s="270" t="s">
        <v>325</v>
      </c>
      <c r="F140" s="310" t="s">
        <v>34</v>
      </c>
      <c r="G140" s="310"/>
      <c r="H140" s="310"/>
      <c r="I140" s="310" t="s">
        <v>116</v>
      </c>
      <c r="J140" s="310"/>
      <c r="K140" s="310"/>
      <c r="L140" s="577"/>
      <c r="M140" s="38"/>
      <c r="N140" s="38"/>
      <c r="O140" s="38"/>
      <c r="P140" s="38"/>
      <c r="Q140" s="38" t="s">
        <v>98</v>
      </c>
      <c r="R140" s="38"/>
      <c r="S140" s="38"/>
      <c r="T140" s="40"/>
      <c r="U140" s="38" t="s">
        <v>98</v>
      </c>
      <c r="V140" s="262" t="s">
        <v>192</v>
      </c>
      <c r="W140" s="40"/>
      <c r="X140" s="324"/>
      <c r="Y140" s="40"/>
      <c r="Z140" s="415" t="s">
        <v>195</v>
      </c>
      <c r="AA140" s="239" t="s">
        <v>102</v>
      </c>
      <c r="AB140" s="239" t="s">
        <v>193</v>
      </c>
      <c r="AC140" s="405">
        <v>1.5</v>
      </c>
      <c r="AD140" s="414">
        <v>0.7</v>
      </c>
      <c r="AE140" s="37">
        <f>$AC140*AD140</f>
        <v>1.0499999999999998</v>
      </c>
      <c r="AF140" s="414">
        <v>0</v>
      </c>
      <c r="AG140" s="37">
        <f>$AC140*AF140</f>
        <v>0</v>
      </c>
      <c r="AH140" s="414">
        <v>0.8</v>
      </c>
      <c r="AI140" s="37">
        <f>$AC140*AH140</f>
        <v>1.2000000000000002</v>
      </c>
      <c r="AJ140" s="414">
        <v>0</v>
      </c>
      <c r="AK140" s="37">
        <f>$AC140*AJ140</f>
        <v>0</v>
      </c>
      <c r="AL140" s="414">
        <v>0.9</v>
      </c>
      <c r="AM140" s="37">
        <f>$AC140*AL140</f>
        <v>1.35</v>
      </c>
      <c r="AN140" s="414">
        <v>0</v>
      </c>
      <c r="AO140" s="37">
        <f>$AC140*AN140</f>
        <v>0</v>
      </c>
      <c r="AP140" s="414">
        <v>0.9</v>
      </c>
      <c r="AQ140" s="37">
        <f>$AC140*AP140</f>
        <v>1.35</v>
      </c>
      <c r="AR140" s="414">
        <v>0</v>
      </c>
      <c r="AS140" s="37">
        <f>$AC140*AR140</f>
        <v>0</v>
      </c>
      <c r="AT140" s="414">
        <v>1</v>
      </c>
      <c r="AU140" s="37">
        <f>$AC140*AT140</f>
        <v>1.5</v>
      </c>
      <c r="AV140" s="414">
        <v>0</v>
      </c>
      <c r="AW140" s="37">
        <f>$AC140*AV140</f>
        <v>0</v>
      </c>
      <c r="AX140" s="414">
        <v>0.9</v>
      </c>
      <c r="AZ140" s="414">
        <v>0</v>
      </c>
      <c r="BA140" s="37">
        <f>$AC140*AZ140</f>
        <v>0</v>
      </c>
      <c r="BB140" s="316"/>
      <c r="BC140" s="37" t="str">
        <f t="shared" si="145"/>
        <v>18043-LM646 01301 Elevations Sheet 1</v>
      </c>
    </row>
    <row r="141" spans="1:55" s="37" customFormat="1" ht="15" customHeight="1" outlineLevel="1">
      <c r="A141" s="317" t="s">
        <v>326</v>
      </c>
      <c r="B141" s="38" t="s">
        <v>94</v>
      </c>
      <c r="C141" s="255" t="s">
        <v>95</v>
      </c>
      <c r="D141" s="38"/>
      <c r="E141" s="270" t="s">
        <v>327</v>
      </c>
      <c r="F141" s="310" t="s">
        <v>34</v>
      </c>
      <c r="G141" s="310"/>
      <c r="H141" s="310"/>
      <c r="I141" s="310" t="s">
        <v>116</v>
      </c>
      <c r="J141" s="310"/>
      <c r="K141" s="310"/>
      <c r="L141" s="577"/>
      <c r="M141" s="38"/>
      <c r="N141" s="38"/>
      <c r="O141" s="38"/>
      <c r="P141" s="38"/>
      <c r="Q141" s="38" t="s">
        <v>98</v>
      </c>
      <c r="R141" s="38"/>
      <c r="S141" s="38"/>
      <c r="T141" s="40"/>
      <c r="U141" s="38" t="s">
        <v>98</v>
      </c>
      <c r="V141" s="262" t="s">
        <v>192</v>
      </c>
      <c r="W141" s="40"/>
      <c r="X141" s="324"/>
      <c r="Y141" s="245" t="s">
        <v>240</v>
      </c>
      <c r="Z141" s="415" t="s">
        <v>195</v>
      </c>
      <c r="AA141" s="239" t="s">
        <v>102</v>
      </c>
      <c r="AB141" s="239" t="s">
        <v>193</v>
      </c>
      <c r="AC141" s="405">
        <v>1.5</v>
      </c>
      <c r="AD141" s="414">
        <v>0.7</v>
      </c>
      <c r="AE141" s="37">
        <f>$AC141*AD141</f>
        <v>1.0499999999999998</v>
      </c>
      <c r="AF141" s="414">
        <v>0</v>
      </c>
      <c r="AG141" s="37">
        <f>$AC141*AF141</f>
        <v>0</v>
      </c>
      <c r="AH141" s="414">
        <v>0.8</v>
      </c>
      <c r="AI141" s="37">
        <f>$AC141*AH141</f>
        <v>1.2000000000000002</v>
      </c>
      <c r="AJ141" s="414">
        <v>0</v>
      </c>
      <c r="AK141" s="37">
        <f>$AC141*AJ141</f>
        <v>0</v>
      </c>
      <c r="AL141" s="414">
        <v>0.9</v>
      </c>
      <c r="AM141" s="37">
        <f>$AC141*AL141</f>
        <v>1.35</v>
      </c>
      <c r="AN141" s="414">
        <v>0</v>
      </c>
      <c r="AO141" s="37">
        <f>$AC141*AN141</f>
        <v>0</v>
      </c>
      <c r="AP141" s="414">
        <v>0.9</v>
      </c>
      <c r="AQ141" s="37">
        <f>$AC141*AP141</f>
        <v>1.35</v>
      </c>
      <c r="AR141" s="414">
        <v>0</v>
      </c>
      <c r="AS141" s="37">
        <f>$AC141*AR141</f>
        <v>0</v>
      </c>
      <c r="AT141" s="414">
        <v>1</v>
      </c>
      <c r="AU141" s="37">
        <f>$AC141*AT141</f>
        <v>1.5</v>
      </c>
      <c r="AV141" s="414">
        <v>0</v>
      </c>
      <c r="AW141" s="37">
        <f>$AC141*AV141</f>
        <v>0</v>
      </c>
      <c r="AX141" s="414">
        <v>0.9</v>
      </c>
      <c r="AZ141" s="414">
        <v>0</v>
      </c>
      <c r="BA141" s="37">
        <f>$AC141*AZ141</f>
        <v>0</v>
      </c>
      <c r="BB141" s="316"/>
      <c r="BC141" s="37" t="str">
        <f t="shared" si="145"/>
        <v>18043-LM646 01302 Elevations Sheet 2</v>
      </c>
    </row>
    <row r="142" spans="1:55" s="37" customFormat="1" ht="15" customHeight="1" outlineLevel="1">
      <c r="A142" s="317" t="s">
        <v>328</v>
      </c>
      <c r="B142" s="38" t="s">
        <v>94</v>
      </c>
      <c r="C142" s="255" t="s">
        <v>95</v>
      </c>
      <c r="D142" s="38"/>
      <c r="E142" s="270" t="s">
        <v>329</v>
      </c>
      <c r="F142" s="310" t="s">
        <v>34</v>
      </c>
      <c r="G142" s="310"/>
      <c r="H142" s="310"/>
      <c r="I142" s="310" t="s">
        <v>31</v>
      </c>
      <c r="J142" s="310"/>
      <c r="K142" s="310"/>
      <c r="L142" s="577"/>
      <c r="M142" s="38"/>
      <c r="N142" s="38"/>
      <c r="O142" s="38"/>
      <c r="P142" s="38"/>
      <c r="Q142" s="38" t="s">
        <v>98</v>
      </c>
      <c r="R142" s="38" t="s">
        <v>34</v>
      </c>
      <c r="S142" s="38"/>
      <c r="T142" s="40"/>
      <c r="U142" s="38" t="s">
        <v>98</v>
      </c>
      <c r="V142" s="262" t="s">
        <v>192</v>
      </c>
      <c r="W142" s="40"/>
      <c r="X142" s="324"/>
      <c r="Y142" s="245" t="s">
        <v>240</v>
      </c>
      <c r="Z142" s="415" t="s">
        <v>195</v>
      </c>
      <c r="AA142" s="239" t="s">
        <v>102</v>
      </c>
      <c r="AB142" s="239" t="s">
        <v>193</v>
      </c>
      <c r="AC142" s="405">
        <v>1.5</v>
      </c>
      <c r="AD142" s="414">
        <v>0</v>
      </c>
      <c r="AE142" s="37">
        <f>$AC142*AD142</f>
        <v>0</v>
      </c>
      <c r="AF142" s="414">
        <v>0</v>
      </c>
      <c r="AG142" s="37">
        <f>$AC142*AF142</f>
        <v>0</v>
      </c>
      <c r="AH142" s="414">
        <v>0.5</v>
      </c>
      <c r="AI142" s="37">
        <f>$AC142*AH142</f>
        <v>0.75</v>
      </c>
      <c r="AJ142" s="414">
        <v>0</v>
      </c>
      <c r="AK142" s="37">
        <f>$AC142*AJ142</f>
        <v>0</v>
      </c>
      <c r="AL142" s="414">
        <v>0</v>
      </c>
      <c r="AM142" s="37">
        <f>$AC142*AL142</f>
        <v>0</v>
      </c>
      <c r="AN142" s="414">
        <v>0</v>
      </c>
      <c r="AO142" s="37">
        <f>$AC142*AN142</f>
        <v>0</v>
      </c>
      <c r="AP142" s="414">
        <v>0</v>
      </c>
      <c r="AQ142" s="37">
        <f>$AC142*AP142</f>
        <v>0</v>
      </c>
      <c r="AR142" s="414">
        <v>0</v>
      </c>
      <c r="AS142" s="37">
        <f>$AC142*AR142</f>
        <v>0</v>
      </c>
      <c r="AT142" s="414">
        <v>1</v>
      </c>
      <c r="AU142" s="37">
        <f>$AC142*AT142</f>
        <v>1.5</v>
      </c>
      <c r="AV142" s="414">
        <v>0</v>
      </c>
      <c r="AW142" s="37">
        <f>$AC142*AV142</f>
        <v>0</v>
      </c>
      <c r="AX142" s="414">
        <v>0</v>
      </c>
      <c r="AZ142" s="414">
        <v>0</v>
      </c>
      <c r="BA142" s="37">
        <f>$AC142*AZ142</f>
        <v>0</v>
      </c>
      <c r="BB142" s="316"/>
      <c r="BC142" s="37" t="str">
        <f t="shared" si="145"/>
        <v>18043-LM646 01303 Elevations Sheet 3</v>
      </c>
    </row>
    <row r="143" spans="1:55" s="37" customFormat="1" ht="15" customHeight="1" outlineLevel="1">
      <c r="A143" s="317" t="s">
        <v>330</v>
      </c>
      <c r="B143" s="38" t="s">
        <v>94</v>
      </c>
      <c r="C143" s="255" t="s">
        <v>95</v>
      </c>
      <c r="D143" s="38"/>
      <c r="E143" s="270" t="s">
        <v>331</v>
      </c>
      <c r="F143" s="310" t="s">
        <v>34</v>
      </c>
      <c r="G143" s="310"/>
      <c r="H143" s="310"/>
      <c r="I143" s="310" t="s">
        <v>31</v>
      </c>
      <c r="J143" s="310"/>
      <c r="K143" s="310"/>
      <c r="L143" s="577"/>
      <c r="M143" s="38"/>
      <c r="N143" s="38"/>
      <c r="O143" s="38"/>
      <c r="P143" s="38"/>
      <c r="Q143" s="38" t="s">
        <v>98</v>
      </c>
      <c r="R143" s="38"/>
      <c r="S143" s="38"/>
      <c r="T143" s="40"/>
      <c r="U143" s="38" t="s">
        <v>98</v>
      </c>
      <c r="V143" s="262" t="s">
        <v>192</v>
      </c>
      <c r="W143" s="40"/>
      <c r="X143" s="324"/>
      <c r="Y143" s="245" t="s">
        <v>240</v>
      </c>
      <c r="Z143" s="415" t="s">
        <v>195</v>
      </c>
      <c r="AA143" s="239" t="s">
        <v>102</v>
      </c>
      <c r="AB143" s="239" t="s">
        <v>193</v>
      </c>
      <c r="AC143" s="405">
        <v>1.5</v>
      </c>
      <c r="AD143" s="414">
        <v>0</v>
      </c>
      <c r="AE143" s="37">
        <f>$AC143*AD143</f>
        <v>0</v>
      </c>
      <c r="AF143" s="414">
        <v>0</v>
      </c>
      <c r="AG143" s="37">
        <f>$AC143*AF143</f>
        <v>0</v>
      </c>
      <c r="AH143" s="414">
        <v>0.5</v>
      </c>
      <c r="AI143" s="37">
        <f>$AC143*AH143</f>
        <v>0.75</v>
      </c>
      <c r="AJ143" s="414">
        <v>0</v>
      </c>
      <c r="AK143" s="37">
        <f>$AC143*AJ143</f>
        <v>0</v>
      </c>
      <c r="AL143" s="414">
        <v>0</v>
      </c>
      <c r="AM143" s="37">
        <f>$AC143*AL143</f>
        <v>0</v>
      </c>
      <c r="AN143" s="414">
        <v>0</v>
      </c>
      <c r="AO143" s="37">
        <f>$AC143*AN143</f>
        <v>0</v>
      </c>
      <c r="AP143" s="414">
        <v>0</v>
      </c>
      <c r="AQ143" s="37">
        <f>$AC143*AP143</f>
        <v>0</v>
      </c>
      <c r="AR143" s="414">
        <v>0</v>
      </c>
      <c r="AS143" s="37">
        <f>$AC143*AR143</f>
        <v>0</v>
      </c>
      <c r="AT143" s="414">
        <v>1</v>
      </c>
      <c r="AU143" s="37">
        <f>$AC143*AT143</f>
        <v>1.5</v>
      </c>
      <c r="AV143" s="414">
        <v>0</v>
      </c>
      <c r="AW143" s="37">
        <f>$AC143*AV143</f>
        <v>0</v>
      </c>
      <c r="AX143" s="414">
        <v>0</v>
      </c>
      <c r="AZ143" s="414">
        <v>0</v>
      </c>
      <c r="BA143" s="37">
        <f>$AC143*AZ143</f>
        <v>0</v>
      </c>
      <c r="BB143" s="316"/>
      <c r="BC143" s="37" t="str">
        <f t="shared" si="145"/>
        <v>18043-LM646 01304 Elevations Sheet 4</v>
      </c>
    </row>
    <row r="144" spans="1:55" s="37" customFormat="1" ht="15" customHeight="1" outlineLevel="1">
      <c r="A144" s="317"/>
      <c r="B144" s="38"/>
      <c r="C144" s="233"/>
      <c r="D144" s="38"/>
      <c r="E144" s="42"/>
      <c r="F144" s="310"/>
      <c r="G144" s="310"/>
      <c r="H144" s="310"/>
      <c r="I144" s="310"/>
      <c r="J144" s="310"/>
      <c r="K144" s="310"/>
      <c r="L144" s="577"/>
      <c r="M144" s="38"/>
      <c r="N144" s="38"/>
      <c r="O144" s="38"/>
      <c r="P144" s="38"/>
      <c r="Q144" s="38"/>
      <c r="R144" s="38"/>
      <c r="S144" s="38"/>
      <c r="T144" s="40"/>
      <c r="U144" s="38"/>
      <c r="V144" s="40"/>
      <c r="W144" s="40"/>
      <c r="X144" s="324"/>
      <c r="Y144" s="40"/>
      <c r="Z144" s="236"/>
      <c r="AA144" s="239"/>
      <c r="AB144" s="239"/>
      <c r="AC144" s="405"/>
      <c r="AD144" s="414"/>
      <c r="AF144" s="414"/>
      <c r="AH144" s="414"/>
      <c r="AJ144" s="414"/>
      <c r="AL144" s="414"/>
      <c r="AN144" s="414"/>
      <c r="AP144" s="414"/>
      <c r="AR144" s="414"/>
      <c r="AT144" s="414"/>
      <c r="AV144" s="414"/>
      <c r="AX144" s="414"/>
      <c r="AZ144" s="414"/>
      <c r="BB144" s="316"/>
      <c r="BC144" s="37" t="str">
        <f t="shared" si="145"/>
        <v xml:space="preserve"> </v>
      </c>
    </row>
    <row r="145" spans="1:55" s="37" customFormat="1" ht="15" customHeight="1" outlineLevel="1">
      <c r="A145" s="317" t="s">
        <v>332</v>
      </c>
      <c r="B145" s="38" t="s">
        <v>94</v>
      </c>
      <c r="C145" s="255" t="s">
        <v>95</v>
      </c>
      <c r="D145" s="38"/>
      <c r="E145" s="270" t="s">
        <v>246</v>
      </c>
      <c r="F145" s="310"/>
      <c r="G145" s="310"/>
      <c r="H145" s="310" t="s">
        <v>97</v>
      </c>
      <c r="I145" s="310" t="s">
        <v>34</v>
      </c>
      <c r="J145" s="310"/>
      <c r="K145" s="310"/>
      <c r="L145" s="577"/>
      <c r="M145" s="38"/>
      <c r="N145" s="38"/>
      <c r="O145" s="38"/>
      <c r="P145" s="38"/>
      <c r="Q145" s="38" t="s">
        <v>98</v>
      </c>
      <c r="R145" s="38" t="s">
        <v>34</v>
      </c>
      <c r="S145" s="38"/>
      <c r="T145" s="40"/>
      <c r="U145" s="38" t="s">
        <v>98</v>
      </c>
      <c r="V145" s="262" t="s">
        <v>192</v>
      </c>
      <c r="W145" s="304"/>
      <c r="X145" s="324"/>
      <c r="Y145" s="40"/>
      <c r="Z145" s="419">
        <v>7.6388888888888895E-2</v>
      </c>
      <c r="AA145" s="239" t="s">
        <v>102</v>
      </c>
      <c r="AB145" s="239" t="s">
        <v>193</v>
      </c>
      <c r="AC145" s="405">
        <v>2.5</v>
      </c>
      <c r="AD145" s="414"/>
      <c r="AE145" s="37">
        <f t="shared" ref="AE145:AE150" si="146">$AC145*AD145</f>
        <v>0</v>
      </c>
      <c r="AF145" s="414">
        <v>0</v>
      </c>
      <c r="AG145" s="37">
        <f t="shared" ref="AG145:AG150" si="147">$AC145*AF145</f>
        <v>0</v>
      </c>
      <c r="AH145" s="414">
        <v>0.8</v>
      </c>
      <c r="AI145" s="37">
        <f t="shared" ref="AI145:AI150" si="148">$AC145*AH145</f>
        <v>2</v>
      </c>
      <c r="AJ145" s="414">
        <v>0</v>
      </c>
      <c r="AK145" s="37">
        <f t="shared" ref="AK145:AK150" si="149">$AC145*AJ145</f>
        <v>0</v>
      </c>
      <c r="AL145" s="414">
        <v>0</v>
      </c>
      <c r="AM145" s="37">
        <f t="shared" ref="AM145:AM150" si="150">$AC145*AL145</f>
        <v>0</v>
      </c>
      <c r="AN145" s="414">
        <v>0</v>
      </c>
      <c r="AO145" s="37">
        <f t="shared" ref="AO145:AO150" si="151">$AC145*AN145</f>
        <v>0</v>
      </c>
      <c r="AP145" s="414">
        <v>0</v>
      </c>
      <c r="AQ145" s="37">
        <f t="shared" ref="AQ145:AQ150" si="152">$AC145*AP145</f>
        <v>0</v>
      </c>
      <c r="AR145" s="414">
        <v>0</v>
      </c>
      <c r="AS145" s="37">
        <f t="shared" ref="AS145:AS150" si="153">$AC145*AR145</f>
        <v>0</v>
      </c>
      <c r="AT145" s="414">
        <v>1</v>
      </c>
      <c r="AU145" s="37">
        <f t="shared" ref="AU145:AU150" si="154">$AC145*AT145</f>
        <v>2.5</v>
      </c>
      <c r="AV145" s="414">
        <v>0</v>
      </c>
      <c r="AW145" s="37">
        <f t="shared" ref="AW145:AW150" si="155">$AC145*AV145</f>
        <v>0</v>
      </c>
      <c r="AX145" s="414">
        <v>0</v>
      </c>
      <c r="AZ145" s="414">
        <v>0</v>
      </c>
      <c r="BA145" s="37">
        <f t="shared" ref="BA145:BA150" si="156">$AC145*AZ145</f>
        <v>0</v>
      </c>
      <c r="BB145" s="316"/>
      <c r="BC145" s="37" t="str">
        <f t="shared" si="145"/>
        <v>18043-LM646 01401 Wall Section &amp; Section Details sheet 1</v>
      </c>
    </row>
    <row r="146" spans="1:55" s="37" customFormat="1" ht="15" customHeight="1" outlineLevel="1">
      <c r="A146" s="317" t="s">
        <v>333</v>
      </c>
      <c r="B146" s="38" t="s">
        <v>94</v>
      </c>
      <c r="C146" s="255" t="s">
        <v>95</v>
      </c>
      <c r="D146" s="38"/>
      <c r="E146" s="270" t="s">
        <v>248</v>
      </c>
      <c r="F146" s="310" t="s">
        <v>34</v>
      </c>
      <c r="G146" s="310"/>
      <c r="H146" s="310" t="s">
        <v>31</v>
      </c>
      <c r="I146" s="310"/>
      <c r="J146" s="310"/>
      <c r="K146" s="310"/>
      <c r="L146" s="577"/>
      <c r="M146" s="38"/>
      <c r="N146" s="38"/>
      <c r="O146" s="38"/>
      <c r="P146" s="38"/>
      <c r="Q146" s="38" t="s">
        <v>98</v>
      </c>
      <c r="R146" s="38" t="s">
        <v>34</v>
      </c>
      <c r="S146" s="38"/>
      <c r="T146" s="40"/>
      <c r="U146" s="38" t="s">
        <v>98</v>
      </c>
      <c r="V146" s="262" t="s">
        <v>192</v>
      </c>
      <c r="W146" s="40"/>
      <c r="X146" s="324"/>
      <c r="Y146" s="40"/>
      <c r="Z146" s="419">
        <v>7.6388888888888895E-2</v>
      </c>
      <c r="AA146" s="239" t="s">
        <v>102</v>
      </c>
      <c r="AB146" s="239" t="s">
        <v>193</v>
      </c>
      <c r="AC146" s="405">
        <v>2.5</v>
      </c>
      <c r="AD146" s="414"/>
      <c r="AE146" s="37">
        <f t="shared" si="146"/>
        <v>0</v>
      </c>
      <c r="AF146" s="414">
        <v>0</v>
      </c>
      <c r="AG146" s="37">
        <f t="shared" si="147"/>
        <v>0</v>
      </c>
      <c r="AH146" s="414">
        <v>0.8</v>
      </c>
      <c r="AI146" s="37">
        <f t="shared" si="148"/>
        <v>2</v>
      </c>
      <c r="AJ146" s="414">
        <v>0</v>
      </c>
      <c r="AK146" s="37">
        <f t="shared" si="149"/>
        <v>0</v>
      </c>
      <c r="AL146" s="414">
        <v>0</v>
      </c>
      <c r="AM146" s="37">
        <f t="shared" si="150"/>
        <v>0</v>
      </c>
      <c r="AN146" s="414">
        <v>0</v>
      </c>
      <c r="AO146" s="37">
        <f t="shared" si="151"/>
        <v>0</v>
      </c>
      <c r="AP146" s="414">
        <v>0</v>
      </c>
      <c r="AQ146" s="37">
        <f t="shared" si="152"/>
        <v>0</v>
      </c>
      <c r="AR146" s="414">
        <v>0</v>
      </c>
      <c r="AS146" s="37">
        <f t="shared" si="153"/>
        <v>0</v>
      </c>
      <c r="AT146" s="414">
        <v>1</v>
      </c>
      <c r="AU146" s="37">
        <f t="shared" si="154"/>
        <v>2.5</v>
      </c>
      <c r="AV146" s="414">
        <v>0</v>
      </c>
      <c r="AW146" s="37">
        <f t="shared" si="155"/>
        <v>0</v>
      </c>
      <c r="AX146" s="414">
        <v>0</v>
      </c>
      <c r="AZ146" s="414">
        <v>0</v>
      </c>
      <c r="BA146" s="37">
        <f t="shared" si="156"/>
        <v>0</v>
      </c>
      <c r="BB146" s="316"/>
      <c r="BC146" s="37" t="str">
        <f t="shared" si="145"/>
        <v>18043-LM646 01402 Wall Section &amp; Section Details sheet 2</v>
      </c>
    </row>
    <row r="147" spans="1:55" s="37" customFormat="1" ht="15" customHeight="1" outlineLevel="1">
      <c r="A147" s="317" t="s">
        <v>334</v>
      </c>
      <c r="B147" s="38" t="s">
        <v>94</v>
      </c>
      <c r="C147" s="255" t="s">
        <v>95</v>
      </c>
      <c r="D147" s="38"/>
      <c r="E147" s="270" t="s">
        <v>250</v>
      </c>
      <c r="F147" s="310"/>
      <c r="G147" s="310"/>
      <c r="H147" s="310" t="s">
        <v>97</v>
      </c>
      <c r="I147" s="310" t="s">
        <v>34</v>
      </c>
      <c r="J147" s="310"/>
      <c r="K147" s="310"/>
      <c r="L147" s="577"/>
      <c r="M147" s="38"/>
      <c r="N147" s="38"/>
      <c r="O147" s="38"/>
      <c r="P147" s="38"/>
      <c r="Q147" s="38" t="s">
        <v>98</v>
      </c>
      <c r="R147" s="38"/>
      <c r="S147" s="38"/>
      <c r="T147" s="40"/>
      <c r="U147" s="38" t="s">
        <v>98</v>
      </c>
      <c r="V147" s="262" t="s">
        <v>192</v>
      </c>
      <c r="W147" s="304"/>
      <c r="X147" s="324"/>
      <c r="Y147" s="40"/>
      <c r="Z147" s="419">
        <v>7.6388888888888895E-2</v>
      </c>
      <c r="AA147" s="239" t="s">
        <v>102</v>
      </c>
      <c r="AB147" s="239" t="s">
        <v>193</v>
      </c>
      <c r="AC147" s="405">
        <v>2.5</v>
      </c>
      <c r="AD147" s="414"/>
      <c r="AE147" s="37">
        <f t="shared" si="146"/>
        <v>0</v>
      </c>
      <c r="AF147" s="414">
        <v>0</v>
      </c>
      <c r="AG147" s="37">
        <f t="shared" si="147"/>
        <v>0</v>
      </c>
      <c r="AH147" s="414">
        <v>0.8</v>
      </c>
      <c r="AI147" s="37">
        <f t="shared" si="148"/>
        <v>2</v>
      </c>
      <c r="AJ147" s="414">
        <v>0</v>
      </c>
      <c r="AK147" s="37">
        <f t="shared" si="149"/>
        <v>0</v>
      </c>
      <c r="AL147" s="414">
        <v>0</v>
      </c>
      <c r="AM147" s="37">
        <f t="shared" si="150"/>
        <v>0</v>
      </c>
      <c r="AN147" s="414">
        <v>0</v>
      </c>
      <c r="AO147" s="37">
        <f t="shared" si="151"/>
        <v>0</v>
      </c>
      <c r="AP147" s="414">
        <v>0</v>
      </c>
      <c r="AQ147" s="37">
        <f t="shared" si="152"/>
        <v>0</v>
      </c>
      <c r="AR147" s="414">
        <v>0</v>
      </c>
      <c r="AS147" s="37">
        <f t="shared" si="153"/>
        <v>0</v>
      </c>
      <c r="AT147" s="414">
        <v>1</v>
      </c>
      <c r="AU147" s="37">
        <f t="shared" si="154"/>
        <v>2.5</v>
      </c>
      <c r="AV147" s="414">
        <v>0</v>
      </c>
      <c r="AW147" s="37">
        <f t="shared" si="155"/>
        <v>0</v>
      </c>
      <c r="AX147" s="414">
        <v>0</v>
      </c>
      <c r="AZ147" s="414">
        <v>0</v>
      </c>
      <c r="BA147" s="37">
        <f t="shared" si="156"/>
        <v>0</v>
      </c>
      <c r="BB147" s="316"/>
      <c r="BC147" s="37" t="str">
        <f t="shared" si="145"/>
        <v>18043-LM646 01403 Wall Section &amp; Section Details sheet 3</v>
      </c>
    </row>
    <row r="148" spans="1:55" s="37" customFormat="1" ht="15" customHeight="1" outlineLevel="1">
      <c r="A148" s="317" t="s">
        <v>335</v>
      </c>
      <c r="B148" s="38" t="s">
        <v>94</v>
      </c>
      <c r="C148" s="255" t="s">
        <v>95</v>
      </c>
      <c r="D148" s="38"/>
      <c r="E148" s="270" t="s">
        <v>253</v>
      </c>
      <c r="F148" s="310" t="s">
        <v>34</v>
      </c>
      <c r="G148" s="310"/>
      <c r="H148" s="310" t="s">
        <v>31</v>
      </c>
      <c r="I148" s="310"/>
      <c r="J148" s="310"/>
      <c r="K148" s="310"/>
      <c r="L148" s="577"/>
      <c r="M148" s="38"/>
      <c r="N148" s="38"/>
      <c r="O148" s="38"/>
      <c r="P148" s="38"/>
      <c r="Q148" s="38" t="s">
        <v>98</v>
      </c>
      <c r="R148" s="38" t="s">
        <v>34</v>
      </c>
      <c r="S148" s="38"/>
      <c r="T148" s="40"/>
      <c r="U148" s="38" t="s">
        <v>98</v>
      </c>
      <c r="V148" s="262" t="s">
        <v>192</v>
      </c>
      <c r="W148" s="40"/>
      <c r="X148" s="324"/>
      <c r="Y148" s="40"/>
      <c r="Z148" s="419">
        <v>7.6388888888888895E-2</v>
      </c>
      <c r="AA148" s="239" t="s">
        <v>102</v>
      </c>
      <c r="AB148" s="239" t="s">
        <v>193</v>
      </c>
      <c r="AC148" s="405">
        <v>2.5</v>
      </c>
      <c r="AD148" s="414">
        <v>0</v>
      </c>
      <c r="AE148" s="37">
        <f t="shared" si="146"/>
        <v>0</v>
      </c>
      <c r="AF148" s="414">
        <v>0</v>
      </c>
      <c r="AG148" s="37">
        <f t="shared" si="147"/>
        <v>0</v>
      </c>
      <c r="AH148" s="414">
        <v>0.5</v>
      </c>
      <c r="AI148" s="37">
        <f t="shared" si="148"/>
        <v>1.25</v>
      </c>
      <c r="AJ148" s="414">
        <v>0</v>
      </c>
      <c r="AK148" s="37">
        <f t="shared" si="149"/>
        <v>0</v>
      </c>
      <c r="AL148" s="414">
        <v>0</v>
      </c>
      <c r="AM148" s="37">
        <f t="shared" si="150"/>
        <v>0</v>
      </c>
      <c r="AN148" s="414">
        <v>0</v>
      </c>
      <c r="AO148" s="37">
        <f t="shared" si="151"/>
        <v>0</v>
      </c>
      <c r="AP148" s="414">
        <v>0</v>
      </c>
      <c r="AQ148" s="37">
        <f t="shared" si="152"/>
        <v>0</v>
      </c>
      <c r="AR148" s="414">
        <v>0</v>
      </c>
      <c r="AS148" s="37">
        <f t="shared" si="153"/>
        <v>0</v>
      </c>
      <c r="AT148" s="414">
        <v>1</v>
      </c>
      <c r="AU148" s="37">
        <f t="shared" si="154"/>
        <v>2.5</v>
      </c>
      <c r="AV148" s="414">
        <v>0</v>
      </c>
      <c r="AW148" s="37">
        <f t="shared" si="155"/>
        <v>0</v>
      </c>
      <c r="AX148" s="414">
        <v>0</v>
      </c>
      <c r="AZ148" s="414">
        <v>0</v>
      </c>
      <c r="BA148" s="37">
        <f t="shared" si="156"/>
        <v>0</v>
      </c>
      <c r="BB148" s="316"/>
      <c r="BC148" s="37" t="str">
        <f t="shared" si="145"/>
        <v>18043-LM646 01404 Wall Section &amp; Section Details sheet 4</v>
      </c>
    </row>
    <row r="149" spans="1:55" s="37" customFormat="1" ht="15" customHeight="1" outlineLevel="1">
      <c r="A149" s="317" t="s">
        <v>336</v>
      </c>
      <c r="B149" s="38" t="s">
        <v>94</v>
      </c>
      <c r="C149" s="255" t="s">
        <v>95</v>
      </c>
      <c r="D149" s="38"/>
      <c r="E149" s="270" t="s">
        <v>337</v>
      </c>
      <c r="F149" s="310" t="s">
        <v>97</v>
      </c>
      <c r="G149" s="310"/>
      <c r="H149" s="310" t="s">
        <v>34</v>
      </c>
      <c r="I149" s="310"/>
      <c r="J149" s="310"/>
      <c r="K149" s="310"/>
      <c r="L149" s="577"/>
      <c r="M149" s="38"/>
      <c r="N149" s="38"/>
      <c r="O149" s="38"/>
      <c r="P149" s="38"/>
      <c r="Q149" s="38" t="s">
        <v>98</v>
      </c>
      <c r="R149" s="38"/>
      <c r="S149" s="38"/>
      <c r="T149" s="40"/>
      <c r="U149" s="38" t="s">
        <v>98</v>
      </c>
      <c r="V149" s="262" t="s">
        <v>192</v>
      </c>
      <c r="W149" s="40"/>
      <c r="X149" s="324"/>
      <c r="Y149" s="40"/>
      <c r="Z149" s="419">
        <v>7.6388888888888895E-2</v>
      </c>
      <c r="AA149" s="239" t="s">
        <v>102</v>
      </c>
      <c r="AB149" s="239" t="s">
        <v>193</v>
      </c>
      <c r="AC149" s="405">
        <v>2.5</v>
      </c>
      <c r="AD149" s="414">
        <v>0</v>
      </c>
      <c r="AE149" s="37">
        <f t="shared" si="146"/>
        <v>0</v>
      </c>
      <c r="AF149" s="414">
        <v>0</v>
      </c>
      <c r="AG149" s="37">
        <f t="shared" si="147"/>
        <v>0</v>
      </c>
      <c r="AH149" s="414">
        <v>0.5</v>
      </c>
      <c r="AI149" s="37">
        <f t="shared" si="148"/>
        <v>1.25</v>
      </c>
      <c r="AJ149" s="414">
        <v>0</v>
      </c>
      <c r="AK149" s="37">
        <f t="shared" si="149"/>
        <v>0</v>
      </c>
      <c r="AL149" s="414">
        <v>0</v>
      </c>
      <c r="AM149" s="37">
        <f t="shared" si="150"/>
        <v>0</v>
      </c>
      <c r="AN149" s="414">
        <v>0</v>
      </c>
      <c r="AO149" s="37">
        <f t="shared" si="151"/>
        <v>0</v>
      </c>
      <c r="AP149" s="414">
        <v>0</v>
      </c>
      <c r="AQ149" s="37">
        <f t="shared" si="152"/>
        <v>0</v>
      </c>
      <c r="AR149" s="414">
        <v>0</v>
      </c>
      <c r="AS149" s="37">
        <f t="shared" si="153"/>
        <v>0</v>
      </c>
      <c r="AT149" s="414">
        <v>1</v>
      </c>
      <c r="AU149" s="37">
        <f t="shared" si="154"/>
        <v>2.5</v>
      </c>
      <c r="AV149" s="414">
        <v>0</v>
      </c>
      <c r="AW149" s="37">
        <f t="shared" si="155"/>
        <v>0</v>
      </c>
      <c r="AX149" s="414">
        <v>0</v>
      </c>
      <c r="AZ149" s="414">
        <v>0</v>
      </c>
      <c r="BA149" s="37">
        <f t="shared" si="156"/>
        <v>0</v>
      </c>
      <c r="BB149" s="316"/>
      <c r="BC149" s="37" t="str">
        <f t="shared" si="145"/>
        <v>18043-LM646 01405 Wall Section &amp; Section Details sheet 5</v>
      </c>
    </row>
    <row r="150" spans="1:55" s="37" customFormat="1" ht="15" customHeight="1" outlineLevel="1">
      <c r="A150" s="317" t="s">
        <v>338</v>
      </c>
      <c r="B150" s="38" t="s">
        <v>94</v>
      </c>
      <c r="C150" s="255" t="s">
        <v>95</v>
      </c>
      <c r="D150" s="38"/>
      <c r="E150" s="270" t="s">
        <v>339</v>
      </c>
      <c r="F150" s="310" t="s">
        <v>97</v>
      </c>
      <c r="G150" s="310"/>
      <c r="H150" s="310" t="s">
        <v>34</v>
      </c>
      <c r="I150" s="310" t="s">
        <v>31</v>
      </c>
      <c r="J150" s="310"/>
      <c r="K150" s="310"/>
      <c r="L150" s="577"/>
      <c r="M150" s="38"/>
      <c r="N150" s="38"/>
      <c r="O150" s="38"/>
      <c r="P150" s="38"/>
      <c r="Q150" s="38" t="s">
        <v>98</v>
      </c>
      <c r="R150" s="38"/>
      <c r="S150" s="38"/>
      <c r="T150" s="40"/>
      <c r="U150" s="38" t="s">
        <v>98</v>
      </c>
      <c r="V150" s="262" t="s">
        <v>192</v>
      </c>
      <c r="W150" s="40"/>
      <c r="X150" s="324"/>
      <c r="Y150" s="40"/>
      <c r="Z150" s="419">
        <v>7.6388888888888895E-2</v>
      </c>
      <c r="AA150" s="239" t="s">
        <v>102</v>
      </c>
      <c r="AB150" s="239" t="s">
        <v>193</v>
      </c>
      <c r="AC150" s="405">
        <v>2.5</v>
      </c>
      <c r="AD150" s="414">
        <v>0</v>
      </c>
      <c r="AE150" s="37">
        <f t="shared" si="146"/>
        <v>0</v>
      </c>
      <c r="AF150" s="414">
        <v>0</v>
      </c>
      <c r="AG150" s="37">
        <f t="shared" si="147"/>
        <v>0</v>
      </c>
      <c r="AH150" s="414">
        <v>0.5</v>
      </c>
      <c r="AI150" s="37">
        <f t="shared" si="148"/>
        <v>1.25</v>
      </c>
      <c r="AJ150" s="414">
        <v>0</v>
      </c>
      <c r="AK150" s="37">
        <f t="shared" si="149"/>
        <v>0</v>
      </c>
      <c r="AL150" s="414">
        <v>0</v>
      </c>
      <c r="AM150" s="37">
        <f t="shared" si="150"/>
        <v>0</v>
      </c>
      <c r="AN150" s="414">
        <v>0</v>
      </c>
      <c r="AO150" s="37">
        <f t="shared" si="151"/>
        <v>0</v>
      </c>
      <c r="AP150" s="414">
        <v>0</v>
      </c>
      <c r="AQ150" s="37">
        <f t="shared" si="152"/>
        <v>0</v>
      </c>
      <c r="AR150" s="414">
        <v>0</v>
      </c>
      <c r="AS150" s="37">
        <f t="shared" si="153"/>
        <v>0</v>
      </c>
      <c r="AT150" s="414">
        <v>1</v>
      </c>
      <c r="AU150" s="37">
        <f t="shared" si="154"/>
        <v>2.5</v>
      </c>
      <c r="AV150" s="414">
        <v>0</v>
      </c>
      <c r="AW150" s="37">
        <f t="shared" si="155"/>
        <v>0</v>
      </c>
      <c r="AX150" s="414">
        <v>0</v>
      </c>
      <c r="AZ150" s="414">
        <v>0</v>
      </c>
      <c r="BA150" s="37">
        <f t="shared" si="156"/>
        <v>0</v>
      </c>
      <c r="BB150" s="316"/>
      <c r="BC150" s="37" t="str">
        <f t="shared" si="145"/>
        <v>18043-LM646 01406 Wall Section &amp; Section Details sheet 6</v>
      </c>
    </row>
    <row r="151" spans="1:55" s="37" customFormat="1" ht="15" customHeight="1" outlineLevel="1">
      <c r="A151" s="317"/>
      <c r="B151" s="38"/>
      <c r="C151" s="233"/>
      <c r="D151" s="38"/>
      <c r="E151" s="42"/>
      <c r="F151" s="310"/>
      <c r="G151" s="310"/>
      <c r="H151" s="310"/>
      <c r="I151" s="310"/>
      <c r="J151" s="310"/>
      <c r="K151" s="310"/>
      <c r="L151" s="577"/>
      <c r="M151" s="38"/>
      <c r="N151" s="38"/>
      <c r="O151" s="38"/>
      <c r="P151" s="38"/>
      <c r="Q151" s="38"/>
      <c r="R151" s="38"/>
      <c r="S151" s="38"/>
      <c r="T151" s="40"/>
      <c r="U151" s="38"/>
      <c r="V151" s="40"/>
      <c r="W151" s="40"/>
      <c r="X151" s="324"/>
      <c r="Y151" s="40"/>
      <c r="Z151" s="416"/>
      <c r="AA151" s="239"/>
      <c r="AB151" s="239"/>
      <c r="AC151" s="405"/>
      <c r="AD151" s="414"/>
      <c r="AF151" s="414"/>
      <c r="AH151" s="414"/>
      <c r="AJ151" s="414"/>
      <c r="AL151" s="414"/>
      <c r="AN151" s="414"/>
      <c r="AP151" s="414"/>
      <c r="AR151" s="414"/>
      <c r="AT151" s="414"/>
      <c r="AV151" s="414"/>
      <c r="AX151" s="414"/>
      <c r="AZ151" s="414"/>
      <c r="BB151" s="316"/>
      <c r="BC151" s="37" t="str">
        <f t="shared" si="145"/>
        <v xml:space="preserve"> </v>
      </c>
    </row>
    <row r="152" spans="1:55" s="37" customFormat="1" ht="15" customHeight="1" outlineLevel="1">
      <c r="A152" s="317" t="s">
        <v>340</v>
      </c>
      <c r="B152" s="38" t="s">
        <v>94</v>
      </c>
      <c r="C152" s="255" t="s">
        <v>95</v>
      </c>
      <c r="D152" s="38"/>
      <c r="E152" s="270" t="s">
        <v>255</v>
      </c>
      <c r="F152" s="310" t="s">
        <v>97</v>
      </c>
      <c r="G152" s="310"/>
      <c r="H152" s="310"/>
      <c r="I152" s="310" t="s">
        <v>31</v>
      </c>
      <c r="J152" s="310"/>
      <c r="K152" s="310"/>
      <c r="L152" s="577"/>
      <c r="M152" s="38"/>
      <c r="N152" s="38"/>
      <c r="O152" s="38"/>
      <c r="P152" s="38"/>
      <c r="Q152" s="38" t="s">
        <v>98</v>
      </c>
      <c r="R152" s="38"/>
      <c r="S152" s="38"/>
      <c r="T152" s="40"/>
      <c r="U152" s="38" t="s">
        <v>98</v>
      </c>
      <c r="V152" s="262" t="s">
        <v>192</v>
      </c>
      <c r="W152" s="40"/>
      <c r="X152" s="324"/>
      <c r="Y152" s="40"/>
      <c r="Z152" s="419">
        <v>7.6388888888888895E-2</v>
      </c>
      <c r="AA152" s="239" t="s">
        <v>102</v>
      </c>
      <c r="AB152" s="239" t="s">
        <v>257</v>
      </c>
      <c r="AC152" s="405">
        <v>2</v>
      </c>
      <c r="AD152" s="414">
        <v>0</v>
      </c>
      <c r="AE152" s="37">
        <f t="shared" ref="AE152:AE162" si="157">$AC152*AD152</f>
        <v>0</v>
      </c>
      <c r="AF152" s="414">
        <v>0</v>
      </c>
      <c r="AG152" s="37">
        <f t="shared" ref="AG152:AG162" si="158">$AC152*AF152</f>
        <v>0</v>
      </c>
      <c r="AH152" s="414">
        <v>0.6</v>
      </c>
      <c r="AI152" s="37">
        <f t="shared" ref="AI152:AI162" si="159">$AC152*AH152</f>
        <v>1.2</v>
      </c>
      <c r="AJ152" s="414">
        <v>0</v>
      </c>
      <c r="AK152" s="37">
        <f t="shared" ref="AK152:AK162" si="160">$AC152*AJ152</f>
        <v>0</v>
      </c>
      <c r="AL152" s="414">
        <v>0.8</v>
      </c>
      <c r="AM152" s="37">
        <f t="shared" ref="AM152:AM162" si="161">$AC152*AL152</f>
        <v>1.6</v>
      </c>
      <c r="AN152" s="414">
        <v>0</v>
      </c>
      <c r="AO152" s="37">
        <f t="shared" ref="AO152:AO162" si="162">$AC152*AN152</f>
        <v>0</v>
      </c>
      <c r="AP152" s="414">
        <v>0.8</v>
      </c>
      <c r="AQ152" s="37">
        <f t="shared" ref="AQ152:AQ162" si="163">$AC152*AP152</f>
        <v>1.6</v>
      </c>
      <c r="AR152" s="414">
        <v>0</v>
      </c>
      <c r="AS152" s="37">
        <f t="shared" ref="AS152:AS162" si="164">$AC152*AR152</f>
        <v>0</v>
      </c>
      <c r="AT152" s="414">
        <v>1</v>
      </c>
      <c r="AU152" s="37">
        <f t="shared" ref="AU152:AU162" si="165">$AC152*AT152</f>
        <v>2</v>
      </c>
      <c r="AV152" s="414">
        <v>0</v>
      </c>
      <c r="AW152" s="37">
        <f t="shared" ref="AW152:AW162" si="166">$AC152*AV152</f>
        <v>0</v>
      </c>
      <c r="AX152" s="414">
        <v>0.8</v>
      </c>
      <c r="AZ152" s="414">
        <v>0</v>
      </c>
      <c r="BA152" s="37">
        <f t="shared" ref="BA152:BA162" si="167">$AC152*AZ152</f>
        <v>0</v>
      </c>
      <c r="BB152" s="316"/>
      <c r="BC152" s="37" t="str">
        <f t="shared" si="145"/>
        <v>18043-LM646 01501 Stair ST-1 Details Sheet 1</v>
      </c>
    </row>
    <row r="153" spans="1:55" s="37" customFormat="1" ht="15" customHeight="1" outlineLevel="1">
      <c r="A153" s="317" t="s">
        <v>341</v>
      </c>
      <c r="B153" s="38" t="s">
        <v>94</v>
      </c>
      <c r="C153" s="255" t="s">
        <v>95</v>
      </c>
      <c r="D153" s="38"/>
      <c r="E153" s="270" t="s">
        <v>259</v>
      </c>
      <c r="F153" s="310" t="s">
        <v>97</v>
      </c>
      <c r="G153" s="310"/>
      <c r="H153" s="310"/>
      <c r="I153" s="310" t="s">
        <v>31</v>
      </c>
      <c r="J153" s="310"/>
      <c r="K153" s="310"/>
      <c r="L153" s="577"/>
      <c r="M153" s="38"/>
      <c r="N153" s="38"/>
      <c r="O153" s="38"/>
      <c r="P153" s="38"/>
      <c r="Q153" s="38" t="s">
        <v>98</v>
      </c>
      <c r="R153" s="38"/>
      <c r="S153" s="38"/>
      <c r="T153" s="40"/>
      <c r="U153" s="38" t="s">
        <v>98</v>
      </c>
      <c r="V153" s="262" t="s">
        <v>192</v>
      </c>
      <c r="W153" s="40"/>
      <c r="X153" s="324"/>
      <c r="Y153" s="40"/>
      <c r="Z153" s="419">
        <v>7.6388888888888895E-2</v>
      </c>
      <c r="AA153" s="239" t="s">
        <v>102</v>
      </c>
      <c r="AB153" s="239" t="s">
        <v>257</v>
      </c>
      <c r="AC153" s="405">
        <v>2</v>
      </c>
      <c r="AD153" s="414">
        <v>0</v>
      </c>
      <c r="AE153" s="37">
        <f t="shared" si="157"/>
        <v>0</v>
      </c>
      <c r="AF153" s="414">
        <v>0</v>
      </c>
      <c r="AG153" s="37">
        <f t="shared" si="158"/>
        <v>0</v>
      </c>
      <c r="AH153" s="414">
        <v>0.6</v>
      </c>
      <c r="AI153" s="37">
        <f t="shared" si="159"/>
        <v>1.2</v>
      </c>
      <c r="AJ153" s="414">
        <v>0</v>
      </c>
      <c r="AK153" s="37">
        <f t="shared" si="160"/>
        <v>0</v>
      </c>
      <c r="AL153" s="414">
        <v>0.8</v>
      </c>
      <c r="AM153" s="37">
        <f t="shared" si="161"/>
        <v>1.6</v>
      </c>
      <c r="AN153" s="414">
        <v>0</v>
      </c>
      <c r="AO153" s="37">
        <f t="shared" si="162"/>
        <v>0</v>
      </c>
      <c r="AP153" s="414">
        <v>0.8</v>
      </c>
      <c r="AQ153" s="37">
        <f t="shared" si="163"/>
        <v>1.6</v>
      </c>
      <c r="AR153" s="414">
        <v>0</v>
      </c>
      <c r="AS153" s="37">
        <f t="shared" si="164"/>
        <v>0</v>
      </c>
      <c r="AT153" s="414">
        <v>1</v>
      </c>
      <c r="AU153" s="37">
        <f t="shared" si="165"/>
        <v>2</v>
      </c>
      <c r="AV153" s="414">
        <v>0</v>
      </c>
      <c r="AW153" s="37">
        <f t="shared" si="166"/>
        <v>0</v>
      </c>
      <c r="AX153" s="414">
        <v>0.8</v>
      </c>
      <c r="AZ153" s="414">
        <v>0</v>
      </c>
      <c r="BA153" s="37">
        <f t="shared" si="167"/>
        <v>0</v>
      </c>
      <c r="BB153" s="316"/>
      <c r="BC153" s="37" t="str">
        <f t="shared" si="145"/>
        <v>18043-LM646 01502 Stair ST-1 Details Sheet 2</v>
      </c>
    </row>
    <row r="154" spans="1:55" s="37" customFormat="1" ht="15" customHeight="1" outlineLevel="1">
      <c r="A154" s="317" t="s">
        <v>342</v>
      </c>
      <c r="B154" s="38" t="s">
        <v>94</v>
      </c>
      <c r="C154" s="255" t="s">
        <v>95</v>
      </c>
      <c r="D154" s="38"/>
      <c r="E154" s="270" t="s">
        <v>261</v>
      </c>
      <c r="F154" s="310" t="s">
        <v>97</v>
      </c>
      <c r="G154" s="310"/>
      <c r="H154" s="310"/>
      <c r="I154" s="310" t="s">
        <v>31</v>
      </c>
      <c r="J154" s="310"/>
      <c r="K154" s="310"/>
      <c r="L154" s="577"/>
      <c r="M154" s="38"/>
      <c r="N154" s="38"/>
      <c r="O154" s="38"/>
      <c r="P154" s="38"/>
      <c r="Q154" s="38" t="s">
        <v>98</v>
      </c>
      <c r="R154" s="38" t="s">
        <v>116</v>
      </c>
      <c r="S154" s="38"/>
      <c r="T154" s="40"/>
      <c r="U154" s="38" t="s">
        <v>98</v>
      </c>
      <c r="V154" s="262" t="s">
        <v>192</v>
      </c>
      <c r="W154" s="40"/>
      <c r="X154" s="324"/>
      <c r="Y154" s="40"/>
      <c r="Z154" s="419">
        <v>7.6388888888888895E-2</v>
      </c>
      <c r="AA154" s="239" t="s">
        <v>102</v>
      </c>
      <c r="AB154" s="239" t="s">
        <v>257</v>
      </c>
      <c r="AC154" s="405">
        <v>2</v>
      </c>
      <c r="AD154" s="414">
        <v>0</v>
      </c>
      <c r="AE154" s="37">
        <f t="shared" si="157"/>
        <v>0</v>
      </c>
      <c r="AF154" s="414">
        <v>0</v>
      </c>
      <c r="AG154" s="37">
        <f t="shared" si="158"/>
        <v>0</v>
      </c>
      <c r="AH154" s="414">
        <v>0.6</v>
      </c>
      <c r="AI154" s="37">
        <f t="shared" si="159"/>
        <v>1.2</v>
      </c>
      <c r="AJ154" s="414">
        <v>0</v>
      </c>
      <c r="AK154" s="37">
        <f t="shared" si="160"/>
        <v>0</v>
      </c>
      <c r="AL154" s="414">
        <v>0.8</v>
      </c>
      <c r="AM154" s="37">
        <f t="shared" si="161"/>
        <v>1.6</v>
      </c>
      <c r="AN154" s="414">
        <v>0</v>
      </c>
      <c r="AO154" s="37">
        <f t="shared" si="162"/>
        <v>0</v>
      </c>
      <c r="AP154" s="414">
        <v>0.8</v>
      </c>
      <c r="AQ154" s="37">
        <f t="shared" si="163"/>
        <v>1.6</v>
      </c>
      <c r="AR154" s="414">
        <v>0</v>
      </c>
      <c r="AS154" s="37">
        <f t="shared" si="164"/>
        <v>0</v>
      </c>
      <c r="AT154" s="414">
        <v>1</v>
      </c>
      <c r="AU154" s="37">
        <f t="shared" si="165"/>
        <v>2</v>
      </c>
      <c r="AV154" s="414">
        <v>0</v>
      </c>
      <c r="AW154" s="37">
        <f t="shared" si="166"/>
        <v>0</v>
      </c>
      <c r="AX154" s="414">
        <v>0.8</v>
      </c>
      <c r="AZ154" s="414">
        <v>0</v>
      </c>
      <c r="BA154" s="37">
        <f t="shared" si="167"/>
        <v>0</v>
      </c>
      <c r="BB154" s="316"/>
      <c r="BC154" s="37" t="str">
        <f t="shared" si="145"/>
        <v>18043-LM646 01503 Stair ST-2 Details Sheet 1</v>
      </c>
    </row>
    <row r="155" spans="1:55" s="37" customFormat="1" ht="15" customHeight="1" outlineLevel="1">
      <c r="A155" s="317" t="s">
        <v>343</v>
      </c>
      <c r="B155" s="38" t="s">
        <v>94</v>
      </c>
      <c r="C155" s="255" t="s">
        <v>95</v>
      </c>
      <c r="D155" s="38"/>
      <c r="E155" s="270" t="s">
        <v>344</v>
      </c>
      <c r="F155" s="310" t="s">
        <v>97</v>
      </c>
      <c r="G155" s="310"/>
      <c r="H155" s="310"/>
      <c r="I155" s="310" t="s">
        <v>31</v>
      </c>
      <c r="J155" s="310"/>
      <c r="K155" s="310"/>
      <c r="L155" s="577"/>
      <c r="M155" s="38"/>
      <c r="N155" s="38"/>
      <c r="O155" s="38"/>
      <c r="P155" s="38"/>
      <c r="Q155" s="38" t="s">
        <v>98</v>
      </c>
      <c r="R155" s="38"/>
      <c r="S155" s="38"/>
      <c r="T155" s="40"/>
      <c r="U155" s="38" t="s">
        <v>98</v>
      </c>
      <c r="V155" s="262" t="s">
        <v>192</v>
      </c>
      <c r="W155" s="40"/>
      <c r="X155" s="324"/>
      <c r="Y155" s="40"/>
      <c r="Z155" s="419">
        <v>7.6388888888888895E-2</v>
      </c>
      <c r="AA155" s="239" t="s">
        <v>102</v>
      </c>
      <c r="AB155" s="239" t="s">
        <v>257</v>
      </c>
      <c r="AC155" s="405">
        <v>2</v>
      </c>
      <c r="AD155" s="414">
        <v>0</v>
      </c>
      <c r="AE155" s="37">
        <f t="shared" si="157"/>
        <v>0</v>
      </c>
      <c r="AF155" s="414">
        <v>0</v>
      </c>
      <c r="AG155" s="37">
        <f t="shared" si="158"/>
        <v>0</v>
      </c>
      <c r="AH155" s="414">
        <v>0.6</v>
      </c>
      <c r="AI155" s="37">
        <f t="shared" si="159"/>
        <v>1.2</v>
      </c>
      <c r="AJ155" s="414">
        <v>0</v>
      </c>
      <c r="AK155" s="37">
        <f t="shared" si="160"/>
        <v>0</v>
      </c>
      <c r="AL155" s="414">
        <v>0.8</v>
      </c>
      <c r="AM155" s="37">
        <f t="shared" si="161"/>
        <v>1.6</v>
      </c>
      <c r="AN155" s="414">
        <v>0</v>
      </c>
      <c r="AO155" s="37">
        <f t="shared" si="162"/>
        <v>0</v>
      </c>
      <c r="AP155" s="414">
        <v>0.8</v>
      </c>
      <c r="AQ155" s="37">
        <f t="shared" si="163"/>
        <v>1.6</v>
      </c>
      <c r="AR155" s="414">
        <v>0</v>
      </c>
      <c r="AS155" s="37">
        <f t="shared" si="164"/>
        <v>0</v>
      </c>
      <c r="AT155" s="414">
        <v>1</v>
      </c>
      <c r="AU155" s="37">
        <f t="shared" si="165"/>
        <v>2</v>
      </c>
      <c r="AV155" s="414">
        <v>0</v>
      </c>
      <c r="AW155" s="37">
        <f t="shared" si="166"/>
        <v>0</v>
      </c>
      <c r="AX155" s="414">
        <v>0.8</v>
      </c>
      <c r="AZ155" s="414">
        <v>0</v>
      </c>
      <c r="BA155" s="37">
        <f t="shared" si="167"/>
        <v>0</v>
      </c>
      <c r="BB155" s="316"/>
      <c r="BC155" s="37" t="str">
        <f t="shared" si="145"/>
        <v>18043-LM646 01504 Stair ST-2 Details Sheet 2</v>
      </c>
    </row>
    <row r="156" spans="1:55" s="37" customFormat="1" ht="15" customHeight="1" outlineLevel="1">
      <c r="A156" s="317" t="s">
        <v>345</v>
      </c>
      <c r="B156" s="38" t="s">
        <v>94</v>
      </c>
      <c r="C156" s="255" t="s">
        <v>95</v>
      </c>
      <c r="D156" s="38"/>
      <c r="E156" s="270" t="s">
        <v>346</v>
      </c>
      <c r="F156" s="310"/>
      <c r="G156" s="310"/>
      <c r="H156" s="310" t="s">
        <v>97</v>
      </c>
      <c r="I156" s="310"/>
      <c r="J156" s="310"/>
      <c r="K156" s="310"/>
      <c r="L156" s="577"/>
      <c r="M156" s="38"/>
      <c r="N156" s="38"/>
      <c r="O156" s="38"/>
      <c r="P156" s="38"/>
      <c r="Q156" s="38" t="s">
        <v>98</v>
      </c>
      <c r="R156" s="38"/>
      <c r="S156" s="38"/>
      <c r="T156" s="40"/>
      <c r="U156" s="38" t="s">
        <v>98</v>
      </c>
      <c r="V156" s="262" t="s">
        <v>192</v>
      </c>
      <c r="W156" s="304"/>
      <c r="X156" s="324"/>
      <c r="Y156" s="40"/>
      <c r="Z156" s="419">
        <v>7.6388888888888895E-2</v>
      </c>
      <c r="AA156" s="239" t="s">
        <v>102</v>
      </c>
      <c r="AB156" s="239" t="s">
        <v>257</v>
      </c>
      <c r="AC156" s="405">
        <v>1.5</v>
      </c>
      <c r="AD156" s="414">
        <v>0</v>
      </c>
      <c r="AE156" s="37">
        <f t="shared" si="157"/>
        <v>0</v>
      </c>
      <c r="AF156" s="414">
        <v>0</v>
      </c>
      <c r="AG156" s="37">
        <f t="shared" si="158"/>
        <v>0</v>
      </c>
      <c r="AH156" s="414">
        <v>0</v>
      </c>
      <c r="AI156" s="37">
        <f t="shared" si="159"/>
        <v>0</v>
      </c>
      <c r="AJ156" s="414">
        <v>0</v>
      </c>
      <c r="AK156" s="37">
        <f t="shared" si="160"/>
        <v>0</v>
      </c>
      <c r="AL156" s="414">
        <v>0</v>
      </c>
      <c r="AM156" s="37">
        <f t="shared" si="161"/>
        <v>0</v>
      </c>
      <c r="AN156" s="414">
        <v>0</v>
      </c>
      <c r="AO156" s="37">
        <f t="shared" si="162"/>
        <v>0</v>
      </c>
      <c r="AP156" s="414">
        <v>0</v>
      </c>
      <c r="AQ156" s="37">
        <f t="shared" si="163"/>
        <v>0</v>
      </c>
      <c r="AR156" s="414">
        <v>0</v>
      </c>
      <c r="AS156" s="37">
        <f t="shared" si="164"/>
        <v>0</v>
      </c>
      <c r="AT156" s="414">
        <v>1</v>
      </c>
      <c r="AU156" s="37">
        <f t="shared" si="165"/>
        <v>1.5</v>
      </c>
      <c r="AV156" s="414">
        <v>0</v>
      </c>
      <c r="AW156" s="37">
        <f t="shared" si="166"/>
        <v>0</v>
      </c>
      <c r="AX156" s="414">
        <v>0</v>
      </c>
      <c r="AZ156" s="414">
        <v>0</v>
      </c>
      <c r="BA156" s="37">
        <f t="shared" si="167"/>
        <v>0</v>
      </c>
      <c r="BC156" s="37" t="str">
        <f t="shared" si="145"/>
        <v>18043-LM646 01505 Service Stair ST-3, ST-4, ST-5, ST-6, ST-7 Details</v>
      </c>
    </row>
    <row r="157" spans="1:55" s="37" customFormat="1" ht="15" customHeight="1" outlineLevel="1">
      <c r="A157" s="317" t="s">
        <v>347</v>
      </c>
      <c r="B157" s="38" t="s">
        <v>94</v>
      </c>
      <c r="C157" s="255" t="s">
        <v>95</v>
      </c>
      <c r="D157" s="38"/>
      <c r="E157" s="270" t="s">
        <v>267</v>
      </c>
      <c r="F157" s="310" t="s">
        <v>97</v>
      </c>
      <c r="G157" s="310"/>
      <c r="H157" s="310"/>
      <c r="I157" s="310" t="s">
        <v>31</v>
      </c>
      <c r="J157" s="310"/>
      <c r="K157" s="310"/>
      <c r="L157" s="577"/>
      <c r="M157" s="38"/>
      <c r="N157" s="38"/>
      <c r="O157" s="38"/>
      <c r="P157" s="38"/>
      <c r="Q157" s="38" t="s">
        <v>98</v>
      </c>
      <c r="R157" s="38"/>
      <c r="S157" s="38"/>
      <c r="T157" s="40"/>
      <c r="U157" s="38" t="s">
        <v>98</v>
      </c>
      <c r="V157" s="262" t="s">
        <v>192</v>
      </c>
      <c r="W157" s="38"/>
      <c r="X157" s="324"/>
      <c r="Y157" s="40"/>
      <c r="Z157" s="419">
        <v>7.6388888888888895E-2</v>
      </c>
      <c r="AA157" s="239" t="s">
        <v>102</v>
      </c>
      <c r="AB157" s="239" t="s">
        <v>257</v>
      </c>
      <c r="AC157" s="405">
        <v>2</v>
      </c>
      <c r="AD157" s="414">
        <v>0</v>
      </c>
      <c r="AE157" s="37">
        <f t="shared" si="157"/>
        <v>0</v>
      </c>
      <c r="AF157" s="414">
        <v>0</v>
      </c>
      <c r="AG157" s="37">
        <f t="shared" si="158"/>
        <v>0</v>
      </c>
      <c r="AH157" s="414">
        <v>0.6</v>
      </c>
      <c r="AI157" s="37">
        <f t="shared" si="159"/>
        <v>1.2</v>
      </c>
      <c r="AJ157" s="414">
        <v>0</v>
      </c>
      <c r="AK157" s="37">
        <f t="shared" si="160"/>
        <v>0</v>
      </c>
      <c r="AL157" s="414">
        <v>0.8</v>
      </c>
      <c r="AM157" s="37">
        <f t="shared" si="161"/>
        <v>1.6</v>
      </c>
      <c r="AN157" s="414">
        <v>0</v>
      </c>
      <c r="AO157" s="37">
        <f t="shared" si="162"/>
        <v>0</v>
      </c>
      <c r="AP157" s="414">
        <v>0.8</v>
      </c>
      <c r="AQ157" s="37">
        <f t="shared" si="163"/>
        <v>1.6</v>
      </c>
      <c r="AR157" s="414">
        <v>0</v>
      </c>
      <c r="AS157" s="37">
        <f t="shared" si="164"/>
        <v>0</v>
      </c>
      <c r="AT157" s="414">
        <v>1</v>
      </c>
      <c r="AU157" s="37">
        <f t="shared" si="165"/>
        <v>2</v>
      </c>
      <c r="AV157" s="414">
        <v>0</v>
      </c>
      <c r="AW157" s="37">
        <f t="shared" si="166"/>
        <v>0</v>
      </c>
      <c r="AX157" s="414">
        <v>0.8</v>
      </c>
      <c r="AZ157" s="414">
        <v>0</v>
      </c>
      <c r="BA157" s="37">
        <f t="shared" si="167"/>
        <v>0</v>
      </c>
      <c r="BB157" s="316"/>
      <c r="BC157" s="37" t="str">
        <f t="shared" si="145"/>
        <v>18043-LM646 01506 Fireman Lift Details Sheet 1</v>
      </c>
    </row>
    <row r="158" spans="1:55" s="37" customFormat="1" ht="15" customHeight="1" outlineLevel="1">
      <c r="A158" s="317" t="s">
        <v>348</v>
      </c>
      <c r="B158" s="38" t="s">
        <v>94</v>
      </c>
      <c r="C158" s="255" t="s">
        <v>95</v>
      </c>
      <c r="D158" s="38"/>
      <c r="E158" s="270" t="s">
        <v>269</v>
      </c>
      <c r="F158" s="310" t="s">
        <v>97</v>
      </c>
      <c r="G158" s="310"/>
      <c r="H158" s="310"/>
      <c r="I158" s="310" t="s">
        <v>31</v>
      </c>
      <c r="J158" s="310"/>
      <c r="K158" s="310"/>
      <c r="L158" s="577"/>
      <c r="M158" s="38"/>
      <c r="N158" s="38"/>
      <c r="O158" s="38"/>
      <c r="P158" s="38"/>
      <c r="Q158" s="38" t="s">
        <v>98</v>
      </c>
      <c r="R158" s="38"/>
      <c r="S158" s="38"/>
      <c r="T158" s="40"/>
      <c r="U158" s="38" t="s">
        <v>98</v>
      </c>
      <c r="V158" s="262" t="s">
        <v>192</v>
      </c>
      <c r="W158" s="38"/>
      <c r="X158" s="324"/>
      <c r="Y158" s="40"/>
      <c r="Z158" s="419">
        <v>7.6388888888888895E-2</v>
      </c>
      <c r="AA158" s="239" t="s">
        <v>102</v>
      </c>
      <c r="AB158" s="239" t="s">
        <v>257</v>
      </c>
      <c r="AC158" s="405">
        <v>2</v>
      </c>
      <c r="AD158" s="414">
        <v>0</v>
      </c>
      <c r="AE158" s="37">
        <f t="shared" si="157"/>
        <v>0</v>
      </c>
      <c r="AF158" s="414">
        <v>0</v>
      </c>
      <c r="AG158" s="37">
        <f t="shared" si="158"/>
        <v>0</v>
      </c>
      <c r="AH158" s="414">
        <v>0.6</v>
      </c>
      <c r="AI158" s="37">
        <f t="shared" si="159"/>
        <v>1.2</v>
      </c>
      <c r="AJ158" s="414">
        <v>0</v>
      </c>
      <c r="AK158" s="37">
        <f t="shared" si="160"/>
        <v>0</v>
      </c>
      <c r="AL158" s="414">
        <v>0.8</v>
      </c>
      <c r="AM158" s="37">
        <f t="shared" si="161"/>
        <v>1.6</v>
      </c>
      <c r="AN158" s="414">
        <v>0</v>
      </c>
      <c r="AO158" s="37">
        <f t="shared" si="162"/>
        <v>0</v>
      </c>
      <c r="AP158" s="414">
        <v>0.8</v>
      </c>
      <c r="AQ158" s="37">
        <f t="shared" si="163"/>
        <v>1.6</v>
      </c>
      <c r="AR158" s="414">
        <v>0</v>
      </c>
      <c r="AS158" s="37">
        <f t="shared" si="164"/>
        <v>0</v>
      </c>
      <c r="AT158" s="414">
        <v>1</v>
      </c>
      <c r="AU158" s="37">
        <f t="shared" si="165"/>
        <v>2</v>
      </c>
      <c r="AV158" s="414">
        <v>0</v>
      </c>
      <c r="AW158" s="37">
        <f t="shared" si="166"/>
        <v>0</v>
      </c>
      <c r="AX158" s="414">
        <v>0.8</v>
      </c>
      <c r="AZ158" s="414">
        <v>0</v>
      </c>
      <c r="BA158" s="37">
        <f t="shared" si="167"/>
        <v>0</v>
      </c>
      <c r="BB158" s="316"/>
      <c r="BC158" s="37" t="str">
        <f t="shared" si="145"/>
        <v>18043-LM646 01507 Fireman Lift Details Sheet 2</v>
      </c>
    </row>
    <row r="159" spans="1:55" s="37" customFormat="1" ht="15" customHeight="1" outlineLevel="1">
      <c r="A159" s="317" t="s">
        <v>349</v>
      </c>
      <c r="B159" s="38" t="s">
        <v>94</v>
      </c>
      <c r="C159" s="255" t="s">
        <v>95</v>
      </c>
      <c r="D159" s="38"/>
      <c r="E159" s="270" t="s">
        <v>271</v>
      </c>
      <c r="F159" s="310"/>
      <c r="G159" s="310"/>
      <c r="H159" s="310" t="s">
        <v>97</v>
      </c>
      <c r="I159" s="310" t="s">
        <v>34</v>
      </c>
      <c r="J159" s="310" t="s">
        <v>31</v>
      </c>
      <c r="K159" s="310"/>
      <c r="L159" s="577"/>
      <c r="M159" s="38"/>
      <c r="N159" s="38"/>
      <c r="O159" s="38"/>
      <c r="P159" s="38"/>
      <c r="Q159" s="38" t="s">
        <v>98</v>
      </c>
      <c r="R159" s="38"/>
      <c r="S159" s="38"/>
      <c r="T159" s="40"/>
      <c r="U159" s="38" t="s">
        <v>98</v>
      </c>
      <c r="V159" s="262" t="s">
        <v>192</v>
      </c>
      <c r="W159" s="304"/>
      <c r="X159" s="324"/>
      <c r="Y159" s="40"/>
      <c r="Z159" s="419">
        <v>7.6388888888888895E-2</v>
      </c>
      <c r="AA159" s="239" t="s">
        <v>102</v>
      </c>
      <c r="AB159" s="239" t="s">
        <v>257</v>
      </c>
      <c r="AC159" s="405">
        <v>1.5</v>
      </c>
      <c r="AD159" s="414">
        <v>0</v>
      </c>
      <c r="AE159" s="37">
        <f t="shared" si="157"/>
        <v>0</v>
      </c>
      <c r="AF159" s="414">
        <v>0</v>
      </c>
      <c r="AG159" s="37">
        <f t="shared" si="158"/>
        <v>0</v>
      </c>
      <c r="AH159" s="414">
        <v>0</v>
      </c>
      <c r="AI159" s="37">
        <f t="shared" si="159"/>
        <v>0</v>
      </c>
      <c r="AJ159" s="414">
        <v>0</v>
      </c>
      <c r="AK159" s="37">
        <f t="shared" si="160"/>
        <v>0</v>
      </c>
      <c r="AL159" s="414">
        <v>0</v>
      </c>
      <c r="AM159" s="37">
        <f t="shared" si="161"/>
        <v>0</v>
      </c>
      <c r="AN159" s="414">
        <v>0</v>
      </c>
      <c r="AO159" s="37">
        <f t="shared" si="162"/>
        <v>0</v>
      </c>
      <c r="AP159" s="414">
        <v>0</v>
      </c>
      <c r="AQ159" s="37">
        <f t="shared" si="163"/>
        <v>0</v>
      </c>
      <c r="AR159" s="414">
        <v>0</v>
      </c>
      <c r="AS159" s="37">
        <f t="shared" si="164"/>
        <v>0</v>
      </c>
      <c r="AT159" s="414">
        <v>1</v>
      </c>
      <c r="AU159" s="37">
        <f t="shared" si="165"/>
        <v>1.5</v>
      </c>
      <c r="AV159" s="414">
        <v>0</v>
      </c>
      <c r="AW159" s="37">
        <f t="shared" si="166"/>
        <v>0</v>
      </c>
      <c r="AX159" s="414">
        <v>0</v>
      </c>
      <c r="AZ159" s="414">
        <v>0</v>
      </c>
      <c r="BA159" s="37">
        <f t="shared" si="167"/>
        <v>0</v>
      </c>
      <c r="BB159" s="316"/>
      <c r="BC159" s="37" t="str">
        <f t="shared" si="145"/>
        <v>18043-LM646 01508 Steel Ladder Details Sheet 1</v>
      </c>
    </row>
    <row r="160" spans="1:55" s="37" customFormat="1" ht="15" customHeight="1" outlineLevel="1">
      <c r="A160" s="317" t="s">
        <v>350</v>
      </c>
      <c r="B160" s="38" t="s">
        <v>94</v>
      </c>
      <c r="C160" s="255" t="s">
        <v>95</v>
      </c>
      <c r="D160" s="38"/>
      <c r="E160" s="270" t="s">
        <v>35</v>
      </c>
      <c r="F160" s="310"/>
      <c r="G160" s="310"/>
      <c r="H160" s="310"/>
      <c r="I160" s="310" t="s">
        <v>97</v>
      </c>
      <c r="J160" s="310" t="s">
        <v>34</v>
      </c>
      <c r="K160" s="310" t="s">
        <v>31</v>
      </c>
      <c r="L160" s="577"/>
      <c r="M160" s="38"/>
      <c r="N160" s="38"/>
      <c r="O160" s="38"/>
      <c r="P160" s="38"/>
      <c r="Q160" s="38" t="s">
        <v>98</v>
      </c>
      <c r="R160" s="38"/>
      <c r="S160" s="38"/>
      <c r="T160" s="40"/>
      <c r="U160" s="38" t="s">
        <v>98</v>
      </c>
      <c r="V160" s="262" t="s">
        <v>192</v>
      </c>
      <c r="W160" s="304"/>
      <c r="X160" s="324"/>
      <c r="Y160" s="40"/>
      <c r="Z160" s="419">
        <v>7.6388888888888895E-2</v>
      </c>
      <c r="AA160" s="239" t="s">
        <v>102</v>
      </c>
      <c r="AB160" s="239" t="s">
        <v>257</v>
      </c>
      <c r="AC160" s="405">
        <v>1.5</v>
      </c>
      <c r="AD160" s="414">
        <v>0</v>
      </c>
      <c r="AE160" s="37">
        <f t="shared" si="157"/>
        <v>0</v>
      </c>
      <c r="AF160" s="414">
        <v>0</v>
      </c>
      <c r="AG160" s="37">
        <f t="shared" si="158"/>
        <v>0</v>
      </c>
      <c r="AH160" s="414">
        <v>0</v>
      </c>
      <c r="AI160" s="37">
        <f t="shared" si="159"/>
        <v>0</v>
      </c>
      <c r="AJ160" s="414">
        <v>0</v>
      </c>
      <c r="AK160" s="37">
        <f t="shared" si="160"/>
        <v>0</v>
      </c>
      <c r="AL160" s="414">
        <v>0</v>
      </c>
      <c r="AM160" s="37">
        <f t="shared" si="161"/>
        <v>0</v>
      </c>
      <c r="AN160" s="414">
        <v>0</v>
      </c>
      <c r="AO160" s="37">
        <f t="shared" si="162"/>
        <v>0</v>
      </c>
      <c r="AP160" s="414">
        <v>0</v>
      </c>
      <c r="AQ160" s="37">
        <f t="shared" si="163"/>
        <v>0</v>
      </c>
      <c r="AR160" s="414">
        <v>0</v>
      </c>
      <c r="AS160" s="37">
        <f t="shared" si="164"/>
        <v>0</v>
      </c>
      <c r="AT160" s="414">
        <v>1</v>
      </c>
      <c r="AU160" s="37">
        <f t="shared" si="165"/>
        <v>1.5</v>
      </c>
      <c r="AV160" s="414">
        <v>0</v>
      </c>
      <c r="AW160" s="37">
        <f t="shared" si="166"/>
        <v>0</v>
      </c>
      <c r="AX160" s="414">
        <v>0</v>
      </c>
      <c r="AZ160" s="414">
        <v>0</v>
      </c>
      <c r="BA160" s="37">
        <f t="shared" si="167"/>
        <v>0</v>
      </c>
      <c r="BB160" s="316"/>
      <c r="BC160" s="37" t="str">
        <f t="shared" si="145"/>
        <v>18043-LM646 01509 Steel Connection Details Sheet 20 (X1-X7)</v>
      </c>
    </row>
    <row r="161" spans="1:55" s="37" customFormat="1" ht="15" customHeight="1" outlineLevel="1">
      <c r="A161" s="317" t="s">
        <v>351</v>
      </c>
      <c r="B161" s="38" t="s">
        <v>94</v>
      </c>
      <c r="C161" s="255" t="s">
        <v>95</v>
      </c>
      <c r="D161" s="38"/>
      <c r="E161" s="270" t="s">
        <v>352</v>
      </c>
      <c r="F161" s="310"/>
      <c r="G161" s="310"/>
      <c r="H161" s="310"/>
      <c r="I161" s="310"/>
      <c r="J161" s="310"/>
      <c r="K161" s="310" t="s">
        <v>97</v>
      </c>
      <c r="L161" s="577"/>
      <c r="M161" s="38"/>
      <c r="N161" s="38"/>
      <c r="O161" s="38"/>
      <c r="P161" s="38"/>
      <c r="Q161" s="38" t="s">
        <v>98</v>
      </c>
      <c r="R161" s="38"/>
      <c r="S161" s="38"/>
      <c r="T161" s="40"/>
      <c r="U161" s="38" t="s">
        <v>98</v>
      </c>
      <c r="V161" s="262" t="s">
        <v>192</v>
      </c>
      <c r="W161" s="304"/>
      <c r="X161" s="324"/>
      <c r="Y161" s="40"/>
      <c r="Z161" s="419">
        <v>7.6388888888888895E-2</v>
      </c>
      <c r="AA161" s="239" t="s">
        <v>102</v>
      </c>
      <c r="AB161" s="239" t="s">
        <v>256</v>
      </c>
      <c r="AC161" s="405">
        <v>1.5</v>
      </c>
      <c r="AD161" s="414">
        <v>0</v>
      </c>
      <c r="AE161" s="37">
        <f t="shared" si="157"/>
        <v>0</v>
      </c>
      <c r="AF161" s="414">
        <v>0</v>
      </c>
      <c r="AG161" s="37">
        <f t="shared" si="158"/>
        <v>0</v>
      </c>
      <c r="AH161" s="414">
        <v>0</v>
      </c>
      <c r="AI161" s="37">
        <f t="shared" si="159"/>
        <v>0</v>
      </c>
      <c r="AJ161" s="414">
        <v>0</v>
      </c>
      <c r="AK161" s="37">
        <f t="shared" si="160"/>
        <v>0</v>
      </c>
      <c r="AL161" s="414">
        <v>0</v>
      </c>
      <c r="AM161" s="37">
        <f t="shared" si="161"/>
        <v>0</v>
      </c>
      <c r="AN161" s="414">
        <v>0</v>
      </c>
      <c r="AO161" s="37">
        <f t="shared" si="162"/>
        <v>0</v>
      </c>
      <c r="AP161" s="414">
        <v>0</v>
      </c>
      <c r="AQ161" s="37">
        <f t="shared" si="163"/>
        <v>0</v>
      </c>
      <c r="AR161" s="414">
        <v>0</v>
      </c>
      <c r="AS161" s="37">
        <f t="shared" si="164"/>
        <v>0</v>
      </c>
      <c r="AT161" s="414">
        <v>1</v>
      </c>
      <c r="AU161" s="37">
        <f t="shared" si="165"/>
        <v>1.5</v>
      </c>
      <c r="AV161" s="414">
        <v>0</v>
      </c>
      <c r="AW161" s="37">
        <f t="shared" si="166"/>
        <v>0</v>
      </c>
      <c r="AX161" s="414">
        <v>0</v>
      </c>
      <c r="AZ161" s="414">
        <v>0</v>
      </c>
      <c r="BA161" s="37">
        <f t="shared" si="167"/>
        <v>0</v>
      </c>
      <c r="BC161" s="37" t="str">
        <f t="shared" si="145"/>
        <v>18043-LM646 01510 Stair ST-3 Details Sheet 1</v>
      </c>
    </row>
    <row r="162" spans="1:55" s="315" customFormat="1" ht="15" customHeight="1" outlineLevel="1">
      <c r="A162" s="317" t="s">
        <v>36</v>
      </c>
      <c r="B162" s="310" t="s">
        <v>94</v>
      </c>
      <c r="C162" s="318" t="s">
        <v>95</v>
      </c>
      <c r="D162" s="310"/>
      <c r="E162" s="270" t="s">
        <v>37</v>
      </c>
      <c r="F162" s="310"/>
      <c r="G162" s="310"/>
      <c r="H162" s="310"/>
      <c r="I162" s="310"/>
      <c r="J162" s="310"/>
      <c r="K162" s="310"/>
      <c r="L162" s="577"/>
      <c r="M162" s="310"/>
      <c r="N162" s="310"/>
      <c r="O162" s="310"/>
      <c r="P162" s="310"/>
      <c r="Q162" s="310"/>
      <c r="R162" s="310"/>
      <c r="S162" s="310"/>
      <c r="T162" s="40"/>
      <c r="U162" s="310" t="s">
        <v>98</v>
      </c>
      <c r="V162" s="319" t="s">
        <v>192</v>
      </c>
      <c r="W162" s="282"/>
      <c r="X162" s="327"/>
      <c r="Y162" s="245"/>
      <c r="Z162" s="420">
        <v>7.6388888888888895E-2</v>
      </c>
      <c r="AA162" s="320" t="s">
        <v>102</v>
      </c>
      <c r="AB162" s="320" t="s">
        <v>256</v>
      </c>
      <c r="AC162" s="421">
        <v>1.5</v>
      </c>
      <c r="AD162" s="422">
        <v>0</v>
      </c>
      <c r="AE162" s="315">
        <f t="shared" si="157"/>
        <v>0</v>
      </c>
      <c r="AF162" s="422">
        <v>0</v>
      </c>
      <c r="AG162" s="315">
        <f t="shared" si="158"/>
        <v>0</v>
      </c>
      <c r="AH162" s="422">
        <v>0</v>
      </c>
      <c r="AI162" s="315">
        <f t="shared" si="159"/>
        <v>0</v>
      </c>
      <c r="AJ162" s="422">
        <v>0</v>
      </c>
      <c r="AK162" s="315">
        <f t="shared" si="160"/>
        <v>0</v>
      </c>
      <c r="AL162" s="422">
        <v>0</v>
      </c>
      <c r="AM162" s="315">
        <f t="shared" si="161"/>
        <v>0</v>
      </c>
      <c r="AN162" s="422">
        <v>0</v>
      </c>
      <c r="AO162" s="315">
        <f t="shared" si="162"/>
        <v>0</v>
      </c>
      <c r="AP162" s="422">
        <v>0</v>
      </c>
      <c r="AQ162" s="315">
        <f t="shared" si="163"/>
        <v>0</v>
      </c>
      <c r="AR162" s="422">
        <v>0</v>
      </c>
      <c r="AS162" s="315">
        <f t="shared" si="164"/>
        <v>0</v>
      </c>
      <c r="AT162" s="422">
        <v>1</v>
      </c>
      <c r="AU162" s="315">
        <f t="shared" si="165"/>
        <v>1.5</v>
      </c>
      <c r="AV162" s="422">
        <v>0</v>
      </c>
      <c r="AW162" s="315">
        <f t="shared" si="166"/>
        <v>0</v>
      </c>
      <c r="AX162" s="422">
        <v>0</v>
      </c>
      <c r="AZ162" s="422">
        <v>0</v>
      </c>
      <c r="BA162" s="315">
        <f t="shared" si="167"/>
        <v>0</v>
      </c>
      <c r="BC162" s="315" t="str">
        <f t="shared" si="145"/>
        <v>18043-LM646 01791 Steel Miscellaneous Details</v>
      </c>
    </row>
    <row r="163" spans="1:55" s="37" customFormat="1" ht="15" customHeight="1" outlineLevel="1">
      <c r="A163" s="317"/>
      <c r="B163" s="38"/>
      <c r="C163" s="255"/>
      <c r="D163" s="38"/>
      <c r="E163" s="42"/>
      <c r="F163" s="310"/>
      <c r="G163" s="310"/>
      <c r="H163" s="310"/>
      <c r="I163" s="310"/>
      <c r="J163" s="310"/>
      <c r="K163" s="310"/>
      <c r="L163" s="577"/>
      <c r="M163" s="38"/>
      <c r="N163" s="38"/>
      <c r="O163" s="38"/>
      <c r="P163" s="38"/>
      <c r="Q163" s="38"/>
      <c r="R163" s="38"/>
      <c r="S163" s="38"/>
      <c r="T163" s="40"/>
      <c r="U163" s="38"/>
      <c r="V163" s="262"/>
      <c r="W163" s="40"/>
      <c r="X163" s="324"/>
      <c r="Y163" s="40"/>
      <c r="Z163" s="419"/>
      <c r="AA163" s="239"/>
      <c r="AB163" s="239"/>
      <c r="AC163" s="405"/>
      <c r="AD163" s="414"/>
      <c r="AF163" s="414"/>
      <c r="AH163" s="414"/>
      <c r="AJ163" s="414"/>
      <c r="AL163" s="414"/>
      <c r="AN163" s="414"/>
      <c r="AP163" s="414"/>
      <c r="AR163" s="414"/>
      <c r="AT163" s="414"/>
      <c r="AV163" s="414"/>
      <c r="AX163" s="414"/>
      <c r="AZ163" s="414"/>
      <c r="BB163" s="316"/>
    </row>
    <row r="164" spans="1:55" s="37" customFormat="1" ht="15" customHeight="1" outlineLevel="1">
      <c r="A164" s="317" t="s">
        <v>353</v>
      </c>
      <c r="B164" s="38" t="s">
        <v>94</v>
      </c>
      <c r="C164" s="255" t="s">
        <v>95</v>
      </c>
      <c r="D164" s="38"/>
      <c r="E164" s="270" t="s">
        <v>273</v>
      </c>
      <c r="F164" s="310"/>
      <c r="G164" s="310"/>
      <c r="H164" s="310" t="s">
        <v>34</v>
      </c>
      <c r="I164" s="310"/>
      <c r="J164" s="310"/>
      <c r="K164" s="310"/>
      <c r="L164" s="577"/>
      <c r="M164" s="38"/>
      <c r="N164" s="38"/>
      <c r="O164" s="38"/>
      <c r="P164" s="38"/>
      <c r="Q164" s="38" t="s">
        <v>98</v>
      </c>
      <c r="R164" s="38"/>
      <c r="S164" s="38"/>
      <c r="T164" s="40"/>
      <c r="U164" s="38" t="s">
        <v>98</v>
      </c>
      <c r="V164" s="262" t="s">
        <v>192</v>
      </c>
      <c r="W164" s="304"/>
      <c r="X164" s="324"/>
      <c r="Y164" s="40"/>
      <c r="Z164" s="419">
        <v>7.6388888888888895E-2</v>
      </c>
      <c r="AA164" s="239" t="s">
        <v>102</v>
      </c>
      <c r="AB164" s="239" t="s">
        <v>257</v>
      </c>
      <c r="AC164" s="405">
        <v>2</v>
      </c>
      <c r="AD164" s="414">
        <v>0</v>
      </c>
      <c r="AE164" s="37">
        <f>$AC164*AD164</f>
        <v>0</v>
      </c>
      <c r="AF164" s="414">
        <v>0</v>
      </c>
      <c r="AG164" s="37">
        <f>$AC164*AF164</f>
        <v>0</v>
      </c>
      <c r="AH164" s="414">
        <v>0.8</v>
      </c>
      <c r="AI164" s="37">
        <f>$AC164*AH164</f>
        <v>1.6</v>
      </c>
      <c r="AJ164" s="414">
        <v>0</v>
      </c>
      <c r="AK164" s="37">
        <f>$AC164*AJ164</f>
        <v>0</v>
      </c>
      <c r="AL164" s="414">
        <v>0</v>
      </c>
      <c r="AM164" s="37">
        <f>$AC164*AL164</f>
        <v>0</v>
      </c>
      <c r="AN164" s="414">
        <v>0</v>
      </c>
      <c r="AO164" s="37">
        <f>$AC164*AN164</f>
        <v>0</v>
      </c>
      <c r="AP164" s="414">
        <v>0</v>
      </c>
      <c r="AQ164" s="37">
        <f>$AC164*AP164</f>
        <v>0</v>
      </c>
      <c r="AR164" s="414">
        <v>0</v>
      </c>
      <c r="AS164" s="37">
        <f>$AC164*AR164</f>
        <v>0</v>
      </c>
      <c r="AT164" s="414">
        <v>1</v>
      </c>
      <c r="AU164" s="37">
        <f>$AC164*AT164</f>
        <v>2</v>
      </c>
      <c r="AV164" s="414">
        <v>0</v>
      </c>
      <c r="AW164" s="37">
        <f>$AC164*AV164</f>
        <v>0</v>
      </c>
      <c r="AX164" s="414">
        <v>0</v>
      </c>
      <c r="AZ164" s="414">
        <v>0</v>
      </c>
      <c r="BA164" s="37">
        <f>$AC164*AZ164</f>
        <v>0</v>
      </c>
      <c r="BB164" s="316"/>
      <c r="BC164" s="37" t="str">
        <f t="shared" ref="BC164:BC173" si="168">A164&amp;" "&amp;E164</f>
        <v>18043-LM646 01700 Door Equipment List</v>
      </c>
    </row>
    <row r="165" spans="1:55" s="37" customFormat="1" ht="15" customHeight="1" outlineLevel="1">
      <c r="A165" s="317" t="s">
        <v>354</v>
      </c>
      <c r="B165" s="38" t="s">
        <v>94</v>
      </c>
      <c r="C165" s="255" t="s">
        <v>95</v>
      </c>
      <c r="D165" s="38"/>
      <c r="E165" s="270" t="s">
        <v>275</v>
      </c>
      <c r="F165" s="310"/>
      <c r="G165" s="310"/>
      <c r="H165" s="310" t="s">
        <v>34</v>
      </c>
      <c r="I165" s="310" t="s">
        <v>31</v>
      </c>
      <c r="J165" s="310"/>
      <c r="K165" s="310"/>
      <c r="L165" s="577"/>
      <c r="M165" s="38"/>
      <c r="N165" s="38"/>
      <c r="O165" s="38"/>
      <c r="P165" s="38"/>
      <c r="Q165" s="38" t="s">
        <v>98</v>
      </c>
      <c r="R165" s="38" t="s">
        <v>116</v>
      </c>
      <c r="S165" s="38"/>
      <c r="T165" s="40"/>
      <c r="U165" s="38" t="s">
        <v>98</v>
      </c>
      <c r="V165" s="262" t="s">
        <v>192</v>
      </c>
      <c r="W165" s="304"/>
      <c r="X165" s="324"/>
      <c r="Y165" s="40"/>
      <c r="Z165" s="419">
        <v>7.6388888888888895E-2</v>
      </c>
      <c r="AA165" s="239" t="s">
        <v>102</v>
      </c>
      <c r="AB165" s="239" t="s">
        <v>257</v>
      </c>
      <c r="AC165" s="405">
        <v>2</v>
      </c>
      <c r="AD165" s="414">
        <v>0</v>
      </c>
      <c r="AE165" s="37">
        <f>$AC165*AD165</f>
        <v>0</v>
      </c>
      <c r="AF165" s="414">
        <v>0</v>
      </c>
      <c r="AG165" s="37">
        <f>$AC165*AF165</f>
        <v>0</v>
      </c>
      <c r="AH165" s="414">
        <v>0.8</v>
      </c>
      <c r="AI165" s="37">
        <f>$AC165*AH165</f>
        <v>1.6</v>
      </c>
      <c r="AJ165" s="414">
        <v>0</v>
      </c>
      <c r="AK165" s="37">
        <f>$AC165*AJ165</f>
        <v>0</v>
      </c>
      <c r="AL165" s="414">
        <v>0</v>
      </c>
      <c r="AM165" s="37">
        <f>$AC165*AL165</f>
        <v>0</v>
      </c>
      <c r="AN165" s="414">
        <v>0</v>
      </c>
      <c r="AO165" s="37">
        <f>$AC165*AN165</f>
        <v>0</v>
      </c>
      <c r="AP165" s="414">
        <v>0</v>
      </c>
      <c r="AQ165" s="37">
        <f>$AC165*AP165</f>
        <v>0</v>
      </c>
      <c r="AR165" s="414">
        <v>0</v>
      </c>
      <c r="AS165" s="37">
        <f>$AC165*AR165</f>
        <v>0</v>
      </c>
      <c r="AT165" s="414">
        <v>1</v>
      </c>
      <c r="AU165" s="37">
        <f>$AC165*AT165</f>
        <v>2</v>
      </c>
      <c r="AV165" s="414">
        <v>0</v>
      </c>
      <c r="AW165" s="37">
        <f>$AC165*AV165</f>
        <v>0</v>
      </c>
      <c r="AX165" s="414">
        <v>0</v>
      </c>
      <c r="AZ165" s="414">
        <v>0</v>
      </c>
      <c r="BA165" s="37">
        <f>$AC165*AZ165</f>
        <v>0</v>
      </c>
      <c r="BB165" s="316"/>
      <c r="BC165" s="37" t="str">
        <f t="shared" si="168"/>
        <v xml:space="preserve">18043-LM646 01701 Door and Window Details </v>
      </c>
    </row>
    <row r="166" spans="1:55" s="37" customFormat="1" ht="15" customHeight="1" outlineLevel="1">
      <c r="A166" s="317"/>
      <c r="B166" s="38"/>
      <c r="C166" s="233"/>
      <c r="D166" s="38"/>
      <c r="E166" s="42"/>
      <c r="F166" s="310"/>
      <c r="G166" s="310"/>
      <c r="H166" s="310"/>
      <c r="I166" s="310"/>
      <c r="J166" s="310"/>
      <c r="K166" s="310"/>
      <c r="L166" s="577"/>
      <c r="M166" s="38"/>
      <c r="N166" s="38"/>
      <c r="O166" s="38"/>
      <c r="P166" s="38"/>
      <c r="Q166" s="38"/>
      <c r="R166" s="38"/>
      <c r="S166" s="38"/>
      <c r="T166" s="40"/>
      <c r="U166" s="38"/>
      <c r="V166" s="40"/>
      <c r="W166" s="40"/>
      <c r="X166" s="324"/>
      <c r="Y166" s="40"/>
      <c r="AA166" s="239"/>
      <c r="AB166" s="239"/>
      <c r="AC166" s="405"/>
      <c r="AD166" s="414"/>
      <c r="AF166" s="414"/>
      <c r="AH166" s="414"/>
      <c r="AJ166" s="414"/>
      <c r="AL166" s="414"/>
      <c r="AN166" s="414"/>
      <c r="AP166" s="414"/>
      <c r="AR166" s="414"/>
      <c r="AT166" s="414"/>
      <c r="AV166" s="414"/>
      <c r="AX166" s="414"/>
      <c r="AZ166" s="414"/>
      <c r="BB166" s="316"/>
      <c r="BC166" s="37" t="str">
        <f t="shared" si="168"/>
        <v xml:space="preserve"> </v>
      </c>
    </row>
    <row r="167" spans="1:55" s="37" customFormat="1" ht="15" customHeight="1" outlineLevel="1">
      <c r="A167" s="317" t="s">
        <v>355</v>
      </c>
      <c r="B167" s="38" t="s">
        <v>94</v>
      </c>
      <c r="C167" s="255" t="s">
        <v>95</v>
      </c>
      <c r="D167" s="38"/>
      <c r="E167" s="270" t="s">
        <v>277</v>
      </c>
      <c r="F167" s="310"/>
      <c r="G167" s="310"/>
      <c r="H167" s="310" t="s">
        <v>97</v>
      </c>
      <c r="I167" s="310" t="s">
        <v>34</v>
      </c>
      <c r="J167" s="310"/>
      <c r="K167" s="310"/>
      <c r="L167" s="577"/>
      <c r="M167" s="38"/>
      <c r="N167" s="38"/>
      <c r="O167" s="38"/>
      <c r="P167" s="38"/>
      <c r="Q167" s="38" t="s">
        <v>98</v>
      </c>
      <c r="R167" s="38"/>
      <c r="S167" s="38"/>
      <c r="T167" s="40"/>
      <c r="U167" s="38" t="s">
        <v>98</v>
      </c>
      <c r="V167" s="40" t="s">
        <v>99</v>
      </c>
      <c r="W167" s="304"/>
      <c r="X167" s="324"/>
      <c r="Y167" s="40"/>
      <c r="Z167" s="419">
        <v>7.6388888888888895E-2</v>
      </c>
      <c r="AA167" s="239" t="s">
        <v>102</v>
      </c>
      <c r="AB167" s="239" t="s">
        <v>193</v>
      </c>
      <c r="AC167" s="405">
        <v>2</v>
      </c>
      <c r="AD167" s="414">
        <v>0</v>
      </c>
      <c r="AE167" s="37">
        <f t="shared" ref="AE167:AE173" si="169">$AC167*AD167</f>
        <v>0</v>
      </c>
      <c r="AF167" s="414">
        <v>0</v>
      </c>
      <c r="AG167" s="37">
        <f t="shared" ref="AG167:AG173" si="170">$AC167*AF167</f>
        <v>0</v>
      </c>
      <c r="AH167" s="414">
        <v>0</v>
      </c>
      <c r="AI167" s="37">
        <f t="shared" ref="AI167:AI173" si="171">$AC167*AH167</f>
        <v>0</v>
      </c>
      <c r="AJ167" s="414">
        <v>0</v>
      </c>
      <c r="AK167" s="37">
        <f t="shared" ref="AK167:AK173" si="172">$AC167*AJ167</f>
        <v>0</v>
      </c>
      <c r="AL167" s="414">
        <v>0</v>
      </c>
      <c r="AM167" s="37">
        <f t="shared" ref="AM167:AM173" si="173">$AC167*AL167</f>
        <v>0</v>
      </c>
      <c r="AN167" s="414">
        <v>0</v>
      </c>
      <c r="AO167" s="37">
        <f t="shared" ref="AO167:AO173" si="174">$AC167*AN167</f>
        <v>0</v>
      </c>
      <c r="AP167" s="414">
        <v>0</v>
      </c>
      <c r="AQ167" s="37">
        <f t="shared" ref="AQ167:AQ173" si="175">$AC167*AP167</f>
        <v>0</v>
      </c>
      <c r="AR167" s="414">
        <v>0</v>
      </c>
      <c r="AS167" s="37">
        <f t="shared" ref="AS167:AS173" si="176">$AC167*AR167</f>
        <v>0</v>
      </c>
      <c r="AT167" s="414">
        <v>1</v>
      </c>
      <c r="AU167" s="37">
        <f t="shared" ref="AU167:AU173" si="177">$AC167*AT167</f>
        <v>2</v>
      </c>
      <c r="AV167" s="414">
        <v>0</v>
      </c>
      <c r="AW167" s="37">
        <f t="shared" ref="AW167:AW173" si="178">$AC167*AV167</f>
        <v>0</v>
      </c>
      <c r="AX167" s="414">
        <v>0</v>
      </c>
      <c r="AZ167" s="414">
        <v>0</v>
      </c>
      <c r="BA167" s="37">
        <f t="shared" ref="BA167:BA173" si="179">$AC167*AZ167</f>
        <v>0</v>
      </c>
      <c r="BB167" s="316"/>
      <c r="BC167" s="37" t="str">
        <f t="shared" si="168"/>
        <v>18043-LM646 01801 Enlarge Detail sheet 1</v>
      </c>
    </row>
    <row r="168" spans="1:55" s="37" customFormat="1" ht="15" customHeight="1" outlineLevel="1">
      <c r="A168" s="317" t="s">
        <v>356</v>
      </c>
      <c r="B168" s="38" t="s">
        <v>94</v>
      </c>
      <c r="C168" s="255" t="s">
        <v>95</v>
      </c>
      <c r="D168" s="38"/>
      <c r="E168" s="270" t="s">
        <v>279</v>
      </c>
      <c r="F168" s="310"/>
      <c r="G168" s="310"/>
      <c r="H168" s="310" t="s">
        <v>97</v>
      </c>
      <c r="I168" s="391"/>
      <c r="J168" s="310"/>
      <c r="K168" s="310"/>
      <c r="L168" s="577"/>
      <c r="M168" s="34"/>
      <c r="N168" s="34"/>
      <c r="O168" s="34"/>
      <c r="P168" s="38"/>
      <c r="Q168" s="38" t="s">
        <v>98</v>
      </c>
      <c r="R168" s="38"/>
      <c r="S168" s="38"/>
      <c r="T168" s="40"/>
      <c r="U168" s="38" t="s">
        <v>98</v>
      </c>
      <c r="V168" s="40" t="s">
        <v>99</v>
      </c>
      <c r="W168" s="304"/>
      <c r="X168" s="324"/>
      <c r="Y168" s="40"/>
      <c r="Z168" s="419">
        <v>7.6388888888888895E-2</v>
      </c>
      <c r="AA168" s="239" t="s">
        <v>102</v>
      </c>
      <c r="AB168" s="239" t="s">
        <v>193</v>
      </c>
      <c r="AC168" s="405">
        <v>2</v>
      </c>
      <c r="AD168" s="414">
        <v>0</v>
      </c>
      <c r="AE168" s="37">
        <f t="shared" si="169"/>
        <v>0</v>
      </c>
      <c r="AF168" s="414">
        <v>0</v>
      </c>
      <c r="AG168" s="37">
        <f t="shared" si="170"/>
        <v>0</v>
      </c>
      <c r="AH168" s="414">
        <v>0</v>
      </c>
      <c r="AI168" s="37">
        <f t="shared" si="171"/>
        <v>0</v>
      </c>
      <c r="AJ168" s="414">
        <v>0</v>
      </c>
      <c r="AK168" s="37">
        <f t="shared" si="172"/>
        <v>0</v>
      </c>
      <c r="AL168" s="414">
        <v>0</v>
      </c>
      <c r="AM168" s="37">
        <f t="shared" si="173"/>
        <v>0</v>
      </c>
      <c r="AN168" s="414">
        <v>0</v>
      </c>
      <c r="AO168" s="37">
        <f t="shared" si="174"/>
        <v>0</v>
      </c>
      <c r="AP168" s="414">
        <v>0</v>
      </c>
      <c r="AQ168" s="37">
        <f t="shared" si="175"/>
        <v>0</v>
      </c>
      <c r="AR168" s="414">
        <v>0</v>
      </c>
      <c r="AS168" s="37">
        <f t="shared" si="176"/>
        <v>0</v>
      </c>
      <c r="AT168" s="414">
        <v>1</v>
      </c>
      <c r="AU168" s="37">
        <f t="shared" si="177"/>
        <v>2</v>
      </c>
      <c r="AV168" s="414">
        <v>0</v>
      </c>
      <c r="AW168" s="37">
        <f t="shared" si="178"/>
        <v>0</v>
      </c>
      <c r="AX168" s="414">
        <v>0</v>
      </c>
      <c r="AZ168" s="414">
        <v>0</v>
      </c>
      <c r="BA168" s="37">
        <f t="shared" si="179"/>
        <v>0</v>
      </c>
      <c r="BB168" s="316"/>
      <c r="BC168" s="37" t="str">
        <f t="shared" si="168"/>
        <v>18043-LM646 01802 Enlarge Detail sheet 2</v>
      </c>
    </row>
    <row r="169" spans="1:55" s="37" customFormat="1" ht="15" customHeight="1" outlineLevel="1">
      <c r="A169" s="317" t="s">
        <v>357</v>
      </c>
      <c r="B169" s="38" t="s">
        <v>94</v>
      </c>
      <c r="C169" s="255" t="s">
        <v>95</v>
      </c>
      <c r="D169" s="38"/>
      <c r="E169" s="270" t="s">
        <v>281</v>
      </c>
      <c r="F169" s="310"/>
      <c r="G169" s="310"/>
      <c r="H169" s="310"/>
      <c r="I169" s="310" t="s">
        <v>97</v>
      </c>
      <c r="J169" s="310"/>
      <c r="K169" s="310"/>
      <c r="L169" s="577"/>
      <c r="M169" s="38"/>
      <c r="N169" s="38"/>
      <c r="O169" s="38"/>
      <c r="P169" s="38"/>
      <c r="Q169" s="38" t="s">
        <v>98</v>
      </c>
      <c r="R169" s="38"/>
      <c r="S169" s="38"/>
      <c r="T169" s="40"/>
      <c r="U169" s="38" t="s">
        <v>98</v>
      </c>
      <c r="V169" s="40" t="s">
        <v>99</v>
      </c>
      <c r="W169" s="304"/>
      <c r="X169" s="324"/>
      <c r="Y169" s="40"/>
      <c r="Z169" s="419">
        <v>7.6388888888888895E-2</v>
      </c>
      <c r="AA169" s="239" t="s">
        <v>102</v>
      </c>
      <c r="AB169" s="239" t="s">
        <v>193</v>
      </c>
      <c r="AC169" s="405">
        <v>2</v>
      </c>
      <c r="AD169" s="414">
        <v>0</v>
      </c>
      <c r="AE169" s="37">
        <f t="shared" si="169"/>
        <v>0</v>
      </c>
      <c r="AF169" s="414">
        <v>0</v>
      </c>
      <c r="AG169" s="37">
        <f t="shared" si="170"/>
        <v>0</v>
      </c>
      <c r="AH169" s="414">
        <v>0</v>
      </c>
      <c r="AI169" s="37">
        <f t="shared" si="171"/>
        <v>0</v>
      </c>
      <c r="AJ169" s="414">
        <v>0</v>
      </c>
      <c r="AK169" s="37">
        <f t="shared" si="172"/>
        <v>0</v>
      </c>
      <c r="AL169" s="414">
        <v>0</v>
      </c>
      <c r="AM169" s="37">
        <f t="shared" si="173"/>
        <v>0</v>
      </c>
      <c r="AN169" s="414">
        <v>0</v>
      </c>
      <c r="AO169" s="37">
        <f t="shared" si="174"/>
        <v>0</v>
      </c>
      <c r="AP169" s="414">
        <v>0</v>
      </c>
      <c r="AQ169" s="37">
        <f t="shared" si="175"/>
        <v>0</v>
      </c>
      <c r="AR169" s="414">
        <v>0</v>
      </c>
      <c r="AS169" s="37">
        <f t="shared" si="176"/>
        <v>0</v>
      </c>
      <c r="AT169" s="414">
        <v>1</v>
      </c>
      <c r="AU169" s="37">
        <f t="shared" si="177"/>
        <v>2</v>
      </c>
      <c r="AV169" s="414">
        <v>0</v>
      </c>
      <c r="AW169" s="37">
        <f t="shared" si="178"/>
        <v>0</v>
      </c>
      <c r="AX169" s="414">
        <v>0</v>
      </c>
      <c r="AZ169" s="414">
        <v>0</v>
      </c>
      <c r="BA169" s="37">
        <f t="shared" si="179"/>
        <v>0</v>
      </c>
      <c r="BB169" s="316"/>
      <c r="BC169" s="37" t="str">
        <f t="shared" si="168"/>
        <v>18043-LM646 01803 Enlarge Detail sheet 3</v>
      </c>
    </row>
    <row r="170" spans="1:55" s="37" customFormat="1" ht="15" customHeight="1" outlineLevel="1">
      <c r="A170" s="317" t="s">
        <v>358</v>
      </c>
      <c r="B170" s="38" t="s">
        <v>94</v>
      </c>
      <c r="C170" s="255" t="s">
        <v>95</v>
      </c>
      <c r="D170" s="38"/>
      <c r="E170" s="270" t="s">
        <v>359</v>
      </c>
      <c r="F170" s="310"/>
      <c r="G170" s="310"/>
      <c r="H170" s="310"/>
      <c r="I170" s="310" t="s">
        <v>97</v>
      </c>
      <c r="J170" s="310"/>
      <c r="K170" s="310"/>
      <c r="L170" s="577"/>
      <c r="M170" s="38"/>
      <c r="N170" s="38"/>
      <c r="O170" s="38"/>
      <c r="P170" s="38"/>
      <c r="Q170" s="38" t="s">
        <v>98</v>
      </c>
      <c r="R170" s="38"/>
      <c r="S170" s="38"/>
      <c r="T170" s="40"/>
      <c r="U170" s="38" t="s">
        <v>98</v>
      </c>
      <c r="V170" s="40" t="s">
        <v>99</v>
      </c>
      <c r="W170" s="304"/>
      <c r="X170" s="324"/>
      <c r="Y170" s="40"/>
      <c r="Z170" s="419">
        <v>7.6388888888888895E-2</v>
      </c>
      <c r="AA170" s="239" t="s">
        <v>102</v>
      </c>
      <c r="AB170" s="239" t="s">
        <v>193</v>
      </c>
      <c r="AC170" s="405">
        <v>2</v>
      </c>
      <c r="AD170" s="414">
        <v>0</v>
      </c>
      <c r="AE170" s="37">
        <f t="shared" si="169"/>
        <v>0</v>
      </c>
      <c r="AF170" s="414">
        <v>0</v>
      </c>
      <c r="AG170" s="37">
        <f t="shared" si="170"/>
        <v>0</v>
      </c>
      <c r="AH170" s="414">
        <v>0</v>
      </c>
      <c r="AI170" s="37">
        <f t="shared" si="171"/>
        <v>0</v>
      </c>
      <c r="AJ170" s="414">
        <v>0</v>
      </c>
      <c r="AK170" s="37">
        <f t="shared" si="172"/>
        <v>0</v>
      </c>
      <c r="AL170" s="414">
        <v>0</v>
      </c>
      <c r="AM170" s="37">
        <f t="shared" si="173"/>
        <v>0</v>
      </c>
      <c r="AN170" s="414">
        <v>0</v>
      </c>
      <c r="AO170" s="37">
        <f t="shared" si="174"/>
        <v>0</v>
      </c>
      <c r="AP170" s="414">
        <v>0</v>
      </c>
      <c r="AQ170" s="37">
        <f t="shared" si="175"/>
        <v>0</v>
      </c>
      <c r="AR170" s="414">
        <v>0</v>
      </c>
      <c r="AS170" s="37">
        <f t="shared" si="176"/>
        <v>0</v>
      </c>
      <c r="AT170" s="414">
        <v>1</v>
      </c>
      <c r="AU170" s="37">
        <f t="shared" si="177"/>
        <v>2</v>
      </c>
      <c r="AV170" s="414">
        <v>0</v>
      </c>
      <c r="AW170" s="37">
        <f t="shared" si="178"/>
        <v>0</v>
      </c>
      <c r="AX170" s="414">
        <v>0</v>
      </c>
      <c r="AZ170" s="414">
        <v>0</v>
      </c>
      <c r="BA170" s="37">
        <f t="shared" si="179"/>
        <v>0</v>
      </c>
      <c r="BB170" s="316"/>
      <c r="BC170" s="37" t="str">
        <f t="shared" si="168"/>
        <v>18043-LM646 01804 Enlarge Detail sheet 4 (Outbound Conveyor)</v>
      </c>
    </row>
    <row r="171" spans="1:55" s="37" customFormat="1" ht="15" customHeight="1" outlineLevel="1">
      <c r="A171" s="317" t="s">
        <v>360</v>
      </c>
      <c r="B171" s="38" t="s">
        <v>94</v>
      </c>
      <c r="C171" s="255" t="s">
        <v>95</v>
      </c>
      <c r="D171" s="38"/>
      <c r="E171" s="270" t="s">
        <v>361</v>
      </c>
      <c r="F171" s="310"/>
      <c r="G171" s="310"/>
      <c r="H171" s="310"/>
      <c r="I171" s="310" t="s">
        <v>97</v>
      </c>
      <c r="J171" s="310"/>
      <c r="K171" s="310"/>
      <c r="L171" s="577"/>
      <c r="M171" s="38"/>
      <c r="N171" s="38"/>
      <c r="O171" s="38"/>
      <c r="P171" s="38"/>
      <c r="Q171" s="38" t="s">
        <v>98</v>
      </c>
      <c r="R171" s="38"/>
      <c r="S171" s="38"/>
      <c r="T171" s="40"/>
      <c r="U171" s="38" t="s">
        <v>98</v>
      </c>
      <c r="V171" s="40" t="s">
        <v>99</v>
      </c>
      <c r="W171" s="304"/>
      <c r="X171" s="324"/>
      <c r="Y171" s="40"/>
      <c r="Z171" s="419">
        <v>7.6388888888888895E-2</v>
      </c>
      <c r="AA171" s="239" t="s">
        <v>102</v>
      </c>
      <c r="AB171" s="239" t="s">
        <v>193</v>
      </c>
      <c r="AC171" s="405">
        <v>2</v>
      </c>
      <c r="AD171" s="414">
        <v>0</v>
      </c>
      <c r="AE171" s="37">
        <f t="shared" si="169"/>
        <v>0</v>
      </c>
      <c r="AF171" s="414">
        <v>0</v>
      </c>
      <c r="AG171" s="37">
        <f t="shared" si="170"/>
        <v>0</v>
      </c>
      <c r="AH171" s="414">
        <v>0</v>
      </c>
      <c r="AI171" s="37">
        <f t="shared" si="171"/>
        <v>0</v>
      </c>
      <c r="AJ171" s="414">
        <v>0</v>
      </c>
      <c r="AK171" s="37">
        <f t="shared" si="172"/>
        <v>0</v>
      </c>
      <c r="AL171" s="414">
        <v>0</v>
      </c>
      <c r="AM171" s="37">
        <f t="shared" si="173"/>
        <v>0</v>
      </c>
      <c r="AN171" s="414">
        <v>0</v>
      </c>
      <c r="AO171" s="37">
        <f t="shared" si="174"/>
        <v>0</v>
      </c>
      <c r="AP171" s="414">
        <v>0</v>
      </c>
      <c r="AQ171" s="37">
        <f t="shared" si="175"/>
        <v>0</v>
      </c>
      <c r="AR171" s="414">
        <v>0</v>
      </c>
      <c r="AS171" s="37">
        <f t="shared" si="176"/>
        <v>0</v>
      </c>
      <c r="AT171" s="414">
        <v>1</v>
      </c>
      <c r="AU171" s="37">
        <f t="shared" si="177"/>
        <v>2</v>
      </c>
      <c r="AV171" s="414">
        <v>0</v>
      </c>
      <c r="AW171" s="37">
        <f t="shared" si="178"/>
        <v>0</v>
      </c>
      <c r="AX171" s="414">
        <v>0</v>
      </c>
      <c r="AZ171" s="414">
        <v>0</v>
      </c>
      <c r="BA171" s="37">
        <f t="shared" si="179"/>
        <v>0</v>
      </c>
      <c r="BB171" s="316"/>
      <c r="BC171" s="37" t="str">
        <f t="shared" si="168"/>
        <v>18043-LM646 01805 Enlarge Detail sheet 5 (Outbound Conveyor)</v>
      </c>
    </row>
    <row r="172" spans="1:55" s="37" customFormat="1" ht="15" customHeight="1" outlineLevel="1">
      <c r="A172" s="317" t="s">
        <v>362</v>
      </c>
      <c r="B172" s="38" t="s">
        <v>94</v>
      </c>
      <c r="C172" s="255" t="s">
        <v>95</v>
      </c>
      <c r="D172" s="38"/>
      <c r="E172" s="270" t="s">
        <v>363</v>
      </c>
      <c r="F172" s="310"/>
      <c r="G172" s="310"/>
      <c r="H172" s="310"/>
      <c r="I172" s="310" t="s">
        <v>97</v>
      </c>
      <c r="J172" s="310"/>
      <c r="K172" s="310"/>
      <c r="L172" s="577"/>
      <c r="M172" s="38"/>
      <c r="N172" s="38"/>
      <c r="O172" s="38"/>
      <c r="P172" s="38"/>
      <c r="Q172" s="38" t="s">
        <v>98</v>
      </c>
      <c r="R172" s="38"/>
      <c r="S172" s="38"/>
      <c r="T172" s="40"/>
      <c r="U172" s="38" t="s">
        <v>98</v>
      </c>
      <c r="V172" s="40" t="s">
        <v>99</v>
      </c>
      <c r="W172" s="304"/>
      <c r="X172" s="324"/>
      <c r="Y172" s="40"/>
      <c r="Z172" s="419">
        <v>7.6388888888888895E-2</v>
      </c>
      <c r="AA172" s="239" t="s">
        <v>102</v>
      </c>
      <c r="AB172" s="239" t="s">
        <v>193</v>
      </c>
      <c r="AC172" s="405">
        <v>2</v>
      </c>
      <c r="AD172" s="414">
        <v>0</v>
      </c>
      <c r="AE172" s="37">
        <f t="shared" si="169"/>
        <v>0</v>
      </c>
      <c r="AF172" s="414">
        <v>0</v>
      </c>
      <c r="AG172" s="37">
        <f t="shared" si="170"/>
        <v>0</v>
      </c>
      <c r="AH172" s="414">
        <v>0</v>
      </c>
      <c r="AI172" s="37">
        <f t="shared" si="171"/>
        <v>0</v>
      </c>
      <c r="AJ172" s="414">
        <v>0</v>
      </c>
      <c r="AK172" s="37">
        <f t="shared" si="172"/>
        <v>0</v>
      </c>
      <c r="AL172" s="414">
        <v>0</v>
      </c>
      <c r="AM172" s="37">
        <f t="shared" si="173"/>
        <v>0</v>
      </c>
      <c r="AN172" s="414">
        <v>0</v>
      </c>
      <c r="AO172" s="37">
        <f t="shared" si="174"/>
        <v>0</v>
      </c>
      <c r="AP172" s="414">
        <v>0</v>
      </c>
      <c r="AQ172" s="37">
        <f t="shared" si="175"/>
        <v>0</v>
      </c>
      <c r="AR172" s="414">
        <v>0</v>
      </c>
      <c r="AS172" s="37">
        <f t="shared" si="176"/>
        <v>0</v>
      </c>
      <c r="AT172" s="414">
        <v>1</v>
      </c>
      <c r="AU172" s="37">
        <f t="shared" si="177"/>
        <v>2</v>
      </c>
      <c r="AV172" s="414">
        <v>0</v>
      </c>
      <c r="AW172" s="37">
        <f t="shared" si="178"/>
        <v>0</v>
      </c>
      <c r="AX172" s="414">
        <v>0</v>
      </c>
      <c r="AZ172" s="414">
        <v>0</v>
      </c>
      <c r="BA172" s="37">
        <f t="shared" si="179"/>
        <v>0</v>
      </c>
      <c r="BB172" s="316"/>
      <c r="BC172" s="37" t="str">
        <f t="shared" si="168"/>
        <v>18043-LM646 01806 Enlarge Detail sheet 6 (Inbound Conveyor)</v>
      </c>
    </row>
    <row r="173" spans="1:55" s="37" customFormat="1" ht="15" customHeight="1" outlineLevel="1">
      <c r="A173" s="317" t="s">
        <v>364</v>
      </c>
      <c r="B173" s="38" t="s">
        <v>94</v>
      </c>
      <c r="C173" s="255" t="s">
        <v>95</v>
      </c>
      <c r="D173" s="38"/>
      <c r="E173" s="270" t="s">
        <v>365</v>
      </c>
      <c r="F173" s="310"/>
      <c r="G173" s="310"/>
      <c r="H173" s="310"/>
      <c r="I173" s="310" t="s">
        <v>97</v>
      </c>
      <c r="J173" s="310"/>
      <c r="K173" s="310"/>
      <c r="L173" s="577"/>
      <c r="M173" s="38"/>
      <c r="N173" s="38"/>
      <c r="O173" s="38"/>
      <c r="P173" s="38"/>
      <c r="Q173" s="38" t="s">
        <v>98</v>
      </c>
      <c r="R173" s="38"/>
      <c r="S173" s="38"/>
      <c r="T173" s="40"/>
      <c r="U173" s="38" t="s">
        <v>98</v>
      </c>
      <c r="V173" s="40" t="s">
        <v>99</v>
      </c>
      <c r="W173" s="304"/>
      <c r="X173" s="324"/>
      <c r="Y173" s="40"/>
      <c r="Z173" s="419">
        <v>7.6388888888888895E-2</v>
      </c>
      <c r="AA173" s="239" t="s">
        <v>102</v>
      </c>
      <c r="AB173" s="239" t="s">
        <v>193</v>
      </c>
      <c r="AC173" s="405">
        <v>2</v>
      </c>
      <c r="AD173" s="414">
        <v>0</v>
      </c>
      <c r="AE173" s="37">
        <f t="shared" si="169"/>
        <v>0</v>
      </c>
      <c r="AF173" s="414">
        <v>0</v>
      </c>
      <c r="AG173" s="37">
        <f t="shared" si="170"/>
        <v>0</v>
      </c>
      <c r="AH173" s="414">
        <v>0</v>
      </c>
      <c r="AI173" s="37">
        <f t="shared" si="171"/>
        <v>0</v>
      </c>
      <c r="AJ173" s="414">
        <v>0</v>
      </c>
      <c r="AK173" s="37">
        <f t="shared" si="172"/>
        <v>0</v>
      </c>
      <c r="AL173" s="414">
        <v>0</v>
      </c>
      <c r="AM173" s="37">
        <f t="shared" si="173"/>
        <v>0</v>
      </c>
      <c r="AN173" s="414">
        <v>0</v>
      </c>
      <c r="AO173" s="37">
        <f t="shared" si="174"/>
        <v>0</v>
      </c>
      <c r="AP173" s="414">
        <v>0</v>
      </c>
      <c r="AQ173" s="37">
        <f t="shared" si="175"/>
        <v>0</v>
      </c>
      <c r="AR173" s="414">
        <v>0</v>
      </c>
      <c r="AS173" s="37">
        <f t="shared" si="176"/>
        <v>0</v>
      </c>
      <c r="AT173" s="414">
        <v>1</v>
      </c>
      <c r="AU173" s="37">
        <f t="shared" si="177"/>
        <v>2</v>
      </c>
      <c r="AV173" s="414">
        <v>0</v>
      </c>
      <c r="AW173" s="37">
        <f t="shared" si="178"/>
        <v>0</v>
      </c>
      <c r="AX173" s="414">
        <v>0</v>
      </c>
      <c r="AZ173" s="414">
        <v>0</v>
      </c>
      <c r="BA173" s="37">
        <f t="shared" si="179"/>
        <v>0</v>
      </c>
      <c r="BB173" s="316"/>
      <c r="BC173" s="37" t="str">
        <f t="shared" si="168"/>
        <v>18043-LM646 01807 Enlarge Detail sheet 7 (Inbound Conveyor)</v>
      </c>
    </row>
    <row r="174" spans="1:55" s="37" customFormat="1" ht="15" customHeight="1" outlineLevel="1">
      <c r="A174" s="317"/>
      <c r="B174" s="38"/>
      <c r="C174" s="255"/>
      <c r="D174" s="38"/>
      <c r="E174" s="270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40" t="str" cm="1">
        <f t="array" ref="T174">IF(A174&lt;&gt;"",_xlfn.XLOOKUP(_xlfn.XLOOKUP(TRUE,F174:N174&lt;&gt;"",F174:N174,"-",-1,-1),F174:N174,$F$6:$N$6,,,-1),"")</f>
        <v/>
      </c>
      <c r="U174" s="38"/>
      <c r="V174" s="40"/>
      <c r="W174" s="304"/>
      <c r="X174" s="324"/>
      <c r="Y174" s="40"/>
      <c r="Z174" s="419"/>
      <c r="AA174" s="239"/>
      <c r="AB174" s="239"/>
      <c r="AC174" s="405"/>
      <c r="AD174" s="414"/>
      <c r="AF174" s="414"/>
      <c r="AH174" s="414"/>
      <c r="AJ174" s="414"/>
      <c r="AL174" s="414"/>
      <c r="AN174" s="414"/>
      <c r="AP174" s="414"/>
      <c r="AR174" s="414"/>
      <c r="AT174" s="414"/>
      <c r="AV174" s="414"/>
      <c r="AX174" s="414"/>
      <c r="AZ174" s="414"/>
      <c r="BB174" s="316"/>
    </row>
    <row r="175" spans="1:55" s="37" customFormat="1" ht="15" customHeight="1" thickBot="1">
      <c r="A175" s="41"/>
      <c r="B175" s="38"/>
      <c r="C175" s="41"/>
      <c r="D175" s="38"/>
      <c r="E175" s="43" t="str">
        <f>"SUB-TOTAL "&amp;UPPER(A57)&amp;" DRAWINGS"</f>
        <v>SUB-TOTAL ASRS BUILDING (B646) DRAWINGS</v>
      </c>
      <c r="F175" s="133">
        <f>COUNTA(F59:F173)</f>
        <v>32</v>
      </c>
      <c r="G175" s="133"/>
      <c r="H175" s="133">
        <f>COUNTA(H59:H173)</f>
        <v>19</v>
      </c>
      <c r="I175" s="133">
        <f>COUNTA(I59:I173)</f>
        <v>33</v>
      </c>
      <c r="J175" s="133">
        <f>COUNTA(J59:J173)</f>
        <v>11</v>
      </c>
      <c r="K175" s="133">
        <f>COUNTA(K59:K173)</f>
        <v>8</v>
      </c>
      <c r="L175" s="133">
        <f>COUNTA(L59:L173)</f>
        <v>30</v>
      </c>
      <c r="M175" s="133">
        <f>COUNTA(M59:M110)</f>
        <v>22</v>
      </c>
      <c r="N175" s="133">
        <f>COUNTA(N59:N110)</f>
        <v>15</v>
      </c>
      <c r="O175" s="133"/>
      <c r="P175" s="133">
        <f>COUNTA(P59:P110)</f>
        <v>42</v>
      </c>
      <c r="Q175" s="38"/>
      <c r="R175" s="36"/>
      <c r="S175" s="36"/>
      <c r="T175" s="40" t="str" cm="1">
        <f t="array" ref="T175">IF(A175&lt;&gt;"",_xlfn.XLOOKUP(_xlfn.XLOOKUP(TRUE,F175:N175&lt;&gt;"",F175:N175,"-",-1,-1),F175:N175,$F$6:$N$6,,,-1),"")</f>
        <v/>
      </c>
      <c r="U175" s="322"/>
      <c r="V175" s="36"/>
      <c r="W175" s="236"/>
      <c r="X175" s="239"/>
      <c r="Y175" s="239"/>
      <c r="Z175" s="405"/>
      <c r="AA175" s="414"/>
      <c r="AC175" s="414"/>
      <c r="AE175" s="414"/>
      <c r="AG175" s="414"/>
      <c r="AI175" s="414"/>
      <c r="AK175" s="414"/>
      <c r="AM175" s="414"/>
      <c r="AO175" s="414"/>
      <c r="AQ175" s="414"/>
      <c r="AS175" s="414"/>
      <c r="AU175" s="414"/>
      <c r="AW175" s="414"/>
    </row>
    <row r="176" spans="1:55" s="37" customFormat="1" ht="15" customHeight="1" thickTop="1">
      <c r="A176" s="41"/>
      <c r="B176" s="38"/>
      <c r="C176" s="41"/>
      <c r="D176" s="38"/>
      <c r="E176" s="43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6"/>
      <c r="S176" s="36"/>
      <c r="T176" s="40" t="str" cm="1">
        <f t="array" ref="T176">IF(A176&lt;&gt;"",_xlfn.XLOOKUP(_xlfn.XLOOKUP(TRUE,F176:N176&lt;&gt;"",F176:N176,"-",-1,-1),F176:N176,$F$6:$N$6,,,-1),"")</f>
        <v/>
      </c>
      <c r="U176" s="322"/>
      <c r="V176" s="36"/>
      <c r="W176" s="236"/>
      <c r="X176" s="239"/>
      <c r="Y176" s="239"/>
      <c r="Z176" s="405"/>
      <c r="AA176" s="414"/>
      <c r="AC176" s="414"/>
      <c r="AE176" s="414"/>
      <c r="AG176" s="414"/>
      <c r="AI176" s="414"/>
      <c r="AK176" s="414"/>
      <c r="AM176" s="414"/>
      <c r="AO176" s="414"/>
      <c r="AQ176" s="414"/>
      <c r="AS176" s="414"/>
      <c r="AU176" s="414"/>
      <c r="AW176" s="414"/>
    </row>
    <row r="177" spans="1:56">
      <c r="A177" s="33"/>
      <c r="B177" s="34"/>
      <c r="C177" s="33"/>
      <c r="D177" s="36"/>
      <c r="E177" s="78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40" t="str" cm="1">
        <f t="array" ref="T177">IF(A177&lt;&gt;"",_xlfn.XLOOKUP(_xlfn.XLOOKUP(TRUE,F177:N177&lt;&gt;"",F177:N177,"-",-1,-1),F177:N177,$F$6:$N$6,,,-1),"")</f>
        <v/>
      </c>
      <c r="U177" s="322"/>
      <c r="V177" s="36"/>
      <c r="AA177" s="414"/>
      <c r="AB177" s="37"/>
      <c r="AC177" s="414"/>
      <c r="AD177" s="37"/>
      <c r="AE177" s="414"/>
      <c r="AF177" s="37"/>
      <c r="AG177" s="414"/>
      <c r="AH177" s="37"/>
      <c r="AI177" s="414"/>
      <c r="AJ177" s="37"/>
      <c r="AK177" s="414"/>
      <c r="AL177" s="37"/>
      <c r="AM177" s="414"/>
      <c r="AN177" s="37"/>
      <c r="AO177" s="414"/>
      <c r="AP177" s="37"/>
      <c r="AR177" s="37"/>
      <c r="AU177" s="414"/>
      <c r="AV177" s="37"/>
      <c r="AW177" s="414"/>
      <c r="AX177" s="37"/>
      <c r="AZ177" s="37" t="str">
        <f>A177&amp;" "&amp;E177</f>
        <v xml:space="preserve"> </v>
      </c>
    </row>
    <row r="178" spans="1:56" s="37" customFormat="1" ht="18" customHeight="1">
      <c r="A178" s="32" t="s">
        <v>366</v>
      </c>
      <c r="B178" s="235"/>
      <c r="C178" s="32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40"/>
      <c r="U178" s="321"/>
      <c r="V178" s="11"/>
      <c r="W178" s="412"/>
      <c r="X178" s="322"/>
      <c r="Y178" s="322"/>
      <c r="Z178" s="47"/>
      <c r="AA178" s="414"/>
      <c r="AC178" s="414"/>
      <c r="AE178" s="414"/>
      <c r="AG178" s="414"/>
      <c r="AI178" s="414"/>
      <c r="AK178" s="414"/>
      <c r="AM178" s="414"/>
      <c r="AO178" s="414"/>
      <c r="AU178" s="414"/>
      <c r="AW178" s="414"/>
    </row>
    <row r="179" spans="1:56" s="37" customFormat="1" ht="15" customHeight="1">
      <c r="B179" s="236"/>
      <c r="D179" s="38"/>
      <c r="E179" s="39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40"/>
      <c r="S179" s="40"/>
      <c r="T179" s="40" t="str" cm="1">
        <f t="array" ref="T179">IF(A179&lt;&gt;"",_xlfn.XLOOKUP(_xlfn.XLOOKUP(TRUE,F179:N179&lt;&gt;"",F179:N179,"-",-1,-1),F179:N179,$F$6:$N$6,,,-1),"")</f>
        <v/>
      </c>
      <c r="U179" s="324"/>
      <c r="V179" s="40"/>
      <c r="W179" s="236"/>
      <c r="X179" s="239"/>
      <c r="Y179" s="239"/>
      <c r="Z179" s="405"/>
      <c r="AA179" s="414"/>
      <c r="AC179" s="414"/>
      <c r="AE179" s="414"/>
      <c r="AG179" s="414"/>
      <c r="AI179" s="414"/>
      <c r="AK179" s="414"/>
      <c r="AM179" s="414"/>
      <c r="AO179" s="414"/>
      <c r="AQ179" s="414"/>
      <c r="AS179" s="414"/>
      <c r="AU179" s="414"/>
      <c r="AW179" s="414"/>
      <c r="AZ179" s="37" t="str">
        <f>A179&amp;" "&amp;E179</f>
        <v xml:space="preserve"> </v>
      </c>
      <c r="BA179" s="237"/>
    </row>
    <row r="180" spans="1:56" s="37" customFormat="1" ht="15" customHeight="1" outlineLevel="1">
      <c r="A180" s="43" t="s">
        <v>367</v>
      </c>
      <c r="B180" s="38" t="s">
        <v>94</v>
      </c>
      <c r="C180" s="233" t="s">
        <v>95</v>
      </c>
      <c r="D180" s="38"/>
      <c r="E180" s="213" t="s">
        <v>191</v>
      </c>
      <c r="F180" s="38" t="s">
        <v>34</v>
      </c>
      <c r="G180" s="38"/>
      <c r="H180" s="38" t="s">
        <v>116</v>
      </c>
      <c r="I180" s="38"/>
      <c r="J180" s="38" t="s">
        <v>38</v>
      </c>
      <c r="K180" s="38"/>
      <c r="L180" s="38"/>
      <c r="M180" s="364" t="s">
        <v>38</v>
      </c>
      <c r="N180" s="38"/>
      <c r="O180" s="38"/>
      <c r="P180" s="494">
        <v>0</v>
      </c>
      <c r="Q180" s="38" t="s">
        <v>98</v>
      </c>
      <c r="R180" s="40" t="s">
        <v>192</v>
      </c>
      <c r="S180" s="40"/>
      <c r="T180" s="40" t="str" cm="1">
        <f t="array" ref="T180">IF(A180&lt;&gt;"",_xlfn.XLOOKUP(_xlfn.XLOOKUP(TRUE,F180:N180&lt;&gt;"",F180:N180,"-",-1,-1),F180:N180,$F$6:$N$6,,,-1),"")</f>
        <v>Permit</v>
      </c>
      <c r="U180" s="324"/>
      <c r="V180" s="268" t="s">
        <v>368</v>
      </c>
      <c r="W180" s="416" t="s">
        <v>117</v>
      </c>
      <c r="X180" s="239" t="s">
        <v>102</v>
      </c>
      <c r="Y180" s="239" t="s">
        <v>256</v>
      </c>
      <c r="Z180" s="405">
        <v>2</v>
      </c>
      <c r="AA180" s="414">
        <v>0.8</v>
      </c>
      <c r="AB180" s="37">
        <f>$Z180*AA180</f>
        <v>1.6</v>
      </c>
      <c r="AC180" s="414">
        <v>0</v>
      </c>
      <c r="AD180" s="37">
        <f>$Z180*AC180</f>
        <v>0</v>
      </c>
      <c r="AE180" s="414">
        <v>1</v>
      </c>
      <c r="AF180" s="37">
        <f>$Z180*AE180</f>
        <v>2</v>
      </c>
      <c r="AG180" s="414">
        <v>0</v>
      </c>
      <c r="AH180" s="37">
        <f>$Z180*AG180</f>
        <v>0</v>
      </c>
      <c r="AI180" s="414">
        <v>0</v>
      </c>
      <c r="AJ180" s="37">
        <f>$Z180*AI180</f>
        <v>0</v>
      </c>
      <c r="AK180" s="414">
        <v>0</v>
      </c>
      <c r="AL180" s="37">
        <f>$Z180*AK180</f>
        <v>0</v>
      </c>
      <c r="AM180" s="414">
        <v>0</v>
      </c>
      <c r="AN180" s="37">
        <f>$Z180*AM180</f>
        <v>0</v>
      </c>
      <c r="AO180" s="414">
        <v>0</v>
      </c>
      <c r="AP180" s="37">
        <f>$Z180*AO180</f>
        <v>0</v>
      </c>
      <c r="AQ180" s="414">
        <v>1</v>
      </c>
      <c r="AR180" s="37">
        <f>$Z180*AQ180</f>
        <v>2</v>
      </c>
      <c r="AS180" s="414">
        <v>0</v>
      </c>
      <c r="AT180" s="37">
        <f>$Z180*AS180</f>
        <v>0</v>
      </c>
      <c r="AU180" s="414">
        <v>0</v>
      </c>
      <c r="AV180" s="37">
        <f>$Z180*AU180</f>
        <v>0</v>
      </c>
      <c r="AW180" s="414">
        <v>0</v>
      </c>
      <c r="AX180" s="37">
        <f>$Z180*AW180</f>
        <v>0</v>
      </c>
      <c r="AZ180" s="37" t="str">
        <f>A180&amp;" "&amp;E180</f>
        <v>18043-LM231 01001 Room Schedule Sheet 1</v>
      </c>
      <c r="BA180" s="237" t="s">
        <v>369</v>
      </c>
    </row>
    <row r="181" spans="1:56" s="37" customFormat="1" ht="15" customHeight="1">
      <c r="B181" s="236"/>
      <c r="D181" s="38"/>
      <c r="E181" s="39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40"/>
      <c r="S181" s="40"/>
      <c r="T181" s="40" t="str" cm="1">
        <f t="array" ref="T181">IF(A181&lt;&gt;"",_xlfn.XLOOKUP(_xlfn.XLOOKUP(TRUE,F181:N181&lt;&gt;"",F181:N181,"-",-1,-1),F181:N181,$F$6:$N$6,,,-1),"")</f>
        <v/>
      </c>
      <c r="U181" s="324"/>
      <c r="V181" s="40"/>
      <c r="W181" s="236"/>
      <c r="X181" s="239"/>
      <c r="Y181" s="239"/>
      <c r="Z181" s="405"/>
      <c r="AA181" s="414"/>
      <c r="AC181" s="414"/>
      <c r="AE181" s="414"/>
      <c r="AG181" s="414"/>
      <c r="AI181" s="414"/>
      <c r="AK181" s="414"/>
      <c r="AM181" s="414"/>
      <c r="AO181" s="414"/>
      <c r="AQ181" s="414"/>
      <c r="AS181" s="414"/>
      <c r="AU181" s="414"/>
      <c r="AW181" s="414"/>
      <c r="BA181" s="237"/>
    </row>
    <row r="182" spans="1:56" s="37" customFormat="1" ht="15" customHeight="1" outlineLevel="1">
      <c r="A182" s="43" t="s">
        <v>370</v>
      </c>
      <c r="B182" s="38" t="s">
        <v>94</v>
      </c>
      <c r="C182" s="233" t="s">
        <v>95</v>
      </c>
      <c r="D182" s="38"/>
      <c r="E182" s="213" t="s">
        <v>371</v>
      </c>
      <c r="F182" s="38" t="s">
        <v>34</v>
      </c>
      <c r="G182" s="38"/>
      <c r="H182" s="38" t="s">
        <v>116</v>
      </c>
      <c r="I182" s="38" t="s">
        <v>38</v>
      </c>
      <c r="J182" s="38" t="s">
        <v>28</v>
      </c>
      <c r="K182" s="38"/>
      <c r="L182" s="38"/>
      <c r="M182" s="364" t="s">
        <v>28</v>
      </c>
      <c r="N182" s="38"/>
      <c r="O182" s="38"/>
      <c r="P182" s="494">
        <v>0</v>
      </c>
      <c r="Q182" s="38" t="s">
        <v>98</v>
      </c>
      <c r="R182" s="40" t="s">
        <v>192</v>
      </c>
      <c r="S182" s="40"/>
      <c r="T182" s="40" t="str" cm="1">
        <f t="array" ref="T182">IF(A182&lt;&gt;"",_xlfn.XLOOKUP(_xlfn.XLOOKUP(TRUE,F182:N182&lt;&gt;"",F182:N182,"-",-1,-1),F182:N182,$F$6:$N$6,,,-1),"")</f>
        <v>Permit</v>
      </c>
      <c r="U182" s="324"/>
      <c r="V182" s="38"/>
      <c r="W182" s="415" t="s">
        <v>372</v>
      </c>
      <c r="X182" s="239" t="s">
        <v>102</v>
      </c>
      <c r="Y182" s="239" t="s">
        <v>256</v>
      </c>
      <c r="Z182" s="405">
        <v>2</v>
      </c>
      <c r="AA182" s="414">
        <v>0.5</v>
      </c>
      <c r="AB182" s="37">
        <f t="shared" si="54"/>
        <v>1</v>
      </c>
      <c r="AC182" s="414">
        <v>0</v>
      </c>
      <c r="AD182" s="37">
        <f t="shared" si="55"/>
        <v>0</v>
      </c>
      <c r="AE182" s="414">
        <v>0.8</v>
      </c>
      <c r="AF182" s="37">
        <f t="shared" ref="AF182:AF184" si="180">$Z182*AE182</f>
        <v>1.6</v>
      </c>
      <c r="AG182" s="414">
        <v>0</v>
      </c>
      <c r="AH182" s="37">
        <f t="shared" ref="AH182:AH184" si="181">$Z182*AG182</f>
        <v>0</v>
      </c>
      <c r="AI182" s="414">
        <v>0</v>
      </c>
      <c r="AJ182" s="37">
        <f t="shared" ref="AJ182:AJ184" si="182">$Z182*AI182</f>
        <v>0</v>
      </c>
      <c r="AK182" s="414">
        <v>0</v>
      </c>
      <c r="AL182" s="37">
        <f>$Z182*AK182</f>
        <v>0</v>
      </c>
      <c r="AM182" s="414">
        <v>0</v>
      </c>
      <c r="AN182" s="37">
        <f t="shared" ref="AN182:AN184" si="183">$Z182*AM182</f>
        <v>0</v>
      </c>
      <c r="AO182" s="414">
        <v>0</v>
      </c>
      <c r="AP182" s="37">
        <f>$Z182*AO182</f>
        <v>0</v>
      </c>
      <c r="AQ182" s="414">
        <v>1</v>
      </c>
      <c r="AR182" s="37">
        <f t="shared" si="12"/>
        <v>2</v>
      </c>
      <c r="AS182" s="414">
        <v>0</v>
      </c>
      <c r="AT182" s="37">
        <f t="shared" ref="AT182:AT213" si="184">$Z182*AS182</f>
        <v>0</v>
      </c>
      <c r="AU182" s="414">
        <v>0</v>
      </c>
      <c r="AV182" s="37">
        <f t="shared" ref="AV182:AV184" si="185">$Z182*AU182</f>
        <v>0</v>
      </c>
      <c r="AW182" s="414">
        <v>0</v>
      </c>
      <c r="AX182" s="37">
        <f>$Z182*AW182</f>
        <v>0</v>
      </c>
      <c r="AZ182" s="37" t="str">
        <f>A182&amp;" "&amp;E182</f>
        <v>18043-LM231 01101 1st Floor and Mezzanine Floor Plan</v>
      </c>
      <c r="BA182" s="237" t="s">
        <v>369</v>
      </c>
    </row>
    <row r="183" spans="1:56" s="37" customFormat="1" ht="15" customHeight="1" outlineLevel="1">
      <c r="A183" s="43" t="s">
        <v>373</v>
      </c>
      <c r="B183" s="38" t="s">
        <v>94</v>
      </c>
      <c r="C183" s="233" t="s">
        <v>95</v>
      </c>
      <c r="D183" s="38"/>
      <c r="E183" s="213" t="s">
        <v>374</v>
      </c>
      <c r="F183" s="38" t="s">
        <v>34</v>
      </c>
      <c r="G183" s="38"/>
      <c r="H183" s="38" t="s">
        <v>116</v>
      </c>
      <c r="I183" s="38" t="s">
        <v>38</v>
      </c>
      <c r="J183" s="38" t="s">
        <v>28</v>
      </c>
      <c r="K183" s="38"/>
      <c r="L183" s="38"/>
      <c r="M183" s="364" t="s">
        <v>28</v>
      </c>
      <c r="N183" s="38"/>
      <c r="O183" s="38"/>
      <c r="P183" s="494">
        <v>0</v>
      </c>
      <c r="Q183" s="38" t="s">
        <v>98</v>
      </c>
      <c r="R183" s="40" t="s">
        <v>192</v>
      </c>
      <c r="S183" s="40"/>
      <c r="T183" s="40" t="str" cm="1">
        <f t="array" ref="T183">IF(A183&lt;&gt;"",_xlfn.XLOOKUP(_xlfn.XLOOKUP(TRUE,F183:N183&lt;&gt;"",F183:N183,"-",-1,-1),F183:N183,$F$6:$N$6,,,-1),"")</f>
        <v>Permit</v>
      </c>
      <c r="U183" s="324"/>
      <c r="V183" s="38"/>
      <c r="W183" s="415" t="s">
        <v>372</v>
      </c>
      <c r="X183" s="239" t="s">
        <v>102</v>
      </c>
      <c r="Y183" s="239" t="s">
        <v>256</v>
      </c>
      <c r="Z183" s="405">
        <v>2</v>
      </c>
      <c r="AA183" s="414">
        <v>0.5</v>
      </c>
      <c r="AB183" s="37">
        <f t="shared" si="54"/>
        <v>1</v>
      </c>
      <c r="AC183" s="414">
        <v>0</v>
      </c>
      <c r="AD183" s="37">
        <f t="shared" si="55"/>
        <v>0</v>
      </c>
      <c r="AE183" s="414">
        <v>0.8</v>
      </c>
      <c r="AF183" s="37">
        <f t="shared" si="180"/>
        <v>1.6</v>
      </c>
      <c r="AG183" s="414">
        <v>0</v>
      </c>
      <c r="AH183" s="37">
        <f t="shared" si="181"/>
        <v>0</v>
      </c>
      <c r="AI183" s="414">
        <v>0</v>
      </c>
      <c r="AJ183" s="37">
        <f t="shared" si="182"/>
        <v>0</v>
      </c>
      <c r="AK183" s="414">
        <v>0</v>
      </c>
      <c r="AL183" s="37">
        <f>$Z183*AK183</f>
        <v>0</v>
      </c>
      <c r="AM183" s="414">
        <v>0</v>
      </c>
      <c r="AN183" s="37">
        <f t="shared" si="183"/>
        <v>0</v>
      </c>
      <c r="AO183" s="414">
        <v>0</v>
      </c>
      <c r="AP183" s="37">
        <f>$Z183*AO183</f>
        <v>0</v>
      </c>
      <c r="AQ183" s="414">
        <v>1</v>
      </c>
      <c r="AR183" s="37">
        <f t="shared" si="12"/>
        <v>2</v>
      </c>
      <c r="AS183" s="414">
        <v>0</v>
      </c>
      <c r="AT183" s="37">
        <f t="shared" si="184"/>
        <v>0</v>
      </c>
      <c r="AU183" s="414">
        <v>0</v>
      </c>
      <c r="AV183" s="37">
        <f t="shared" si="185"/>
        <v>0</v>
      </c>
      <c r="AW183" s="414">
        <v>0</v>
      </c>
      <c r="AX183" s="37">
        <f>$Z183*AW183</f>
        <v>0</v>
      </c>
      <c r="AZ183" s="37" t="str">
        <f>A183&amp;" "&amp;E183</f>
        <v>18043-LM231 01102 2nd - 3rd Floor Plan</v>
      </c>
      <c r="BA183" s="237" t="s">
        <v>369</v>
      </c>
    </row>
    <row r="184" spans="1:56" s="37" customFormat="1" ht="15" customHeight="1" outlineLevel="1">
      <c r="A184" s="43" t="s">
        <v>375</v>
      </c>
      <c r="B184" s="38" t="s">
        <v>94</v>
      </c>
      <c r="C184" s="233" t="s">
        <v>95</v>
      </c>
      <c r="D184" s="38"/>
      <c r="E184" s="42" t="s">
        <v>376</v>
      </c>
      <c r="F184" s="38" t="s">
        <v>34</v>
      </c>
      <c r="G184" s="38"/>
      <c r="H184" s="38" t="s">
        <v>116</v>
      </c>
      <c r="I184" s="38" t="s">
        <v>38</v>
      </c>
      <c r="J184" s="38" t="s">
        <v>28</v>
      </c>
      <c r="K184" s="38"/>
      <c r="L184" s="38" t="s">
        <v>289</v>
      </c>
      <c r="M184" s="364" t="s">
        <v>289</v>
      </c>
      <c r="N184" s="38"/>
      <c r="O184" s="38"/>
      <c r="P184" s="494">
        <v>0</v>
      </c>
      <c r="Q184" s="38" t="s">
        <v>98</v>
      </c>
      <c r="R184" s="40" t="s">
        <v>192</v>
      </c>
      <c r="S184" s="40"/>
      <c r="T184" s="40" t="str" cm="1">
        <f t="array" ref="T184">IF(A184&lt;&gt;"",_xlfn.XLOOKUP(_xlfn.XLOOKUP(TRUE,F184:N184&lt;&gt;"",F184:N184,"-",-1,-1),F184:N184,$F$6:$N$6,,,-1),"")</f>
        <v>Permit</v>
      </c>
      <c r="U184" s="361" t="s">
        <v>256</v>
      </c>
      <c r="V184" s="38"/>
      <c r="W184" s="415" t="s">
        <v>372</v>
      </c>
      <c r="X184" s="239" t="s">
        <v>102</v>
      </c>
      <c r="Y184" s="239" t="s">
        <v>256</v>
      </c>
      <c r="Z184" s="405">
        <v>2</v>
      </c>
      <c r="AA184" s="414">
        <v>0.5</v>
      </c>
      <c r="AB184" s="37">
        <f t="shared" si="54"/>
        <v>1</v>
      </c>
      <c r="AC184" s="414">
        <v>0</v>
      </c>
      <c r="AD184" s="37">
        <f t="shared" si="55"/>
        <v>0</v>
      </c>
      <c r="AE184" s="414">
        <v>0.8</v>
      </c>
      <c r="AF184" s="37">
        <f t="shared" si="180"/>
        <v>1.6</v>
      </c>
      <c r="AG184" s="414">
        <v>0</v>
      </c>
      <c r="AH184" s="37">
        <f t="shared" si="181"/>
        <v>0</v>
      </c>
      <c r="AI184" s="414">
        <v>0</v>
      </c>
      <c r="AJ184" s="37">
        <f t="shared" si="182"/>
        <v>0</v>
      </c>
      <c r="AK184" s="414">
        <v>0</v>
      </c>
      <c r="AL184" s="37">
        <f>$Z184*AK184</f>
        <v>0</v>
      </c>
      <c r="AM184" s="414">
        <v>0</v>
      </c>
      <c r="AN184" s="37">
        <f t="shared" si="183"/>
        <v>0</v>
      </c>
      <c r="AO184" s="414">
        <v>0</v>
      </c>
      <c r="AP184" s="37">
        <f>$Z184*AO184</f>
        <v>0</v>
      </c>
      <c r="AQ184" s="414">
        <v>1</v>
      </c>
      <c r="AR184" s="37">
        <f t="shared" si="12"/>
        <v>2</v>
      </c>
      <c r="AS184" s="414">
        <v>0</v>
      </c>
      <c r="AT184" s="37">
        <f t="shared" si="184"/>
        <v>0</v>
      </c>
      <c r="AU184" s="414">
        <v>0</v>
      </c>
      <c r="AV184" s="37">
        <f t="shared" si="185"/>
        <v>0</v>
      </c>
      <c r="AW184" s="414">
        <v>0</v>
      </c>
      <c r="AX184" s="37">
        <f>$Z184*AW184</f>
        <v>0</v>
      </c>
      <c r="AZ184" s="37" t="str">
        <f>A184&amp;" "&amp;E184</f>
        <v>18043-LM231 01103 Roof Deck and Roof Plan</v>
      </c>
      <c r="BA184" s="237" t="s">
        <v>377</v>
      </c>
    </row>
    <row r="185" spans="1:56" s="37" customFormat="1" ht="15" customHeight="1" outlineLevel="1">
      <c r="A185" s="43"/>
      <c r="B185" s="38"/>
      <c r="C185" s="233"/>
      <c r="D185" s="38"/>
      <c r="E185" s="42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40"/>
      <c r="S185" s="40"/>
      <c r="T185" s="40" t="str" cm="1">
        <f t="array" ref="T185">IF(A185&lt;&gt;"",_xlfn.XLOOKUP(_xlfn.XLOOKUP(TRUE,F185:N185&lt;&gt;"",F185:N185,"-",-1,-1),F185:N185,$F$6:$N$6,,,-1),"")</f>
        <v/>
      </c>
      <c r="U185" s="324"/>
      <c r="V185" s="40"/>
      <c r="W185" s="262"/>
      <c r="X185" s="239"/>
      <c r="Y185" s="239"/>
      <c r="Z185" s="405"/>
      <c r="AA185" s="414"/>
      <c r="AC185" s="414"/>
      <c r="AE185" s="414"/>
      <c r="AG185" s="414"/>
      <c r="AI185" s="414"/>
      <c r="AK185" s="414"/>
      <c r="AM185" s="414"/>
      <c r="AO185" s="414"/>
      <c r="AQ185" s="414"/>
      <c r="AS185" s="414"/>
      <c r="AU185" s="414"/>
      <c r="AW185" s="414"/>
      <c r="BA185" s="237"/>
    </row>
    <row r="186" spans="1:56" s="37" customFormat="1" ht="15" customHeight="1" outlineLevel="1">
      <c r="A186" s="43" t="s">
        <v>378</v>
      </c>
      <c r="B186" s="38" t="s">
        <v>94</v>
      </c>
      <c r="C186" s="233" t="s">
        <v>95</v>
      </c>
      <c r="D186" s="38"/>
      <c r="E186" s="213" t="s">
        <v>379</v>
      </c>
      <c r="F186" s="38" t="s">
        <v>97</v>
      </c>
      <c r="G186" s="38"/>
      <c r="H186" s="38" t="s">
        <v>34</v>
      </c>
      <c r="I186" s="38" t="s">
        <v>31</v>
      </c>
      <c r="J186" s="38" t="s">
        <v>116</v>
      </c>
      <c r="K186" s="38"/>
      <c r="L186" s="38"/>
      <c r="M186" s="38"/>
      <c r="N186" s="38"/>
      <c r="O186" s="38"/>
      <c r="P186" s="494">
        <v>0</v>
      </c>
      <c r="Q186" s="38" t="s">
        <v>98</v>
      </c>
      <c r="R186" s="40" t="s">
        <v>192</v>
      </c>
      <c r="S186" s="40"/>
      <c r="T186" s="40" t="str" cm="1">
        <f t="array" ref="T186">IF(A186&lt;&gt;"",_xlfn.XLOOKUP(_xlfn.XLOOKUP(TRUE,F186:N186&lt;&gt;"",F186:N186,"-",-1,-1),F186:N186,$F$6:$N$6,,,-1),"")</f>
        <v>Add3</v>
      </c>
      <c r="U186" s="324"/>
      <c r="V186" s="40"/>
      <c r="W186" s="415" t="s">
        <v>372</v>
      </c>
      <c r="X186" s="239" t="s">
        <v>102</v>
      </c>
      <c r="Y186" s="239" t="s">
        <v>256</v>
      </c>
      <c r="Z186" s="405">
        <v>2</v>
      </c>
      <c r="AA186" s="414">
        <v>0</v>
      </c>
      <c r="AB186" s="37">
        <f t="shared" ref="AB186" si="186">$Z186*AA186</f>
        <v>0</v>
      </c>
      <c r="AC186" s="414">
        <v>0</v>
      </c>
      <c r="AD186" s="37">
        <f t="shared" ref="AD186" si="187">$Z186*AC186</f>
        <v>0</v>
      </c>
      <c r="AE186" s="414">
        <v>0.7</v>
      </c>
      <c r="AF186" s="37">
        <f t="shared" ref="AF186" si="188">$Z186*AE186</f>
        <v>1.4</v>
      </c>
      <c r="AG186" s="414">
        <v>0</v>
      </c>
      <c r="AH186" s="37">
        <f t="shared" ref="AH186" si="189">$Z186*AG186</f>
        <v>0</v>
      </c>
      <c r="AI186" s="414">
        <v>0</v>
      </c>
      <c r="AJ186" s="37">
        <f t="shared" ref="AJ186" si="190">$Z186*AI186</f>
        <v>0</v>
      </c>
      <c r="AK186" s="414">
        <v>0</v>
      </c>
      <c r="AL186" s="37">
        <f>$Z186*AK186</f>
        <v>0</v>
      </c>
      <c r="AM186" s="414">
        <v>0</v>
      </c>
      <c r="AN186" s="37">
        <f t="shared" ref="AN186" si="191">$Z186*AM186</f>
        <v>0</v>
      </c>
      <c r="AO186" s="414">
        <v>0</v>
      </c>
      <c r="AP186" s="37">
        <f>$Z186*AO186</f>
        <v>0</v>
      </c>
      <c r="AQ186" s="414">
        <v>1</v>
      </c>
      <c r="AR186" s="37">
        <f t="shared" ref="AR186" si="192">$Z186*AQ186</f>
        <v>2</v>
      </c>
      <c r="AS186" s="414">
        <v>0</v>
      </c>
      <c r="AT186" s="37">
        <f t="shared" ref="AT186" si="193">$Z186*AS186</f>
        <v>0</v>
      </c>
      <c r="AU186" s="414">
        <v>0</v>
      </c>
      <c r="AV186" s="37">
        <f t="shared" ref="AV186" si="194">$Z186*AU186</f>
        <v>0</v>
      </c>
      <c r="AW186" s="414">
        <v>0</v>
      </c>
      <c r="AX186" s="37">
        <f>$Z186*AW186</f>
        <v>0</v>
      </c>
      <c r="AZ186" s="37" t="str">
        <f>A186&amp;" "&amp;E186</f>
        <v>18043-LM231 01111 Reflected Ceiling Plan</v>
      </c>
      <c r="BA186" s="237" t="s">
        <v>369</v>
      </c>
    </row>
    <row r="187" spans="1:56" s="37" customFormat="1" ht="15" customHeight="1" outlineLevel="1">
      <c r="A187" s="43"/>
      <c r="B187" s="38"/>
      <c r="C187" s="233"/>
      <c r="D187" s="38"/>
      <c r="E187" s="42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40"/>
      <c r="S187" s="40"/>
      <c r="T187" s="40" t="str" cm="1">
        <f t="array" ref="T187">IF(A187&lt;&gt;"",_xlfn.XLOOKUP(_xlfn.XLOOKUP(TRUE,F187:N187&lt;&gt;"",F187:N187,"-",-1,-1),F187:N187,$F$6:$N$6,,,-1),"")</f>
        <v/>
      </c>
      <c r="U187" s="324"/>
      <c r="V187" s="40"/>
      <c r="W187" s="262"/>
      <c r="X187" s="239"/>
      <c r="Y187" s="239"/>
      <c r="Z187" s="405"/>
      <c r="AA187" s="414"/>
      <c r="AC187" s="414"/>
      <c r="AE187" s="414"/>
      <c r="AG187" s="414"/>
      <c r="AI187" s="414"/>
      <c r="AK187" s="414"/>
      <c r="AM187" s="414"/>
      <c r="AO187" s="414"/>
      <c r="AQ187" s="414"/>
      <c r="AS187" s="414"/>
      <c r="AU187" s="414"/>
      <c r="AW187" s="414"/>
      <c r="BA187" s="237"/>
    </row>
    <row r="188" spans="1:56" s="37" customFormat="1" ht="15" customHeight="1" outlineLevel="1">
      <c r="A188" s="43" t="s">
        <v>380</v>
      </c>
      <c r="B188" s="38" t="s">
        <v>94</v>
      </c>
      <c r="C188" s="255" t="s">
        <v>95</v>
      </c>
      <c r="D188" s="38"/>
      <c r="E188" s="213" t="s">
        <v>381</v>
      </c>
      <c r="F188" s="38"/>
      <c r="G188" s="38"/>
      <c r="H188" s="38"/>
      <c r="I188" s="38"/>
      <c r="J188" s="38"/>
      <c r="K188" s="38"/>
      <c r="L188" s="38"/>
      <c r="M188" s="38"/>
      <c r="N188" s="383"/>
      <c r="O188" s="444" t="s">
        <v>97</v>
      </c>
      <c r="P188" s="494">
        <v>0</v>
      </c>
      <c r="Q188" s="38" t="s">
        <v>98</v>
      </c>
      <c r="R188" s="40" t="s">
        <v>192</v>
      </c>
      <c r="S188" s="304"/>
      <c r="T188" s="40"/>
      <c r="U188" s="324"/>
      <c r="V188" s="40"/>
      <c r="W188" s="415" t="s">
        <v>372</v>
      </c>
      <c r="X188" s="239" t="s">
        <v>102</v>
      </c>
      <c r="Y188" s="239" t="s">
        <v>256</v>
      </c>
      <c r="Z188" s="405">
        <v>1</v>
      </c>
      <c r="AA188" s="414">
        <v>0</v>
      </c>
      <c r="AB188" s="37">
        <f t="shared" ref="AB188:AB189" si="195">$Z188*AA188</f>
        <v>0</v>
      </c>
      <c r="AC188" s="414">
        <v>0</v>
      </c>
      <c r="AD188" s="37">
        <f t="shared" ref="AD188:AD189" si="196">$Z188*AC188</f>
        <v>0</v>
      </c>
      <c r="AE188" s="414">
        <v>0</v>
      </c>
      <c r="AF188" s="37">
        <f t="shared" ref="AF188:AF189" si="197">$Z188*AE188</f>
        <v>0</v>
      </c>
      <c r="AG188" s="414">
        <v>0</v>
      </c>
      <c r="AH188" s="37">
        <f t="shared" ref="AH188:AH189" si="198">$Z188*AG188</f>
        <v>0</v>
      </c>
      <c r="AI188" s="414">
        <v>0</v>
      </c>
      <c r="AJ188" s="37">
        <f t="shared" ref="AJ188:AJ189" si="199">$Z188*AI188</f>
        <v>0</v>
      </c>
      <c r="AK188" s="414">
        <v>0</v>
      </c>
      <c r="AL188" s="37">
        <f>$Z188*AK188</f>
        <v>0</v>
      </c>
      <c r="AM188" s="414">
        <v>0</v>
      </c>
      <c r="AN188" s="37">
        <f t="shared" ref="AN188:AN189" si="200">$Z188*AM188</f>
        <v>0</v>
      </c>
      <c r="AO188" s="414">
        <v>0</v>
      </c>
      <c r="AP188" s="37">
        <f>$Z188*AO188</f>
        <v>0</v>
      </c>
      <c r="AQ188" s="414">
        <v>1</v>
      </c>
      <c r="AR188" s="37">
        <f t="shared" ref="AR188:AR189" si="201">$Z188*AQ188</f>
        <v>1</v>
      </c>
      <c r="AS188" s="414">
        <v>0</v>
      </c>
      <c r="AT188" s="37">
        <f t="shared" ref="AT188:AT189" si="202">$Z188*AS188</f>
        <v>0</v>
      </c>
      <c r="AU188" s="414">
        <v>0</v>
      </c>
      <c r="AV188" s="37">
        <f t="shared" ref="AV188:AV189" si="203">$Z188*AU188</f>
        <v>0</v>
      </c>
      <c r="AW188" s="414">
        <v>0</v>
      </c>
      <c r="AX188" s="37">
        <f>$Z188*AW188</f>
        <v>0</v>
      </c>
      <c r="AY188" s="316" t="s">
        <v>382</v>
      </c>
      <c r="AZ188" s="37" t="str">
        <f>A188&amp;" "&amp;E188</f>
        <v>18043-LM231 01121 Fire Compartment &amp; Evacuation Plan 1st Floor and Mezzanine Floor Plan</v>
      </c>
    </row>
    <row r="189" spans="1:56" s="37" customFormat="1" ht="15" customHeight="1" outlineLevel="1">
      <c r="A189" s="43" t="s">
        <v>383</v>
      </c>
      <c r="B189" s="38" t="s">
        <v>94</v>
      </c>
      <c r="C189" s="255" t="s">
        <v>95</v>
      </c>
      <c r="D189" s="38"/>
      <c r="E189" s="213" t="s">
        <v>384</v>
      </c>
      <c r="F189" s="38"/>
      <c r="G189" s="38"/>
      <c r="H189" s="38"/>
      <c r="I189" s="38"/>
      <c r="J189" s="38"/>
      <c r="K189" s="38"/>
      <c r="L189" s="38"/>
      <c r="M189" s="38"/>
      <c r="N189" s="383"/>
      <c r="O189" s="444" t="s">
        <v>97</v>
      </c>
      <c r="P189" s="494">
        <v>0</v>
      </c>
      <c r="Q189" s="38" t="s">
        <v>98</v>
      </c>
      <c r="R189" s="40" t="s">
        <v>192</v>
      </c>
      <c r="S189" s="304"/>
      <c r="T189" s="40"/>
      <c r="U189" s="324"/>
      <c r="V189" s="40"/>
      <c r="W189" s="415" t="s">
        <v>372</v>
      </c>
      <c r="X189" s="239" t="s">
        <v>102</v>
      </c>
      <c r="Y189" s="239" t="s">
        <v>256</v>
      </c>
      <c r="Z189" s="405">
        <v>1</v>
      </c>
      <c r="AA189" s="414">
        <v>0</v>
      </c>
      <c r="AB189" s="37">
        <f t="shared" si="195"/>
        <v>0</v>
      </c>
      <c r="AC189" s="414">
        <v>0</v>
      </c>
      <c r="AD189" s="37">
        <f t="shared" si="196"/>
        <v>0</v>
      </c>
      <c r="AE189" s="414">
        <v>0</v>
      </c>
      <c r="AF189" s="37">
        <f t="shared" si="197"/>
        <v>0</v>
      </c>
      <c r="AG189" s="414">
        <v>0</v>
      </c>
      <c r="AH189" s="37">
        <f t="shared" si="198"/>
        <v>0</v>
      </c>
      <c r="AI189" s="414">
        <v>0</v>
      </c>
      <c r="AJ189" s="37">
        <f t="shared" si="199"/>
        <v>0</v>
      </c>
      <c r="AK189" s="414">
        <v>0</v>
      </c>
      <c r="AL189" s="37">
        <f>$Z189*AK189</f>
        <v>0</v>
      </c>
      <c r="AM189" s="414">
        <v>0</v>
      </c>
      <c r="AN189" s="37">
        <f t="shared" si="200"/>
        <v>0</v>
      </c>
      <c r="AO189" s="414">
        <v>0</v>
      </c>
      <c r="AP189" s="37">
        <f>$Z189*AO189</f>
        <v>0</v>
      </c>
      <c r="AQ189" s="414">
        <v>1</v>
      </c>
      <c r="AR189" s="37">
        <f t="shared" si="201"/>
        <v>1</v>
      </c>
      <c r="AS189" s="414">
        <v>0</v>
      </c>
      <c r="AT189" s="37">
        <f t="shared" si="202"/>
        <v>0</v>
      </c>
      <c r="AU189" s="414">
        <v>0</v>
      </c>
      <c r="AV189" s="37">
        <f t="shared" si="203"/>
        <v>0</v>
      </c>
      <c r="AW189" s="414">
        <v>0</v>
      </c>
      <c r="AX189" s="37">
        <f>$Z189*AW189</f>
        <v>0</v>
      </c>
      <c r="AY189" s="316" t="s">
        <v>382</v>
      </c>
      <c r="AZ189" s="37" t="str">
        <f>A189&amp;" "&amp;E189</f>
        <v>18043-LM231 01122 Fire Compartment &amp; Evacuation Plan 2nd - 3rd Floor Plan and Roof Deck</v>
      </c>
    </row>
    <row r="190" spans="1:56" s="37" customFormat="1" ht="15" customHeight="1" outlineLevel="1">
      <c r="A190" s="43"/>
      <c r="B190" s="38"/>
      <c r="C190" s="255"/>
      <c r="D190" s="38"/>
      <c r="E190" s="213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40"/>
      <c r="S190" s="40"/>
      <c r="T190" s="40" t="str" cm="1">
        <f t="array" ref="T190">IF(A190&lt;&gt;"",_xlfn.XLOOKUP(_xlfn.XLOOKUP(TRUE,F190:N190&lt;&gt;"",F190:N190,"-",-1,-1),F190:N190,$F$6:$N$6,,,-1),"")</f>
        <v/>
      </c>
      <c r="U190" s="324"/>
      <c r="V190" s="40"/>
      <c r="W190" s="236"/>
      <c r="X190" s="239"/>
      <c r="Y190" s="239"/>
      <c r="Z190" s="405"/>
      <c r="AA190" s="414"/>
      <c r="AC190" s="414"/>
      <c r="AE190" s="414"/>
      <c r="AG190" s="414"/>
      <c r="AI190" s="414"/>
      <c r="AK190" s="414"/>
      <c r="AM190" s="414"/>
      <c r="AO190" s="414"/>
      <c r="AQ190" s="414"/>
      <c r="AS190" s="414"/>
      <c r="AU190" s="414"/>
      <c r="AW190" s="414"/>
    </row>
    <row r="191" spans="1:56" s="37" customFormat="1" ht="15" customHeight="1" outlineLevel="1">
      <c r="A191" s="43" t="s">
        <v>385</v>
      </c>
      <c r="B191" s="38" t="s">
        <v>94</v>
      </c>
      <c r="C191" s="233" t="s">
        <v>95</v>
      </c>
      <c r="D191" s="38"/>
      <c r="E191" s="213" t="s">
        <v>229</v>
      </c>
      <c r="F191" s="38" t="s">
        <v>34</v>
      </c>
      <c r="G191" s="38" t="s">
        <v>31</v>
      </c>
      <c r="H191" s="38" t="s">
        <v>116</v>
      </c>
      <c r="I191" s="38" t="s">
        <v>38</v>
      </c>
      <c r="J191" s="38" t="s">
        <v>28</v>
      </c>
      <c r="K191" s="38"/>
      <c r="L191" s="38" t="s">
        <v>289</v>
      </c>
      <c r="M191" s="364" t="s">
        <v>289</v>
      </c>
      <c r="N191" s="38"/>
      <c r="O191" s="38"/>
      <c r="P191" s="494">
        <v>0</v>
      </c>
      <c r="Q191" s="38" t="s">
        <v>98</v>
      </c>
      <c r="R191" s="40" t="s">
        <v>192</v>
      </c>
      <c r="S191" s="40"/>
      <c r="T191" s="40" t="str" cm="1">
        <f t="array" ref="T191">IF(A191&lt;&gt;"",_xlfn.XLOOKUP(_xlfn.XLOOKUP(TRUE,F191:N191&lt;&gt;"",F191:N191,"-",-1,-1),F191:N191,$F$6:$N$6,,,-1),"")</f>
        <v>Permit</v>
      </c>
      <c r="U191" s="361" t="s">
        <v>256</v>
      </c>
      <c r="V191" s="131" t="s">
        <v>386</v>
      </c>
      <c r="W191" s="415" t="s">
        <v>372</v>
      </c>
      <c r="X191" s="239" t="s">
        <v>102</v>
      </c>
      <c r="Y191" s="239" t="s">
        <v>256</v>
      </c>
      <c r="Z191" s="405">
        <v>2</v>
      </c>
      <c r="AA191" s="414">
        <v>0.5</v>
      </c>
      <c r="AB191" s="37">
        <f t="shared" ref="AB191:AB192" si="204">$Z191*AA191</f>
        <v>1</v>
      </c>
      <c r="AC191" s="414">
        <v>0</v>
      </c>
      <c r="AD191" s="37">
        <f t="shared" ref="AD191:AD192" si="205">$Z191*AC191</f>
        <v>0</v>
      </c>
      <c r="AE191" s="414">
        <v>0.7</v>
      </c>
      <c r="AF191" s="37">
        <f t="shared" ref="AF191:AF192" si="206">$Z191*AE191</f>
        <v>1.4</v>
      </c>
      <c r="AG191" s="414">
        <v>0</v>
      </c>
      <c r="AH191" s="37">
        <f t="shared" ref="AH191:AH192" si="207">$Z191*AG191</f>
        <v>0</v>
      </c>
      <c r="AI191" s="414">
        <v>0.8</v>
      </c>
      <c r="AJ191" s="37">
        <f t="shared" ref="AJ191:AJ192" si="208">$Z191*AI191</f>
        <v>1.6</v>
      </c>
      <c r="AK191" s="414">
        <v>0</v>
      </c>
      <c r="AL191" s="37">
        <f>$Z191*AK191</f>
        <v>0</v>
      </c>
      <c r="AM191" s="414">
        <v>0.8</v>
      </c>
      <c r="AN191" s="37">
        <f t="shared" ref="AN191:AN192" si="209">$Z191*AM191</f>
        <v>1.6</v>
      </c>
      <c r="AO191" s="414">
        <v>0</v>
      </c>
      <c r="AP191" s="37">
        <f>$Z191*AO191</f>
        <v>0</v>
      </c>
      <c r="AQ191" s="414">
        <v>1</v>
      </c>
      <c r="AR191" s="37">
        <f t="shared" ref="AR191:AR192" si="210">$Z191*AQ191</f>
        <v>2</v>
      </c>
      <c r="AS191" s="414">
        <v>0</v>
      </c>
      <c r="AT191" s="37">
        <f t="shared" ref="AT191:AT192" si="211">$Z191*AS191</f>
        <v>0</v>
      </c>
      <c r="AU191" s="414">
        <v>0.8</v>
      </c>
      <c r="AV191" s="37">
        <f t="shared" ref="AV191:AV192" si="212">$Z191*AU191</f>
        <v>1.6</v>
      </c>
      <c r="AW191" s="414">
        <v>0</v>
      </c>
      <c r="AX191" s="37">
        <f>$Z191*AW191</f>
        <v>0</v>
      </c>
      <c r="AY191" s="443" t="s">
        <v>387</v>
      </c>
      <c r="AZ191" s="37" t="str">
        <f>A191&amp;" "&amp;E191</f>
        <v>18043-LM231 01201 Sections Sheet 1</v>
      </c>
      <c r="BA191" s="237" t="s">
        <v>369</v>
      </c>
      <c r="BD191" s="390"/>
    </row>
    <row r="192" spans="1:56" s="37" customFormat="1" ht="15" customHeight="1" outlineLevel="1">
      <c r="A192" s="43" t="s">
        <v>388</v>
      </c>
      <c r="B192" s="38" t="s">
        <v>94</v>
      </c>
      <c r="C192" s="233" t="s">
        <v>95</v>
      </c>
      <c r="D192" s="38"/>
      <c r="E192" s="213" t="s">
        <v>231</v>
      </c>
      <c r="F192" s="38" t="s">
        <v>34</v>
      </c>
      <c r="G192" s="38" t="s">
        <v>31</v>
      </c>
      <c r="H192" s="38" t="s">
        <v>116</v>
      </c>
      <c r="I192" s="38" t="s">
        <v>38</v>
      </c>
      <c r="J192" s="38" t="s">
        <v>28</v>
      </c>
      <c r="K192" s="38"/>
      <c r="L192" s="38" t="s">
        <v>289</v>
      </c>
      <c r="M192" s="364" t="s">
        <v>289</v>
      </c>
      <c r="N192" s="38"/>
      <c r="O192" s="38"/>
      <c r="P192" s="494">
        <v>0</v>
      </c>
      <c r="Q192" s="38" t="s">
        <v>98</v>
      </c>
      <c r="R192" s="40" t="s">
        <v>192</v>
      </c>
      <c r="S192" s="40"/>
      <c r="T192" s="40" t="str" cm="1">
        <f t="array" ref="T192">IF(A192&lt;&gt;"",_xlfn.XLOOKUP(_xlfn.XLOOKUP(TRUE,F192:N192&lt;&gt;"",F192:N192,"-",-1,-1),F192:N192,$F$6:$N$6,,,-1),"")</f>
        <v>Permit</v>
      </c>
      <c r="U192" s="361" t="s">
        <v>256</v>
      </c>
      <c r="V192" s="131" t="s">
        <v>386</v>
      </c>
      <c r="W192" s="415" t="s">
        <v>372</v>
      </c>
      <c r="X192" s="239" t="s">
        <v>102</v>
      </c>
      <c r="Y192" s="239" t="s">
        <v>256</v>
      </c>
      <c r="Z192" s="405">
        <v>2</v>
      </c>
      <c r="AA192" s="414">
        <v>0.5</v>
      </c>
      <c r="AB192" s="37">
        <f t="shared" si="204"/>
        <v>1</v>
      </c>
      <c r="AC192" s="414">
        <v>0</v>
      </c>
      <c r="AD192" s="37">
        <f t="shared" si="205"/>
        <v>0</v>
      </c>
      <c r="AE192" s="414">
        <v>0.7</v>
      </c>
      <c r="AF192" s="37">
        <f t="shared" si="206"/>
        <v>1.4</v>
      </c>
      <c r="AG192" s="414">
        <v>0</v>
      </c>
      <c r="AH192" s="37">
        <f t="shared" si="207"/>
        <v>0</v>
      </c>
      <c r="AI192" s="414">
        <v>0.8</v>
      </c>
      <c r="AJ192" s="37">
        <f t="shared" si="208"/>
        <v>1.6</v>
      </c>
      <c r="AK192" s="414">
        <v>0</v>
      </c>
      <c r="AL192" s="37">
        <f>$Z192*AK192</f>
        <v>0</v>
      </c>
      <c r="AM192" s="414">
        <v>0.8</v>
      </c>
      <c r="AN192" s="37">
        <f t="shared" si="209"/>
        <v>1.6</v>
      </c>
      <c r="AO192" s="414">
        <v>0</v>
      </c>
      <c r="AP192" s="37">
        <f>$Z192*AO192</f>
        <v>0</v>
      </c>
      <c r="AQ192" s="414">
        <v>1</v>
      </c>
      <c r="AR192" s="37">
        <f t="shared" si="210"/>
        <v>2</v>
      </c>
      <c r="AS192" s="414">
        <v>0</v>
      </c>
      <c r="AT192" s="37">
        <f t="shared" si="211"/>
        <v>0</v>
      </c>
      <c r="AU192" s="414">
        <v>0.8</v>
      </c>
      <c r="AV192" s="37">
        <f t="shared" si="212"/>
        <v>1.6</v>
      </c>
      <c r="AW192" s="414">
        <v>0</v>
      </c>
      <c r="AX192" s="37">
        <f>$Z192*AW192</f>
        <v>0</v>
      </c>
      <c r="AY192" s="390"/>
      <c r="AZ192" s="37" t="str">
        <f>A192&amp;" "&amp;E192</f>
        <v>18043-LM231 01202 Sections Sheet 2</v>
      </c>
      <c r="BA192" s="237" t="s">
        <v>369</v>
      </c>
    </row>
    <row r="193" spans="1:53" s="37" customFormat="1" ht="15" customHeight="1" outlineLevel="1">
      <c r="A193" s="43"/>
      <c r="B193" s="38"/>
      <c r="C193" s="233"/>
      <c r="D193" s="38"/>
      <c r="E193" s="42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40"/>
      <c r="S193" s="40"/>
      <c r="T193" s="40" t="str" cm="1">
        <f t="array" ref="T193">IF(A193&lt;&gt;"",_xlfn.XLOOKUP(_xlfn.XLOOKUP(TRUE,F193:N193&lt;&gt;"",F193:N193,"-",-1,-1),F193:N193,$F$6:$N$6,,,-1),"")</f>
        <v/>
      </c>
      <c r="U193" s="324"/>
      <c r="V193" s="40"/>
      <c r="W193" s="262"/>
      <c r="X193" s="239"/>
      <c r="Y193" s="239"/>
      <c r="Z193" s="405"/>
      <c r="AA193" s="414"/>
      <c r="AC193" s="414"/>
      <c r="AE193" s="414"/>
      <c r="AG193" s="414"/>
      <c r="AI193" s="414"/>
      <c r="AK193" s="414"/>
      <c r="AM193" s="414"/>
      <c r="AO193" s="414"/>
      <c r="AQ193" s="414"/>
      <c r="AS193" s="414"/>
      <c r="AU193" s="414"/>
      <c r="AW193" s="414"/>
      <c r="AY193" s="390"/>
      <c r="BA193" s="237"/>
    </row>
    <row r="194" spans="1:53" s="37" customFormat="1" ht="15" customHeight="1" outlineLevel="1">
      <c r="A194" s="43" t="s">
        <v>389</v>
      </c>
      <c r="B194" s="38" t="s">
        <v>94</v>
      </c>
      <c r="C194" s="233" t="s">
        <v>95</v>
      </c>
      <c r="D194" s="38"/>
      <c r="E194" s="42" t="s">
        <v>325</v>
      </c>
      <c r="F194" s="38" t="s">
        <v>34</v>
      </c>
      <c r="G194" s="38" t="s">
        <v>31</v>
      </c>
      <c r="H194" s="38" t="s">
        <v>116</v>
      </c>
      <c r="I194" s="38" t="s">
        <v>38</v>
      </c>
      <c r="J194" s="38" t="s">
        <v>28</v>
      </c>
      <c r="K194" s="38"/>
      <c r="L194" s="38" t="s">
        <v>289</v>
      </c>
      <c r="M194" s="364" t="s">
        <v>289</v>
      </c>
      <c r="N194" s="38"/>
      <c r="O194" s="38"/>
      <c r="P194" s="494">
        <v>0</v>
      </c>
      <c r="Q194" s="38" t="s">
        <v>98</v>
      </c>
      <c r="R194" s="40" t="s">
        <v>192</v>
      </c>
      <c r="S194" s="40"/>
      <c r="T194" s="40" t="str" cm="1">
        <f t="array" ref="T194">IF(A194&lt;&gt;"",_xlfn.XLOOKUP(_xlfn.XLOOKUP(TRUE,F194:N194&lt;&gt;"",F194:N194,"-",-1,-1),F194:N194,$F$6:$N$6,,,-1),"")</f>
        <v>Permit</v>
      </c>
      <c r="U194" s="361" t="s">
        <v>256</v>
      </c>
      <c r="V194" s="131" t="s">
        <v>386</v>
      </c>
      <c r="W194" s="415" t="s">
        <v>372</v>
      </c>
      <c r="X194" s="239" t="s">
        <v>102</v>
      </c>
      <c r="Y194" s="239" t="s">
        <v>256</v>
      </c>
      <c r="Z194" s="405">
        <v>2</v>
      </c>
      <c r="AA194" s="414">
        <v>0.5</v>
      </c>
      <c r="AB194" s="37">
        <f t="shared" si="54"/>
        <v>1</v>
      </c>
      <c r="AC194" s="414">
        <v>0</v>
      </c>
      <c r="AD194" s="37">
        <f t="shared" si="55"/>
        <v>0</v>
      </c>
      <c r="AE194" s="414">
        <v>0.7</v>
      </c>
      <c r="AF194" s="37">
        <f t="shared" ref="AF194:AF195" si="213">$Z194*AE194</f>
        <v>1.4</v>
      </c>
      <c r="AG194" s="414">
        <v>0</v>
      </c>
      <c r="AH194" s="37">
        <f t="shared" ref="AH194:AH195" si="214">$Z194*AG194</f>
        <v>0</v>
      </c>
      <c r="AI194" s="414">
        <v>0.8</v>
      </c>
      <c r="AJ194" s="37">
        <f t="shared" ref="AJ194:AJ195" si="215">$Z194*AI194</f>
        <v>1.6</v>
      </c>
      <c r="AK194" s="414">
        <v>0</v>
      </c>
      <c r="AL194" s="37">
        <f>$Z194*AK194</f>
        <v>0</v>
      </c>
      <c r="AM194" s="414">
        <v>0.8</v>
      </c>
      <c r="AN194" s="37">
        <f t="shared" ref="AN194:AN195" si="216">$Z194*AM194</f>
        <v>1.6</v>
      </c>
      <c r="AO194" s="414">
        <v>0</v>
      </c>
      <c r="AP194" s="37">
        <f>$Z194*AO194</f>
        <v>0</v>
      </c>
      <c r="AQ194" s="414">
        <v>1</v>
      </c>
      <c r="AR194" s="37">
        <f t="shared" si="12"/>
        <v>2</v>
      </c>
      <c r="AS194" s="414">
        <v>0</v>
      </c>
      <c r="AT194" s="37">
        <f t="shared" si="184"/>
        <v>0</v>
      </c>
      <c r="AU194" s="414">
        <v>0.8</v>
      </c>
      <c r="AV194" s="37">
        <f t="shared" ref="AV194:AV195" si="217">$Z194*AU194</f>
        <v>1.6</v>
      </c>
      <c r="AW194" s="414">
        <v>0</v>
      </c>
      <c r="AX194" s="37">
        <f>$Z194*AW194</f>
        <v>0</v>
      </c>
      <c r="AY194" s="390"/>
      <c r="AZ194" s="37" t="str">
        <f>A194&amp;" "&amp;E194</f>
        <v>18043-LM231 01301 Elevations Sheet 1</v>
      </c>
      <c r="BA194" s="237" t="s">
        <v>390</v>
      </c>
    </row>
    <row r="195" spans="1:53" s="37" customFormat="1" ht="15" customHeight="1" outlineLevel="1">
      <c r="A195" s="43" t="s">
        <v>391</v>
      </c>
      <c r="B195" s="38" t="s">
        <v>94</v>
      </c>
      <c r="C195" s="233" t="s">
        <v>95</v>
      </c>
      <c r="D195" s="38"/>
      <c r="E195" s="42" t="s">
        <v>327</v>
      </c>
      <c r="F195" s="38" t="s">
        <v>34</v>
      </c>
      <c r="G195" s="38" t="s">
        <v>31</v>
      </c>
      <c r="H195" s="38" t="s">
        <v>116</v>
      </c>
      <c r="I195" s="38" t="s">
        <v>38</v>
      </c>
      <c r="J195" s="38" t="s">
        <v>28</v>
      </c>
      <c r="K195" s="38"/>
      <c r="L195" s="38" t="s">
        <v>289</v>
      </c>
      <c r="M195" s="364" t="s">
        <v>289</v>
      </c>
      <c r="N195" s="38"/>
      <c r="O195" s="38"/>
      <c r="P195" s="494">
        <v>0</v>
      </c>
      <c r="Q195" s="38" t="s">
        <v>98</v>
      </c>
      <c r="R195" s="40" t="s">
        <v>192</v>
      </c>
      <c r="S195" s="40"/>
      <c r="T195" s="40" t="str" cm="1">
        <f t="array" ref="T195">IF(A195&lt;&gt;"",_xlfn.XLOOKUP(_xlfn.XLOOKUP(TRUE,F195:N195&lt;&gt;"",F195:N195,"-",-1,-1),F195:N195,$F$6:$N$6,,,-1),"")</f>
        <v>Permit</v>
      </c>
      <c r="U195" s="361" t="s">
        <v>256</v>
      </c>
      <c r="V195" s="131" t="s">
        <v>386</v>
      </c>
      <c r="W195" s="415" t="s">
        <v>372</v>
      </c>
      <c r="X195" s="239" t="s">
        <v>102</v>
      </c>
      <c r="Y195" s="239" t="s">
        <v>256</v>
      </c>
      <c r="Z195" s="405">
        <v>2</v>
      </c>
      <c r="AA195" s="414">
        <v>0.5</v>
      </c>
      <c r="AB195" s="37">
        <f t="shared" si="54"/>
        <v>1</v>
      </c>
      <c r="AC195" s="414">
        <v>0</v>
      </c>
      <c r="AD195" s="37">
        <f t="shared" si="55"/>
        <v>0</v>
      </c>
      <c r="AE195" s="414">
        <v>0.7</v>
      </c>
      <c r="AF195" s="37">
        <f t="shared" si="213"/>
        <v>1.4</v>
      </c>
      <c r="AG195" s="414">
        <v>0</v>
      </c>
      <c r="AH195" s="37">
        <f t="shared" si="214"/>
        <v>0</v>
      </c>
      <c r="AI195" s="414">
        <v>0.8</v>
      </c>
      <c r="AJ195" s="37">
        <f t="shared" si="215"/>
        <v>1.6</v>
      </c>
      <c r="AK195" s="414">
        <v>0</v>
      </c>
      <c r="AL195" s="37">
        <f>$Z195*AK195</f>
        <v>0</v>
      </c>
      <c r="AM195" s="414">
        <v>0.8</v>
      </c>
      <c r="AN195" s="37">
        <f t="shared" si="216"/>
        <v>1.6</v>
      </c>
      <c r="AO195" s="414">
        <v>0</v>
      </c>
      <c r="AP195" s="37">
        <f>$Z195*AO195</f>
        <v>0</v>
      </c>
      <c r="AQ195" s="414">
        <v>1</v>
      </c>
      <c r="AR195" s="37">
        <f t="shared" ref="AR195" si="218">$Z195*AQ195</f>
        <v>2</v>
      </c>
      <c r="AS195" s="414">
        <v>0</v>
      </c>
      <c r="AT195" s="37">
        <f t="shared" si="184"/>
        <v>0</v>
      </c>
      <c r="AU195" s="414">
        <v>0.8</v>
      </c>
      <c r="AV195" s="37">
        <f t="shared" si="217"/>
        <v>1.6</v>
      </c>
      <c r="AW195" s="414">
        <v>0</v>
      </c>
      <c r="AX195" s="37">
        <f>$Z195*AW195</f>
        <v>0</v>
      </c>
      <c r="AY195" s="390"/>
      <c r="AZ195" s="37" t="str">
        <f>A195&amp;" "&amp;E195</f>
        <v>18043-LM231 01302 Elevations Sheet 2</v>
      </c>
      <c r="BA195" s="237" t="s">
        <v>390</v>
      </c>
    </row>
    <row r="196" spans="1:53" s="43" customFormat="1" ht="15" customHeight="1" outlineLevel="1"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R196" s="38"/>
      <c r="T196" s="40" t="str" cm="1">
        <f t="array" ref="T196">IF(A196&lt;&gt;"",_xlfn.XLOOKUP(_xlfn.XLOOKUP(TRUE,F196:N196&lt;&gt;"",F196:N196,"-",-1,-1),F196:N196,$F$6:$N$6,,,-1),"")</f>
        <v/>
      </c>
      <c r="U196" s="328"/>
      <c r="AY196" s="390"/>
    </row>
    <row r="197" spans="1:53" s="37" customFormat="1" ht="15" customHeight="1" outlineLevel="1">
      <c r="A197" s="43" t="s">
        <v>392</v>
      </c>
      <c r="B197" s="38" t="s">
        <v>94</v>
      </c>
      <c r="C197" s="233" t="s">
        <v>95</v>
      </c>
      <c r="D197" s="38"/>
      <c r="E197" s="42" t="s">
        <v>246</v>
      </c>
      <c r="F197" s="38" t="s">
        <v>34</v>
      </c>
      <c r="G197" s="38"/>
      <c r="H197" s="38" t="s">
        <v>31</v>
      </c>
      <c r="I197" s="38"/>
      <c r="J197" s="38"/>
      <c r="K197" s="38"/>
      <c r="L197" s="38"/>
      <c r="M197" s="38"/>
      <c r="N197" s="38"/>
      <c r="O197" s="38"/>
      <c r="P197" s="494">
        <v>0</v>
      </c>
      <c r="Q197" s="38" t="s">
        <v>98</v>
      </c>
      <c r="R197" s="40" t="s">
        <v>192</v>
      </c>
      <c r="S197" s="40"/>
      <c r="T197" s="40" t="str" cm="1">
        <f t="array" ref="T197">IF(A197&lt;&gt;"",_xlfn.XLOOKUP(_xlfn.XLOOKUP(TRUE,F197:N197&lt;&gt;"",F197:N197,"-",-1,-1),F197:N197,$F$6:$N$6,,,-1),"")</f>
        <v>Add1</v>
      </c>
      <c r="U197" s="324"/>
      <c r="V197" s="131" t="s">
        <v>386</v>
      </c>
      <c r="W197" s="415" t="s">
        <v>135</v>
      </c>
      <c r="X197" s="239" t="s">
        <v>102</v>
      </c>
      <c r="Y197" s="239" t="s">
        <v>256</v>
      </c>
      <c r="Z197" s="405">
        <v>2</v>
      </c>
      <c r="AA197" s="414">
        <v>0.5</v>
      </c>
      <c r="AB197" s="37">
        <f t="shared" ref="AB197:AB199" si="219">$Z197*AA197</f>
        <v>1</v>
      </c>
      <c r="AC197" s="414">
        <v>0</v>
      </c>
      <c r="AD197" s="37">
        <f t="shared" ref="AD197:AD199" si="220">$Z197*AC197</f>
        <v>0</v>
      </c>
      <c r="AE197" s="414">
        <v>0.8</v>
      </c>
      <c r="AF197" s="37">
        <f t="shared" ref="AF197:AF199" si="221">$Z197*AE197</f>
        <v>1.6</v>
      </c>
      <c r="AG197" s="414">
        <v>0</v>
      </c>
      <c r="AH197" s="37">
        <f t="shared" ref="AH197:AH199" si="222">$Z197*AG197</f>
        <v>0</v>
      </c>
      <c r="AI197" s="414">
        <v>0</v>
      </c>
      <c r="AJ197" s="37">
        <f t="shared" ref="AJ197:AJ199" si="223">$Z197*AI197</f>
        <v>0</v>
      </c>
      <c r="AK197" s="414">
        <v>0</v>
      </c>
      <c r="AL197" s="37">
        <f>$Z197*AK197</f>
        <v>0</v>
      </c>
      <c r="AM197" s="414">
        <v>0</v>
      </c>
      <c r="AN197" s="37">
        <f t="shared" ref="AN197:AN199" si="224">$Z197*AM197</f>
        <v>0</v>
      </c>
      <c r="AO197" s="414">
        <v>0</v>
      </c>
      <c r="AP197" s="37">
        <f>$Z197*AO197</f>
        <v>0</v>
      </c>
      <c r="AQ197" s="414">
        <v>1</v>
      </c>
      <c r="AR197" s="37">
        <f t="shared" ref="AR197:AR199" si="225">$Z197*AQ197</f>
        <v>2</v>
      </c>
      <c r="AS197" s="414">
        <v>0</v>
      </c>
      <c r="AT197" s="37">
        <f t="shared" ref="AT197:AT199" si="226">$Z197*AS197</f>
        <v>0</v>
      </c>
      <c r="AU197" s="414">
        <v>0</v>
      </c>
      <c r="AV197" s="37">
        <f t="shared" ref="AV197:AV199" si="227">$Z197*AU197</f>
        <v>0</v>
      </c>
      <c r="AW197" s="414">
        <v>0</v>
      </c>
      <c r="AX197" s="37">
        <f>$Z197*AW197</f>
        <v>0</v>
      </c>
      <c r="AZ197" s="37" t="str">
        <f t="shared" ref="AZ197:AZ203" si="228">A197&amp;" "&amp;E197</f>
        <v>18043-LM231 01401 Wall Section &amp; Section Details sheet 1</v>
      </c>
      <c r="BA197" s="237" t="s">
        <v>390</v>
      </c>
    </row>
    <row r="198" spans="1:53" s="37" customFormat="1" ht="15" customHeight="1" outlineLevel="1">
      <c r="A198" s="43" t="s">
        <v>393</v>
      </c>
      <c r="B198" s="38" t="s">
        <v>94</v>
      </c>
      <c r="C198" s="233" t="s">
        <v>95</v>
      </c>
      <c r="D198" s="38"/>
      <c r="E198" s="42" t="s">
        <v>248</v>
      </c>
      <c r="F198" s="38" t="s">
        <v>34</v>
      </c>
      <c r="G198" s="38"/>
      <c r="H198" s="38" t="s">
        <v>31</v>
      </c>
      <c r="I198" s="38" t="s">
        <v>116</v>
      </c>
      <c r="J198" s="38" t="s">
        <v>38</v>
      </c>
      <c r="K198" s="38"/>
      <c r="L198" s="38" t="s">
        <v>28</v>
      </c>
      <c r="M198" s="38"/>
      <c r="N198" s="38"/>
      <c r="O198" s="38"/>
      <c r="P198" s="494">
        <v>0</v>
      </c>
      <c r="Q198" s="38" t="s">
        <v>98</v>
      </c>
      <c r="R198" s="40" t="s">
        <v>192</v>
      </c>
      <c r="S198" s="40"/>
      <c r="T198" s="40" t="str" cm="1">
        <f t="array" ref="T198">IF(A198&lt;&gt;"",_xlfn.XLOOKUP(_xlfn.XLOOKUP(TRUE,F198:N198&lt;&gt;"",F198:N198,"-",-1,-1),F198:N198,$F$6:$N$6,,,-1),"")</f>
        <v>Add7</v>
      </c>
      <c r="U198" s="361" t="s">
        <v>256</v>
      </c>
      <c r="V198" s="131" t="s">
        <v>386</v>
      </c>
      <c r="W198" s="415" t="s">
        <v>135</v>
      </c>
      <c r="X198" s="239" t="s">
        <v>102</v>
      </c>
      <c r="Y198" s="239" t="s">
        <v>256</v>
      </c>
      <c r="Z198" s="405">
        <v>2</v>
      </c>
      <c r="AA198" s="414">
        <v>0.5</v>
      </c>
      <c r="AB198" s="37">
        <f t="shared" si="219"/>
        <v>1</v>
      </c>
      <c r="AC198" s="414">
        <v>0</v>
      </c>
      <c r="AD198" s="37">
        <f t="shared" si="220"/>
        <v>0</v>
      </c>
      <c r="AE198" s="414">
        <v>0.8</v>
      </c>
      <c r="AF198" s="37">
        <f t="shared" si="221"/>
        <v>1.6</v>
      </c>
      <c r="AG198" s="414">
        <v>0</v>
      </c>
      <c r="AH198" s="37">
        <f t="shared" si="222"/>
        <v>0</v>
      </c>
      <c r="AI198" s="414">
        <v>0</v>
      </c>
      <c r="AJ198" s="37">
        <f t="shared" si="223"/>
        <v>0</v>
      </c>
      <c r="AK198" s="414">
        <v>0</v>
      </c>
      <c r="AL198" s="37">
        <f>$Z198*AK198</f>
        <v>0</v>
      </c>
      <c r="AM198" s="414">
        <v>0</v>
      </c>
      <c r="AN198" s="37">
        <f t="shared" si="224"/>
        <v>0</v>
      </c>
      <c r="AO198" s="414">
        <v>0</v>
      </c>
      <c r="AP198" s="37">
        <f>$Z198*AO198</f>
        <v>0</v>
      </c>
      <c r="AQ198" s="414">
        <v>1</v>
      </c>
      <c r="AR198" s="37">
        <f t="shared" si="225"/>
        <v>2</v>
      </c>
      <c r="AS198" s="414">
        <v>0</v>
      </c>
      <c r="AT198" s="37">
        <f t="shared" si="226"/>
        <v>0</v>
      </c>
      <c r="AU198" s="414">
        <v>0</v>
      </c>
      <c r="AV198" s="37">
        <f t="shared" si="227"/>
        <v>0</v>
      </c>
      <c r="AW198" s="414">
        <v>0</v>
      </c>
      <c r="AX198" s="37">
        <f>$Z198*AW198</f>
        <v>0</v>
      </c>
      <c r="AZ198" s="37" t="str">
        <f t="shared" si="228"/>
        <v>18043-LM231 01402 Wall Section &amp; Section Details sheet 2</v>
      </c>
      <c r="BA198" s="237" t="s">
        <v>390</v>
      </c>
    </row>
    <row r="199" spans="1:53" s="37" customFormat="1" ht="15" customHeight="1" outlineLevel="1">
      <c r="A199" s="43" t="s">
        <v>394</v>
      </c>
      <c r="B199" s="38" t="s">
        <v>94</v>
      </c>
      <c r="C199" s="233" t="s">
        <v>95</v>
      </c>
      <c r="D199" s="38"/>
      <c r="E199" s="42" t="s">
        <v>250</v>
      </c>
      <c r="F199" s="38"/>
      <c r="G199" s="38"/>
      <c r="H199" s="38" t="s">
        <v>97</v>
      </c>
      <c r="I199" s="38" t="s">
        <v>34</v>
      </c>
      <c r="J199" s="38"/>
      <c r="K199" s="38"/>
      <c r="L199" s="38"/>
      <c r="M199" s="38"/>
      <c r="N199" s="38"/>
      <c r="O199" s="38"/>
      <c r="P199" s="494">
        <v>0</v>
      </c>
      <c r="Q199" s="38" t="s">
        <v>98</v>
      </c>
      <c r="R199" s="40" t="s">
        <v>192</v>
      </c>
      <c r="S199" s="304"/>
      <c r="T199" s="40" t="str" cm="1">
        <f t="array" ref="T199">IF(A199&lt;&gt;"",_xlfn.XLOOKUP(_xlfn.XLOOKUP(TRUE,F199:N199&lt;&gt;"",F199:N199,"-",-1,-1),F199:N199,$F$6:$N$6,,,-1),"")</f>
        <v>Add2</v>
      </c>
      <c r="U199" s="324"/>
      <c r="V199" s="40"/>
      <c r="W199" s="415" t="s">
        <v>135</v>
      </c>
      <c r="X199" s="239" t="s">
        <v>102</v>
      </c>
      <c r="Y199" s="239" t="s">
        <v>256</v>
      </c>
      <c r="Z199" s="405">
        <v>2</v>
      </c>
      <c r="AA199" s="414">
        <v>0</v>
      </c>
      <c r="AB199" s="37">
        <f t="shared" si="219"/>
        <v>0</v>
      </c>
      <c r="AC199" s="414">
        <v>0</v>
      </c>
      <c r="AD199" s="37">
        <f t="shared" si="220"/>
        <v>0</v>
      </c>
      <c r="AE199" s="414">
        <v>0.5</v>
      </c>
      <c r="AF199" s="37">
        <f t="shared" si="221"/>
        <v>1</v>
      </c>
      <c r="AG199" s="414">
        <v>0</v>
      </c>
      <c r="AH199" s="37">
        <f t="shared" si="222"/>
        <v>0</v>
      </c>
      <c r="AI199" s="414">
        <v>0</v>
      </c>
      <c r="AJ199" s="37">
        <f t="shared" si="223"/>
        <v>0</v>
      </c>
      <c r="AK199" s="414">
        <v>0</v>
      </c>
      <c r="AL199" s="37">
        <f>$Z199*AK199</f>
        <v>0</v>
      </c>
      <c r="AM199" s="414">
        <v>0</v>
      </c>
      <c r="AN199" s="37">
        <f t="shared" si="224"/>
        <v>0</v>
      </c>
      <c r="AO199" s="414">
        <v>0</v>
      </c>
      <c r="AP199" s="37">
        <f>$Z199*AO199</f>
        <v>0</v>
      </c>
      <c r="AQ199" s="414">
        <v>1</v>
      </c>
      <c r="AR199" s="37">
        <f t="shared" si="225"/>
        <v>2</v>
      </c>
      <c r="AS199" s="414">
        <v>0</v>
      </c>
      <c r="AT199" s="37">
        <f t="shared" si="226"/>
        <v>0</v>
      </c>
      <c r="AU199" s="414">
        <v>0</v>
      </c>
      <c r="AV199" s="37">
        <f t="shared" si="227"/>
        <v>0</v>
      </c>
      <c r="AW199" s="414">
        <v>0</v>
      </c>
      <c r="AX199" s="37">
        <f>$Z199*AW199</f>
        <v>0</v>
      </c>
      <c r="AZ199" s="37" t="str">
        <f t="shared" si="228"/>
        <v>18043-LM231 01403 Wall Section &amp; Section Details sheet 3</v>
      </c>
      <c r="BA199" s="237" t="s">
        <v>390</v>
      </c>
    </row>
    <row r="200" spans="1:53" s="37" customFormat="1" ht="15" customHeight="1" outlineLevel="1">
      <c r="A200" s="43"/>
      <c r="B200" s="38"/>
      <c r="C200" s="233"/>
      <c r="D200" s="38"/>
      <c r="E200" s="42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40"/>
      <c r="S200" s="40"/>
      <c r="T200" s="40" t="str" cm="1">
        <f t="array" ref="T200">IF(A200&lt;&gt;"",_xlfn.XLOOKUP(_xlfn.XLOOKUP(TRUE,F200:N200&lt;&gt;"",F200:N200,"-",-1,-1),F200:N200,$F$6:$N$6,,,-1),"")</f>
        <v/>
      </c>
      <c r="U200" s="324"/>
      <c r="V200" s="40"/>
      <c r="W200" s="262"/>
      <c r="X200" s="239"/>
      <c r="Y200" s="239"/>
      <c r="Z200" s="405"/>
      <c r="AA200" s="414"/>
      <c r="AC200" s="414"/>
      <c r="AE200" s="414"/>
      <c r="AG200" s="414"/>
      <c r="AI200" s="414"/>
      <c r="AK200" s="414"/>
      <c r="AM200" s="414"/>
      <c r="AO200" s="414"/>
      <c r="AQ200" s="414"/>
      <c r="AS200" s="414"/>
      <c r="AU200" s="414"/>
      <c r="AW200" s="414"/>
      <c r="AZ200" s="37" t="str">
        <f t="shared" si="228"/>
        <v xml:space="preserve"> </v>
      </c>
      <c r="BA200" s="237"/>
    </row>
    <row r="201" spans="1:53" s="37" customFormat="1" ht="15" customHeight="1" outlineLevel="1">
      <c r="A201" s="43" t="s">
        <v>395</v>
      </c>
      <c r="B201" s="38" t="s">
        <v>94</v>
      </c>
      <c r="C201" s="233" t="s">
        <v>95</v>
      </c>
      <c r="D201" s="38"/>
      <c r="E201" s="42" t="s">
        <v>396</v>
      </c>
      <c r="F201" s="38" t="s">
        <v>97</v>
      </c>
      <c r="G201" s="38"/>
      <c r="H201" s="38" t="s">
        <v>31</v>
      </c>
      <c r="I201" s="38" t="s">
        <v>116</v>
      </c>
      <c r="J201" s="38"/>
      <c r="K201" s="38"/>
      <c r="L201" s="38" t="s">
        <v>38</v>
      </c>
      <c r="M201" s="364" t="s">
        <v>38</v>
      </c>
      <c r="N201" s="38"/>
      <c r="O201" s="38"/>
      <c r="P201" s="494">
        <v>0</v>
      </c>
      <c r="Q201" s="38" t="s">
        <v>98</v>
      </c>
      <c r="R201" s="40" t="s">
        <v>192</v>
      </c>
      <c r="S201" s="40"/>
      <c r="T201" s="40" t="str" cm="1">
        <f t="array" ref="T201">IF(A201&lt;&gt;"",_xlfn.XLOOKUP(_xlfn.XLOOKUP(TRUE,F201:N201&lt;&gt;"",F201:N201,"-",-1,-1),F201:N201,$F$6:$N$6,,,-1),"")</f>
        <v>Permit</v>
      </c>
      <c r="U201" s="361" t="s">
        <v>256</v>
      </c>
      <c r="V201" s="40"/>
      <c r="W201" s="415" t="s">
        <v>135</v>
      </c>
      <c r="X201" s="239" t="s">
        <v>102</v>
      </c>
      <c r="Y201" s="239" t="s">
        <v>257</v>
      </c>
      <c r="Z201" s="405">
        <v>2</v>
      </c>
      <c r="AA201" s="414">
        <v>0</v>
      </c>
      <c r="AB201" s="37">
        <f t="shared" ref="AB201" si="229">$Z201*AA201</f>
        <v>0</v>
      </c>
      <c r="AC201" s="414">
        <v>0</v>
      </c>
      <c r="AD201" s="37">
        <f t="shared" ref="AD201" si="230">$Z201*AC201</f>
        <v>0</v>
      </c>
      <c r="AE201" s="414">
        <v>0.8</v>
      </c>
      <c r="AF201" s="37">
        <f t="shared" ref="AF201" si="231">$Z201*AE201</f>
        <v>1.6</v>
      </c>
      <c r="AG201" s="414">
        <v>0</v>
      </c>
      <c r="AH201" s="37">
        <f t="shared" ref="AH201" si="232">$Z201*AG201</f>
        <v>0</v>
      </c>
      <c r="AI201" s="414">
        <v>1</v>
      </c>
      <c r="AJ201" s="37">
        <f t="shared" ref="AJ201" si="233">$Z201*AI201</f>
        <v>2</v>
      </c>
      <c r="AK201" s="414">
        <v>0</v>
      </c>
      <c r="AL201" s="37">
        <f>$Z201*AK201</f>
        <v>0</v>
      </c>
      <c r="AM201" s="414">
        <v>1</v>
      </c>
      <c r="AN201" s="37">
        <f t="shared" ref="AN201" si="234">$Z201*AM201</f>
        <v>2</v>
      </c>
      <c r="AO201" s="414">
        <v>0</v>
      </c>
      <c r="AP201" s="37">
        <f>$Z201*AO201</f>
        <v>0</v>
      </c>
      <c r="AQ201" s="414">
        <v>1</v>
      </c>
      <c r="AR201" s="37">
        <f t="shared" ref="AR201" si="235">$Z201*AQ201</f>
        <v>2</v>
      </c>
      <c r="AS201" s="414">
        <v>0</v>
      </c>
      <c r="AT201" s="37">
        <f t="shared" ref="AT201" si="236">$Z201*AS201</f>
        <v>0</v>
      </c>
      <c r="AU201" s="414">
        <v>1</v>
      </c>
      <c r="AV201" s="37">
        <f t="shared" ref="AV201" si="237">$Z201*AU201</f>
        <v>2</v>
      </c>
      <c r="AW201" s="414">
        <v>0</v>
      </c>
      <c r="AX201" s="37">
        <f>$Z201*AW201</f>
        <v>0</v>
      </c>
      <c r="AZ201" s="37" t="str">
        <f t="shared" si="228"/>
        <v>18043-LM231 01501 ST-1, ST-2, Passenger Lift, Connecting Details Sheet 1</v>
      </c>
    </row>
    <row r="202" spans="1:53" s="37" customFormat="1" ht="15" customHeight="1" outlineLevel="1">
      <c r="A202" s="43" t="s">
        <v>397</v>
      </c>
      <c r="B202" s="38" t="s">
        <v>94</v>
      </c>
      <c r="C202" s="233" t="s">
        <v>95</v>
      </c>
      <c r="D202" s="38"/>
      <c r="E202" s="42" t="s">
        <v>398</v>
      </c>
      <c r="F202" s="38" t="s">
        <v>97</v>
      </c>
      <c r="G202" s="38"/>
      <c r="H202" s="38" t="s">
        <v>31</v>
      </c>
      <c r="I202" s="38" t="s">
        <v>116</v>
      </c>
      <c r="J202" s="38"/>
      <c r="K202" s="38"/>
      <c r="L202" s="38" t="s">
        <v>38</v>
      </c>
      <c r="M202" s="364" t="s">
        <v>38</v>
      </c>
      <c r="N202" s="38"/>
      <c r="O202" s="38"/>
      <c r="P202" s="494">
        <v>0</v>
      </c>
      <c r="Q202" s="38" t="s">
        <v>98</v>
      </c>
      <c r="R202" s="40" t="s">
        <v>192</v>
      </c>
      <c r="S202" s="40"/>
      <c r="T202" s="40" t="str" cm="1">
        <f t="array" ref="T202">IF(A202&lt;&gt;"",_xlfn.XLOOKUP(_xlfn.XLOOKUP(TRUE,F202:N202&lt;&gt;"",F202:N202,"-",-1,-1),F202:N202,$F$6:$N$6,,,-1),"")</f>
        <v>Permit</v>
      </c>
      <c r="U202" s="361" t="s">
        <v>256</v>
      </c>
      <c r="V202" s="40"/>
      <c r="W202" s="415" t="s">
        <v>135</v>
      </c>
      <c r="X202" s="239" t="s">
        <v>102</v>
      </c>
      <c r="Y202" s="239" t="s">
        <v>257</v>
      </c>
      <c r="Z202" s="405">
        <v>2</v>
      </c>
      <c r="AA202" s="414">
        <v>0</v>
      </c>
      <c r="AB202" s="37">
        <f>$Z202*AA202</f>
        <v>0</v>
      </c>
      <c r="AC202" s="414">
        <v>0</v>
      </c>
      <c r="AD202" s="37">
        <f>$Z202*AC202</f>
        <v>0</v>
      </c>
      <c r="AE202" s="414">
        <v>0.8</v>
      </c>
      <c r="AF202" s="37">
        <f>$Z202*AE202</f>
        <v>1.6</v>
      </c>
      <c r="AG202" s="414">
        <v>0</v>
      </c>
      <c r="AH202" s="37">
        <f>$Z202*AG202</f>
        <v>0</v>
      </c>
      <c r="AI202" s="414">
        <v>1</v>
      </c>
      <c r="AJ202" s="37">
        <f>$Z202*AI202</f>
        <v>2</v>
      </c>
      <c r="AK202" s="414">
        <v>0</v>
      </c>
      <c r="AL202" s="37">
        <f>$Z202*AK202</f>
        <v>0</v>
      </c>
      <c r="AM202" s="414">
        <v>1</v>
      </c>
      <c r="AN202" s="37">
        <f>$Z202*AM202</f>
        <v>2</v>
      </c>
      <c r="AO202" s="414">
        <v>0</v>
      </c>
      <c r="AP202" s="37">
        <f>$Z202*AO202</f>
        <v>0</v>
      </c>
      <c r="AQ202" s="414">
        <v>1</v>
      </c>
      <c r="AR202" s="37">
        <f>$Z202*AQ202</f>
        <v>2</v>
      </c>
      <c r="AS202" s="414">
        <v>0</v>
      </c>
      <c r="AT202" s="37">
        <f>$Z202*AS202</f>
        <v>0</v>
      </c>
      <c r="AU202" s="414">
        <v>1</v>
      </c>
      <c r="AV202" s="37">
        <f>$Z202*AU202</f>
        <v>2</v>
      </c>
      <c r="AW202" s="414">
        <v>0</v>
      </c>
      <c r="AX202" s="37">
        <f>$Z202*AW202</f>
        <v>0</v>
      </c>
      <c r="AZ202" s="37" t="str">
        <f t="shared" si="228"/>
        <v>18043-LM231 01502 ST-1, ST-2, Passenger Lift, Connecting Details Sheet 2</v>
      </c>
    </row>
    <row r="203" spans="1:53" s="37" customFormat="1" ht="15" customHeight="1" outlineLevel="1">
      <c r="A203" s="43" t="s">
        <v>399</v>
      </c>
      <c r="B203" s="38" t="s">
        <v>94</v>
      </c>
      <c r="C203" s="233" t="s">
        <v>95</v>
      </c>
      <c r="D203" s="38"/>
      <c r="E203" s="42" t="s">
        <v>400</v>
      </c>
      <c r="F203" s="38"/>
      <c r="G203" s="38"/>
      <c r="H203" s="38"/>
      <c r="I203" s="38" t="s">
        <v>97</v>
      </c>
      <c r="J203" s="38"/>
      <c r="K203" s="38"/>
      <c r="L203" s="38"/>
      <c r="M203" s="38"/>
      <c r="N203" s="38"/>
      <c r="O203" s="38"/>
      <c r="P203" s="494">
        <v>0</v>
      </c>
      <c r="Q203" s="38" t="s">
        <v>98</v>
      </c>
      <c r="R203" s="40" t="s">
        <v>192</v>
      </c>
      <c r="S203" s="40"/>
      <c r="T203" s="40" t="str" cm="1">
        <f t="array" ref="T203">IF(A203&lt;&gt;"",_xlfn.XLOOKUP(_xlfn.XLOOKUP(TRUE,F203:N203&lt;&gt;"",F203:N203,"-",-1,-1),F203:N203,$F$6:$N$6,,,-1),"")</f>
        <v>Add2</v>
      </c>
      <c r="U203" s="324"/>
      <c r="V203" s="40"/>
      <c r="W203" s="415" t="s">
        <v>135</v>
      </c>
      <c r="X203" s="239" t="s">
        <v>102</v>
      </c>
      <c r="Y203" s="239" t="s">
        <v>257</v>
      </c>
      <c r="Z203" s="405">
        <v>2</v>
      </c>
      <c r="AA203" s="414">
        <v>0</v>
      </c>
      <c r="AB203" s="37">
        <f t="shared" si="54"/>
        <v>0</v>
      </c>
      <c r="AC203" s="414">
        <v>0</v>
      </c>
      <c r="AD203" s="37">
        <f t="shared" si="55"/>
        <v>0</v>
      </c>
      <c r="AE203" s="414">
        <v>0.8</v>
      </c>
      <c r="AF203" s="37">
        <f t="shared" ref="AF203" si="238">$Z203*AE203</f>
        <v>1.6</v>
      </c>
      <c r="AG203" s="414">
        <v>0</v>
      </c>
      <c r="AH203" s="37">
        <f t="shared" ref="AH203" si="239">$Z203*AG203</f>
        <v>0</v>
      </c>
      <c r="AI203" s="414">
        <v>1</v>
      </c>
      <c r="AJ203" s="37">
        <f t="shared" ref="AJ203" si="240">$Z203*AI203</f>
        <v>2</v>
      </c>
      <c r="AK203" s="414">
        <v>0</v>
      </c>
      <c r="AL203" s="37">
        <f>$Z203*AK203</f>
        <v>0</v>
      </c>
      <c r="AM203" s="414">
        <v>1</v>
      </c>
      <c r="AN203" s="37">
        <f t="shared" ref="AN203" si="241">$Z203*AM203</f>
        <v>2</v>
      </c>
      <c r="AO203" s="414">
        <v>0</v>
      </c>
      <c r="AP203" s="37">
        <f>$Z203*AO203</f>
        <v>0</v>
      </c>
      <c r="AQ203" s="414">
        <v>1</v>
      </c>
      <c r="AR203" s="37">
        <f t="shared" ref="AR203:AR213" si="242">$Z203*AQ203</f>
        <v>2</v>
      </c>
      <c r="AS203" s="414">
        <v>0</v>
      </c>
      <c r="AT203" s="37">
        <f t="shared" si="184"/>
        <v>0</v>
      </c>
      <c r="AU203" s="414">
        <v>1</v>
      </c>
      <c r="AV203" s="37">
        <f t="shared" ref="AV203" si="243">$Z203*AU203</f>
        <v>2</v>
      </c>
      <c r="AW203" s="414">
        <v>0</v>
      </c>
      <c r="AX203" s="37">
        <f>$Z203*AW203</f>
        <v>0</v>
      </c>
      <c r="AZ203" s="37" t="str">
        <f t="shared" si="228"/>
        <v>18043-LM231 01503 Ladder Detail</v>
      </c>
    </row>
    <row r="204" spans="1:53" s="37" customFormat="1" ht="15" customHeight="1" outlineLevel="1">
      <c r="A204" s="43"/>
      <c r="B204" s="38"/>
      <c r="C204" s="233"/>
      <c r="D204" s="38"/>
      <c r="E204" s="42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40"/>
      <c r="S204" s="40"/>
      <c r="T204" s="40" t="str" cm="1">
        <f t="array" ref="T204">IF(A204&lt;&gt;"",_xlfn.XLOOKUP(_xlfn.XLOOKUP(TRUE,F204:N204&lt;&gt;"",F204:N204,"-",-1,-1),F204:N204,$F$6:$N$6,,,-1),"")</f>
        <v/>
      </c>
      <c r="U204" s="324"/>
      <c r="V204" s="40"/>
      <c r="W204" s="262"/>
      <c r="X204" s="239"/>
      <c r="Y204" s="239"/>
      <c r="Z204" s="405"/>
      <c r="AA204" s="414"/>
      <c r="AC204" s="414"/>
      <c r="AE204" s="414"/>
      <c r="AG204" s="414"/>
      <c r="AI204" s="414"/>
      <c r="AK204" s="414"/>
      <c r="AM204" s="414"/>
      <c r="AO204" s="414"/>
      <c r="AQ204" s="414"/>
      <c r="AS204" s="414"/>
      <c r="AU204" s="414"/>
      <c r="AW204" s="414"/>
    </row>
    <row r="205" spans="1:53" s="37" customFormat="1" ht="15" customHeight="1" outlineLevel="1">
      <c r="A205" s="43" t="s">
        <v>401</v>
      </c>
      <c r="B205" s="38" t="s">
        <v>94</v>
      </c>
      <c r="C205" s="233" t="s">
        <v>95</v>
      </c>
      <c r="D205" s="38"/>
      <c r="E205" s="42" t="s">
        <v>402</v>
      </c>
      <c r="F205" s="38"/>
      <c r="G205" s="38"/>
      <c r="H205" s="38"/>
      <c r="I205" s="38" t="s">
        <v>34</v>
      </c>
      <c r="J205" s="38"/>
      <c r="K205" s="38"/>
      <c r="L205" s="38"/>
      <c r="M205" s="364" t="s">
        <v>34</v>
      </c>
      <c r="N205" s="38"/>
      <c r="O205" s="38"/>
      <c r="P205" s="494">
        <v>0</v>
      </c>
      <c r="Q205" s="38" t="s">
        <v>98</v>
      </c>
      <c r="R205" s="40" t="s">
        <v>192</v>
      </c>
      <c r="S205" s="304"/>
      <c r="T205" s="40" t="str" cm="1">
        <f t="array" ref="T205">IF(A205&lt;&gt;"",_xlfn.XLOOKUP(_xlfn.XLOOKUP(TRUE,F205:N205&lt;&gt;"",F205:N205,"-",-1,-1),F205:N205,$F$6:$N$6,,,-1),"")</f>
        <v>Permit</v>
      </c>
      <c r="U205" s="324"/>
      <c r="V205" s="40"/>
      <c r="W205" s="415" t="s">
        <v>117</v>
      </c>
      <c r="X205" s="239" t="s">
        <v>102</v>
      </c>
      <c r="Y205" s="239" t="s">
        <v>256</v>
      </c>
      <c r="Z205" s="405">
        <v>1.5</v>
      </c>
      <c r="AA205" s="414">
        <v>0</v>
      </c>
      <c r="AB205" s="37">
        <f t="shared" si="54"/>
        <v>0</v>
      </c>
      <c r="AC205" s="414">
        <v>0</v>
      </c>
      <c r="AD205" s="37">
        <f t="shared" si="55"/>
        <v>0</v>
      </c>
      <c r="AE205" s="414">
        <v>0.8</v>
      </c>
      <c r="AF205" s="37">
        <f t="shared" ref="AF205" si="244">$Z205*AE205</f>
        <v>1.2000000000000002</v>
      </c>
      <c r="AG205" s="414">
        <v>0</v>
      </c>
      <c r="AH205" s="37">
        <f t="shared" ref="AH205" si="245">$Z205*AG205</f>
        <v>0</v>
      </c>
      <c r="AI205" s="414">
        <v>0</v>
      </c>
      <c r="AJ205" s="37">
        <f t="shared" ref="AJ205" si="246">$Z205*AI205</f>
        <v>0</v>
      </c>
      <c r="AK205" s="414">
        <v>0</v>
      </c>
      <c r="AL205" s="37">
        <f>$Z205*AK205</f>
        <v>0</v>
      </c>
      <c r="AM205" s="414">
        <v>0</v>
      </c>
      <c r="AN205" s="37">
        <f t="shared" ref="AN205" si="247">$Z205*AM205</f>
        <v>0</v>
      </c>
      <c r="AO205" s="414">
        <v>0</v>
      </c>
      <c r="AP205" s="37">
        <f>$Z205*AO205</f>
        <v>0</v>
      </c>
      <c r="AQ205" s="414">
        <v>1</v>
      </c>
      <c r="AR205" s="37">
        <f t="shared" si="242"/>
        <v>1.5</v>
      </c>
      <c r="AS205" s="414">
        <v>0</v>
      </c>
      <c r="AT205" s="37">
        <f t="shared" si="184"/>
        <v>0</v>
      </c>
      <c r="AU205" s="414">
        <v>0</v>
      </c>
      <c r="AV205" s="37">
        <f t="shared" ref="AV205" si="248">$Z205*AU205</f>
        <v>0</v>
      </c>
      <c r="AW205" s="414">
        <v>0</v>
      </c>
      <c r="AX205" s="37">
        <f>$Z205*AW205</f>
        <v>0</v>
      </c>
      <c r="AZ205" s="37" t="str">
        <f>A205&amp;" "&amp;E205</f>
        <v>18043-LM231 01601 Toilet Details Sheet 1</v>
      </c>
    </row>
    <row r="206" spans="1:53" s="37" customFormat="1" ht="15" customHeight="1" outlineLevel="1">
      <c r="A206" s="43" t="s">
        <v>403</v>
      </c>
      <c r="B206" s="38" t="s">
        <v>94</v>
      </c>
      <c r="C206" s="233" t="s">
        <v>95</v>
      </c>
      <c r="D206" s="38"/>
      <c r="E206" s="42" t="s">
        <v>404</v>
      </c>
      <c r="F206" s="38"/>
      <c r="G206" s="38"/>
      <c r="H206" s="38"/>
      <c r="I206" s="38" t="s">
        <v>34</v>
      </c>
      <c r="J206" s="38"/>
      <c r="K206" s="38"/>
      <c r="L206" s="38"/>
      <c r="M206" s="364" t="s">
        <v>34</v>
      </c>
      <c r="N206" s="38"/>
      <c r="O206" s="38"/>
      <c r="P206" s="494">
        <v>0</v>
      </c>
      <c r="Q206" s="38" t="s">
        <v>98</v>
      </c>
      <c r="R206" s="40" t="s">
        <v>192</v>
      </c>
      <c r="S206" s="304"/>
      <c r="T206" s="40" t="str" cm="1">
        <f t="array" ref="T206">IF(A206&lt;&gt;"",_xlfn.XLOOKUP(_xlfn.XLOOKUP(TRUE,F206:N206&lt;&gt;"",F206:N206,"-",-1,-1),F206:N206,$F$6:$N$6,,,-1),"")</f>
        <v>Permit</v>
      </c>
      <c r="U206" s="324"/>
      <c r="V206" s="40"/>
      <c r="W206" s="415" t="s">
        <v>117</v>
      </c>
      <c r="X206" s="239" t="s">
        <v>102</v>
      </c>
      <c r="Y206" s="239" t="s">
        <v>256</v>
      </c>
      <c r="Z206" s="405">
        <v>1.5</v>
      </c>
      <c r="AA206" s="414">
        <v>0</v>
      </c>
      <c r="AB206" s="37">
        <f>$Z206*AA206</f>
        <v>0</v>
      </c>
      <c r="AC206" s="414">
        <v>0</v>
      </c>
      <c r="AD206" s="37">
        <f>$Z206*AC206</f>
        <v>0</v>
      </c>
      <c r="AE206" s="414">
        <v>0.8</v>
      </c>
      <c r="AF206" s="37">
        <f>$Z206*AE206</f>
        <v>1.2000000000000002</v>
      </c>
      <c r="AG206" s="414">
        <v>0</v>
      </c>
      <c r="AH206" s="37">
        <f>$Z206*AG206</f>
        <v>0</v>
      </c>
      <c r="AI206" s="414">
        <v>0</v>
      </c>
      <c r="AJ206" s="37">
        <f>$Z206*AI206</f>
        <v>0</v>
      </c>
      <c r="AK206" s="414">
        <v>0</v>
      </c>
      <c r="AL206" s="37">
        <f>$Z206*AK206</f>
        <v>0</v>
      </c>
      <c r="AM206" s="414">
        <v>0</v>
      </c>
      <c r="AN206" s="37">
        <f>$Z206*AM206</f>
        <v>0</v>
      </c>
      <c r="AO206" s="414">
        <v>0</v>
      </c>
      <c r="AP206" s="37">
        <f>$Z206*AO206</f>
        <v>0</v>
      </c>
      <c r="AQ206" s="414">
        <v>1</v>
      </c>
      <c r="AR206" s="37">
        <f>$Z206*AQ206</f>
        <v>1.5</v>
      </c>
      <c r="AS206" s="414">
        <v>0</v>
      </c>
      <c r="AT206" s="37">
        <f>$Z206*AS206</f>
        <v>0</v>
      </c>
      <c r="AU206" s="414">
        <v>0</v>
      </c>
      <c r="AV206" s="37">
        <f>$Z206*AU206</f>
        <v>0</v>
      </c>
      <c r="AW206" s="414">
        <v>0</v>
      </c>
      <c r="AX206" s="37">
        <f>$Z206*AW206</f>
        <v>0</v>
      </c>
      <c r="AZ206" s="37" t="str">
        <f>A206&amp;" "&amp;E206</f>
        <v>18043-LM231 01602 Toilet Details Sheet 2</v>
      </c>
    </row>
    <row r="207" spans="1:53" s="37" customFormat="1" ht="15" customHeight="1" outlineLevel="1">
      <c r="A207" s="43"/>
      <c r="B207" s="38"/>
      <c r="C207" s="233"/>
      <c r="D207" s="38"/>
      <c r="E207" s="42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40"/>
      <c r="S207" s="40"/>
      <c r="T207" s="40" t="str" cm="1">
        <f t="array" ref="T207">IF(A207&lt;&gt;"",_xlfn.XLOOKUP(_xlfn.XLOOKUP(TRUE,F207:N207&lt;&gt;"",F207:N207,"-",-1,-1),F207:N207,$F$6:$N$6,,,-1),"")</f>
        <v/>
      </c>
      <c r="U207" s="324"/>
      <c r="V207" s="40"/>
      <c r="W207" s="262"/>
      <c r="X207" s="239"/>
      <c r="Y207" s="239"/>
      <c r="Z207" s="405"/>
      <c r="AA207" s="414"/>
      <c r="AC207" s="414"/>
      <c r="AE207" s="414"/>
      <c r="AG207" s="414"/>
      <c r="AI207" s="414"/>
      <c r="AK207" s="414"/>
      <c r="AM207" s="414"/>
      <c r="AO207" s="414"/>
      <c r="AQ207" s="414"/>
      <c r="AS207" s="414"/>
      <c r="AU207" s="414"/>
      <c r="AW207" s="414"/>
    </row>
    <row r="208" spans="1:53" s="37" customFormat="1" ht="15" customHeight="1" outlineLevel="1">
      <c r="A208" s="43" t="s">
        <v>405</v>
      </c>
      <c r="B208" s="38" t="s">
        <v>94</v>
      </c>
      <c r="C208" s="233" t="s">
        <v>95</v>
      </c>
      <c r="D208" s="38"/>
      <c r="E208" s="42" t="s">
        <v>273</v>
      </c>
      <c r="F208" s="38"/>
      <c r="G208" s="38"/>
      <c r="H208" s="38" t="s">
        <v>34</v>
      </c>
      <c r="I208" s="38" t="s">
        <v>31</v>
      </c>
      <c r="J208" s="38"/>
      <c r="K208" s="38"/>
      <c r="L208" s="38"/>
      <c r="M208" s="364" t="s">
        <v>31</v>
      </c>
      <c r="N208" s="38"/>
      <c r="O208" s="38"/>
      <c r="P208" s="494">
        <v>0</v>
      </c>
      <c r="Q208" s="38" t="s">
        <v>98</v>
      </c>
      <c r="R208" s="40" t="s">
        <v>192</v>
      </c>
      <c r="S208" s="304"/>
      <c r="T208" s="40" t="str" cm="1">
        <f t="array" ref="T208">IF(A208&lt;&gt;"",_xlfn.XLOOKUP(_xlfn.XLOOKUP(TRUE,F208:N208&lt;&gt;"",F208:N208,"-",-1,-1),F208:N208,$F$6:$N$6,,,-1),"")</f>
        <v>Permit</v>
      </c>
      <c r="U208" s="324"/>
      <c r="V208" s="40"/>
      <c r="W208" s="415" t="s">
        <v>117</v>
      </c>
      <c r="X208" s="239" t="s">
        <v>102</v>
      </c>
      <c r="Y208" s="239" t="s">
        <v>257</v>
      </c>
      <c r="Z208" s="405">
        <v>1.5</v>
      </c>
      <c r="AA208" s="414">
        <v>0</v>
      </c>
      <c r="AB208" s="37">
        <f>$Z208*AA208</f>
        <v>0</v>
      </c>
      <c r="AC208" s="414">
        <v>0</v>
      </c>
      <c r="AD208" s="37">
        <f>$Z208*AC208</f>
        <v>0</v>
      </c>
      <c r="AE208" s="414">
        <v>0.8</v>
      </c>
      <c r="AF208" s="37">
        <f>$Z208*AE208</f>
        <v>1.2000000000000002</v>
      </c>
      <c r="AG208" s="414">
        <v>0</v>
      </c>
      <c r="AH208" s="37">
        <f>$Z208*AG208</f>
        <v>0</v>
      </c>
      <c r="AI208" s="414">
        <v>0</v>
      </c>
      <c r="AJ208" s="37">
        <f>$Z208*AI208</f>
        <v>0</v>
      </c>
      <c r="AK208" s="414">
        <v>0</v>
      </c>
      <c r="AL208" s="37">
        <f>$Z208*AK208</f>
        <v>0</v>
      </c>
      <c r="AM208" s="414">
        <v>0</v>
      </c>
      <c r="AN208" s="37">
        <f>$Z208*AM208</f>
        <v>0</v>
      </c>
      <c r="AO208" s="414">
        <v>0</v>
      </c>
      <c r="AP208" s="37">
        <f>$Z208*AO208</f>
        <v>0</v>
      </c>
      <c r="AQ208" s="414">
        <v>1</v>
      </c>
      <c r="AR208" s="37">
        <f>$Z208*AQ208</f>
        <v>1.5</v>
      </c>
      <c r="AS208" s="414">
        <v>0</v>
      </c>
      <c r="AT208" s="37">
        <f>$Z208*AS208</f>
        <v>0</v>
      </c>
      <c r="AU208" s="414">
        <v>0</v>
      </c>
      <c r="AV208" s="37">
        <f>$Z208*AU208</f>
        <v>0</v>
      </c>
      <c r="AW208" s="414">
        <v>0</v>
      </c>
      <c r="AX208" s="37">
        <f>$Z208*AW208</f>
        <v>0</v>
      </c>
      <c r="AY208" s="390"/>
      <c r="AZ208" s="37" t="str">
        <f>A208&amp;" "&amp;E208</f>
        <v>18043-LM231 01700 Door Equipment List</v>
      </c>
    </row>
    <row r="209" spans="1:53" s="37" customFormat="1" ht="15" customHeight="1" outlineLevel="1">
      <c r="A209" s="43" t="s">
        <v>406</v>
      </c>
      <c r="B209" s="38" t="s">
        <v>94</v>
      </c>
      <c r="C209" s="233" t="s">
        <v>95</v>
      </c>
      <c r="D209" s="38"/>
      <c r="E209" s="42" t="s">
        <v>407</v>
      </c>
      <c r="F209" s="38"/>
      <c r="G209" s="38"/>
      <c r="H209" s="38" t="s">
        <v>34</v>
      </c>
      <c r="I209" s="38" t="s">
        <v>31</v>
      </c>
      <c r="J209" s="38" t="s">
        <v>116</v>
      </c>
      <c r="K209" s="38"/>
      <c r="L209" s="38"/>
      <c r="M209" s="364" t="s">
        <v>116</v>
      </c>
      <c r="N209" s="38"/>
      <c r="O209" s="38"/>
      <c r="P209" s="494">
        <v>0</v>
      </c>
      <c r="Q209" s="38" t="s">
        <v>98</v>
      </c>
      <c r="R209" s="40" t="s">
        <v>192</v>
      </c>
      <c r="S209" s="304"/>
      <c r="T209" s="40" t="str" cm="1">
        <f t="array" ref="T209">IF(A209&lt;&gt;"",_xlfn.XLOOKUP(_xlfn.XLOOKUP(TRUE,F209:N209&lt;&gt;"",F209:N209,"-",-1,-1),F209:N209,$F$6:$N$6,,,-1),"")</f>
        <v>Permit</v>
      </c>
      <c r="U209" s="324"/>
      <c r="V209" s="40"/>
      <c r="W209" s="415" t="s">
        <v>117</v>
      </c>
      <c r="X209" s="239" t="s">
        <v>102</v>
      </c>
      <c r="Y209" s="239" t="s">
        <v>257</v>
      </c>
      <c r="Z209" s="405">
        <v>1.5</v>
      </c>
      <c r="AA209" s="414">
        <v>0</v>
      </c>
      <c r="AB209" s="37">
        <f>$Z209*AA209</f>
        <v>0</v>
      </c>
      <c r="AC209" s="414">
        <v>0</v>
      </c>
      <c r="AD209" s="37">
        <f>$Z209*AC209</f>
        <v>0</v>
      </c>
      <c r="AE209" s="414">
        <v>0.8</v>
      </c>
      <c r="AF209" s="37">
        <f>$Z209*AE209</f>
        <v>1.2000000000000002</v>
      </c>
      <c r="AG209" s="414">
        <v>0</v>
      </c>
      <c r="AH209" s="37">
        <f>$Z209*AG209</f>
        <v>0</v>
      </c>
      <c r="AI209" s="414">
        <v>0</v>
      </c>
      <c r="AJ209" s="37">
        <f>$Z209*AI209</f>
        <v>0</v>
      </c>
      <c r="AK209" s="414">
        <v>0</v>
      </c>
      <c r="AL209" s="37">
        <f>$Z209*AK209</f>
        <v>0</v>
      </c>
      <c r="AM209" s="414">
        <v>0</v>
      </c>
      <c r="AN209" s="37">
        <f>$Z209*AM209</f>
        <v>0</v>
      </c>
      <c r="AO209" s="414">
        <v>0</v>
      </c>
      <c r="AP209" s="37">
        <f>$Z209*AO209</f>
        <v>0</v>
      </c>
      <c r="AQ209" s="414">
        <v>1</v>
      </c>
      <c r="AR209" s="37">
        <f>$Z209*AQ209</f>
        <v>1.5</v>
      </c>
      <c r="AS209" s="414">
        <v>0</v>
      </c>
      <c r="AT209" s="37">
        <f>$Z209*AS209</f>
        <v>0</v>
      </c>
      <c r="AU209" s="414">
        <v>0</v>
      </c>
      <c r="AV209" s="37">
        <f>$Z209*AU209</f>
        <v>0</v>
      </c>
      <c r="AW209" s="414">
        <v>0</v>
      </c>
      <c r="AX209" s="37">
        <f>$Z209*AW209</f>
        <v>0</v>
      </c>
      <c r="AY209" s="390"/>
      <c r="AZ209" s="37" t="str">
        <f>A209&amp;" "&amp;E209</f>
        <v>18043-LM231 01701 Door and Window Details Sheet 1</v>
      </c>
    </row>
    <row r="210" spans="1:53" s="37" customFormat="1" ht="15" customHeight="1" outlineLevel="1">
      <c r="A210" s="43" t="s">
        <v>408</v>
      </c>
      <c r="B210" s="38" t="s">
        <v>94</v>
      </c>
      <c r="C210" s="233" t="s">
        <v>95</v>
      </c>
      <c r="D210" s="38"/>
      <c r="E210" s="42" t="s">
        <v>409</v>
      </c>
      <c r="F210" s="38"/>
      <c r="G210" s="38"/>
      <c r="H210" s="38" t="s">
        <v>34</v>
      </c>
      <c r="I210" s="38" t="s">
        <v>31</v>
      </c>
      <c r="J210" s="38" t="s">
        <v>116</v>
      </c>
      <c r="K210" s="38"/>
      <c r="L210" s="38"/>
      <c r="M210" s="364" t="s">
        <v>116</v>
      </c>
      <c r="N210" s="38"/>
      <c r="O210" s="38"/>
      <c r="P210" s="494">
        <v>0</v>
      </c>
      <c r="Q210" s="38" t="s">
        <v>98</v>
      </c>
      <c r="R210" s="40" t="s">
        <v>192</v>
      </c>
      <c r="S210" s="304"/>
      <c r="T210" s="40" t="str" cm="1">
        <f t="array" ref="T210">IF(A210&lt;&gt;"",_xlfn.XLOOKUP(_xlfn.XLOOKUP(TRUE,F210:N210&lt;&gt;"",F210:N210,"-",-1,-1),F210:N210,$F$6:$N$6,,,-1),"")</f>
        <v>Permit</v>
      </c>
      <c r="U210" s="324"/>
      <c r="V210" s="40"/>
      <c r="W210" s="415" t="s">
        <v>117</v>
      </c>
      <c r="X210" s="239" t="s">
        <v>102</v>
      </c>
      <c r="Y210" s="239" t="s">
        <v>257</v>
      </c>
      <c r="Z210" s="405">
        <v>1.5</v>
      </c>
      <c r="AA210" s="414">
        <v>0</v>
      </c>
      <c r="AB210" s="37">
        <f>$Z210*AA210</f>
        <v>0</v>
      </c>
      <c r="AC210" s="414">
        <v>0</v>
      </c>
      <c r="AD210" s="37">
        <f>$Z210*AC210</f>
        <v>0</v>
      </c>
      <c r="AE210" s="414">
        <v>0.8</v>
      </c>
      <c r="AF210" s="37">
        <f>$Z210*AE210</f>
        <v>1.2000000000000002</v>
      </c>
      <c r="AG210" s="414">
        <v>0</v>
      </c>
      <c r="AH210" s="37">
        <f>$Z210*AG210</f>
        <v>0</v>
      </c>
      <c r="AI210" s="414">
        <v>0</v>
      </c>
      <c r="AJ210" s="37">
        <f>$Z210*AI210</f>
        <v>0</v>
      </c>
      <c r="AK210" s="414">
        <v>0</v>
      </c>
      <c r="AL210" s="37">
        <f>$Z210*AK210</f>
        <v>0</v>
      </c>
      <c r="AM210" s="414">
        <v>0</v>
      </c>
      <c r="AN210" s="37">
        <f>$Z210*AM210</f>
        <v>0</v>
      </c>
      <c r="AO210" s="414">
        <v>0</v>
      </c>
      <c r="AP210" s="37">
        <f>$Z210*AO210</f>
        <v>0</v>
      </c>
      <c r="AQ210" s="414">
        <v>1</v>
      </c>
      <c r="AR210" s="37">
        <f>$Z210*AQ210</f>
        <v>1.5</v>
      </c>
      <c r="AS210" s="414">
        <v>0</v>
      </c>
      <c r="AT210" s="37">
        <f>$Z210*AS210</f>
        <v>0</v>
      </c>
      <c r="AU210" s="414">
        <v>0</v>
      </c>
      <c r="AV210" s="37">
        <f>$Z210*AU210</f>
        <v>0</v>
      </c>
      <c r="AW210" s="414">
        <v>0</v>
      </c>
      <c r="AX210" s="37">
        <f>$Z210*AW210</f>
        <v>0</v>
      </c>
      <c r="AY210" s="390"/>
      <c r="AZ210" s="37" t="str">
        <f>A210&amp;" "&amp;E210</f>
        <v>18043-LM231 01702 Door and Window Details Sheet 2</v>
      </c>
    </row>
    <row r="211" spans="1:53" s="37" customFormat="1" ht="15" customHeight="1" outlineLevel="1">
      <c r="A211" s="43"/>
      <c r="B211" s="38"/>
      <c r="C211" s="233"/>
      <c r="D211" s="38"/>
      <c r="E211" s="42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40"/>
      <c r="S211" s="40"/>
      <c r="T211" s="40" t="str" cm="1">
        <f t="array" ref="T211">IF(A211&lt;&gt;"",_xlfn.XLOOKUP(_xlfn.XLOOKUP(TRUE,F211:N211&lt;&gt;"",F211:N211,"-",-1,-1),F211:N211,$F$6:$N$6,,,-1),"")</f>
        <v/>
      </c>
      <c r="U211" s="324"/>
      <c r="V211" s="40"/>
      <c r="W211" s="262"/>
      <c r="X211" s="239"/>
      <c r="Y211" s="239"/>
      <c r="Z211" s="405"/>
      <c r="AA211" s="414"/>
      <c r="AC211" s="414"/>
      <c r="AE211" s="414"/>
      <c r="AG211" s="414"/>
      <c r="AI211" s="414"/>
      <c r="AK211" s="414"/>
      <c r="AM211" s="414"/>
      <c r="AO211" s="414"/>
      <c r="AQ211" s="414"/>
      <c r="AS211" s="414"/>
      <c r="AU211" s="414"/>
      <c r="AW211" s="414"/>
      <c r="AY211" s="390"/>
    </row>
    <row r="212" spans="1:53" s="37" customFormat="1" ht="15" customHeight="1" outlineLevel="1">
      <c r="A212" s="43" t="s">
        <v>410</v>
      </c>
      <c r="B212" s="38" t="s">
        <v>94</v>
      </c>
      <c r="C212" s="233" t="s">
        <v>95</v>
      </c>
      <c r="D212" s="38"/>
      <c r="E212" s="42" t="s">
        <v>277</v>
      </c>
      <c r="F212" s="38"/>
      <c r="G212" s="38"/>
      <c r="H212" s="38" t="s">
        <v>97</v>
      </c>
      <c r="I212" s="38"/>
      <c r="J212" s="38"/>
      <c r="K212" s="38"/>
      <c r="L212" s="38"/>
      <c r="M212" s="38"/>
      <c r="N212" s="38"/>
      <c r="O212" s="38"/>
      <c r="P212" s="494">
        <v>0</v>
      </c>
      <c r="Q212" s="38" t="s">
        <v>98</v>
      </c>
      <c r="R212" s="40" t="s">
        <v>99</v>
      </c>
      <c r="S212" s="304"/>
      <c r="T212" s="40" t="str" cm="1">
        <f t="array" ref="T212">IF(A212&lt;&gt;"",_xlfn.XLOOKUP(_xlfn.XLOOKUP(TRUE,F212:N212&lt;&gt;"",F212:N212,"-",-1,-1),F212:N212,$F$6:$N$6,,,-1),"")</f>
        <v>Add1</v>
      </c>
      <c r="U212" s="324"/>
      <c r="V212" s="40"/>
      <c r="W212" s="415" t="s">
        <v>135</v>
      </c>
      <c r="X212" s="239" t="s">
        <v>102</v>
      </c>
      <c r="Y212" s="239" t="s">
        <v>256</v>
      </c>
      <c r="Z212" s="405">
        <v>2</v>
      </c>
      <c r="AA212" s="414">
        <v>0</v>
      </c>
      <c r="AB212" s="37">
        <f t="shared" si="54"/>
        <v>0</v>
      </c>
      <c r="AC212" s="414">
        <v>0</v>
      </c>
      <c r="AD212" s="37">
        <f t="shared" si="55"/>
        <v>0</v>
      </c>
      <c r="AE212" s="414">
        <v>0</v>
      </c>
      <c r="AF212" s="37">
        <f t="shared" ref="AF212:AF213" si="249">$Z212*AE212</f>
        <v>0</v>
      </c>
      <c r="AG212" s="414">
        <v>0</v>
      </c>
      <c r="AH212" s="37">
        <f t="shared" ref="AH212:AH213" si="250">$Z212*AG212</f>
        <v>0</v>
      </c>
      <c r="AI212" s="414">
        <v>0</v>
      </c>
      <c r="AJ212" s="37">
        <f t="shared" ref="AJ212:AJ213" si="251">$Z212*AI212</f>
        <v>0</v>
      </c>
      <c r="AK212" s="414">
        <v>0</v>
      </c>
      <c r="AL212" s="37">
        <f>$Z212*AK212</f>
        <v>0</v>
      </c>
      <c r="AM212" s="414">
        <v>0</v>
      </c>
      <c r="AN212" s="37">
        <f t="shared" ref="AN212:AN213" si="252">$Z212*AM212</f>
        <v>0</v>
      </c>
      <c r="AO212" s="414">
        <v>0</v>
      </c>
      <c r="AP212" s="37">
        <f>$Z212*AO212</f>
        <v>0</v>
      </c>
      <c r="AQ212" s="414">
        <v>1</v>
      </c>
      <c r="AR212" s="37">
        <f t="shared" si="242"/>
        <v>2</v>
      </c>
      <c r="AS212" s="414">
        <v>0</v>
      </c>
      <c r="AT212" s="37">
        <f t="shared" si="184"/>
        <v>0</v>
      </c>
      <c r="AU212" s="414">
        <v>0</v>
      </c>
      <c r="AV212" s="37">
        <f t="shared" ref="AV212:AV213" si="253">$Z212*AU212</f>
        <v>0</v>
      </c>
      <c r="AW212" s="414">
        <v>0</v>
      </c>
      <c r="AX212" s="37">
        <f>$Z212*AW212</f>
        <v>0</v>
      </c>
      <c r="AY212" s="390"/>
      <c r="AZ212" s="37" t="str">
        <f>A212&amp;" "&amp;E212</f>
        <v>18043-LM231 01801 Enlarge Detail sheet 1</v>
      </c>
    </row>
    <row r="213" spans="1:53" s="37" customFormat="1" ht="15" customHeight="1" outlineLevel="1">
      <c r="A213" s="43" t="s">
        <v>411</v>
      </c>
      <c r="B213" s="38" t="s">
        <v>94</v>
      </c>
      <c r="C213" s="233" t="s">
        <v>95</v>
      </c>
      <c r="D213" s="38"/>
      <c r="E213" s="42" t="s">
        <v>279</v>
      </c>
      <c r="F213" s="38"/>
      <c r="G213" s="38"/>
      <c r="H213" s="38"/>
      <c r="I213" s="38" t="s">
        <v>97</v>
      </c>
      <c r="J213" s="38" t="s">
        <v>34</v>
      </c>
      <c r="K213" s="38"/>
      <c r="L213" s="38" t="s">
        <v>31</v>
      </c>
      <c r="M213" s="38"/>
      <c r="N213" s="38"/>
      <c r="O213" s="38"/>
      <c r="P213" s="494">
        <v>0</v>
      </c>
      <c r="Q213" s="38" t="s">
        <v>98</v>
      </c>
      <c r="R213" s="40" t="s">
        <v>99</v>
      </c>
      <c r="S213" s="304"/>
      <c r="T213" s="40" t="str" cm="1">
        <f t="array" ref="T213">IF(A213&lt;&gt;"",_xlfn.XLOOKUP(_xlfn.XLOOKUP(TRUE,F213:N213&lt;&gt;"",F213:N213,"-",-1,-1),F213:N213,$F$6:$N$6,,,-1),"")</f>
        <v>Add7</v>
      </c>
      <c r="U213" s="361" t="s">
        <v>256</v>
      </c>
      <c r="V213" s="40"/>
      <c r="W213" s="415" t="s">
        <v>135</v>
      </c>
      <c r="X213" s="239" t="s">
        <v>102</v>
      </c>
      <c r="Y213" s="239" t="s">
        <v>256</v>
      </c>
      <c r="Z213" s="405">
        <v>2</v>
      </c>
      <c r="AA213" s="414">
        <v>0</v>
      </c>
      <c r="AB213" s="37">
        <f t="shared" si="54"/>
        <v>0</v>
      </c>
      <c r="AC213" s="414">
        <v>0</v>
      </c>
      <c r="AD213" s="37">
        <f t="shared" si="55"/>
        <v>0</v>
      </c>
      <c r="AE213" s="414">
        <v>0</v>
      </c>
      <c r="AF213" s="37">
        <f t="shared" si="249"/>
        <v>0</v>
      </c>
      <c r="AG213" s="414">
        <v>0</v>
      </c>
      <c r="AH213" s="37">
        <f t="shared" si="250"/>
        <v>0</v>
      </c>
      <c r="AI213" s="414">
        <v>0</v>
      </c>
      <c r="AJ213" s="37">
        <f t="shared" si="251"/>
        <v>0</v>
      </c>
      <c r="AK213" s="414">
        <v>0</v>
      </c>
      <c r="AL213" s="37">
        <f>$Z213*AK213</f>
        <v>0</v>
      </c>
      <c r="AM213" s="414">
        <v>0</v>
      </c>
      <c r="AN213" s="37">
        <f t="shared" si="252"/>
        <v>0</v>
      </c>
      <c r="AO213" s="414">
        <v>0</v>
      </c>
      <c r="AP213" s="37">
        <f>$Z213*AO213</f>
        <v>0</v>
      </c>
      <c r="AQ213" s="414">
        <v>1</v>
      </c>
      <c r="AR213" s="37">
        <f t="shared" si="242"/>
        <v>2</v>
      </c>
      <c r="AS213" s="414">
        <v>0</v>
      </c>
      <c r="AT213" s="37">
        <f t="shared" si="184"/>
        <v>0</v>
      </c>
      <c r="AU213" s="414">
        <v>0</v>
      </c>
      <c r="AV213" s="37">
        <f t="shared" si="253"/>
        <v>0</v>
      </c>
      <c r="AW213" s="414">
        <v>0</v>
      </c>
      <c r="AX213" s="37">
        <f>$Z213*AW213</f>
        <v>0</v>
      </c>
      <c r="AY213" s="390"/>
      <c r="AZ213" s="37" t="str">
        <f>A213&amp;" "&amp;E213</f>
        <v>18043-LM231 01802 Enlarge Detail sheet 2</v>
      </c>
    </row>
    <row r="214" spans="1:53" s="37" customFormat="1" ht="15" customHeight="1" outlineLevel="1">
      <c r="A214" s="43" t="s">
        <v>412</v>
      </c>
      <c r="B214" s="38" t="s">
        <v>94</v>
      </c>
      <c r="C214" s="233" t="s">
        <v>95</v>
      </c>
      <c r="D214" s="38"/>
      <c r="E214" s="42" t="s">
        <v>281</v>
      </c>
      <c r="F214" s="38"/>
      <c r="G214" s="38"/>
      <c r="H214" s="38"/>
      <c r="I214" s="38" t="s">
        <v>97</v>
      </c>
      <c r="J214" s="38"/>
      <c r="K214" s="38"/>
      <c r="L214" s="38"/>
      <c r="M214" s="38"/>
      <c r="N214" s="38"/>
      <c r="O214" s="38"/>
      <c r="P214" s="494">
        <v>0</v>
      </c>
      <c r="Q214" s="38" t="s">
        <v>98</v>
      </c>
      <c r="R214" s="40" t="s">
        <v>99</v>
      </c>
      <c r="S214" s="304"/>
      <c r="T214" s="40" t="str" cm="1">
        <f t="array" ref="T214">IF(A214&lt;&gt;"",_xlfn.XLOOKUP(_xlfn.XLOOKUP(TRUE,F214:N214&lt;&gt;"",F214:N214,"-",-1,-1),F214:N214,$F$6:$N$6,,,-1),"")</f>
        <v>Add2</v>
      </c>
      <c r="U214" s="324"/>
      <c r="V214" s="40"/>
      <c r="W214" s="415" t="s">
        <v>135</v>
      </c>
      <c r="X214" s="239" t="s">
        <v>102</v>
      </c>
      <c r="Y214" s="239" t="s">
        <v>256</v>
      </c>
      <c r="Z214" s="405">
        <v>2</v>
      </c>
      <c r="AA214" s="414">
        <v>0</v>
      </c>
      <c r="AB214" s="37">
        <f>$Z214*AA214</f>
        <v>0</v>
      </c>
      <c r="AC214" s="414">
        <v>0</v>
      </c>
      <c r="AD214" s="37">
        <f>$Z214*AC214</f>
        <v>0</v>
      </c>
      <c r="AE214" s="414">
        <v>0</v>
      </c>
      <c r="AF214" s="37">
        <f>$Z214*AE214</f>
        <v>0</v>
      </c>
      <c r="AG214" s="414">
        <v>0</v>
      </c>
      <c r="AH214" s="37">
        <f>$Z214*AG214</f>
        <v>0</v>
      </c>
      <c r="AI214" s="414">
        <v>0</v>
      </c>
      <c r="AJ214" s="37">
        <f>$Z214*AI214</f>
        <v>0</v>
      </c>
      <c r="AK214" s="414">
        <v>0</v>
      </c>
      <c r="AL214" s="37">
        <f>$Z214*AK214</f>
        <v>0</v>
      </c>
      <c r="AM214" s="414">
        <v>0</v>
      </c>
      <c r="AN214" s="37">
        <f>$Z214*AM214</f>
        <v>0</v>
      </c>
      <c r="AO214" s="414">
        <v>0</v>
      </c>
      <c r="AP214" s="37">
        <f>$Z214*AO214</f>
        <v>0</v>
      </c>
      <c r="AQ214" s="414">
        <v>1</v>
      </c>
      <c r="AR214" s="37">
        <f>$Z214*AQ214</f>
        <v>2</v>
      </c>
      <c r="AS214" s="414">
        <v>0</v>
      </c>
      <c r="AT214" s="37">
        <f>$Z214*AS214</f>
        <v>0</v>
      </c>
      <c r="AU214" s="414">
        <v>0</v>
      </c>
      <c r="AV214" s="37">
        <f>$Z214*AU214</f>
        <v>0</v>
      </c>
      <c r="AW214" s="414">
        <v>0</v>
      </c>
      <c r="AX214" s="37">
        <f>$Z214*AW214</f>
        <v>0</v>
      </c>
      <c r="AY214" s="390"/>
      <c r="AZ214" s="37" t="str">
        <f>A214&amp;" "&amp;E214</f>
        <v>18043-LM231 01803 Enlarge Detail sheet 3</v>
      </c>
    </row>
    <row r="215" spans="1:53" s="37" customFormat="1" ht="15" customHeight="1" outlineLevel="1">
      <c r="A215" s="43"/>
      <c r="B215" s="38"/>
      <c r="C215" s="43"/>
      <c r="D215" s="38"/>
      <c r="E215" s="42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40"/>
      <c r="S215" s="40"/>
      <c r="T215" s="40"/>
      <c r="U215" s="324"/>
      <c r="V215" s="40"/>
      <c r="W215" s="262"/>
      <c r="X215" s="239"/>
      <c r="Y215" s="239"/>
      <c r="Z215" s="405"/>
      <c r="AA215" s="414"/>
      <c r="AC215" s="414"/>
      <c r="AE215" s="414"/>
      <c r="AG215" s="414"/>
      <c r="AI215" s="414"/>
      <c r="AK215" s="414"/>
      <c r="AM215" s="414"/>
      <c r="AO215" s="414"/>
      <c r="AQ215" s="414"/>
      <c r="AS215" s="414"/>
      <c r="AU215" s="414"/>
      <c r="AW215" s="414"/>
      <c r="AY215" s="390"/>
      <c r="AZ215" s="37" t="str">
        <f>A215&amp;" "&amp;E215</f>
        <v xml:space="preserve"> </v>
      </c>
    </row>
    <row r="216" spans="1:53" s="37" customFormat="1" ht="15" customHeight="1" thickBot="1">
      <c r="A216" s="41"/>
      <c r="B216" s="38"/>
      <c r="C216" s="41"/>
      <c r="D216" s="38"/>
      <c r="E216" s="43" t="str">
        <f>"SUB-TOTAL "&amp;UPPER(A178)&amp;" DRAWINGS"</f>
        <v>SUB-TOTAL CURING OFFICE &amp; WORKSHOP (B231) DRAWINGS</v>
      </c>
      <c r="F216" s="133">
        <f t="shared" ref="F216:L216" si="254">COUNTA(F180:F215)</f>
        <v>13</v>
      </c>
      <c r="G216" s="133"/>
      <c r="H216" s="133">
        <f t="shared" si="254"/>
        <v>18</v>
      </c>
      <c r="I216" s="133">
        <f t="shared" si="254"/>
        <v>20</v>
      </c>
      <c r="J216" s="133">
        <f t="shared" si="254"/>
        <v>13</v>
      </c>
      <c r="K216" s="133">
        <f t="shared" si="254"/>
        <v>0</v>
      </c>
      <c r="L216" s="133">
        <f t="shared" si="254"/>
        <v>9</v>
      </c>
      <c r="M216" s="133">
        <f t="shared" ref="M216:P216" si="255">COUNTA(M180:M215)</f>
        <v>15</v>
      </c>
      <c r="N216" s="133">
        <f t="shared" si="255"/>
        <v>0</v>
      </c>
      <c r="O216" s="133"/>
      <c r="P216" s="133">
        <f t="shared" si="255"/>
        <v>25</v>
      </c>
      <c r="Q216" s="38"/>
      <c r="R216" s="36"/>
      <c r="S216" s="36"/>
      <c r="T216" s="36"/>
      <c r="U216" s="322"/>
      <c r="V216" s="36"/>
      <c r="W216" s="236"/>
      <c r="X216" s="239"/>
      <c r="Y216" s="239"/>
      <c r="Z216" s="405"/>
      <c r="AA216" s="414"/>
      <c r="AC216" s="414"/>
      <c r="AE216" s="414"/>
      <c r="AG216" s="414"/>
      <c r="AI216" s="414"/>
      <c r="AK216" s="414"/>
      <c r="AM216" s="414"/>
      <c r="AO216" s="414"/>
      <c r="AQ216" s="414"/>
      <c r="AS216" s="414"/>
      <c r="AU216" s="414"/>
      <c r="AW216" s="414"/>
    </row>
    <row r="217" spans="1:53" s="37" customFormat="1" ht="15" customHeight="1" thickTop="1">
      <c r="A217" s="41"/>
      <c r="B217" s="38"/>
      <c r="C217" s="41"/>
      <c r="D217" s="38"/>
      <c r="E217" s="43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6"/>
      <c r="S217" s="36"/>
      <c r="T217" s="36"/>
      <c r="U217" s="322"/>
      <c r="V217" s="36"/>
      <c r="W217" s="236"/>
      <c r="X217" s="239"/>
      <c r="Y217" s="239"/>
      <c r="Z217" s="405"/>
      <c r="AA217" s="414"/>
      <c r="AC217" s="414"/>
      <c r="AE217" s="414"/>
      <c r="AG217" s="414"/>
      <c r="AI217" s="414"/>
      <c r="AK217" s="414"/>
      <c r="AM217" s="414"/>
      <c r="AO217" s="414"/>
      <c r="AQ217" s="414"/>
      <c r="AS217" s="414"/>
      <c r="AU217" s="414"/>
      <c r="AW217" s="414"/>
      <c r="AZ217" s="37" t="str">
        <f>A217&amp;" "&amp;E217</f>
        <v xml:space="preserve"> </v>
      </c>
    </row>
    <row r="218" spans="1:53" s="37" customFormat="1" ht="18" customHeight="1">
      <c r="A218" s="32" t="s">
        <v>413</v>
      </c>
      <c r="B218" s="235"/>
      <c r="C218" s="32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321"/>
      <c r="V218" s="11"/>
      <c r="W218" s="412"/>
      <c r="X218" s="322"/>
      <c r="Y218" s="322"/>
      <c r="Z218" s="47"/>
      <c r="AA218" s="414"/>
      <c r="AC218" s="414"/>
      <c r="AE218" s="414"/>
      <c r="AG218" s="414"/>
      <c r="AI218" s="414"/>
      <c r="AK218" s="414"/>
      <c r="AM218" s="414"/>
      <c r="AO218" s="414"/>
      <c r="AU218" s="414"/>
      <c r="AW218" s="414"/>
    </row>
    <row r="219" spans="1:53" s="37" customFormat="1" ht="15" customHeight="1">
      <c r="B219" s="236"/>
      <c r="D219" s="38"/>
      <c r="E219" s="39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40"/>
      <c r="S219" s="40"/>
      <c r="T219" s="40"/>
      <c r="U219" s="324"/>
      <c r="V219" s="40"/>
      <c r="W219" s="236"/>
      <c r="X219" s="239"/>
      <c r="Y219" s="239"/>
      <c r="Z219" s="405"/>
      <c r="AA219" s="414"/>
      <c r="AC219" s="414"/>
      <c r="AE219" s="414"/>
      <c r="AG219" s="414"/>
      <c r="AI219" s="414"/>
      <c r="AK219" s="414"/>
      <c r="AM219" s="414"/>
      <c r="AO219" s="414"/>
      <c r="AQ219" s="414"/>
      <c r="AS219" s="414"/>
      <c r="AU219" s="414"/>
      <c r="AW219" s="414"/>
      <c r="AZ219" s="37" t="str">
        <f>A219&amp;" "&amp;E219</f>
        <v xml:space="preserve"> </v>
      </c>
      <c r="BA219" s="237"/>
    </row>
    <row r="220" spans="1:53" s="37" customFormat="1" ht="15" customHeight="1" outlineLevel="1">
      <c r="A220" s="43"/>
      <c r="B220" s="38"/>
      <c r="C220" s="233"/>
      <c r="D220" s="38"/>
      <c r="E220" s="42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40"/>
      <c r="S220" s="40"/>
      <c r="T220" s="40"/>
      <c r="U220" s="324"/>
      <c r="V220" s="40"/>
      <c r="W220" s="262"/>
      <c r="X220" s="239"/>
      <c r="Y220" s="239"/>
      <c r="Z220" s="405"/>
      <c r="AA220" s="414"/>
      <c r="AC220" s="414"/>
      <c r="AE220" s="414"/>
      <c r="AG220" s="414"/>
      <c r="AI220" s="414"/>
      <c r="AK220" s="414"/>
      <c r="AM220" s="414"/>
      <c r="AO220" s="414"/>
      <c r="AQ220" s="414"/>
      <c r="AS220" s="414"/>
      <c r="AU220" s="414"/>
      <c r="AW220" s="414"/>
      <c r="AZ220" s="37" t="str">
        <f>A220&amp;" "&amp;E220</f>
        <v xml:space="preserve"> </v>
      </c>
      <c r="BA220" s="237"/>
    </row>
    <row r="221" spans="1:53" s="37" customFormat="1" ht="15" customHeight="1" outlineLevel="1">
      <c r="A221" s="43"/>
      <c r="B221" s="38"/>
      <c r="C221" s="233"/>
      <c r="D221" s="38"/>
      <c r="E221" s="42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40"/>
      <c r="S221" s="40"/>
      <c r="T221" s="40"/>
      <c r="U221" s="324"/>
      <c r="V221" s="40"/>
      <c r="W221" s="262"/>
      <c r="X221" s="239"/>
      <c r="Y221" s="239"/>
      <c r="Z221" s="405"/>
      <c r="AA221" s="414"/>
      <c r="AC221" s="414"/>
      <c r="AE221" s="414"/>
      <c r="AG221" s="414"/>
      <c r="AI221" s="414"/>
      <c r="AK221" s="414"/>
      <c r="AM221" s="414"/>
      <c r="AO221" s="414"/>
      <c r="AQ221" s="414"/>
      <c r="AS221" s="414"/>
      <c r="AU221" s="414"/>
      <c r="AW221" s="414"/>
      <c r="AZ221" s="37" t="str">
        <f>A221&amp;" "&amp;E221</f>
        <v xml:space="preserve"> </v>
      </c>
      <c r="BA221" s="237"/>
    </row>
    <row r="222" spans="1:53" s="37" customFormat="1" ht="15" customHeight="1" thickBot="1">
      <c r="A222" s="41"/>
      <c r="B222" s="38"/>
      <c r="C222" s="41"/>
      <c r="D222" s="38"/>
      <c r="E222" s="43" t="str">
        <f>"SUB-TOTAL "&amp;UPPER(A104)&amp;" DRAWINGS"</f>
        <v>SUB-TOTAL 18043-LM646 11701 DRAWINGS</v>
      </c>
      <c r="F222" s="133">
        <f>COUNTA(F219:F221)</f>
        <v>0</v>
      </c>
      <c r="G222" s="133"/>
      <c r="H222" s="133">
        <f>COUNTA(H219:H221)</f>
        <v>0</v>
      </c>
      <c r="I222" s="133">
        <f>COUNTA(I219:I221)</f>
        <v>0</v>
      </c>
      <c r="J222" s="133">
        <f>COUNTA(J219:J221)</f>
        <v>0</v>
      </c>
      <c r="K222" s="133">
        <f>COUNTA(K219:K221)</f>
        <v>0</v>
      </c>
      <c r="L222" s="133">
        <f>COUNTA(L219:L221)</f>
        <v>0</v>
      </c>
      <c r="M222" s="133">
        <f t="shared" ref="M222:N222" si="256">COUNTA(M218:M221)</f>
        <v>0</v>
      </c>
      <c r="N222" s="133">
        <f t="shared" si="256"/>
        <v>0</v>
      </c>
      <c r="O222" s="38"/>
      <c r="P222" s="38"/>
      <c r="Q222" s="38"/>
      <c r="R222" s="36"/>
      <c r="S222" s="36"/>
      <c r="T222" s="36"/>
      <c r="U222" s="322"/>
      <c r="V222" s="36"/>
      <c r="W222" s="236"/>
      <c r="X222" s="239"/>
      <c r="Y222" s="239"/>
      <c r="Z222" s="405"/>
      <c r="AA222" s="414"/>
      <c r="AC222" s="414"/>
      <c r="AE222" s="414"/>
      <c r="AG222" s="414"/>
      <c r="AI222" s="414"/>
      <c r="AK222" s="414"/>
      <c r="AM222" s="414"/>
      <c r="AO222" s="414"/>
      <c r="AQ222" s="414"/>
      <c r="AS222" s="414"/>
      <c r="AU222" s="414"/>
      <c r="AW222" s="414"/>
    </row>
    <row r="223" spans="1:53" s="37" customFormat="1" ht="15" customHeight="1" thickTop="1">
      <c r="A223" s="41"/>
      <c r="B223" s="38"/>
      <c r="C223" s="41"/>
      <c r="D223" s="38"/>
      <c r="E223" s="43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6"/>
      <c r="S223" s="36"/>
      <c r="T223" s="36"/>
      <c r="U223" s="322"/>
      <c r="V223" s="36"/>
      <c r="W223" s="236"/>
      <c r="X223" s="239"/>
      <c r="Y223" s="239"/>
      <c r="Z223" s="405"/>
      <c r="AA223" s="414"/>
      <c r="AC223" s="414"/>
      <c r="AE223" s="414"/>
      <c r="AG223" s="414"/>
      <c r="AI223" s="414"/>
      <c r="AK223" s="414"/>
      <c r="AM223" s="414"/>
      <c r="AO223" s="414"/>
      <c r="AQ223" s="414"/>
      <c r="AS223" s="414"/>
      <c r="AU223" s="414"/>
      <c r="AW223" s="414"/>
    </row>
    <row r="224" spans="1:53" s="37" customFormat="1" ht="18" customHeight="1">
      <c r="A224" s="32" t="s">
        <v>414</v>
      </c>
      <c r="B224" s="235"/>
      <c r="C224" s="32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321"/>
      <c r="V224" s="11"/>
      <c r="W224" s="412"/>
      <c r="X224" s="322"/>
      <c r="Y224" s="322"/>
      <c r="Z224" s="47"/>
      <c r="AA224" s="414"/>
      <c r="AC224" s="414"/>
      <c r="AE224" s="414"/>
      <c r="AG224" s="414"/>
      <c r="AI224" s="414"/>
      <c r="AK224" s="414"/>
      <c r="AM224" s="414"/>
      <c r="AO224" s="414"/>
      <c r="AU224" s="414"/>
      <c r="AW224" s="414"/>
    </row>
    <row r="225" spans="1:52" s="37" customFormat="1" ht="15" customHeight="1">
      <c r="B225" s="236"/>
      <c r="D225" s="38"/>
      <c r="E225" s="39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40"/>
      <c r="S225" s="40"/>
      <c r="T225" s="40"/>
      <c r="U225" s="324"/>
      <c r="V225" s="40"/>
      <c r="W225" s="236"/>
      <c r="X225" s="239"/>
      <c r="Y225" s="239"/>
      <c r="Z225" s="405"/>
      <c r="AA225" s="414"/>
      <c r="AC225" s="414"/>
      <c r="AE225" s="414"/>
      <c r="AG225" s="414"/>
      <c r="AI225" s="414"/>
      <c r="AK225" s="414"/>
      <c r="AM225" s="414"/>
      <c r="AO225" s="414"/>
      <c r="AQ225" s="414"/>
      <c r="AS225" s="414"/>
      <c r="AU225" s="414"/>
      <c r="AW225" s="414"/>
      <c r="AZ225" s="37" t="str">
        <f>A225&amp;" "&amp;E225</f>
        <v xml:space="preserve"> </v>
      </c>
    </row>
    <row r="226" spans="1:52" s="37" customFormat="1" ht="15" customHeight="1" outlineLevel="1">
      <c r="A226" s="43"/>
      <c r="B226" s="38"/>
      <c r="C226" s="43"/>
      <c r="D226" s="38"/>
      <c r="E226" s="42" t="s">
        <v>415</v>
      </c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40"/>
      <c r="S226" s="40"/>
      <c r="T226" s="40"/>
      <c r="U226" s="324"/>
      <c r="V226" s="40"/>
      <c r="W226" s="262"/>
      <c r="X226" s="239"/>
      <c r="Y226" s="239"/>
      <c r="Z226" s="405"/>
      <c r="AA226" s="414"/>
      <c r="AC226" s="414"/>
      <c r="AE226" s="414"/>
      <c r="AG226" s="414"/>
      <c r="AI226" s="414"/>
      <c r="AK226" s="414"/>
      <c r="AM226" s="414"/>
      <c r="AO226" s="414"/>
      <c r="AQ226" s="414"/>
      <c r="AS226" s="414"/>
      <c r="AU226" s="414"/>
      <c r="AW226" s="414"/>
    </row>
    <row r="227" spans="1:52" s="37" customFormat="1" ht="15" customHeight="1" outlineLevel="1">
      <c r="A227" s="43"/>
      <c r="B227" s="38"/>
      <c r="C227" s="43"/>
      <c r="D227" s="38"/>
      <c r="E227" s="42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40"/>
      <c r="S227" s="40"/>
      <c r="T227" s="40"/>
      <c r="U227" s="324"/>
      <c r="V227" s="40"/>
      <c r="W227" s="262"/>
      <c r="X227" s="239"/>
      <c r="Y227" s="239"/>
      <c r="Z227" s="405"/>
      <c r="AA227" s="414"/>
      <c r="AC227" s="414"/>
      <c r="AE227" s="414"/>
      <c r="AG227" s="414"/>
      <c r="AI227" s="414"/>
      <c r="AK227" s="414"/>
      <c r="AM227" s="414"/>
      <c r="AO227" s="414"/>
      <c r="AQ227" s="414"/>
      <c r="AS227" s="414"/>
      <c r="AU227" s="414"/>
      <c r="AW227" s="414"/>
      <c r="AZ227" s="37" t="str">
        <f>A227&amp;" "&amp;E227</f>
        <v xml:space="preserve"> </v>
      </c>
    </row>
    <row r="228" spans="1:52" s="37" customFormat="1" ht="15" customHeight="1" thickBot="1">
      <c r="A228" s="41"/>
      <c r="B228" s="38"/>
      <c r="C228" s="41"/>
      <c r="D228" s="38"/>
      <c r="E228" s="43" t="str">
        <f>"SUB-TOTAL "&amp;UPPER(A224)&amp;" DRAWINGS"</f>
        <v>SUB-TOTAL COLD PREPARATION WORKSHOP (B520) DRAWINGS</v>
      </c>
      <c r="F228" s="133">
        <f t="shared" ref="F228:N228" si="257">COUNTA(F224:F227)</f>
        <v>0</v>
      </c>
      <c r="G228" s="133"/>
      <c r="H228" s="133">
        <f t="shared" si="257"/>
        <v>0</v>
      </c>
      <c r="I228" s="133">
        <f t="shared" si="257"/>
        <v>0</v>
      </c>
      <c r="J228" s="133">
        <f t="shared" si="257"/>
        <v>0</v>
      </c>
      <c r="K228" s="133">
        <f t="shared" si="257"/>
        <v>0</v>
      </c>
      <c r="L228" s="133">
        <f t="shared" si="257"/>
        <v>0</v>
      </c>
      <c r="M228" s="133">
        <f t="shared" si="257"/>
        <v>0</v>
      </c>
      <c r="N228" s="133">
        <f t="shared" si="257"/>
        <v>0</v>
      </c>
      <c r="O228" s="38"/>
      <c r="P228" s="38"/>
      <c r="Q228" s="38"/>
      <c r="R228" s="36"/>
      <c r="S228" s="36"/>
      <c r="T228" s="36"/>
      <c r="U228" s="322"/>
      <c r="V228" s="36"/>
      <c r="W228" s="236"/>
      <c r="X228" s="239"/>
      <c r="Y228" s="239"/>
      <c r="Z228" s="405"/>
      <c r="AA228" s="414"/>
      <c r="AC228" s="414"/>
      <c r="AE228" s="414"/>
      <c r="AG228" s="414"/>
      <c r="AI228" s="414"/>
      <c r="AK228" s="414"/>
      <c r="AM228" s="414"/>
      <c r="AO228" s="414"/>
      <c r="AQ228" s="414"/>
      <c r="AS228" s="414"/>
      <c r="AU228" s="414"/>
      <c r="AW228" s="414"/>
    </row>
    <row r="229" spans="1:52" s="37" customFormat="1" ht="15" customHeight="1" thickTop="1">
      <c r="A229" s="41"/>
      <c r="B229" s="38"/>
      <c r="C229" s="41"/>
      <c r="D229" s="38"/>
      <c r="E229" s="43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6"/>
      <c r="S229" s="36"/>
      <c r="T229" s="36"/>
      <c r="U229" s="322"/>
      <c r="V229" s="36"/>
      <c r="W229" s="236"/>
      <c r="X229" s="239"/>
      <c r="Y229" s="239"/>
      <c r="Z229" s="405"/>
      <c r="AA229" s="414"/>
      <c r="AC229" s="414"/>
      <c r="AE229" s="414"/>
      <c r="AG229" s="414"/>
      <c r="AI229" s="414"/>
      <c r="AK229" s="414"/>
      <c r="AM229" s="414"/>
      <c r="AO229" s="414"/>
      <c r="AQ229" s="414"/>
      <c r="AS229" s="414"/>
      <c r="AU229" s="414"/>
      <c r="AW229" s="414"/>
      <c r="AZ229" s="37" t="str">
        <f>A229&amp;" "&amp;E229</f>
        <v xml:space="preserve"> </v>
      </c>
    </row>
    <row r="230" spans="1:52" s="37" customFormat="1" ht="18" customHeight="1">
      <c r="A230" s="32" t="s">
        <v>416</v>
      </c>
      <c r="B230" s="235"/>
      <c r="C230" s="32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321"/>
      <c r="V230" s="11"/>
      <c r="W230" s="412"/>
      <c r="X230" s="322"/>
      <c r="Y230" s="322"/>
      <c r="Z230" s="47"/>
      <c r="AA230" s="414"/>
      <c r="AC230" s="414"/>
      <c r="AE230" s="414"/>
      <c r="AG230" s="414"/>
      <c r="AI230" s="414"/>
      <c r="AK230" s="414"/>
      <c r="AM230" s="414"/>
      <c r="AO230" s="414"/>
      <c r="AU230" s="414"/>
      <c r="AW230" s="414"/>
    </row>
    <row r="231" spans="1:52" s="37" customFormat="1" ht="15" customHeight="1">
      <c r="B231" s="236"/>
      <c r="D231" s="38"/>
      <c r="E231" s="39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40"/>
      <c r="S231" s="40"/>
      <c r="T231" s="40"/>
      <c r="U231" s="324"/>
      <c r="V231" s="40"/>
      <c r="W231" s="236"/>
      <c r="X231" s="239"/>
      <c r="Y231" s="239"/>
      <c r="Z231" s="405"/>
      <c r="AA231" s="414"/>
      <c r="AC231" s="414"/>
      <c r="AE231" s="414"/>
      <c r="AG231" s="414"/>
      <c r="AI231" s="414"/>
      <c r="AK231" s="414"/>
      <c r="AM231" s="414"/>
      <c r="AO231" s="414"/>
      <c r="AQ231" s="414"/>
      <c r="AS231" s="414"/>
      <c r="AU231" s="414"/>
      <c r="AW231" s="414"/>
      <c r="AZ231" s="37" t="str">
        <f>A231&amp;" "&amp;E231</f>
        <v xml:space="preserve"> </v>
      </c>
    </row>
    <row r="232" spans="1:52" s="37" customFormat="1" ht="15" customHeight="1" outlineLevel="1">
      <c r="A232" s="43"/>
      <c r="B232" s="38"/>
      <c r="C232" s="43"/>
      <c r="D232" s="38"/>
      <c r="E232" s="42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40"/>
      <c r="S232" s="40"/>
      <c r="T232" s="40"/>
      <c r="U232" s="324"/>
      <c r="V232" s="40"/>
      <c r="W232" s="262"/>
      <c r="X232" s="239"/>
      <c r="Y232" s="239"/>
      <c r="Z232" s="405"/>
      <c r="AA232" s="414"/>
      <c r="AC232" s="414"/>
      <c r="AE232" s="414"/>
      <c r="AG232" s="414"/>
      <c r="AI232" s="414"/>
      <c r="AK232" s="414"/>
      <c r="AM232" s="414"/>
      <c r="AO232" s="414"/>
      <c r="AQ232" s="414"/>
      <c r="AS232" s="414"/>
      <c r="AU232" s="414"/>
      <c r="AW232" s="414"/>
      <c r="AZ232" s="37" t="str">
        <f>A232&amp;" "&amp;E232</f>
        <v xml:space="preserve"> </v>
      </c>
    </row>
    <row r="233" spans="1:52" s="37" customFormat="1" ht="15" customHeight="1" thickBot="1">
      <c r="A233" s="41"/>
      <c r="B233" s="38"/>
      <c r="C233" s="41"/>
      <c r="D233" s="38"/>
      <c r="E233" s="43" t="str">
        <f>"SUB-TOTAL "&amp;UPPER(A230)&amp;" DRAWINGS"</f>
        <v>SUB-TOTAL TBM WORKSHOP (B561) DRAWINGS</v>
      </c>
      <c r="F233" s="133">
        <f>COUNTA(F230:F232)</f>
        <v>0</v>
      </c>
      <c r="G233" s="133"/>
      <c r="H233" s="133">
        <f>COUNTA(H230:H232)</f>
        <v>0</v>
      </c>
      <c r="I233" s="133">
        <f>COUNTA(I230:I232)</f>
        <v>0</v>
      </c>
      <c r="J233" s="133">
        <f>COUNTA(J230:J232)</f>
        <v>0</v>
      </c>
      <c r="K233" s="133">
        <f>COUNTA(K230:K232)</f>
        <v>0</v>
      </c>
      <c r="L233" s="133">
        <f>COUNTA(L230:L232)</f>
        <v>0</v>
      </c>
      <c r="M233" s="133">
        <f t="shared" ref="M233:N233" si="258">COUNTA(M229:M232)</f>
        <v>0</v>
      </c>
      <c r="N233" s="133">
        <f t="shared" si="258"/>
        <v>0</v>
      </c>
      <c r="O233" s="38"/>
      <c r="P233" s="38"/>
      <c r="Q233" s="38"/>
      <c r="R233" s="36"/>
      <c r="S233" s="36"/>
      <c r="T233" s="36"/>
      <c r="U233" s="322"/>
      <c r="V233" s="36"/>
      <c r="W233" s="236"/>
      <c r="X233" s="239"/>
      <c r="Y233" s="239"/>
      <c r="Z233" s="405"/>
      <c r="AA233" s="414"/>
      <c r="AC233" s="414"/>
      <c r="AE233" s="414"/>
      <c r="AG233" s="414"/>
      <c r="AI233" s="414"/>
      <c r="AK233" s="414"/>
      <c r="AM233" s="414"/>
      <c r="AO233" s="414"/>
      <c r="AQ233" s="414"/>
      <c r="AS233" s="414"/>
      <c r="AU233" s="414"/>
      <c r="AW233" s="414"/>
    </row>
    <row r="234" spans="1:52" s="37" customFormat="1" ht="15" customHeight="1" thickTop="1">
      <c r="A234" s="41"/>
      <c r="B234" s="38"/>
      <c r="C234" s="41"/>
      <c r="D234" s="38"/>
      <c r="E234" s="43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6"/>
      <c r="S234" s="36"/>
      <c r="T234" s="36"/>
      <c r="U234" s="322"/>
      <c r="V234" s="36"/>
      <c r="W234" s="236"/>
      <c r="X234" s="239"/>
      <c r="Y234" s="239"/>
      <c r="Z234" s="405"/>
      <c r="AA234" s="414"/>
      <c r="AC234" s="414"/>
      <c r="AE234" s="414"/>
      <c r="AG234" s="414"/>
      <c r="AI234" s="414"/>
      <c r="AK234" s="414"/>
      <c r="AM234" s="414"/>
      <c r="AO234" s="414"/>
      <c r="AQ234" s="414"/>
      <c r="AS234" s="414"/>
      <c r="AU234" s="414"/>
      <c r="AW234" s="414"/>
      <c r="AZ234" s="37" t="str">
        <f>A234&amp;" "&amp;E234</f>
        <v xml:space="preserve"> </v>
      </c>
    </row>
    <row r="235" spans="1:52" s="37" customFormat="1" ht="18" customHeight="1">
      <c r="A235" s="32" t="s">
        <v>417</v>
      </c>
      <c r="B235" s="235"/>
      <c r="C235" s="32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321"/>
      <c r="V235" s="11"/>
      <c r="W235" s="412"/>
      <c r="X235" s="322"/>
      <c r="Y235" s="322"/>
      <c r="Z235" s="47"/>
      <c r="AA235" s="414"/>
      <c r="AC235" s="414"/>
      <c r="AE235" s="414"/>
      <c r="AG235" s="414"/>
      <c r="AI235" s="414"/>
      <c r="AK235" s="414"/>
      <c r="AM235" s="414"/>
      <c r="AO235" s="414"/>
      <c r="AU235" s="414"/>
      <c r="AW235" s="414"/>
    </row>
    <row r="236" spans="1:52" s="37" customFormat="1" ht="15" customHeight="1">
      <c r="B236" s="236"/>
      <c r="D236" s="38"/>
      <c r="E236" s="39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40"/>
      <c r="S236" s="40"/>
      <c r="T236" s="40"/>
      <c r="U236" s="324"/>
      <c r="V236" s="40"/>
      <c r="W236" s="236"/>
      <c r="X236" s="239"/>
      <c r="Y236" s="239"/>
      <c r="Z236" s="405"/>
      <c r="AA236" s="414"/>
      <c r="AC236" s="414"/>
      <c r="AE236" s="414"/>
      <c r="AG236" s="414"/>
      <c r="AI236" s="414"/>
      <c r="AK236" s="414"/>
      <c r="AM236" s="414"/>
      <c r="AO236" s="414"/>
      <c r="AQ236" s="414"/>
      <c r="AS236" s="414"/>
      <c r="AU236" s="414"/>
      <c r="AW236" s="414"/>
      <c r="AZ236" s="37" t="str">
        <f>A236&amp;" "&amp;E236</f>
        <v xml:space="preserve"> </v>
      </c>
    </row>
    <row r="237" spans="1:52" s="37" customFormat="1" ht="15" customHeight="1" outlineLevel="1">
      <c r="A237" s="43"/>
      <c r="B237" s="38"/>
      <c r="C237" s="43"/>
      <c r="D237" s="38"/>
      <c r="E237" s="42" t="s">
        <v>415</v>
      </c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40"/>
      <c r="S237" s="40"/>
      <c r="T237" s="40"/>
      <c r="U237" s="324"/>
      <c r="V237" s="40"/>
      <c r="W237" s="262"/>
      <c r="X237" s="239"/>
      <c r="Y237" s="239"/>
      <c r="Z237" s="405"/>
      <c r="AA237" s="414"/>
      <c r="AC237" s="414"/>
      <c r="AE237" s="414"/>
      <c r="AG237" s="414"/>
      <c r="AI237" s="414"/>
      <c r="AK237" s="414"/>
      <c r="AM237" s="414"/>
      <c r="AO237" s="414"/>
      <c r="AQ237" s="414"/>
      <c r="AS237" s="414"/>
      <c r="AU237" s="414"/>
      <c r="AW237" s="414"/>
    </row>
    <row r="238" spans="1:52" s="37" customFormat="1" ht="15" customHeight="1" outlineLevel="1">
      <c r="A238" s="43"/>
      <c r="B238" s="38"/>
      <c r="C238" s="43"/>
      <c r="D238" s="38"/>
      <c r="E238" s="42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40"/>
      <c r="S238" s="40"/>
      <c r="T238" s="40"/>
      <c r="U238" s="324"/>
      <c r="V238" s="40"/>
      <c r="W238" s="262"/>
      <c r="X238" s="239"/>
      <c r="Y238" s="239"/>
      <c r="Z238" s="405"/>
      <c r="AA238" s="414"/>
      <c r="AC238" s="414"/>
      <c r="AE238" s="414"/>
      <c r="AG238" s="414"/>
      <c r="AI238" s="414"/>
      <c r="AK238" s="414"/>
      <c r="AM238" s="414"/>
      <c r="AO238" s="414"/>
      <c r="AQ238" s="414"/>
      <c r="AS238" s="414"/>
      <c r="AU238" s="414"/>
      <c r="AW238" s="414"/>
      <c r="AZ238" s="37" t="str">
        <f>A238&amp;" "&amp;E238</f>
        <v xml:space="preserve"> </v>
      </c>
    </row>
    <row r="239" spans="1:52" s="37" customFormat="1" ht="15" customHeight="1" thickBot="1">
      <c r="A239" s="41"/>
      <c r="B239" s="38"/>
      <c r="C239" s="41"/>
      <c r="D239" s="38"/>
      <c r="E239" s="43" t="str">
        <f>"SUB-TOTAL "&amp;UPPER(A235)&amp;" DRAWINGS"</f>
        <v>SUB-TOTAL AFTER CURE WORKSHOP (B191) DRAWINGS</v>
      </c>
      <c r="F239" s="133">
        <f t="shared" ref="F239:N239" si="259">COUNTA(F235:F238)</f>
        <v>0</v>
      </c>
      <c r="G239" s="133"/>
      <c r="H239" s="133">
        <f t="shared" si="259"/>
        <v>0</v>
      </c>
      <c r="I239" s="133">
        <f t="shared" si="259"/>
        <v>0</v>
      </c>
      <c r="J239" s="133">
        <f t="shared" si="259"/>
        <v>0</v>
      </c>
      <c r="K239" s="133">
        <f t="shared" si="259"/>
        <v>0</v>
      </c>
      <c r="L239" s="133">
        <f t="shared" si="259"/>
        <v>0</v>
      </c>
      <c r="M239" s="133">
        <f t="shared" si="259"/>
        <v>0</v>
      </c>
      <c r="N239" s="133">
        <f t="shared" si="259"/>
        <v>0</v>
      </c>
      <c r="O239" s="38"/>
      <c r="P239" s="38"/>
      <c r="Q239" s="38"/>
      <c r="R239" s="36"/>
      <c r="S239" s="36"/>
      <c r="T239" s="36"/>
      <c r="U239" s="322"/>
      <c r="V239" s="36"/>
      <c r="W239" s="236"/>
      <c r="X239" s="239"/>
      <c r="Y239" s="239"/>
      <c r="Z239" s="405"/>
      <c r="AA239" s="414"/>
      <c r="AC239" s="414"/>
      <c r="AE239" s="414"/>
      <c r="AG239" s="414"/>
      <c r="AI239" s="414"/>
      <c r="AK239" s="414"/>
      <c r="AM239" s="414"/>
      <c r="AO239" s="414"/>
      <c r="AQ239" s="414"/>
      <c r="AS239" s="414"/>
      <c r="AU239" s="414"/>
      <c r="AW239" s="414"/>
    </row>
    <row r="240" spans="1:52" ht="15" thickTop="1">
      <c r="AA240" s="414"/>
      <c r="AB240" s="37"/>
      <c r="AC240" s="414"/>
      <c r="AD240" s="37"/>
      <c r="AE240" s="414"/>
      <c r="AF240" s="37"/>
      <c r="AG240" s="414"/>
      <c r="AH240" s="37"/>
      <c r="AI240" s="414"/>
      <c r="AJ240" s="37"/>
      <c r="AK240" s="414"/>
      <c r="AL240" s="37"/>
      <c r="AM240" s="414"/>
      <c r="AN240" s="37"/>
      <c r="AO240" s="414"/>
      <c r="AP240" s="37"/>
      <c r="AU240" s="414"/>
      <c r="AV240" s="37"/>
      <c r="AW240" s="414"/>
      <c r="AX240" s="37"/>
      <c r="AZ240" s="37" t="str">
        <f>A240&amp;" "&amp;E240</f>
        <v xml:space="preserve"> </v>
      </c>
    </row>
    <row r="241" spans="1:52">
      <c r="A241" s="33"/>
      <c r="B241" s="34"/>
      <c r="C241" s="33"/>
      <c r="D241" s="36"/>
      <c r="E241" s="78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22"/>
      <c r="V241" s="36"/>
      <c r="AC241" s="414"/>
      <c r="AG241" s="414"/>
      <c r="AK241" s="414"/>
      <c r="AO241" s="414"/>
      <c r="AW241" s="414"/>
      <c r="AZ241" s="37" t="str">
        <f>A241&amp;" "&amp;E241</f>
        <v xml:space="preserve"> </v>
      </c>
    </row>
    <row r="242" spans="1:52" ht="15" thickBot="1">
      <c r="A242" s="41"/>
      <c r="B242" s="38"/>
      <c r="C242" s="41"/>
      <c r="D242" s="38"/>
      <c r="E242" s="43" t="s">
        <v>418</v>
      </c>
      <c r="F242" s="133">
        <f t="shared" ref="F242:L242" si="260">SUBTOTAL(9,F10:F241)</f>
        <v>58</v>
      </c>
      <c r="G242" s="133"/>
      <c r="H242" s="133">
        <f t="shared" si="260"/>
        <v>58</v>
      </c>
      <c r="I242" s="133">
        <f t="shared" si="260"/>
        <v>60</v>
      </c>
      <c r="J242" s="133">
        <f t="shared" si="260"/>
        <v>25</v>
      </c>
      <c r="K242" s="133">
        <f t="shared" si="260"/>
        <v>8</v>
      </c>
      <c r="L242" s="133">
        <f t="shared" si="260"/>
        <v>44</v>
      </c>
      <c r="M242" s="133">
        <f>M216+M175+M55</f>
        <v>54</v>
      </c>
      <c r="N242" s="133">
        <f>N216+N175+N55</f>
        <v>21</v>
      </c>
      <c r="O242" s="133"/>
      <c r="P242" s="133">
        <f>P216+P175+P55</f>
        <v>100</v>
      </c>
      <c r="Q242" s="38"/>
      <c r="R242" s="36"/>
      <c r="S242" s="36"/>
      <c r="T242" s="36"/>
      <c r="U242" s="322"/>
      <c r="V242" s="36"/>
      <c r="W242" s="236"/>
      <c r="X242" s="239"/>
      <c r="Y242" s="239"/>
      <c r="Z242" s="47"/>
      <c r="AA242" s="414"/>
      <c r="AB242" s="37"/>
      <c r="AC242" s="414"/>
      <c r="AD242" s="37"/>
      <c r="AE242" s="414"/>
      <c r="AF242" s="37"/>
      <c r="AG242" s="414"/>
      <c r="AH242" s="37"/>
      <c r="AI242" s="414"/>
      <c r="AJ242" s="37"/>
      <c r="AK242" s="414"/>
      <c r="AL242" s="37"/>
      <c r="AM242" s="414"/>
      <c r="AN242" s="37"/>
      <c r="AO242" s="414"/>
      <c r="AP242" s="37"/>
      <c r="AQ242" s="414"/>
      <c r="AR242" s="37"/>
      <c r="AS242" s="414"/>
      <c r="AT242" s="37"/>
      <c r="AU242" s="414"/>
      <c r="AV242" s="37"/>
      <c r="AW242" s="414"/>
      <c r="AX242" s="37"/>
      <c r="AZ242" s="37"/>
    </row>
    <row r="243" spans="1:52" ht="15.75" thickTop="1" thickBot="1">
      <c r="X243" s="426"/>
      <c r="Y243" s="426"/>
      <c r="Z243" s="427">
        <f>SUM(Z8:Z242)</f>
        <v>147.48611111111103</v>
      </c>
      <c r="AA243" s="57"/>
      <c r="AB243" s="428">
        <f>SUM(AB8:AB242)</f>
        <v>29.550000000000004</v>
      </c>
      <c r="AC243" s="57"/>
      <c r="AD243" s="428">
        <f>SUM(AD8:AD242)</f>
        <v>12.499999999999998</v>
      </c>
      <c r="AE243" s="57"/>
      <c r="AF243" s="428">
        <f>SUM(AF8:AF242)</f>
        <v>89.050000000000054</v>
      </c>
      <c r="AG243" s="57"/>
      <c r="AH243" s="428">
        <f>SUM(AH8:AH242)</f>
        <v>28.800000000000018</v>
      </c>
      <c r="AI243" s="57"/>
      <c r="AJ243" s="428">
        <f>SUM(AJ8:AJ242)</f>
        <v>38.300000000000011</v>
      </c>
      <c r="AK243" s="57"/>
      <c r="AL243" s="428">
        <f>SUM(AL8:AL242)</f>
        <v>14.000000000000005</v>
      </c>
      <c r="AM243" s="57"/>
      <c r="AN243" s="428">
        <f>SUM(AN8:AN242)</f>
        <v>38.300000000000011</v>
      </c>
      <c r="AO243" s="57"/>
      <c r="AP243" s="428">
        <f>SUM(AP8:AP242)</f>
        <v>14.000000000000005</v>
      </c>
      <c r="AQ243" s="57"/>
      <c r="AR243" s="428">
        <f>SUM(AR8:AR242)</f>
        <v>145.5</v>
      </c>
      <c r="AS243" s="57"/>
      <c r="AT243" s="428">
        <f>SUM(AT8:AT242)</f>
        <v>53</v>
      </c>
      <c r="AU243" s="57"/>
      <c r="AV243" s="428">
        <f>SUM(AV8:AV242)</f>
        <v>38.300000000000011</v>
      </c>
      <c r="AW243" s="57"/>
      <c r="AX243" s="428">
        <f>SUM(AX8:AX242)</f>
        <v>14.000000000000005</v>
      </c>
    </row>
    <row r="244" spans="1:52" ht="15.75" thickTop="1">
      <c r="AB244" s="66">
        <f>AB243/$Z$243</f>
        <v>0.2003578491383371</v>
      </c>
      <c r="AD244" s="429">
        <f>AD243/$Z$243</f>
        <v>8.4753743290328698E-2</v>
      </c>
      <c r="AF244" s="66">
        <f>AF243/$Z$243</f>
        <v>0.60378566720030202</v>
      </c>
      <c r="AH244" s="429">
        <f>AH243/$Z$243</f>
        <v>0.19527262454091746</v>
      </c>
      <c r="AJ244" s="66">
        <f>AJ243/$Z$243</f>
        <v>0.25968546944156723</v>
      </c>
      <c r="AL244" s="429">
        <f>AL243/$Z$243</f>
        <v>9.4924192485168188E-2</v>
      </c>
      <c r="AN244" s="66">
        <f>AN243/$Z$243</f>
        <v>0.25968546944156723</v>
      </c>
      <c r="AP244" s="429">
        <f>AP243/$Z$243</f>
        <v>9.4924192485168188E-2</v>
      </c>
      <c r="AR244" s="66">
        <f>AR243/$Z$243</f>
        <v>0.98653357189942614</v>
      </c>
      <c r="AT244" s="429">
        <f>AT243/$Z$243</f>
        <v>0.35935587155099369</v>
      </c>
      <c r="AV244" s="66">
        <f>AV243/$Z$243</f>
        <v>0.25968546944156723</v>
      </c>
      <c r="AX244" s="429">
        <f>AX243/$Z$243</f>
        <v>9.4924192485168188E-2</v>
      </c>
    </row>
  </sheetData>
  <autoFilter ref="T5:T215" xr:uid="{A682A55C-CE7C-4F89-BC1D-15A46179DC15}"/>
  <mergeCells count="52">
    <mergeCell ref="X4:X7"/>
    <mergeCell ref="W4:W7"/>
    <mergeCell ref="AQ6:AQ7"/>
    <mergeCell ref="AX6:AX7"/>
    <mergeCell ref="AW6:AW7"/>
    <mergeCell ref="AD6:AD7"/>
    <mergeCell ref="AC6:AC7"/>
    <mergeCell ref="AP6:AP7"/>
    <mergeCell ref="AE6:AE7"/>
    <mergeCell ref="AF6:AF7"/>
    <mergeCell ref="AG6:AG7"/>
    <mergeCell ref="AH6:AH7"/>
    <mergeCell ref="AI6:AI7"/>
    <mergeCell ref="AJ6:AJ7"/>
    <mergeCell ref="AK6:AK7"/>
    <mergeCell ref="AT6:AT7"/>
    <mergeCell ref="L111:L173"/>
    <mergeCell ref="A1:S1"/>
    <mergeCell ref="X3:Y3"/>
    <mergeCell ref="Z3:Z7"/>
    <mergeCell ref="AA3:AD3"/>
    <mergeCell ref="A5:C7"/>
    <mergeCell ref="D5:E7"/>
    <mergeCell ref="Q5:Q7"/>
    <mergeCell ref="R5:R7"/>
    <mergeCell ref="S5:S7"/>
    <mergeCell ref="U5:U7"/>
    <mergeCell ref="V5:V7"/>
    <mergeCell ref="F5:P5"/>
    <mergeCell ref="AB6:AB7"/>
    <mergeCell ref="AA6:AA7"/>
    <mergeCell ref="T5:T7"/>
    <mergeCell ref="AE3:AH3"/>
    <mergeCell ref="AM3:AP3"/>
    <mergeCell ref="AQ3:AT3"/>
    <mergeCell ref="AU3:AX3"/>
    <mergeCell ref="AQ4:AT4"/>
    <mergeCell ref="AU4:AX4"/>
    <mergeCell ref="AI3:AL3"/>
    <mergeCell ref="AU6:AU7"/>
    <mergeCell ref="AV6:AV7"/>
    <mergeCell ref="AM6:AM7"/>
    <mergeCell ref="AL6:AL7"/>
    <mergeCell ref="AN6:AN7"/>
    <mergeCell ref="AO6:AO7"/>
    <mergeCell ref="AR6:AR7"/>
    <mergeCell ref="AS6:AS7"/>
    <mergeCell ref="Y4:Y7"/>
    <mergeCell ref="AA4:AD4"/>
    <mergeCell ref="AE4:AH4"/>
    <mergeCell ref="AI4:AL4"/>
    <mergeCell ref="AM4:AP4"/>
  </mergeCells>
  <phoneticPr fontId="83" type="noConversion"/>
  <printOptions horizontalCentered="1"/>
  <pageMargins left="0.25" right="0.25" top="0.5" bottom="0.75" header="0.3" footer="0.3"/>
  <pageSetup paperSize="9" scale="71" fitToHeight="0" orientation="portrait" r:id="rId1"/>
  <headerFooter alignWithMargins="0">
    <oddFooter>&amp;R&amp;"Arial,Italic"&amp;9PMO-T-OPM-006-R00</oddFooter>
  </headerFooter>
  <rowBreaks count="4" manualBreakCount="4">
    <brk id="56" max="16" man="1"/>
    <brk id="102" max="16" man="1"/>
    <brk id="144" max="16" man="1"/>
    <brk id="200" max="16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4F5E-E3A6-4249-84F9-FDF531830A71}">
  <sheetPr>
    <tabColor rgb="FFFFFF00"/>
    <pageSetUpPr fitToPage="1"/>
  </sheetPr>
  <dimension ref="A1:AB117"/>
  <sheetViews>
    <sheetView workbookViewId="0">
      <selection activeCell="Z13" sqref="Z13"/>
    </sheetView>
  </sheetViews>
  <sheetFormatPr defaultRowHeight="15"/>
  <cols>
    <col min="1" max="1" width="9.140625" style="286"/>
    <col min="2" max="2" width="3.7109375" style="286" customWidth="1"/>
    <col min="3" max="3" width="5.7109375" style="289" customWidth="1"/>
    <col min="4" max="4" width="3.7109375" style="286" customWidth="1"/>
    <col min="5" max="5" width="46.7109375" style="286" customWidth="1"/>
    <col min="6" max="6" width="3.7109375" style="290" customWidth="1"/>
    <col min="7" max="9" width="12.7109375" style="290" customWidth="1"/>
    <col min="10" max="10" width="3.7109375" style="291" customWidth="1"/>
    <col min="11" max="11" width="5.7109375" style="286" customWidth="1"/>
    <col min="12" max="12" width="3.7109375" style="286" customWidth="1"/>
    <col min="13" max="13" width="9.140625" style="286" bestFit="1"/>
    <col min="14" max="14" width="9.140625" style="286"/>
    <col min="15" max="262" width="9.140625" style="286" bestFit="1"/>
    <col min="263" max="263" width="3.42578125" style="286" customWidth="1"/>
    <col min="264" max="264" width="6.5703125" style="286" customWidth="1"/>
    <col min="265" max="265" width="55.5703125" style="286" customWidth="1"/>
    <col min="266" max="267" width="12.42578125" style="286" customWidth="1"/>
    <col min="268" max="268" width="9.140625" style="286" bestFit="1"/>
    <col min="269" max="269" width="3.42578125" style="286" customWidth="1"/>
    <col min="270" max="518" width="9.140625" style="286" bestFit="1"/>
    <col min="519" max="519" width="3.42578125" style="286" customWidth="1"/>
    <col min="520" max="520" width="6.5703125" style="286" customWidth="1"/>
    <col min="521" max="521" width="55.5703125" style="286" customWidth="1"/>
    <col min="522" max="523" width="12.42578125" style="286" customWidth="1"/>
    <col min="524" max="524" width="9.140625" style="286" bestFit="1"/>
    <col min="525" max="525" width="3.42578125" style="286" customWidth="1"/>
    <col min="526" max="774" width="9.140625" style="286" bestFit="1"/>
    <col min="775" max="775" width="3.42578125" style="286" customWidth="1"/>
    <col min="776" max="776" width="6.5703125" style="286" customWidth="1"/>
    <col min="777" max="777" width="55.5703125" style="286" customWidth="1"/>
    <col min="778" max="779" width="12.42578125" style="286" customWidth="1"/>
    <col min="780" max="780" width="9.140625" style="286" bestFit="1"/>
    <col min="781" max="781" width="3.42578125" style="286" customWidth="1"/>
    <col min="782" max="1030" width="9.140625" style="286" bestFit="1"/>
    <col min="1031" max="1031" width="3.42578125" style="286" customWidth="1"/>
    <col min="1032" max="1032" width="6.5703125" style="286" customWidth="1"/>
    <col min="1033" max="1033" width="55.5703125" style="286" customWidth="1"/>
    <col min="1034" max="1035" width="12.42578125" style="286" customWidth="1"/>
    <col min="1036" max="1036" width="9.140625" style="286" bestFit="1"/>
    <col min="1037" max="1037" width="3.42578125" style="286" customWidth="1"/>
    <col min="1038" max="1286" width="9.140625" style="286" bestFit="1"/>
    <col min="1287" max="1287" width="3.42578125" style="286" customWidth="1"/>
    <col min="1288" max="1288" width="6.5703125" style="286" customWidth="1"/>
    <col min="1289" max="1289" width="55.5703125" style="286" customWidth="1"/>
    <col min="1290" max="1291" width="12.42578125" style="286" customWidth="1"/>
    <col min="1292" max="1292" width="9.140625" style="286" bestFit="1"/>
    <col min="1293" max="1293" width="3.42578125" style="286" customWidth="1"/>
    <col min="1294" max="1542" width="9.140625" style="286" bestFit="1"/>
    <col min="1543" max="1543" width="3.42578125" style="286" customWidth="1"/>
    <col min="1544" max="1544" width="6.5703125" style="286" customWidth="1"/>
    <col min="1545" max="1545" width="55.5703125" style="286" customWidth="1"/>
    <col min="1546" max="1547" width="12.42578125" style="286" customWidth="1"/>
    <col min="1548" max="1548" width="9.140625" style="286" bestFit="1"/>
    <col min="1549" max="1549" width="3.42578125" style="286" customWidth="1"/>
    <col min="1550" max="1798" width="9.140625" style="286" bestFit="1"/>
    <col min="1799" max="1799" width="3.42578125" style="286" customWidth="1"/>
    <col min="1800" max="1800" width="6.5703125" style="286" customWidth="1"/>
    <col min="1801" max="1801" width="55.5703125" style="286" customWidth="1"/>
    <col min="1802" max="1803" width="12.42578125" style="286" customWidth="1"/>
    <col min="1804" max="1804" width="9.140625" style="286" bestFit="1"/>
    <col min="1805" max="1805" width="3.42578125" style="286" customWidth="1"/>
    <col min="1806" max="2054" width="9.140625" style="286" bestFit="1"/>
    <col min="2055" max="2055" width="3.42578125" style="286" customWidth="1"/>
    <col min="2056" max="2056" width="6.5703125" style="286" customWidth="1"/>
    <col min="2057" max="2057" width="55.5703125" style="286" customWidth="1"/>
    <col min="2058" max="2059" width="12.42578125" style="286" customWidth="1"/>
    <col min="2060" max="2060" width="9.140625" style="286" bestFit="1"/>
    <col min="2061" max="2061" width="3.42578125" style="286" customWidth="1"/>
    <col min="2062" max="2310" width="9.140625" style="286" bestFit="1"/>
    <col min="2311" max="2311" width="3.42578125" style="286" customWidth="1"/>
    <col min="2312" max="2312" width="6.5703125" style="286" customWidth="1"/>
    <col min="2313" max="2313" width="55.5703125" style="286" customWidth="1"/>
    <col min="2314" max="2315" width="12.42578125" style="286" customWidth="1"/>
    <col min="2316" max="2316" width="9.140625" style="286" bestFit="1"/>
    <col min="2317" max="2317" width="3.42578125" style="286" customWidth="1"/>
    <col min="2318" max="2566" width="9.140625" style="286" bestFit="1"/>
    <col min="2567" max="2567" width="3.42578125" style="286" customWidth="1"/>
    <col min="2568" max="2568" width="6.5703125" style="286" customWidth="1"/>
    <col min="2569" max="2569" width="55.5703125" style="286" customWidth="1"/>
    <col min="2570" max="2571" width="12.42578125" style="286" customWidth="1"/>
    <col min="2572" max="2572" width="9.140625" style="286" bestFit="1"/>
    <col min="2573" max="2573" width="3.42578125" style="286" customWidth="1"/>
    <col min="2574" max="2822" width="9.140625" style="286" bestFit="1"/>
    <col min="2823" max="2823" width="3.42578125" style="286" customWidth="1"/>
    <col min="2824" max="2824" width="6.5703125" style="286" customWidth="1"/>
    <col min="2825" max="2825" width="55.5703125" style="286" customWidth="1"/>
    <col min="2826" max="2827" width="12.42578125" style="286" customWidth="1"/>
    <col min="2828" max="2828" width="9.140625" style="286" bestFit="1"/>
    <col min="2829" max="2829" width="3.42578125" style="286" customWidth="1"/>
    <col min="2830" max="3078" width="9.140625" style="286" bestFit="1"/>
    <col min="3079" max="3079" width="3.42578125" style="286" customWidth="1"/>
    <col min="3080" max="3080" width="6.5703125" style="286" customWidth="1"/>
    <col min="3081" max="3081" width="55.5703125" style="286" customWidth="1"/>
    <col min="3082" max="3083" width="12.42578125" style="286" customWidth="1"/>
    <col min="3084" max="3084" width="9.140625" style="286" bestFit="1"/>
    <col min="3085" max="3085" width="3.42578125" style="286" customWidth="1"/>
    <col min="3086" max="3334" width="9.140625" style="286" bestFit="1"/>
    <col min="3335" max="3335" width="3.42578125" style="286" customWidth="1"/>
    <col min="3336" max="3336" width="6.5703125" style="286" customWidth="1"/>
    <col min="3337" max="3337" width="55.5703125" style="286" customWidth="1"/>
    <col min="3338" max="3339" width="12.42578125" style="286" customWidth="1"/>
    <col min="3340" max="3340" width="9.140625" style="286" bestFit="1"/>
    <col min="3341" max="3341" width="3.42578125" style="286" customWidth="1"/>
    <col min="3342" max="3590" width="9.140625" style="286" bestFit="1"/>
    <col min="3591" max="3591" width="3.42578125" style="286" customWidth="1"/>
    <col min="3592" max="3592" width="6.5703125" style="286" customWidth="1"/>
    <col min="3593" max="3593" width="55.5703125" style="286" customWidth="1"/>
    <col min="3594" max="3595" width="12.42578125" style="286" customWidth="1"/>
    <col min="3596" max="3596" width="9.140625" style="286" bestFit="1"/>
    <col min="3597" max="3597" width="3.42578125" style="286" customWidth="1"/>
    <col min="3598" max="3846" width="9.140625" style="286" bestFit="1"/>
    <col min="3847" max="3847" width="3.42578125" style="286" customWidth="1"/>
    <col min="3848" max="3848" width="6.5703125" style="286" customWidth="1"/>
    <col min="3849" max="3849" width="55.5703125" style="286" customWidth="1"/>
    <col min="3850" max="3851" width="12.42578125" style="286" customWidth="1"/>
    <col min="3852" max="3852" width="9.140625" style="286" bestFit="1"/>
    <col min="3853" max="3853" width="3.42578125" style="286" customWidth="1"/>
    <col min="3854" max="4102" width="9.140625" style="286" bestFit="1"/>
    <col min="4103" max="4103" width="3.42578125" style="286" customWidth="1"/>
    <col min="4104" max="4104" width="6.5703125" style="286" customWidth="1"/>
    <col min="4105" max="4105" width="55.5703125" style="286" customWidth="1"/>
    <col min="4106" max="4107" width="12.42578125" style="286" customWidth="1"/>
    <col min="4108" max="4108" width="9.140625" style="286" bestFit="1"/>
    <col min="4109" max="4109" width="3.42578125" style="286" customWidth="1"/>
    <col min="4110" max="4358" width="9.140625" style="286" bestFit="1"/>
    <col min="4359" max="4359" width="3.42578125" style="286" customWidth="1"/>
    <col min="4360" max="4360" width="6.5703125" style="286" customWidth="1"/>
    <col min="4361" max="4361" width="55.5703125" style="286" customWidth="1"/>
    <col min="4362" max="4363" width="12.42578125" style="286" customWidth="1"/>
    <col min="4364" max="4364" width="9.140625" style="286" bestFit="1"/>
    <col min="4365" max="4365" width="3.42578125" style="286" customWidth="1"/>
    <col min="4366" max="4614" width="9.140625" style="286" bestFit="1"/>
    <col min="4615" max="4615" width="3.42578125" style="286" customWidth="1"/>
    <col min="4616" max="4616" width="6.5703125" style="286" customWidth="1"/>
    <col min="4617" max="4617" width="55.5703125" style="286" customWidth="1"/>
    <col min="4618" max="4619" width="12.42578125" style="286" customWidth="1"/>
    <col min="4620" max="4620" width="9.140625" style="286" bestFit="1"/>
    <col min="4621" max="4621" width="3.42578125" style="286" customWidth="1"/>
    <col min="4622" max="4870" width="9.140625" style="286" bestFit="1"/>
    <col min="4871" max="4871" width="3.42578125" style="286" customWidth="1"/>
    <col min="4872" max="4872" width="6.5703125" style="286" customWidth="1"/>
    <col min="4873" max="4873" width="55.5703125" style="286" customWidth="1"/>
    <col min="4874" max="4875" width="12.42578125" style="286" customWidth="1"/>
    <col min="4876" max="4876" width="9.140625" style="286" bestFit="1"/>
    <col min="4877" max="4877" width="3.42578125" style="286" customWidth="1"/>
    <col min="4878" max="5126" width="9.140625" style="286" bestFit="1"/>
    <col min="5127" max="5127" width="3.42578125" style="286" customWidth="1"/>
    <col min="5128" max="5128" width="6.5703125" style="286" customWidth="1"/>
    <col min="5129" max="5129" width="55.5703125" style="286" customWidth="1"/>
    <col min="5130" max="5131" width="12.42578125" style="286" customWidth="1"/>
    <col min="5132" max="5132" width="9.140625" style="286" bestFit="1"/>
    <col min="5133" max="5133" width="3.42578125" style="286" customWidth="1"/>
    <col min="5134" max="5382" width="9.140625" style="286" bestFit="1"/>
    <col min="5383" max="5383" width="3.42578125" style="286" customWidth="1"/>
    <col min="5384" max="5384" width="6.5703125" style="286" customWidth="1"/>
    <col min="5385" max="5385" width="55.5703125" style="286" customWidth="1"/>
    <col min="5386" max="5387" width="12.42578125" style="286" customWidth="1"/>
    <col min="5388" max="5388" width="9.140625" style="286" bestFit="1"/>
    <col min="5389" max="5389" width="3.42578125" style="286" customWidth="1"/>
    <col min="5390" max="5638" width="9.140625" style="286" bestFit="1"/>
    <col min="5639" max="5639" width="3.42578125" style="286" customWidth="1"/>
    <col min="5640" max="5640" width="6.5703125" style="286" customWidth="1"/>
    <col min="5641" max="5641" width="55.5703125" style="286" customWidth="1"/>
    <col min="5642" max="5643" width="12.42578125" style="286" customWidth="1"/>
    <col min="5644" max="5644" width="9.140625" style="286" bestFit="1"/>
    <col min="5645" max="5645" width="3.42578125" style="286" customWidth="1"/>
    <col min="5646" max="5894" width="9.140625" style="286" bestFit="1"/>
    <col min="5895" max="5895" width="3.42578125" style="286" customWidth="1"/>
    <col min="5896" max="5896" width="6.5703125" style="286" customWidth="1"/>
    <col min="5897" max="5897" width="55.5703125" style="286" customWidth="1"/>
    <col min="5898" max="5899" width="12.42578125" style="286" customWidth="1"/>
    <col min="5900" max="5900" width="9.140625" style="286" bestFit="1"/>
    <col min="5901" max="5901" width="3.42578125" style="286" customWidth="1"/>
    <col min="5902" max="6150" width="9.140625" style="286" bestFit="1"/>
    <col min="6151" max="6151" width="3.42578125" style="286" customWidth="1"/>
    <col min="6152" max="6152" width="6.5703125" style="286" customWidth="1"/>
    <col min="6153" max="6153" width="55.5703125" style="286" customWidth="1"/>
    <col min="6154" max="6155" width="12.42578125" style="286" customWidth="1"/>
    <col min="6156" max="6156" width="9.140625" style="286" bestFit="1"/>
    <col min="6157" max="6157" width="3.42578125" style="286" customWidth="1"/>
    <col min="6158" max="6406" width="9.140625" style="286" bestFit="1"/>
    <col min="6407" max="6407" width="3.42578125" style="286" customWidth="1"/>
    <col min="6408" max="6408" width="6.5703125" style="286" customWidth="1"/>
    <col min="6409" max="6409" width="55.5703125" style="286" customWidth="1"/>
    <col min="6410" max="6411" width="12.42578125" style="286" customWidth="1"/>
    <col min="6412" max="6412" width="9.140625" style="286" bestFit="1"/>
    <col min="6413" max="6413" width="3.42578125" style="286" customWidth="1"/>
    <col min="6414" max="6662" width="9.140625" style="286" bestFit="1"/>
    <col min="6663" max="6663" width="3.42578125" style="286" customWidth="1"/>
    <col min="6664" max="6664" width="6.5703125" style="286" customWidth="1"/>
    <col min="6665" max="6665" width="55.5703125" style="286" customWidth="1"/>
    <col min="6666" max="6667" width="12.42578125" style="286" customWidth="1"/>
    <col min="6668" max="6668" width="9.140625" style="286" bestFit="1"/>
    <col min="6669" max="6669" width="3.42578125" style="286" customWidth="1"/>
    <col min="6670" max="6918" width="9.140625" style="286" bestFit="1"/>
    <col min="6919" max="6919" width="3.42578125" style="286" customWidth="1"/>
    <col min="6920" max="6920" width="6.5703125" style="286" customWidth="1"/>
    <col min="6921" max="6921" width="55.5703125" style="286" customWidth="1"/>
    <col min="6922" max="6923" width="12.42578125" style="286" customWidth="1"/>
    <col min="6924" max="6924" width="9.140625" style="286" bestFit="1"/>
    <col min="6925" max="6925" width="3.42578125" style="286" customWidth="1"/>
    <col min="6926" max="7174" width="9.140625" style="286" bestFit="1"/>
    <col min="7175" max="7175" width="3.42578125" style="286" customWidth="1"/>
    <col min="7176" max="7176" width="6.5703125" style="286" customWidth="1"/>
    <col min="7177" max="7177" width="55.5703125" style="286" customWidth="1"/>
    <col min="7178" max="7179" width="12.42578125" style="286" customWidth="1"/>
    <col min="7180" max="7180" width="9.140625" style="286" bestFit="1"/>
    <col min="7181" max="7181" width="3.42578125" style="286" customWidth="1"/>
    <col min="7182" max="7430" width="9.140625" style="286" bestFit="1"/>
    <col min="7431" max="7431" width="3.42578125" style="286" customWidth="1"/>
    <col min="7432" max="7432" width="6.5703125" style="286" customWidth="1"/>
    <col min="7433" max="7433" width="55.5703125" style="286" customWidth="1"/>
    <col min="7434" max="7435" width="12.42578125" style="286" customWidth="1"/>
    <col min="7436" max="7436" width="9.140625" style="286" bestFit="1"/>
    <col min="7437" max="7437" width="3.42578125" style="286" customWidth="1"/>
    <col min="7438" max="7686" width="9.140625" style="286" bestFit="1"/>
    <col min="7687" max="7687" width="3.42578125" style="286" customWidth="1"/>
    <col min="7688" max="7688" width="6.5703125" style="286" customWidth="1"/>
    <col min="7689" max="7689" width="55.5703125" style="286" customWidth="1"/>
    <col min="7690" max="7691" width="12.42578125" style="286" customWidth="1"/>
    <col min="7692" max="7692" width="9.140625" style="286" bestFit="1"/>
    <col min="7693" max="7693" width="3.42578125" style="286" customWidth="1"/>
    <col min="7694" max="7942" width="9.140625" style="286" bestFit="1"/>
    <col min="7943" max="7943" width="3.42578125" style="286" customWidth="1"/>
    <col min="7944" max="7944" width="6.5703125" style="286" customWidth="1"/>
    <col min="7945" max="7945" width="55.5703125" style="286" customWidth="1"/>
    <col min="7946" max="7947" width="12.42578125" style="286" customWidth="1"/>
    <col min="7948" max="7948" width="9.140625" style="286" bestFit="1"/>
    <col min="7949" max="7949" width="3.42578125" style="286" customWidth="1"/>
    <col min="7950" max="8198" width="9.140625" style="286" bestFit="1"/>
    <col min="8199" max="8199" width="3.42578125" style="286" customWidth="1"/>
    <col min="8200" max="8200" width="6.5703125" style="286" customWidth="1"/>
    <col min="8201" max="8201" width="55.5703125" style="286" customWidth="1"/>
    <col min="8202" max="8203" width="12.42578125" style="286" customWidth="1"/>
    <col min="8204" max="8204" width="9.140625" style="286" bestFit="1"/>
    <col min="8205" max="8205" width="3.42578125" style="286" customWidth="1"/>
    <col min="8206" max="8454" width="9.140625" style="286" bestFit="1"/>
    <col min="8455" max="8455" width="3.42578125" style="286" customWidth="1"/>
    <col min="8456" max="8456" width="6.5703125" style="286" customWidth="1"/>
    <col min="8457" max="8457" width="55.5703125" style="286" customWidth="1"/>
    <col min="8458" max="8459" width="12.42578125" style="286" customWidth="1"/>
    <col min="8460" max="8460" width="9.140625" style="286" bestFit="1"/>
    <col min="8461" max="8461" width="3.42578125" style="286" customWidth="1"/>
    <col min="8462" max="8710" width="9.140625" style="286" bestFit="1"/>
    <col min="8711" max="8711" width="3.42578125" style="286" customWidth="1"/>
    <col min="8712" max="8712" width="6.5703125" style="286" customWidth="1"/>
    <col min="8713" max="8713" width="55.5703125" style="286" customWidth="1"/>
    <col min="8714" max="8715" width="12.42578125" style="286" customWidth="1"/>
    <col min="8716" max="8716" width="9.140625" style="286" bestFit="1"/>
    <col min="8717" max="8717" width="3.42578125" style="286" customWidth="1"/>
    <col min="8718" max="8966" width="9.140625" style="286" bestFit="1"/>
    <col min="8967" max="8967" width="3.42578125" style="286" customWidth="1"/>
    <col min="8968" max="8968" width="6.5703125" style="286" customWidth="1"/>
    <col min="8969" max="8969" width="55.5703125" style="286" customWidth="1"/>
    <col min="8970" max="8971" width="12.42578125" style="286" customWidth="1"/>
    <col min="8972" max="8972" width="9.140625" style="286" bestFit="1"/>
    <col min="8973" max="8973" width="3.42578125" style="286" customWidth="1"/>
    <col min="8974" max="9222" width="9.140625" style="286" bestFit="1"/>
    <col min="9223" max="9223" width="3.42578125" style="286" customWidth="1"/>
    <col min="9224" max="9224" width="6.5703125" style="286" customWidth="1"/>
    <col min="9225" max="9225" width="55.5703125" style="286" customWidth="1"/>
    <col min="9226" max="9227" width="12.42578125" style="286" customWidth="1"/>
    <col min="9228" max="9228" width="9.140625" style="286" bestFit="1"/>
    <col min="9229" max="9229" width="3.42578125" style="286" customWidth="1"/>
    <col min="9230" max="9478" width="9.140625" style="286" bestFit="1"/>
    <col min="9479" max="9479" width="3.42578125" style="286" customWidth="1"/>
    <col min="9480" max="9480" width="6.5703125" style="286" customWidth="1"/>
    <col min="9481" max="9481" width="55.5703125" style="286" customWidth="1"/>
    <col min="9482" max="9483" width="12.42578125" style="286" customWidth="1"/>
    <col min="9484" max="9484" width="9.140625" style="286" bestFit="1"/>
    <col min="9485" max="9485" width="3.42578125" style="286" customWidth="1"/>
    <col min="9486" max="9734" width="9.140625" style="286" bestFit="1"/>
    <col min="9735" max="9735" width="3.42578125" style="286" customWidth="1"/>
    <col min="9736" max="9736" width="6.5703125" style="286" customWidth="1"/>
    <col min="9737" max="9737" width="55.5703125" style="286" customWidth="1"/>
    <col min="9738" max="9739" width="12.42578125" style="286" customWidth="1"/>
    <col min="9740" max="9740" width="9.140625" style="286" bestFit="1"/>
    <col min="9741" max="9741" width="3.42578125" style="286" customWidth="1"/>
    <col min="9742" max="9990" width="9.140625" style="286" bestFit="1"/>
    <col min="9991" max="9991" width="3.42578125" style="286" customWidth="1"/>
    <col min="9992" max="9992" width="6.5703125" style="286" customWidth="1"/>
    <col min="9993" max="9993" width="55.5703125" style="286" customWidth="1"/>
    <col min="9994" max="9995" width="12.42578125" style="286" customWidth="1"/>
    <col min="9996" max="9996" width="9.140625" style="286" bestFit="1"/>
    <col min="9997" max="9997" width="3.42578125" style="286" customWidth="1"/>
    <col min="9998" max="10246" width="9.140625" style="286" bestFit="1"/>
    <col min="10247" max="10247" width="3.42578125" style="286" customWidth="1"/>
    <col min="10248" max="10248" width="6.5703125" style="286" customWidth="1"/>
    <col min="10249" max="10249" width="55.5703125" style="286" customWidth="1"/>
    <col min="10250" max="10251" width="12.42578125" style="286" customWidth="1"/>
    <col min="10252" max="10252" width="9.140625" style="286" bestFit="1"/>
    <col min="10253" max="10253" width="3.42578125" style="286" customWidth="1"/>
    <col min="10254" max="10502" width="9.140625" style="286" bestFit="1"/>
    <col min="10503" max="10503" width="3.42578125" style="286" customWidth="1"/>
    <col min="10504" max="10504" width="6.5703125" style="286" customWidth="1"/>
    <col min="10505" max="10505" width="55.5703125" style="286" customWidth="1"/>
    <col min="10506" max="10507" width="12.42578125" style="286" customWidth="1"/>
    <col min="10508" max="10508" width="9.140625" style="286" bestFit="1"/>
    <col min="10509" max="10509" width="3.42578125" style="286" customWidth="1"/>
    <col min="10510" max="10758" width="9.140625" style="286" bestFit="1"/>
    <col min="10759" max="10759" width="3.42578125" style="286" customWidth="1"/>
    <col min="10760" max="10760" width="6.5703125" style="286" customWidth="1"/>
    <col min="10761" max="10761" width="55.5703125" style="286" customWidth="1"/>
    <col min="10762" max="10763" width="12.42578125" style="286" customWidth="1"/>
    <col min="10764" max="10764" width="9.140625" style="286" bestFit="1"/>
    <col min="10765" max="10765" width="3.42578125" style="286" customWidth="1"/>
    <col min="10766" max="11014" width="9.140625" style="286" bestFit="1"/>
    <col min="11015" max="11015" width="3.42578125" style="286" customWidth="1"/>
    <col min="11016" max="11016" width="6.5703125" style="286" customWidth="1"/>
    <col min="11017" max="11017" width="55.5703125" style="286" customWidth="1"/>
    <col min="11018" max="11019" width="12.42578125" style="286" customWidth="1"/>
    <col min="11020" max="11020" width="9.140625" style="286" bestFit="1"/>
    <col min="11021" max="11021" width="3.42578125" style="286" customWidth="1"/>
    <col min="11022" max="11270" width="9.140625" style="286" bestFit="1"/>
    <col min="11271" max="11271" width="3.42578125" style="286" customWidth="1"/>
    <col min="11272" max="11272" width="6.5703125" style="286" customWidth="1"/>
    <col min="11273" max="11273" width="55.5703125" style="286" customWidth="1"/>
    <col min="11274" max="11275" width="12.42578125" style="286" customWidth="1"/>
    <col min="11276" max="11276" width="9.140625" style="286" bestFit="1"/>
    <col min="11277" max="11277" width="3.42578125" style="286" customWidth="1"/>
    <col min="11278" max="11526" width="9.140625" style="286" bestFit="1"/>
    <col min="11527" max="11527" width="3.42578125" style="286" customWidth="1"/>
    <col min="11528" max="11528" width="6.5703125" style="286" customWidth="1"/>
    <col min="11529" max="11529" width="55.5703125" style="286" customWidth="1"/>
    <col min="11530" max="11531" width="12.42578125" style="286" customWidth="1"/>
    <col min="11532" max="11532" width="9.140625" style="286" bestFit="1"/>
    <col min="11533" max="11533" width="3.42578125" style="286" customWidth="1"/>
    <col min="11534" max="11782" width="9.140625" style="286" bestFit="1"/>
    <col min="11783" max="11783" width="3.42578125" style="286" customWidth="1"/>
    <col min="11784" max="11784" width="6.5703125" style="286" customWidth="1"/>
    <col min="11785" max="11785" width="55.5703125" style="286" customWidth="1"/>
    <col min="11786" max="11787" width="12.42578125" style="286" customWidth="1"/>
    <col min="11788" max="11788" width="9.140625" style="286" bestFit="1"/>
    <col min="11789" max="11789" width="3.42578125" style="286" customWidth="1"/>
    <col min="11790" max="12038" width="9.140625" style="286" bestFit="1"/>
    <col min="12039" max="12039" width="3.42578125" style="286" customWidth="1"/>
    <col min="12040" max="12040" width="6.5703125" style="286" customWidth="1"/>
    <col min="12041" max="12041" width="55.5703125" style="286" customWidth="1"/>
    <col min="12042" max="12043" width="12.42578125" style="286" customWidth="1"/>
    <col min="12044" max="12044" width="9.140625" style="286" bestFit="1"/>
    <col min="12045" max="12045" width="3.42578125" style="286" customWidth="1"/>
    <col min="12046" max="12294" width="9.140625" style="286" bestFit="1"/>
    <col min="12295" max="12295" width="3.42578125" style="286" customWidth="1"/>
    <col min="12296" max="12296" width="6.5703125" style="286" customWidth="1"/>
    <col min="12297" max="12297" width="55.5703125" style="286" customWidth="1"/>
    <col min="12298" max="12299" width="12.42578125" style="286" customWidth="1"/>
    <col min="12300" max="12300" width="9.140625" style="286" bestFit="1"/>
    <col min="12301" max="12301" width="3.42578125" style="286" customWidth="1"/>
    <col min="12302" max="12550" width="9.140625" style="286" bestFit="1"/>
    <col min="12551" max="12551" width="3.42578125" style="286" customWidth="1"/>
    <col min="12552" max="12552" width="6.5703125" style="286" customWidth="1"/>
    <col min="12553" max="12553" width="55.5703125" style="286" customWidth="1"/>
    <col min="12554" max="12555" width="12.42578125" style="286" customWidth="1"/>
    <col min="12556" max="12556" width="9.140625" style="286" bestFit="1"/>
    <col min="12557" max="12557" width="3.42578125" style="286" customWidth="1"/>
    <col min="12558" max="12806" width="9.140625" style="286" bestFit="1"/>
    <col min="12807" max="12807" width="3.42578125" style="286" customWidth="1"/>
    <col min="12808" max="12808" width="6.5703125" style="286" customWidth="1"/>
    <col min="12809" max="12809" width="55.5703125" style="286" customWidth="1"/>
    <col min="12810" max="12811" width="12.42578125" style="286" customWidth="1"/>
    <col min="12812" max="12812" width="9.140625" style="286" bestFit="1"/>
    <col min="12813" max="12813" width="3.42578125" style="286" customWidth="1"/>
    <col min="12814" max="13062" width="9.140625" style="286" bestFit="1"/>
    <col min="13063" max="13063" width="3.42578125" style="286" customWidth="1"/>
    <col min="13064" max="13064" width="6.5703125" style="286" customWidth="1"/>
    <col min="13065" max="13065" width="55.5703125" style="286" customWidth="1"/>
    <col min="13066" max="13067" width="12.42578125" style="286" customWidth="1"/>
    <col min="13068" max="13068" width="9.140625" style="286" bestFit="1"/>
    <col min="13069" max="13069" width="3.42578125" style="286" customWidth="1"/>
    <col min="13070" max="13318" width="9.140625" style="286" bestFit="1"/>
    <col min="13319" max="13319" width="3.42578125" style="286" customWidth="1"/>
    <col min="13320" max="13320" width="6.5703125" style="286" customWidth="1"/>
    <col min="13321" max="13321" width="55.5703125" style="286" customWidth="1"/>
    <col min="13322" max="13323" width="12.42578125" style="286" customWidth="1"/>
    <col min="13324" max="13324" width="9.140625" style="286" bestFit="1"/>
    <col min="13325" max="13325" width="3.42578125" style="286" customWidth="1"/>
    <col min="13326" max="13574" width="9.140625" style="286" bestFit="1"/>
    <col min="13575" max="13575" width="3.42578125" style="286" customWidth="1"/>
    <col min="13576" max="13576" width="6.5703125" style="286" customWidth="1"/>
    <col min="13577" max="13577" width="55.5703125" style="286" customWidth="1"/>
    <col min="13578" max="13579" width="12.42578125" style="286" customWidth="1"/>
    <col min="13580" max="13580" width="9.140625" style="286" bestFit="1"/>
    <col min="13581" max="13581" width="3.42578125" style="286" customWidth="1"/>
    <col min="13582" max="13830" width="9.140625" style="286" bestFit="1"/>
    <col min="13831" max="13831" width="3.42578125" style="286" customWidth="1"/>
    <col min="13832" max="13832" width="6.5703125" style="286" customWidth="1"/>
    <col min="13833" max="13833" width="55.5703125" style="286" customWidth="1"/>
    <col min="13834" max="13835" width="12.42578125" style="286" customWidth="1"/>
    <col min="13836" max="13836" width="9.140625" style="286" bestFit="1"/>
    <col min="13837" max="13837" width="3.42578125" style="286" customWidth="1"/>
    <col min="13838" max="14086" width="9.140625" style="286" bestFit="1"/>
    <col min="14087" max="14087" width="3.42578125" style="286" customWidth="1"/>
    <col min="14088" max="14088" width="6.5703125" style="286" customWidth="1"/>
    <col min="14089" max="14089" width="55.5703125" style="286" customWidth="1"/>
    <col min="14090" max="14091" width="12.42578125" style="286" customWidth="1"/>
    <col min="14092" max="14092" width="9.140625" style="286" bestFit="1"/>
    <col min="14093" max="14093" width="3.42578125" style="286" customWidth="1"/>
    <col min="14094" max="14342" width="9.140625" style="286" bestFit="1"/>
    <col min="14343" max="14343" width="3.42578125" style="286" customWidth="1"/>
    <col min="14344" max="14344" width="6.5703125" style="286" customWidth="1"/>
    <col min="14345" max="14345" width="55.5703125" style="286" customWidth="1"/>
    <col min="14346" max="14347" width="12.42578125" style="286" customWidth="1"/>
    <col min="14348" max="14348" width="9.140625" style="286" bestFit="1"/>
    <col min="14349" max="14349" width="3.42578125" style="286" customWidth="1"/>
    <col min="14350" max="14598" width="9.140625" style="286" bestFit="1"/>
    <col min="14599" max="14599" width="3.42578125" style="286" customWidth="1"/>
    <col min="14600" max="14600" width="6.5703125" style="286" customWidth="1"/>
    <col min="14601" max="14601" width="55.5703125" style="286" customWidth="1"/>
    <col min="14602" max="14603" width="12.42578125" style="286" customWidth="1"/>
    <col min="14604" max="14604" width="9.140625" style="286" bestFit="1"/>
    <col min="14605" max="14605" width="3.42578125" style="286" customWidth="1"/>
    <col min="14606" max="14854" width="9.140625" style="286" bestFit="1"/>
    <col min="14855" max="14855" width="3.42578125" style="286" customWidth="1"/>
    <col min="14856" max="14856" width="6.5703125" style="286" customWidth="1"/>
    <col min="14857" max="14857" width="55.5703125" style="286" customWidth="1"/>
    <col min="14858" max="14859" width="12.42578125" style="286" customWidth="1"/>
    <col min="14860" max="14860" width="9.140625" style="286" bestFit="1"/>
    <col min="14861" max="14861" width="3.42578125" style="286" customWidth="1"/>
    <col min="14862" max="15110" width="9.140625" style="286" bestFit="1"/>
    <col min="15111" max="15111" width="3.42578125" style="286" customWidth="1"/>
    <col min="15112" max="15112" width="6.5703125" style="286" customWidth="1"/>
    <col min="15113" max="15113" width="55.5703125" style="286" customWidth="1"/>
    <col min="15114" max="15115" width="12.42578125" style="286" customWidth="1"/>
    <col min="15116" max="15116" width="9.140625" style="286" bestFit="1"/>
    <col min="15117" max="15117" width="3.42578125" style="286" customWidth="1"/>
    <col min="15118" max="15366" width="9.140625" style="286" bestFit="1"/>
    <col min="15367" max="15367" width="3.42578125" style="286" customWidth="1"/>
    <col min="15368" max="15368" width="6.5703125" style="286" customWidth="1"/>
    <col min="15369" max="15369" width="55.5703125" style="286" customWidth="1"/>
    <col min="15370" max="15371" width="12.42578125" style="286" customWidth="1"/>
    <col min="15372" max="15372" width="9.140625" style="286" bestFit="1"/>
    <col min="15373" max="15373" width="3.42578125" style="286" customWidth="1"/>
    <col min="15374" max="15622" width="9.140625" style="286" bestFit="1"/>
    <col min="15623" max="15623" width="3.42578125" style="286" customWidth="1"/>
    <col min="15624" max="15624" width="6.5703125" style="286" customWidth="1"/>
    <col min="15625" max="15625" width="55.5703125" style="286" customWidth="1"/>
    <col min="15626" max="15627" width="12.42578125" style="286" customWidth="1"/>
    <col min="15628" max="15628" width="9.140625" style="286" bestFit="1"/>
    <col min="15629" max="15629" width="3.42578125" style="286" customWidth="1"/>
    <col min="15630" max="15878" width="9.140625" style="286" bestFit="1"/>
    <col min="15879" max="15879" width="3.42578125" style="286" customWidth="1"/>
    <col min="15880" max="15880" width="6.5703125" style="286" customWidth="1"/>
    <col min="15881" max="15881" width="55.5703125" style="286" customWidth="1"/>
    <col min="15882" max="15883" width="12.42578125" style="286" customWidth="1"/>
    <col min="15884" max="15884" width="9.140625" style="286" bestFit="1"/>
    <col min="15885" max="15885" width="3.42578125" style="286" customWidth="1"/>
    <col min="15886" max="16134" width="9.140625" style="286" bestFit="1"/>
    <col min="16135" max="16135" width="3.42578125" style="286" customWidth="1"/>
    <col min="16136" max="16136" width="6.5703125" style="286" customWidth="1"/>
    <col min="16137" max="16137" width="55.5703125" style="286" customWidth="1"/>
    <col min="16138" max="16139" width="12.42578125" style="286" customWidth="1"/>
    <col min="16140" max="16140" width="9.140625" style="286" bestFit="1"/>
    <col min="16141" max="16141" width="3.42578125" style="286" customWidth="1"/>
    <col min="16142" max="16382" width="9.140625" style="286" bestFit="1"/>
    <col min="16383" max="16384" width="9.42578125" style="286" customWidth="1"/>
  </cols>
  <sheetData>
    <row r="1" spans="2:28" ht="15.75" thickBot="1"/>
    <row r="2" spans="2:28" s="287" customFormat="1" ht="18" customHeight="1" thickTop="1" thickBot="1">
      <c r="B2" s="564"/>
      <c r="C2" s="565"/>
      <c r="D2" s="565"/>
      <c r="E2" s="565" t="s">
        <v>39</v>
      </c>
      <c r="F2" s="565"/>
      <c r="G2" s="565"/>
      <c r="H2" s="565"/>
      <c r="I2" s="565"/>
      <c r="J2" s="565"/>
      <c r="K2" s="565"/>
      <c r="L2" s="566"/>
    </row>
    <row r="3" spans="2:28" s="287" customFormat="1" ht="19.5" customHeight="1" thickTop="1">
      <c r="B3" s="292"/>
      <c r="C3" s="567"/>
      <c r="D3" s="567"/>
      <c r="E3" s="567"/>
      <c r="F3" s="567"/>
      <c r="G3" s="567"/>
      <c r="H3" s="567"/>
      <c r="I3" s="567"/>
      <c r="J3" s="293"/>
      <c r="K3" s="294"/>
    </row>
    <row r="4" spans="2:28" s="287" customFormat="1" ht="28.5" customHeight="1">
      <c r="C4" s="568"/>
      <c r="D4" s="568"/>
      <c r="E4" s="568"/>
      <c r="F4" s="568"/>
      <c r="G4" s="568"/>
      <c r="H4" s="568"/>
      <c r="I4" s="568"/>
      <c r="J4" s="295"/>
    </row>
    <row r="5" spans="2:28" s="287" customFormat="1">
      <c r="J5" s="295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A5" s="3"/>
      <c r="AB5" s="3"/>
    </row>
    <row r="6" spans="2:28" s="287" customFormat="1" ht="15" customHeight="1">
      <c r="L6" s="3"/>
      <c r="M6" s="3"/>
      <c r="N6" s="335" t="s">
        <v>2</v>
      </c>
      <c r="O6" s="3"/>
      <c r="P6" s="3"/>
      <c r="Q6" s="3"/>
      <c r="R6" s="3"/>
      <c r="S6" s="3"/>
      <c r="T6" s="3"/>
      <c r="U6" s="3"/>
      <c r="V6" s="3"/>
      <c r="W6" s="3"/>
      <c r="X6" s="3"/>
      <c r="AA6" s="3"/>
      <c r="AB6" s="3"/>
    </row>
    <row r="7" spans="2:28" s="287" customFormat="1" ht="15.75" customHeight="1">
      <c r="C7" s="562"/>
      <c r="D7" s="562"/>
      <c r="E7" s="562"/>
      <c r="F7" s="562"/>
      <c r="G7" s="562"/>
      <c r="H7" s="562"/>
      <c r="I7" s="562"/>
      <c r="J7" s="295"/>
      <c r="K7" s="2"/>
      <c r="L7" s="3"/>
      <c r="M7" s="3"/>
      <c r="N7" s="335" t="s">
        <v>3</v>
      </c>
      <c r="O7" s="3"/>
      <c r="P7" s="3"/>
      <c r="Q7" s="3"/>
      <c r="R7" s="3"/>
      <c r="S7" s="3"/>
      <c r="T7" s="3"/>
      <c r="U7" s="3"/>
      <c r="V7" s="3"/>
      <c r="W7" s="3"/>
      <c r="X7" s="3"/>
      <c r="AA7" s="3"/>
      <c r="AB7" s="3"/>
    </row>
    <row r="8" spans="2:28" s="287" customFormat="1" ht="15.75" customHeight="1">
      <c r="C8" s="562"/>
      <c r="D8" s="562"/>
      <c r="E8" s="562"/>
      <c r="F8" s="562"/>
      <c r="G8" s="562"/>
      <c r="H8" s="562"/>
      <c r="I8" s="562"/>
      <c r="J8" s="29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A8" s="3"/>
      <c r="AB8" s="3"/>
    </row>
    <row r="9" spans="2:28" s="287" customFormat="1" ht="15.75" customHeight="1">
      <c r="C9" s="562"/>
      <c r="D9" s="562"/>
      <c r="E9" s="562"/>
      <c r="F9" s="562"/>
      <c r="G9" s="562"/>
      <c r="H9" s="562"/>
      <c r="I9" s="562"/>
      <c r="J9" s="295"/>
      <c r="K9" s="2"/>
      <c r="L9" s="2"/>
      <c r="M9" s="2"/>
      <c r="N9" s="2"/>
      <c r="O9" s="2"/>
      <c r="P9" s="2"/>
      <c r="Q9" s="2"/>
      <c r="R9" s="3"/>
      <c r="S9" s="3"/>
      <c r="T9" s="3"/>
      <c r="U9" s="3"/>
      <c r="V9" s="3"/>
      <c r="W9" s="3"/>
      <c r="X9" s="3"/>
      <c r="AA9" s="3"/>
      <c r="AB9" s="3"/>
    </row>
    <row r="10" spans="2:28" s="287" customFormat="1" ht="15.75" customHeight="1">
      <c r="C10" s="562"/>
      <c r="D10" s="562"/>
      <c r="E10" s="562"/>
      <c r="F10" s="562"/>
      <c r="G10" s="562"/>
      <c r="H10" s="562"/>
      <c r="I10" s="562"/>
      <c r="J10" s="295"/>
      <c r="K10" s="2"/>
      <c r="L10" s="2"/>
      <c r="M10" s="2"/>
      <c r="N10" s="2"/>
      <c r="O10" s="2"/>
      <c r="P10" s="2"/>
      <c r="Q10" s="2"/>
      <c r="R10" s="5"/>
      <c r="S10" s="3"/>
      <c r="U10" s="3"/>
      <c r="V10" s="3"/>
      <c r="W10" s="3"/>
      <c r="X10" s="3"/>
      <c r="AA10" s="3"/>
      <c r="AB10" s="3"/>
    </row>
    <row r="11" spans="2:28" s="6" customFormat="1" ht="15.75" customHeight="1">
      <c r="C11" s="562"/>
      <c r="D11" s="562"/>
      <c r="E11" s="562"/>
      <c r="F11" s="562"/>
      <c r="G11" s="562"/>
      <c r="H11" s="562"/>
      <c r="I11" s="562"/>
      <c r="J11" s="297"/>
      <c r="K11" s="4"/>
      <c r="L11" s="4"/>
      <c r="M11" s="4"/>
      <c r="N11" s="4"/>
      <c r="O11" s="4"/>
      <c r="P11" s="4"/>
      <c r="Q11" s="4"/>
      <c r="R11" s="5"/>
      <c r="S11" s="5"/>
      <c r="T11" s="287"/>
      <c r="U11" s="5"/>
      <c r="V11" s="5"/>
      <c r="W11" s="5"/>
      <c r="X11" s="5"/>
      <c r="AA11" s="5"/>
      <c r="AB11" s="5"/>
    </row>
    <row r="12" spans="2:28" s="6" customFormat="1" ht="15.75">
      <c r="C12" s="296"/>
      <c r="D12" s="296"/>
      <c r="E12" s="296"/>
      <c r="F12" s="296"/>
      <c r="G12" s="296"/>
      <c r="H12" s="296"/>
      <c r="I12" s="296"/>
      <c r="J12" s="297"/>
      <c r="K12" s="4"/>
      <c r="L12" s="4"/>
      <c r="M12" s="4"/>
      <c r="N12" s="4"/>
      <c r="O12" s="4"/>
      <c r="P12" s="4"/>
      <c r="Q12" s="4"/>
      <c r="R12" s="5"/>
      <c r="S12" s="5"/>
      <c r="T12" s="4"/>
      <c r="U12" s="5"/>
      <c r="V12" s="5"/>
      <c r="W12" s="5"/>
      <c r="X12" s="5"/>
      <c r="AA12" s="5"/>
      <c r="AB12" s="5"/>
    </row>
    <row r="13" spans="2:28" s="6" customFormat="1" ht="15.75">
      <c r="C13" s="296"/>
      <c r="D13" s="296"/>
      <c r="E13" s="296"/>
      <c r="F13" s="296"/>
      <c r="G13" s="296"/>
      <c r="H13" s="296"/>
      <c r="I13" s="296"/>
      <c r="J13" s="297"/>
      <c r="K13" s="4"/>
      <c r="L13" s="4"/>
      <c r="M13" s="4"/>
      <c r="N13" s="4"/>
      <c r="O13" s="4"/>
      <c r="P13" s="4"/>
      <c r="Q13" s="4"/>
      <c r="R13" s="5"/>
      <c r="S13" s="5"/>
      <c r="T13" s="4"/>
      <c r="U13" s="5"/>
      <c r="V13" s="5"/>
      <c r="W13" s="5"/>
      <c r="X13" s="5"/>
      <c r="AA13" s="5"/>
      <c r="AB13" s="5"/>
    </row>
    <row r="14" spans="2:28" s="6" customFormat="1" ht="15.75">
      <c r="C14" s="296"/>
      <c r="D14" s="296"/>
      <c r="E14" s="296"/>
      <c r="F14" s="296"/>
      <c r="G14" s="296"/>
      <c r="H14" s="296"/>
      <c r="I14" s="296"/>
      <c r="J14" s="297"/>
      <c r="K14" s="4"/>
      <c r="L14" s="4"/>
      <c r="M14" s="4"/>
      <c r="N14" s="4"/>
      <c r="O14" s="4"/>
      <c r="P14" s="4"/>
      <c r="Q14" s="4"/>
      <c r="R14" s="5"/>
      <c r="S14" s="5"/>
      <c r="T14" s="4"/>
      <c r="U14" s="5"/>
      <c r="V14" s="5"/>
      <c r="W14" s="5"/>
      <c r="X14" s="5"/>
      <c r="AA14" s="5"/>
      <c r="AB14" s="5"/>
    </row>
    <row r="15" spans="2:28" s="6" customFormat="1" ht="12.75">
      <c r="L15" s="4"/>
      <c r="M15" s="4"/>
      <c r="N15" s="4"/>
      <c r="O15" s="4"/>
      <c r="P15" s="4"/>
      <c r="Q15" s="4"/>
      <c r="R15" s="5"/>
      <c r="S15" s="5"/>
      <c r="T15" s="4"/>
      <c r="U15" s="5"/>
      <c r="V15" s="5"/>
      <c r="W15" s="5"/>
      <c r="X15" s="5"/>
      <c r="AA15" s="5"/>
      <c r="AB15" s="5"/>
    </row>
    <row r="16" spans="2:28" s="6" customFormat="1" ht="15.75">
      <c r="C16" s="296"/>
      <c r="D16" s="296"/>
      <c r="E16" s="296"/>
      <c r="F16" s="296"/>
      <c r="G16" s="296"/>
      <c r="H16" s="296"/>
      <c r="I16" s="296"/>
      <c r="J16" s="297"/>
      <c r="K16" s="4"/>
      <c r="L16" s="4"/>
      <c r="M16" s="4"/>
      <c r="N16" s="4"/>
      <c r="O16" s="4"/>
      <c r="P16" s="4"/>
      <c r="Q16" s="4"/>
      <c r="R16" s="5"/>
      <c r="S16" s="5"/>
      <c r="T16" s="4"/>
      <c r="U16" s="5"/>
      <c r="V16" s="5"/>
      <c r="W16" s="5"/>
      <c r="X16" s="5"/>
      <c r="AA16" s="5"/>
      <c r="AB16" s="5"/>
    </row>
    <row r="17" spans="3:28" s="6" customFormat="1" ht="15.75">
      <c r="C17" s="296"/>
      <c r="D17" s="296"/>
      <c r="E17" s="296"/>
      <c r="F17" s="296"/>
      <c r="G17" s="296"/>
      <c r="H17" s="296"/>
      <c r="I17" s="296"/>
      <c r="J17" s="297"/>
      <c r="K17" s="4"/>
      <c r="L17" s="4"/>
      <c r="M17" s="4"/>
      <c r="N17" s="4"/>
      <c r="O17" s="4"/>
      <c r="P17" s="4"/>
      <c r="Q17" s="4"/>
      <c r="R17" s="5"/>
      <c r="S17" s="5"/>
      <c r="T17" s="4"/>
      <c r="U17" s="5"/>
      <c r="V17" s="5"/>
      <c r="W17" s="5"/>
      <c r="X17" s="5"/>
      <c r="AA17" s="5"/>
      <c r="AB17" s="5"/>
    </row>
    <row r="18" spans="3:28" s="6" customFormat="1" ht="15.75">
      <c r="C18" s="296"/>
      <c r="D18" s="296"/>
      <c r="E18" s="296"/>
      <c r="F18" s="296"/>
      <c r="G18" s="296"/>
      <c r="H18" s="296"/>
      <c r="I18" s="296"/>
      <c r="J18" s="297"/>
      <c r="K18" s="4"/>
      <c r="L18" s="4"/>
      <c r="M18" s="4"/>
      <c r="N18" s="4"/>
      <c r="O18" s="4"/>
      <c r="P18" s="4"/>
      <c r="Q18" s="4"/>
      <c r="R18" s="5"/>
      <c r="S18" s="5"/>
      <c r="T18" s="4"/>
      <c r="U18" s="5"/>
      <c r="V18" s="5"/>
      <c r="W18" s="5"/>
      <c r="X18" s="5"/>
      <c r="AA18" s="5"/>
      <c r="AB18" s="5"/>
    </row>
    <row r="19" spans="3:28" s="6" customFormat="1" ht="15.75">
      <c r="C19" s="296"/>
      <c r="D19" s="296"/>
      <c r="E19" s="296"/>
      <c r="F19" s="296"/>
      <c r="G19" s="296"/>
      <c r="H19" s="296"/>
      <c r="I19" s="296"/>
      <c r="J19" s="297"/>
      <c r="K19" s="4"/>
      <c r="L19" s="4"/>
      <c r="M19" s="4"/>
      <c r="N19" s="4"/>
      <c r="O19" s="4"/>
      <c r="P19" s="4"/>
      <c r="Q19" s="4"/>
      <c r="R19" s="5"/>
      <c r="S19" s="5"/>
      <c r="T19" s="4"/>
      <c r="U19" s="5"/>
      <c r="V19" s="5"/>
      <c r="W19" s="5"/>
      <c r="X19" s="5"/>
      <c r="AA19" s="5"/>
      <c r="AB19" s="5"/>
    </row>
    <row r="20" spans="3:28" s="6" customFormat="1" ht="28.5" customHeight="1">
      <c r="C20" s="563" t="s">
        <v>419</v>
      </c>
      <c r="D20" s="563"/>
      <c r="E20" s="563"/>
      <c r="F20" s="563"/>
      <c r="G20" s="563"/>
      <c r="H20" s="563"/>
      <c r="I20" s="563"/>
      <c r="J20" s="563"/>
      <c r="K20" s="563"/>
      <c r="L20" s="4"/>
      <c r="M20" s="4"/>
      <c r="N20" s="4"/>
      <c r="O20" s="4"/>
      <c r="P20" s="4"/>
      <c r="Q20" s="4"/>
      <c r="R20" s="5"/>
      <c r="S20" s="5"/>
      <c r="T20" s="4"/>
      <c r="U20" s="5"/>
      <c r="V20" s="5"/>
      <c r="W20" s="5"/>
      <c r="X20" s="5"/>
      <c r="AA20" s="5"/>
      <c r="AB20" s="5"/>
    </row>
    <row r="21" spans="3:28" s="6" customFormat="1" ht="15.75">
      <c r="C21" s="296"/>
      <c r="D21" s="296"/>
      <c r="E21" s="296"/>
      <c r="F21" s="296"/>
      <c r="G21" s="296"/>
      <c r="H21" s="296"/>
      <c r="I21" s="296"/>
      <c r="J21" s="297"/>
      <c r="K21" s="4"/>
      <c r="L21" s="4"/>
      <c r="M21" s="4"/>
      <c r="N21" s="4"/>
      <c r="O21" s="4"/>
      <c r="P21" s="4"/>
      <c r="Q21" s="4"/>
      <c r="R21" s="5"/>
      <c r="S21" s="5"/>
      <c r="T21" s="4"/>
      <c r="U21" s="5"/>
      <c r="V21" s="5"/>
      <c r="W21" s="5"/>
      <c r="X21" s="5"/>
      <c r="AA21" s="5"/>
      <c r="AB21" s="5"/>
    </row>
    <row r="22" spans="3:28" s="6" customFormat="1" ht="15.75">
      <c r="C22" s="296"/>
      <c r="D22" s="296"/>
      <c r="E22" s="296"/>
      <c r="F22" s="296"/>
      <c r="G22" s="296"/>
      <c r="H22" s="296"/>
      <c r="I22" s="296"/>
      <c r="J22" s="297"/>
      <c r="K22" s="4"/>
      <c r="L22" s="4"/>
      <c r="M22" s="4"/>
      <c r="N22" s="4"/>
      <c r="O22" s="4"/>
      <c r="P22" s="4"/>
      <c r="Q22" s="4"/>
      <c r="R22" s="5"/>
      <c r="S22" s="5"/>
      <c r="T22" s="4"/>
      <c r="U22" s="5"/>
      <c r="V22" s="5"/>
      <c r="W22" s="5"/>
      <c r="X22" s="5"/>
      <c r="AA22" s="5"/>
      <c r="AB22" s="5"/>
    </row>
    <row r="23" spans="3:28" s="6" customFormat="1" ht="15.75">
      <c r="C23" s="296"/>
      <c r="D23" s="296"/>
      <c r="E23" s="296"/>
      <c r="F23" s="296"/>
      <c r="G23" s="296"/>
      <c r="H23" s="296"/>
      <c r="I23" s="296"/>
      <c r="J23" s="297"/>
      <c r="K23" s="4"/>
      <c r="L23" s="4"/>
      <c r="M23" s="4"/>
      <c r="N23" s="4"/>
      <c r="O23" s="4"/>
      <c r="P23" s="4"/>
      <c r="Q23" s="4"/>
      <c r="R23" s="5"/>
      <c r="S23" s="5"/>
      <c r="T23" s="4"/>
      <c r="U23" s="5"/>
      <c r="V23" s="5"/>
      <c r="W23" s="5"/>
      <c r="X23" s="5"/>
      <c r="AA23" s="5"/>
      <c r="AB23" s="5"/>
    </row>
    <row r="24" spans="3:28" s="6" customFormat="1" ht="15.75">
      <c r="C24" s="296"/>
      <c r="D24" s="296"/>
      <c r="E24" s="296"/>
      <c r="F24" s="296"/>
      <c r="G24" s="296"/>
      <c r="H24" s="296"/>
      <c r="I24" s="296"/>
      <c r="J24" s="297"/>
      <c r="K24" s="4"/>
      <c r="L24" s="4"/>
      <c r="M24" s="4"/>
      <c r="N24" s="4"/>
      <c r="O24" s="4"/>
      <c r="P24" s="4"/>
      <c r="Q24" s="4"/>
      <c r="R24" s="5"/>
      <c r="S24" s="5"/>
      <c r="T24" s="4"/>
      <c r="U24" s="5"/>
      <c r="V24" s="5"/>
      <c r="W24" s="5"/>
      <c r="X24" s="5"/>
      <c r="AA24" s="5"/>
      <c r="AB24" s="5"/>
    </row>
    <row r="25" spans="3:28" s="6" customFormat="1" ht="15.75">
      <c r="C25" s="296"/>
      <c r="D25" s="296"/>
      <c r="E25" s="296"/>
      <c r="F25" s="296"/>
      <c r="G25" s="296"/>
      <c r="H25" s="296"/>
      <c r="I25" s="296"/>
      <c r="J25" s="297"/>
      <c r="K25" s="4"/>
      <c r="L25" s="4"/>
      <c r="M25" s="4"/>
      <c r="N25" s="4"/>
      <c r="O25" s="4"/>
      <c r="P25" s="4"/>
      <c r="Q25" s="4"/>
      <c r="R25" s="5"/>
      <c r="S25" s="5"/>
      <c r="T25" s="4"/>
      <c r="U25" s="5"/>
      <c r="V25" s="5"/>
      <c r="W25" s="5"/>
      <c r="X25" s="5"/>
      <c r="AA25" s="5"/>
      <c r="AB25" s="5"/>
    </row>
    <row r="26" spans="3:28" s="6" customFormat="1" ht="15.75">
      <c r="C26" s="296"/>
      <c r="D26" s="296"/>
      <c r="E26" s="296"/>
      <c r="F26" s="296"/>
      <c r="G26" s="296"/>
      <c r="H26" s="296"/>
      <c r="I26" s="296"/>
      <c r="J26" s="297"/>
      <c r="K26" s="4"/>
      <c r="L26" s="4"/>
      <c r="M26" s="4"/>
      <c r="N26" s="4"/>
      <c r="O26" s="4"/>
      <c r="P26" s="4"/>
      <c r="Q26" s="4"/>
      <c r="R26" s="5"/>
      <c r="S26" s="5"/>
      <c r="T26" s="4"/>
      <c r="U26" s="5"/>
      <c r="V26" s="5"/>
      <c r="W26" s="5"/>
      <c r="X26" s="5"/>
      <c r="AA26" s="5"/>
      <c r="AB26" s="5"/>
    </row>
    <row r="27" spans="3:28" s="6" customFormat="1" ht="15.75">
      <c r="C27" s="296"/>
      <c r="D27" s="296"/>
      <c r="E27" s="296"/>
      <c r="F27" s="296"/>
      <c r="G27" s="296"/>
      <c r="H27" s="296"/>
      <c r="I27" s="296"/>
      <c r="J27" s="297"/>
      <c r="K27" s="4"/>
      <c r="L27" s="4"/>
      <c r="M27" s="4"/>
      <c r="N27" s="4"/>
      <c r="O27" s="4"/>
      <c r="P27" s="4"/>
      <c r="Q27" s="4"/>
      <c r="R27" s="5"/>
      <c r="S27" s="5"/>
      <c r="T27" s="4"/>
      <c r="U27" s="5"/>
      <c r="V27" s="5"/>
      <c r="W27" s="5"/>
      <c r="X27" s="5"/>
      <c r="AA27" s="5"/>
      <c r="AB27" s="5"/>
    </row>
    <row r="28" spans="3:28" s="6" customFormat="1" ht="15.75">
      <c r="C28" s="296"/>
      <c r="D28" s="296"/>
      <c r="E28" s="296"/>
      <c r="F28" s="296"/>
      <c r="G28" s="296"/>
      <c r="H28" s="296"/>
      <c r="I28" s="296"/>
      <c r="J28" s="297"/>
      <c r="K28" s="4"/>
      <c r="L28" s="4"/>
      <c r="M28" s="4"/>
      <c r="N28" s="4"/>
      <c r="O28" s="4"/>
      <c r="P28" s="4"/>
      <c r="Q28" s="4"/>
      <c r="R28" s="5"/>
      <c r="S28" s="5"/>
      <c r="T28" s="4"/>
      <c r="U28" s="5"/>
      <c r="V28" s="5"/>
      <c r="W28" s="5"/>
      <c r="X28" s="5"/>
      <c r="AA28" s="5"/>
      <c r="AB28" s="5"/>
    </row>
    <row r="29" spans="3:28" s="6" customFormat="1" ht="15.75" customHeight="1">
      <c r="C29" s="562"/>
      <c r="D29" s="562"/>
      <c r="E29" s="562"/>
      <c r="F29" s="562"/>
      <c r="G29" s="562"/>
      <c r="H29" s="562"/>
      <c r="I29" s="562"/>
      <c r="J29" s="297"/>
      <c r="K29" s="4"/>
      <c r="L29" s="4"/>
      <c r="M29" s="5"/>
      <c r="N29" s="5"/>
      <c r="O29" s="4"/>
      <c r="P29" s="5"/>
      <c r="Q29" s="4"/>
      <c r="R29" s="5"/>
      <c r="S29" s="5"/>
      <c r="T29" s="5"/>
      <c r="U29" s="5"/>
      <c r="V29" s="5"/>
      <c r="W29" s="5"/>
      <c r="X29" s="5"/>
      <c r="AA29" s="5"/>
      <c r="AB29" s="5"/>
    </row>
    <row r="30" spans="3:28" s="6" customFormat="1" ht="15.75" customHeight="1">
      <c r="C30" s="562"/>
      <c r="D30" s="562"/>
      <c r="E30" s="562"/>
      <c r="F30" s="562"/>
      <c r="G30" s="562"/>
      <c r="H30" s="562"/>
      <c r="I30" s="562"/>
      <c r="J30" s="297"/>
      <c r="K30" s="4"/>
      <c r="L30" s="4"/>
      <c r="M30" s="4"/>
      <c r="N30" s="4"/>
      <c r="O30" s="4"/>
      <c r="P30" s="4"/>
      <c r="Q30" s="4"/>
      <c r="R30" s="5"/>
      <c r="S30" s="5"/>
      <c r="T30" s="5"/>
      <c r="U30" s="5"/>
      <c r="V30" s="5"/>
      <c r="W30" s="5"/>
      <c r="X30" s="5"/>
      <c r="AA30" s="5"/>
      <c r="AB30" s="5"/>
    </row>
    <row r="31" spans="3:28" s="6" customFormat="1" ht="15.75" customHeight="1">
      <c r="C31" s="562"/>
      <c r="D31" s="562"/>
      <c r="E31" s="562"/>
      <c r="F31" s="562"/>
      <c r="G31" s="562"/>
      <c r="H31" s="562"/>
      <c r="I31" s="562"/>
      <c r="J31" s="297"/>
      <c r="K31" s="4"/>
      <c r="L31" s="4"/>
      <c r="M31" s="4"/>
      <c r="N31" s="4"/>
      <c r="O31" s="4"/>
      <c r="P31" s="4"/>
      <c r="Q31" s="4"/>
      <c r="R31" s="5"/>
      <c r="S31" s="298"/>
      <c r="T31" s="4"/>
      <c r="U31" s="5"/>
      <c r="V31" s="5"/>
      <c r="W31" s="5"/>
      <c r="X31" s="5"/>
      <c r="AA31" s="5"/>
      <c r="AB31" s="5"/>
    </row>
    <row r="32" spans="3:28" s="6" customFormat="1" ht="15.75" customHeight="1">
      <c r="C32" s="562"/>
      <c r="D32" s="562"/>
      <c r="E32" s="562"/>
      <c r="F32" s="562"/>
      <c r="G32" s="562"/>
      <c r="H32" s="562"/>
      <c r="I32" s="562"/>
      <c r="J32" s="297"/>
      <c r="K32" s="4"/>
      <c r="L32" s="4"/>
      <c r="M32" s="4"/>
      <c r="N32" s="4"/>
      <c r="O32" s="4"/>
      <c r="P32" s="4"/>
      <c r="Q32" s="4"/>
      <c r="R32" s="5"/>
      <c r="S32" s="298"/>
      <c r="T32" s="4"/>
      <c r="U32" s="5"/>
      <c r="V32" s="5"/>
      <c r="W32" s="5"/>
      <c r="X32" s="5"/>
      <c r="AA32" s="5"/>
      <c r="AB32" s="5"/>
    </row>
    <row r="33" spans="2:28" s="6" customFormat="1" ht="15.75" customHeight="1">
      <c r="C33" s="562"/>
      <c r="D33" s="562"/>
      <c r="E33" s="562"/>
      <c r="F33" s="562"/>
      <c r="G33" s="562"/>
      <c r="H33" s="562"/>
      <c r="I33" s="562"/>
      <c r="J33" s="297"/>
      <c r="K33" s="4"/>
      <c r="L33" s="4"/>
      <c r="M33" s="4"/>
      <c r="N33" s="4"/>
      <c r="O33" s="4"/>
      <c r="P33" s="4"/>
      <c r="Q33" s="4"/>
      <c r="R33" s="5"/>
      <c r="S33" s="5"/>
      <c r="T33" s="5"/>
      <c r="U33" s="5"/>
      <c r="V33" s="5"/>
      <c r="W33" s="5"/>
      <c r="X33" s="5"/>
      <c r="AA33" s="5"/>
      <c r="AB33" s="5"/>
    </row>
    <row r="34" spans="2:28" s="6" customFormat="1" ht="15.75" customHeight="1">
      <c r="C34" s="562"/>
      <c r="D34" s="562"/>
      <c r="E34" s="562"/>
      <c r="F34" s="562"/>
      <c r="G34" s="562"/>
      <c r="H34" s="562"/>
      <c r="I34" s="562"/>
      <c r="J34" s="297"/>
      <c r="K34" s="4"/>
      <c r="L34" s="4"/>
      <c r="M34" s="4"/>
      <c r="N34" s="4"/>
      <c r="O34" s="4"/>
      <c r="P34" s="4"/>
      <c r="Q34" s="4"/>
      <c r="R34" s="5"/>
      <c r="S34" s="5"/>
      <c r="T34" s="5"/>
      <c r="U34" s="5"/>
      <c r="V34" s="5"/>
      <c r="W34" s="5"/>
      <c r="X34" s="5"/>
      <c r="AA34" s="5"/>
      <c r="AB34" s="5"/>
    </row>
    <row r="35" spans="2:28" s="6" customFormat="1" ht="15.75" customHeight="1">
      <c r="C35" s="562"/>
      <c r="D35" s="562"/>
      <c r="E35" s="562"/>
      <c r="F35" s="562"/>
      <c r="G35" s="562"/>
      <c r="H35" s="562"/>
      <c r="I35" s="562"/>
      <c r="J35" s="297"/>
      <c r="K35" s="4"/>
      <c r="L35" s="4"/>
      <c r="M35" s="4"/>
      <c r="N35" s="4"/>
      <c r="O35" s="4"/>
      <c r="P35" s="4"/>
      <c r="Q35" s="4"/>
      <c r="R35" s="5"/>
      <c r="S35" s="5"/>
      <c r="T35" s="5"/>
      <c r="U35" s="5"/>
      <c r="V35" s="5"/>
      <c r="W35" s="5"/>
      <c r="X35" s="5"/>
      <c r="AA35" s="5"/>
      <c r="AB35" s="5"/>
    </row>
    <row r="36" spans="2:28" s="6" customFormat="1" ht="15.75" customHeight="1">
      <c r="C36" s="562"/>
      <c r="D36" s="562"/>
      <c r="E36" s="562"/>
      <c r="F36" s="562"/>
      <c r="G36" s="562"/>
      <c r="H36" s="562"/>
      <c r="I36" s="562"/>
      <c r="J36" s="297"/>
      <c r="K36" s="4"/>
      <c r="L36" s="4"/>
      <c r="M36" s="4"/>
      <c r="N36" s="4"/>
      <c r="O36" s="4"/>
      <c r="P36" s="4"/>
      <c r="Q36" s="4"/>
      <c r="R36" s="5"/>
      <c r="S36" s="5"/>
      <c r="T36" s="5"/>
      <c r="U36" s="5"/>
      <c r="V36" s="5"/>
      <c r="W36" s="5"/>
      <c r="X36" s="5"/>
      <c r="AA36" s="5"/>
      <c r="AB36" s="5"/>
    </row>
    <row r="37" spans="2:28" s="6" customFormat="1" ht="15.75" customHeight="1">
      <c r="C37" s="562"/>
      <c r="D37" s="562"/>
      <c r="E37" s="562"/>
      <c r="F37" s="562"/>
      <c r="G37" s="562"/>
      <c r="H37" s="562"/>
      <c r="I37" s="562"/>
      <c r="J37" s="297"/>
      <c r="K37" s="4"/>
      <c r="L37" s="4"/>
      <c r="M37" s="4"/>
      <c r="N37" s="4"/>
      <c r="O37" s="4"/>
      <c r="P37" s="4"/>
      <c r="Q37" s="4"/>
      <c r="R37" s="5"/>
      <c r="S37" s="5"/>
      <c r="T37" s="5"/>
      <c r="U37" s="5"/>
      <c r="V37" s="5"/>
      <c r="W37" s="5"/>
      <c r="X37" s="5"/>
      <c r="AA37" s="5"/>
      <c r="AB37" s="5"/>
    </row>
    <row r="38" spans="2:28" s="6" customFormat="1" ht="15.75" customHeight="1">
      <c r="C38" s="562"/>
      <c r="D38" s="562"/>
      <c r="E38" s="562"/>
      <c r="F38" s="562"/>
      <c r="G38" s="562"/>
      <c r="H38" s="562"/>
      <c r="I38" s="562"/>
      <c r="J38" s="297"/>
      <c r="K38" s="4"/>
      <c r="L38" s="4"/>
      <c r="M38" s="4"/>
      <c r="N38" s="4"/>
      <c r="O38" s="4"/>
      <c r="P38" s="4"/>
      <c r="Q38" s="4"/>
      <c r="R38" s="5"/>
      <c r="S38" s="5"/>
      <c r="T38" s="5"/>
      <c r="U38" s="5"/>
      <c r="V38" s="5"/>
      <c r="W38" s="5"/>
      <c r="X38" s="5"/>
      <c r="AA38" s="5"/>
      <c r="AB38" s="5"/>
    </row>
    <row r="39" spans="2:28" s="6" customFormat="1" ht="15.75" customHeight="1">
      <c r="C39" s="562"/>
      <c r="D39" s="562"/>
      <c r="E39" s="562"/>
      <c r="F39" s="562"/>
      <c r="G39" s="562"/>
      <c r="H39" s="562"/>
      <c r="I39" s="562"/>
      <c r="J39" s="297"/>
      <c r="K39" s="4"/>
      <c r="L39" s="4"/>
      <c r="M39" s="4"/>
      <c r="N39" s="4"/>
      <c r="O39" s="4"/>
      <c r="P39" s="4"/>
      <c r="Q39" s="4"/>
      <c r="R39" s="5"/>
      <c r="S39" s="5"/>
      <c r="T39" s="4"/>
      <c r="U39" s="5"/>
      <c r="V39" s="5"/>
      <c r="W39" s="5"/>
      <c r="X39" s="5"/>
      <c r="AA39" s="5"/>
      <c r="AB39" s="5"/>
    </row>
    <row r="40" spans="2:28" s="288" customFormat="1" ht="15.75" customHeight="1">
      <c r="C40" s="562"/>
      <c r="D40" s="562"/>
      <c r="E40" s="562"/>
      <c r="F40" s="562"/>
      <c r="G40" s="562"/>
      <c r="H40" s="562"/>
      <c r="I40" s="562"/>
      <c r="J40" s="299"/>
      <c r="T40" s="4"/>
    </row>
    <row r="41" spans="2:28" s="287" customFormat="1" ht="15" customHeight="1">
      <c r="C41" s="300"/>
      <c r="D41" s="300"/>
      <c r="E41" s="300"/>
      <c r="F41" s="300"/>
      <c r="G41" s="300"/>
      <c r="H41" s="300"/>
      <c r="I41" s="300"/>
      <c r="J41" s="294"/>
      <c r="O41" s="301">
        <v>1</v>
      </c>
      <c r="S41" s="301">
        <v>1</v>
      </c>
      <c r="T41" s="4"/>
    </row>
    <row r="42" spans="2:28" s="287" customFormat="1" ht="15" customHeight="1">
      <c r="C42" s="300"/>
      <c r="D42" s="300"/>
      <c r="E42" s="300"/>
      <c r="F42" s="300"/>
      <c r="G42" s="300"/>
      <c r="H42" s="300"/>
      <c r="I42" s="300"/>
      <c r="J42" s="294"/>
      <c r="T42" s="4"/>
    </row>
    <row r="43" spans="2:28" s="287" customFormat="1" ht="15" customHeight="1">
      <c r="C43" s="300"/>
      <c r="D43" s="300"/>
      <c r="E43" s="300"/>
      <c r="F43" s="300"/>
      <c r="G43" s="300"/>
      <c r="H43" s="300"/>
      <c r="I43" s="300"/>
      <c r="J43" s="294"/>
      <c r="T43" s="4"/>
    </row>
    <row r="44" spans="2:28" s="287" customFormat="1" ht="15" customHeight="1">
      <c r="C44" s="300"/>
      <c r="D44" s="300"/>
      <c r="E44" s="300"/>
      <c r="F44" s="300"/>
      <c r="G44" s="300"/>
      <c r="H44" s="300"/>
      <c r="I44" s="300"/>
      <c r="J44" s="300"/>
      <c r="K44" s="300"/>
      <c r="T44" s="4"/>
    </row>
    <row r="45" spans="2:28" s="287" customFormat="1">
      <c r="C45" s="300"/>
      <c r="D45" s="300"/>
      <c r="E45" s="300"/>
      <c r="F45" s="300"/>
      <c r="G45" s="300"/>
      <c r="H45" s="300"/>
      <c r="I45" s="300"/>
      <c r="J45" s="300"/>
      <c r="K45" s="300"/>
    </row>
    <row r="46" spans="2:28" s="287" customFormat="1">
      <c r="B46" s="300"/>
      <c r="C46" s="300"/>
      <c r="D46" s="300"/>
      <c r="E46" s="300"/>
      <c r="F46" s="300"/>
      <c r="G46" s="300"/>
      <c r="H46" s="300"/>
      <c r="I46" s="300"/>
      <c r="J46" s="300"/>
      <c r="K46" s="300"/>
    </row>
    <row r="47" spans="2:28" s="287" customFormat="1">
      <c r="B47" s="300"/>
      <c r="C47" s="300"/>
      <c r="D47" s="300"/>
      <c r="E47" s="300"/>
      <c r="F47" s="300"/>
      <c r="G47" s="300"/>
      <c r="H47" s="300"/>
      <c r="I47" s="300"/>
      <c r="J47" s="300"/>
      <c r="K47" s="300"/>
    </row>
    <row r="48" spans="2:28" s="287" customFormat="1">
      <c r="B48" s="300"/>
      <c r="C48" s="300"/>
      <c r="D48" s="300"/>
      <c r="E48" s="300"/>
      <c r="F48" s="300"/>
      <c r="G48" s="300"/>
      <c r="H48" s="300"/>
      <c r="I48" s="300"/>
      <c r="J48" s="300"/>
      <c r="K48" s="300"/>
    </row>
    <row r="49" spans="2:20" s="287" customFormat="1">
      <c r="B49" s="300"/>
      <c r="C49" s="300"/>
      <c r="D49" s="300"/>
      <c r="E49" s="300"/>
      <c r="F49" s="300"/>
      <c r="G49" s="300"/>
      <c r="H49" s="300"/>
      <c r="I49" s="300"/>
      <c r="J49" s="300"/>
    </row>
    <row r="50" spans="2:20">
      <c r="B50" s="287"/>
    </row>
    <row r="51" spans="2:20">
      <c r="B51" s="287"/>
      <c r="S51" s="302"/>
      <c r="T51" s="4"/>
    </row>
    <row r="52" spans="2:20">
      <c r="B52" s="287"/>
      <c r="S52" s="302"/>
      <c r="T52" s="4"/>
    </row>
    <row r="53" spans="2:20">
      <c r="R53" s="286">
        <v>1</v>
      </c>
      <c r="S53" s="302"/>
      <c r="T53" s="4"/>
    </row>
    <row r="54" spans="2:20">
      <c r="S54" s="302"/>
      <c r="T54" s="4"/>
    </row>
    <row r="55" spans="2:20">
      <c r="S55" s="302"/>
      <c r="T55" s="4"/>
    </row>
    <row r="56" spans="2:20">
      <c r="S56" s="302"/>
      <c r="T56" s="4"/>
    </row>
    <row r="57" spans="2:20">
      <c r="S57" s="302"/>
      <c r="T57" s="4"/>
    </row>
    <row r="58" spans="2:20">
      <c r="S58" s="302"/>
      <c r="T58" s="4"/>
    </row>
    <row r="59" spans="2:20">
      <c r="S59" s="302"/>
      <c r="T59" s="4"/>
    </row>
    <row r="60" spans="2:20">
      <c r="S60" s="302"/>
      <c r="T60" s="4"/>
    </row>
    <row r="64" spans="2:20">
      <c r="S64" s="302"/>
      <c r="T64" s="4"/>
    </row>
    <row r="65" spans="1:20">
      <c r="S65" s="302"/>
      <c r="T65" s="4"/>
    </row>
    <row r="66" spans="1:20">
      <c r="S66" s="302"/>
      <c r="T66" s="4"/>
    </row>
    <row r="67" spans="1:20">
      <c r="S67" s="302"/>
      <c r="T67" s="4"/>
    </row>
    <row r="68" spans="1:20">
      <c r="S68" s="302"/>
      <c r="T68" s="4"/>
    </row>
    <row r="69" spans="1:20">
      <c r="S69" s="302"/>
      <c r="T69" s="4"/>
    </row>
    <row r="70" spans="1:20">
      <c r="N70" s="286" t="s">
        <v>28</v>
      </c>
      <c r="S70" s="302"/>
      <c r="T70" s="4"/>
    </row>
    <row r="71" spans="1:20">
      <c r="A71" s="286" t="s">
        <v>29</v>
      </c>
      <c r="E71" s="286" t="s">
        <v>30</v>
      </c>
      <c r="N71" s="286" t="s">
        <v>31</v>
      </c>
      <c r="S71" s="302"/>
      <c r="T71" s="4"/>
    </row>
    <row r="72" spans="1:20">
      <c r="A72" s="286" t="s">
        <v>32</v>
      </c>
      <c r="E72" s="286" t="s">
        <v>33</v>
      </c>
      <c r="N72" s="286" t="s">
        <v>31</v>
      </c>
      <c r="S72" s="302"/>
      <c r="T72" s="4"/>
    </row>
    <row r="73" spans="1:20">
      <c r="S73" s="302"/>
      <c r="T73" s="4"/>
    </row>
    <row r="74" spans="1:20">
      <c r="S74" s="302"/>
      <c r="T74" s="4"/>
    </row>
    <row r="75" spans="1:20">
      <c r="S75" s="302"/>
      <c r="T75" s="4"/>
    </row>
    <row r="76" spans="1:20">
      <c r="S76" s="302"/>
      <c r="T76" s="4"/>
    </row>
    <row r="77" spans="1:20">
      <c r="S77" s="302"/>
      <c r="T77" s="4"/>
    </row>
    <row r="78" spans="1:20">
      <c r="S78" s="302"/>
      <c r="T78" s="4"/>
    </row>
    <row r="79" spans="1:20">
      <c r="S79" s="302"/>
      <c r="T79" s="4"/>
    </row>
    <row r="80" spans="1:20">
      <c r="S80" s="302"/>
      <c r="T80" s="4"/>
    </row>
    <row r="81" spans="19:20">
      <c r="S81" s="302"/>
      <c r="T81" s="4"/>
    </row>
    <row r="82" spans="19:20">
      <c r="S82" s="302"/>
      <c r="T82" s="4"/>
    </row>
    <row r="83" spans="19:20">
      <c r="S83" s="302"/>
      <c r="T83" s="4"/>
    </row>
    <row r="84" spans="19:20">
      <c r="S84" s="302"/>
      <c r="T84" s="4"/>
    </row>
    <row r="85" spans="19:20">
      <c r="S85" s="302"/>
      <c r="T85" s="4"/>
    </row>
    <row r="86" spans="19:20">
      <c r="S86" s="302"/>
      <c r="T86" s="4"/>
    </row>
    <row r="87" spans="19:20">
      <c r="S87" s="302"/>
      <c r="T87" s="4"/>
    </row>
    <row r="88" spans="19:20">
      <c r="S88" s="302"/>
      <c r="T88" s="4"/>
    </row>
    <row r="89" spans="19:20">
      <c r="S89" s="302"/>
      <c r="T89" s="4"/>
    </row>
    <row r="90" spans="19:20">
      <c r="S90" s="302"/>
      <c r="T90" s="4"/>
    </row>
    <row r="91" spans="19:20">
      <c r="S91" s="302"/>
      <c r="T91" s="4"/>
    </row>
    <row r="97" spans="14:20">
      <c r="N97" s="286" t="s">
        <v>34</v>
      </c>
    </row>
    <row r="98" spans="14:20">
      <c r="S98" s="302"/>
      <c r="T98" s="4"/>
    </row>
    <row r="99" spans="14:20">
      <c r="S99" s="302"/>
      <c r="T99" s="4"/>
    </row>
    <row r="100" spans="14:20">
      <c r="N100" s="286" t="s">
        <v>34</v>
      </c>
      <c r="S100" s="302"/>
      <c r="T100" s="4"/>
    </row>
    <row r="101" spans="14:20">
      <c r="N101" s="286" t="s">
        <v>34</v>
      </c>
      <c r="T101" s="4"/>
    </row>
    <row r="102" spans="14:20">
      <c r="T102" s="4"/>
    </row>
    <row r="103" spans="14:20">
      <c r="N103" s="286" t="s">
        <v>34</v>
      </c>
      <c r="S103" s="286">
        <f>SUBTOTAL(9,(S11:S102))</f>
        <v>1</v>
      </c>
      <c r="T103" s="4"/>
    </row>
    <row r="104" spans="14:20">
      <c r="T104" s="4"/>
    </row>
    <row r="105" spans="14:20">
      <c r="T105" s="4"/>
    </row>
    <row r="106" spans="14:20">
      <c r="T106" s="4"/>
    </row>
    <row r="107" spans="14:20">
      <c r="T107" s="4"/>
    </row>
    <row r="114" spans="1:20">
      <c r="T114" s="4"/>
    </row>
    <row r="115" spans="1:20">
      <c r="E115" s="286" t="s">
        <v>35</v>
      </c>
      <c r="N115" s="286" t="s">
        <v>31</v>
      </c>
    </row>
    <row r="117" spans="1:20">
      <c r="A117" s="286" t="s">
        <v>36</v>
      </c>
      <c r="E117" s="286" t="s">
        <v>37</v>
      </c>
      <c r="N117" s="286" t="s">
        <v>38</v>
      </c>
    </row>
  </sheetData>
  <mergeCells count="23">
    <mergeCell ref="C7:I7"/>
    <mergeCell ref="B2:D2"/>
    <mergeCell ref="E2:I2"/>
    <mergeCell ref="J2:L2"/>
    <mergeCell ref="C3:I3"/>
    <mergeCell ref="C4:I4"/>
    <mergeCell ref="C35:I35"/>
    <mergeCell ref="C8:I8"/>
    <mergeCell ref="C9:I9"/>
    <mergeCell ref="C10:I10"/>
    <mergeCell ref="C11:I11"/>
    <mergeCell ref="C20:K20"/>
    <mergeCell ref="C29:I29"/>
    <mergeCell ref="C30:I30"/>
    <mergeCell ref="C31:I31"/>
    <mergeCell ref="C32:I32"/>
    <mergeCell ref="C33:I33"/>
    <mergeCell ref="C34:I34"/>
    <mergeCell ref="C36:I36"/>
    <mergeCell ref="C37:I37"/>
    <mergeCell ref="C38:I38"/>
    <mergeCell ref="C39:I39"/>
    <mergeCell ref="C40:I40"/>
  </mergeCells>
  <dataValidations count="3">
    <dataValidation type="list" allowBlank="1" showInputMessage="1" showErrorMessage="1" promptTitle="SYSTEM" prompt="SELECT FROM DROP DOWN LIST" sqref="WVP983074:WVT983074 SZ9:TD9 ACV9:ACZ9 AMR9:AMV9 AWN9:AWR9 BGJ9:BGN9 BQF9:BQJ9 CAB9:CAF9 CJX9:CKB9 CTT9:CTX9 DDP9:DDT9 DNL9:DNP9 DXH9:DXL9 EHD9:EHH9 EQZ9:ERD9 FAV9:FAZ9 FKR9:FKV9 FUN9:FUR9 GEJ9:GEN9 GOF9:GOJ9 GYB9:GYF9 HHX9:HIB9 HRT9:HRX9 IBP9:IBT9 ILL9:ILP9 IVH9:IVL9 JFD9:JFH9 JOZ9:JPD9 JYV9:JYZ9 KIR9:KIV9 KSN9:KSR9 LCJ9:LCN9 LMF9:LMJ9 LWB9:LWF9 MFX9:MGB9 MPT9:MPX9 MZP9:MZT9 NJL9:NJP9 NTH9:NTL9 ODD9:ODH9 OMZ9:OND9 OWV9:OWZ9 PGR9:PGV9 PQN9:PQR9 QAJ9:QAN9 QKF9:QKJ9 QUB9:QUF9 RDX9:REB9 RNT9:RNX9 RXP9:RXT9 SHL9:SHP9 SRH9:SRL9 TBD9:TBH9 TKZ9:TLD9 TUV9:TUZ9 UER9:UEV9 UON9:UOR9 UYJ9:UYN9 VIF9:VIJ9 VSB9:VSF9 WBX9:WCB9 WLT9:WLX9 WVP9:WVT9 C65570:I65570 JD65570:JH65570 SZ65570:TD65570 ACV65570:ACZ65570 AMR65570:AMV65570 AWN65570:AWR65570 BGJ65570:BGN65570 BQF65570:BQJ65570 CAB65570:CAF65570 CJX65570:CKB65570 CTT65570:CTX65570 DDP65570:DDT65570 DNL65570:DNP65570 DXH65570:DXL65570 EHD65570:EHH65570 EQZ65570:ERD65570 FAV65570:FAZ65570 FKR65570:FKV65570 FUN65570:FUR65570 GEJ65570:GEN65570 GOF65570:GOJ65570 GYB65570:GYF65570 HHX65570:HIB65570 HRT65570:HRX65570 IBP65570:IBT65570 ILL65570:ILP65570 IVH65570:IVL65570 JFD65570:JFH65570 JOZ65570:JPD65570 JYV65570:JYZ65570 KIR65570:KIV65570 KSN65570:KSR65570 LCJ65570:LCN65570 LMF65570:LMJ65570 LWB65570:LWF65570 MFX65570:MGB65570 MPT65570:MPX65570 MZP65570:MZT65570 NJL65570:NJP65570 NTH65570:NTL65570 ODD65570:ODH65570 OMZ65570:OND65570 OWV65570:OWZ65570 PGR65570:PGV65570 PQN65570:PQR65570 QAJ65570:QAN65570 QKF65570:QKJ65570 QUB65570:QUF65570 RDX65570:REB65570 RNT65570:RNX65570 RXP65570:RXT65570 SHL65570:SHP65570 SRH65570:SRL65570 TBD65570:TBH65570 TKZ65570:TLD65570 TUV65570:TUZ65570 UER65570:UEV65570 UON65570:UOR65570 UYJ65570:UYN65570 VIF65570:VIJ65570 VSB65570:VSF65570 WBX65570:WCB65570 WLT65570:WLX65570 WVP65570:WVT65570 C131106:I131106 JD131106:JH131106 SZ131106:TD131106 ACV131106:ACZ131106 AMR131106:AMV131106 AWN131106:AWR131106 BGJ131106:BGN131106 BQF131106:BQJ131106 CAB131106:CAF131106 CJX131106:CKB131106 CTT131106:CTX131106 DDP131106:DDT131106 DNL131106:DNP131106 DXH131106:DXL131106 EHD131106:EHH131106 EQZ131106:ERD131106 FAV131106:FAZ131106 FKR131106:FKV131106 FUN131106:FUR131106 GEJ131106:GEN131106 GOF131106:GOJ131106 GYB131106:GYF131106 HHX131106:HIB131106 HRT131106:HRX131106 IBP131106:IBT131106 ILL131106:ILP131106 IVH131106:IVL131106 JFD131106:JFH131106 JOZ131106:JPD131106 JYV131106:JYZ131106 KIR131106:KIV131106 KSN131106:KSR131106 LCJ131106:LCN131106 LMF131106:LMJ131106 LWB131106:LWF131106 MFX131106:MGB131106 MPT131106:MPX131106 MZP131106:MZT131106 NJL131106:NJP131106 NTH131106:NTL131106 ODD131106:ODH131106 OMZ131106:OND131106 OWV131106:OWZ131106 PGR131106:PGV131106 PQN131106:PQR131106 QAJ131106:QAN131106 QKF131106:QKJ131106 QUB131106:QUF131106 RDX131106:REB131106 RNT131106:RNX131106 RXP131106:RXT131106 SHL131106:SHP131106 SRH131106:SRL131106 TBD131106:TBH131106 TKZ131106:TLD131106 TUV131106:TUZ131106 UER131106:UEV131106 UON131106:UOR131106 UYJ131106:UYN131106 VIF131106:VIJ131106 VSB131106:VSF131106 WBX131106:WCB131106 WLT131106:WLX131106 WVP131106:WVT131106 C196642:I196642 JD196642:JH196642 SZ196642:TD196642 ACV196642:ACZ196642 AMR196642:AMV196642 AWN196642:AWR196642 BGJ196642:BGN196642 BQF196642:BQJ196642 CAB196642:CAF196642 CJX196642:CKB196642 CTT196642:CTX196642 DDP196642:DDT196642 DNL196642:DNP196642 DXH196642:DXL196642 EHD196642:EHH196642 EQZ196642:ERD196642 FAV196642:FAZ196642 FKR196642:FKV196642 FUN196642:FUR196642 GEJ196642:GEN196642 GOF196642:GOJ196642 GYB196642:GYF196642 HHX196642:HIB196642 HRT196642:HRX196642 IBP196642:IBT196642 ILL196642:ILP196642 IVH196642:IVL196642 JFD196642:JFH196642 JOZ196642:JPD196642 JYV196642:JYZ196642 KIR196642:KIV196642 KSN196642:KSR196642 LCJ196642:LCN196642 LMF196642:LMJ196642 LWB196642:LWF196642 MFX196642:MGB196642 MPT196642:MPX196642 MZP196642:MZT196642 NJL196642:NJP196642 NTH196642:NTL196642 ODD196642:ODH196642 OMZ196642:OND196642 OWV196642:OWZ196642 PGR196642:PGV196642 PQN196642:PQR196642 QAJ196642:QAN196642 QKF196642:QKJ196642 QUB196642:QUF196642 RDX196642:REB196642 RNT196642:RNX196642 RXP196642:RXT196642 SHL196642:SHP196642 SRH196642:SRL196642 TBD196642:TBH196642 TKZ196642:TLD196642 TUV196642:TUZ196642 UER196642:UEV196642 UON196642:UOR196642 UYJ196642:UYN196642 VIF196642:VIJ196642 VSB196642:VSF196642 WBX196642:WCB196642 WLT196642:WLX196642 WVP196642:WVT196642 C262178:I262178 JD262178:JH262178 SZ262178:TD262178 ACV262178:ACZ262178 AMR262178:AMV262178 AWN262178:AWR262178 BGJ262178:BGN262178 BQF262178:BQJ262178 CAB262178:CAF262178 CJX262178:CKB262178 CTT262178:CTX262178 DDP262178:DDT262178 DNL262178:DNP262178 DXH262178:DXL262178 EHD262178:EHH262178 EQZ262178:ERD262178 FAV262178:FAZ262178 FKR262178:FKV262178 FUN262178:FUR262178 GEJ262178:GEN262178 GOF262178:GOJ262178 GYB262178:GYF262178 HHX262178:HIB262178 HRT262178:HRX262178 IBP262178:IBT262178 ILL262178:ILP262178 IVH262178:IVL262178 JFD262178:JFH262178 JOZ262178:JPD262178 JYV262178:JYZ262178 KIR262178:KIV262178 KSN262178:KSR262178 LCJ262178:LCN262178 LMF262178:LMJ262178 LWB262178:LWF262178 MFX262178:MGB262178 MPT262178:MPX262178 MZP262178:MZT262178 NJL262178:NJP262178 NTH262178:NTL262178 ODD262178:ODH262178 OMZ262178:OND262178 OWV262178:OWZ262178 PGR262178:PGV262178 PQN262178:PQR262178 QAJ262178:QAN262178 QKF262178:QKJ262178 QUB262178:QUF262178 RDX262178:REB262178 RNT262178:RNX262178 RXP262178:RXT262178 SHL262178:SHP262178 SRH262178:SRL262178 TBD262178:TBH262178 TKZ262178:TLD262178 TUV262178:TUZ262178 UER262178:UEV262178 UON262178:UOR262178 UYJ262178:UYN262178 VIF262178:VIJ262178 VSB262178:VSF262178 WBX262178:WCB262178 WLT262178:WLX262178 WVP262178:WVT262178 C327714:I327714 JD327714:JH327714 SZ327714:TD327714 ACV327714:ACZ327714 AMR327714:AMV327714 AWN327714:AWR327714 BGJ327714:BGN327714 BQF327714:BQJ327714 CAB327714:CAF327714 CJX327714:CKB327714 CTT327714:CTX327714 DDP327714:DDT327714 DNL327714:DNP327714 DXH327714:DXL327714 EHD327714:EHH327714 EQZ327714:ERD327714 FAV327714:FAZ327714 FKR327714:FKV327714 FUN327714:FUR327714 GEJ327714:GEN327714 GOF327714:GOJ327714 GYB327714:GYF327714 HHX327714:HIB327714 HRT327714:HRX327714 IBP327714:IBT327714 ILL327714:ILP327714 IVH327714:IVL327714 JFD327714:JFH327714 JOZ327714:JPD327714 JYV327714:JYZ327714 KIR327714:KIV327714 KSN327714:KSR327714 LCJ327714:LCN327714 LMF327714:LMJ327714 LWB327714:LWF327714 MFX327714:MGB327714 MPT327714:MPX327714 MZP327714:MZT327714 NJL327714:NJP327714 NTH327714:NTL327714 ODD327714:ODH327714 OMZ327714:OND327714 OWV327714:OWZ327714 PGR327714:PGV327714 PQN327714:PQR327714 QAJ327714:QAN327714 QKF327714:QKJ327714 QUB327714:QUF327714 RDX327714:REB327714 RNT327714:RNX327714 RXP327714:RXT327714 SHL327714:SHP327714 SRH327714:SRL327714 TBD327714:TBH327714 TKZ327714:TLD327714 TUV327714:TUZ327714 UER327714:UEV327714 UON327714:UOR327714 UYJ327714:UYN327714 VIF327714:VIJ327714 VSB327714:VSF327714 WBX327714:WCB327714 WLT327714:WLX327714 WVP327714:WVT327714 C393250:I393250 JD393250:JH393250 SZ393250:TD393250 ACV393250:ACZ393250 AMR393250:AMV393250 AWN393250:AWR393250 BGJ393250:BGN393250 BQF393250:BQJ393250 CAB393250:CAF393250 CJX393250:CKB393250 CTT393250:CTX393250 DDP393250:DDT393250 DNL393250:DNP393250 DXH393250:DXL393250 EHD393250:EHH393250 EQZ393250:ERD393250 FAV393250:FAZ393250 FKR393250:FKV393250 FUN393250:FUR393250 GEJ393250:GEN393250 GOF393250:GOJ393250 GYB393250:GYF393250 HHX393250:HIB393250 HRT393250:HRX393250 IBP393250:IBT393250 ILL393250:ILP393250 IVH393250:IVL393250 JFD393250:JFH393250 JOZ393250:JPD393250 JYV393250:JYZ393250 KIR393250:KIV393250 KSN393250:KSR393250 LCJ393250:LCN393250 LMF393250:LMJ393250 LWB393250:LWF393250 MFX393250:MGB393250 MPT393250:MPX393250 MZP393250:MZT393250 NJL393250:NJP393250 NTH393250:NTL393250 ODD393250:ODH393250 OMZ393250:OND393250 OWV393250:OWZ393250 PGR393250:PGV393250 PQN393250:PQR393250 QAJ393250:QAN393250 QKF393250:QKJ393250 QUB393250:QUF393250 RDX393250:REB393250 RNT393250:RNX393250 RXP393250:RXT393250 SHL393250:SHP393250 SRH393250:SRL393250 TBD393250:TBH393250 TKZ393250:TLD393250 TUV393250:TUZ393250 UER393250:UEV393250 UON393250:UOR393250 UYJ393250:UYN393250 VIF393250:VIJ393250 VSB393250:VSF393250 WBX393250:WCB393250 WLT393250:WLX393250 WVP393250:WVT393250 C458786:I458786 JD458786:JH458786 SZ458786:TD458786 ACV458786:ACZ458786 AMR458786:AMV458786 AWN458786:AWR458786 BGJ458786:BGN458786 BQF458786:BQJ458786 CAB458786:CAF458786 CJX458786:CKB458786 CTT458786:CTX458786 DDP458786:DDT458786 DNL458786:DNP458786 DXH458786:DXL458786 EHD458786:EHH458786 EQZ458786:ERD458786 FAV458786:FAZ458786 FKR458786:FKV458786 FUN458786:FUR458786 GEJ458786:GEN458786 GOF458786:GOJ458786 GYB458786:GYF458786 HHX458786:HIB458786 HRT458786:HRX458786 IBP458786:IBT458786 ILL458786:ILP458786 IVH458786:IVL458786 JFD458786:JFH458786 JOZ458786:JPD458786 JYV458786:JYZ458786 KIR458786:KIV458786 KSN458786:KSR458786 LCJ458786:LCN458786 LMF458786:LMJ458786 LWB458786:LWF458786 MFX458786:MGB458786 MPT458786:MPX458786 MZP458786:MZT458786 NJL458786:NJP458786 NTH458786:NTL458786 ODD458786:ODH458786 OMZ458786:OND458786 OWV458786:OWZ458786 PGR458786:PGV458786 PQN458786:PQR458786 QAJ458786:QAN458786 QKF458786:QKJ458786 QUB458786:QUF458786 RDX458786:REB458786 RNT458786:RNX458786 RXP458786:RXT458786 SHL458786:SHP458786 SRH458786:SRL458786 TBD458786:TBH458786 TKZ458786:TLD458786 TUV458786:TUZ458786 UER458786:UEV458786 UON458786:UOR458786 UYJ458786:UYN458786 VIF458786:VIJ458786 VSB458786:VSF458786 WBX458786:WCB458786 WLT458786:WLX458786 WVP458786:WVT458786 C524322:I524322 JD524322:JH524322 SZ524322:TD524322 ACV524322:ACZ524322 AMR524322:AMV524322 AWN524322:AWR524322 BGJ524322:BGN524322 BQF524322:BQJ524322 CAB524322:CAF524322 CJX524322:CKB524322 CTT524322:CTX524322 DDP524322:DDT524322 DNL524322:DNP524322 DXH524322:DXL524322 EHD524322:EHH524322 EQZ524322:ERD524322 FAV524322:FAZ524322 FKR524322:FKV524322 FUN524322:FUR524322 GEJ524322:GEN524322 GOF524322:GOJ524322 GYB524322:GYF524322 HHX524322:HIB524322 HRT524322:HRX524322 IBP524322:IBT524322 ILL524322:ILP524322 IVH524322:IVL524322 JFD524322:JFH524322 JOZ524322:JPD524322 JYV524322:JYZ524322 KIR524322:KIV524322 KSN524322:KSR524322 LCJ524322:LCN524322 LMF524322:LMJ524322 LWB524322:LWF524322 MFX524322:MGB524322 MPT524322:MPX524322 MZP524322:MZT524322 NJL524322:NJP524322 NTH524322:NTL524322 ODD524322:ODH524322 OMZ524322:OND524322 OWV524322:OWZ524322 PGR524322:PGV524322 PQN524322:PQR524322 QAJ524322:QAN524322 QKF524322:QKJ524322 QUB524322:QUF524322 RDX524322:REB524322 RNT524322:RNX524322 RXP524322:RXT524322 SHL524322:SHP524322 SRH524322:SRL524322 TBD524322:TBH524322 TKZ524322:TLD524322 TUV524322:TUZ524322 UER524322:UEV524322 UON524322:UOR524322 UYJ524322:UYN524322 VIF524322:VIJ524322 VSB524322:VSF524322 WBX524322:WCB524322 WLT524322:WLX524322 WVP524322:WVT524322 C589858:I589858 JD589858:JH589858 SZ589858:TD589858 ACV589858:ACZ589858 AMR589858:AMV589858 AWN589858:AWR589858 BGJ589858:BGN589858 BQF589858:BQJ589858 CAB589858:CAF589858 CJX589858:CKB589858 CTT589858:CTX589858 DDP589858:DDT589858 DNL589858:DNP589858 DXH589858:DXL589858 EHD589858:EHH589858 EQZ589858:ERD589858 FAV589858:FAZ589858 FKR589858:FKV589858 FUN589858:FUR589858 GEJ589858:GEN589858 GOF589858:GOJ589858 GYB589858:GYF589858 HHX589858:HIB589858 HRT589858:HRX589858 IBP589858:IBT589858 ILL589858:ILP589858 IVH589858:IVL589858 JFD589858:JFH589858 JOZ589858:JPD589858 JYV589858:JYZ589858 KIR589858:KIV589858 KSN589858:KSR589858 LCJ589858:LCN589858 LMF589858:LMJ589858 LWB589858:LWF589858 MFX589858:MGB589858 MPT589858:MPX589858 MZP589858:MZT589858 NJL589858:NJP589858 NTH589858:NTL589858 ODD589858:ODH589858 OMZ589858:OND589858 OWV589858:OWZ589858 PGR589858:PGV589858 PQN589858:PQR589858 QAJ589858:QAN589858 QKF589858:QKJ589858 QUB589858:QUF589858 RDX589858:REB589858 RNT589858:RNX589858 RXP589858:RXT589858 SHL589858:SHP589858 SRH589858:SRL589858 TBD589858:TBH589858 TKZ589858:TLD589858 TUV589858:TUZ589858 UER589858:UEV589858 UON589858:UOR589858 UYJ589858:UYN589858 VIF589858:VIJ589858 VSB589858:VSF589858 WBX589858:WCB589858 WLT589858:WLX589858 WVP589858:WVT589858 C655394:I655394 JD655394:JH655394 SZ655394:TD655394 ACV655394:ACZ655394 AMR655394:AMV655394 AWN655394:AWR655394 BGJ655394:BGN655394 BQF655394:BQJ655394 CAB655394:CAF655394 CJX655394:CKB655394 CTT655394:CTX655394 DDP655394:DDT655394 DNL655394:DNP655394 DXH655394:DXL655394 EHD655394:EHH655394 EQZ655394:ERD655394 FAV655394:FAZ655394 FKR655394:FKV655394 FUN655394:FUR655394 GEJ655394:GEN655394 GOF655394:GOJ655394 GYB655394:GYF655394 HHX655394:HIB655394 HRT655394:HRX655394 IBP655394:IBT655394 ILL655394:ILP655394 IVH655394:IVL655394 JFD655394:JFH655394 JOZ655394:JPD655394 JYV655394:JYZ655394 KIR655394:KIV655394 KSN655394:KSR655394 LCJ655394:LCN655394 LMF655394:LMJ655394 LWB655394:LWF655394 MFX655394:MGB655394 MPT655394:MPX655394 MZP655394:MZT655394 NJL655394:NJP655394 NTH655394:NTL655394 ODD655394:ODH655394 OMZ655394:OND655394 OWV655394:OWZ655394 PGR655394:PGV655394 PQN655394:PQR655394 QAJ655394:QAN655394 QKF655394:QKJ655394 QUB655394:QUF655394 RDX655394:REB655394 RNT655394:RNX655394 RXP655394:RXT655394 SHL655394:SHP655394 SRH655394:SRL655394 TBD655394:TBH655394 TKZ655394:TLD655394 TUV655394:TUZ655394 UER655394:UEV655394 UON655394:UOR655394 UYJ655394:UYN655394 VIF655394:VIJ655394 VSB655394:VSF655394 WBX655394:WCB655394 WLT655394:WLX655394 WVP655394:WVT655394 C720930:I720930 JD720930:JH720930 SZ720930:TD720930 ACV720930:ACZ720930 AMR720930:AMV720930 AWN720930:AWR720930 BGJ720930:BGN720930 BQF720930:BQJ720930 CAB720930:CAF720930 CJX720930:CKB720930 CTT720930:CTX720930 DDP720930:DDT720930 DNL720930:DNP720930 DXH720930:DXL720930 EHD720930:EHH720930 EQZ720930:ERD720930 FAV720930:FAZ720930 FKR720930:FKV720930 FUN720930:FUR720930 GEJ720930:GEN720930 GOF720930:GOJ720930 GYB720930:GYF720930 HHX720930:HIB720930 HRT720930:HRX720930 IBP720930:IBT720930 ILL720930:ILP720930 IVH720930:IVL720930 JFD720930:JFH720930 JOZ720930:JPD720930 JYV720930:JYZ720930 KIR720930:KIV720930 KSN720930:KSR720930 LCJ720930:LCN720930 LMF720930:LMJ720930 LWB720930:LWF720930 MFX720930:MGB720930 MPT720930:MPX720930 MZP720930:MZT720930 NJL720930:NJP720930 NTH720930:NTL720930 ODD720930:ODH720930 OMZ720930:OND720930 OWV720930:OWZ720930 PGR720930:PGV720930 PQN720930:PQR720930 QAJ720930:QAN720930 QKF720930:QKJ720930 QUB720930:QUF720930 RDX720930:REB720930 RNT720930:RNX720930 RXP720930:RXT720930 SHL720930:SHP720930 SRH720930:SRL720930 TBD720930:TBH720930 TKZ720930:TLD720930 TUV720930:TUZ720930 UER720930:UEV720930 UON720930:UOR720930 UYJ720930:UYN720930 VIF720930:VIJ720930 VSB720930:VSF720930 WBX720930:WCB720930 WLT720930:WLX720930 WVP720930:WVT720930 C786466:I786466 JD786466:JH786466 SZ786466:TD786466 ACV786466:ACZ786466 AMR786466:AMV786466 AWN786466:AWR786466 BGJ786466:BGN786466 BQF786466:BQJ786466 CAB786466:CAF786466 CJX786466:CKB786466 CTT786466:CTX786466 DDP786466:DDT786466 DNL786466:DNP786466 DXH786466:DXL786466 EHD786466:EHH786466 EQZ786466:ERD786466 FAV786466:FAZ786466 FKR786466:FKV786466 FUN786466:FUR786466 GEJ786466:GEN786466 GOF786466:GOJ786466 GYB786466:GYF786466 HHX786466:HIB786466 HRT786466:HRX786466 IBP786466:IBT786466 ILL786466:ILP786466 IVH786466:IVL786466 JFD786466:JFH786466 JOZ786466:JPD786466 JYV786466:JYZ786466 KIR786466:KIV786466 KSN786466:KSR786466 LCJ786466:LCN786466 LMF786466:LMJ786466 LWB786466:LWF786466 MFX786466:MGB786466 MPT786466:MPX786466 MZP786466:MZT786466 NJL786466:NJP786466 NTH786466:NTL786466 ODD786466:ODH786466 OMZ786466:OND786466 OWV786466:OWZ786466 PGR786466:PGV786466 PQN786466:PQR786466 QAJ786466:QAN786466 QKF786466:QKJ786466 QUB786466:QUF786466 RDX786466:REB786466 RNT786466:RNX786466 RXP786466:RXT786466 SHL786466:SHP786466 SRH786466:SRL786466 TBD786466:TBH786466 TKZ786466:TLD786466 TUV786466:TUZ786466 UER786466:UEV786466 UON786466:UOR786466 UYJ786466:UYN786466 VIF786466:VIJ786466 VSB786466:VSF786466 WBX786466:WCB786466 WLT786466:WLX786466 WVP786466:WVT786466 C852002:I852002 JD852002:JH852002 SZ852002:TD852002 ACV852002:ACZ852002 AMR852002:AMV852002 AWN852002:AWR852002 BGJ852002:BGN852002 BQF852002:BQJ852002 CAB852002:CAF852002 CJX852002:CKB852002 CTT852002:CTX852002 DDP852002:DDT852002 DNL852002:DNP852002 DXH852002:DXL852002 EHD852002:EHH852002 EQZ852002:ERD852002 FAV852002:FAZ852002 FKR852002:FKV852002 FUN852002:FUR852002 GEJ852002:GEN852002 GOF852002:GOJ852002 GYB852002:GYF852002 HHX852002:HIB852002 HRT852002:HRX852002 IBP852002:IBT852002 ILL852002:ILP852002 IVH852002:IVL852002 JFD852002:JFH852002 JOZ852002:JPD852002 JYV852002:JYZ852002 KIR852002:KIV852002 KSN852002:KSR852002 LCJ852002:LCN852002 LMF852002:LMJ852002 LWB852002:LWF852002 MFX852002:MGB852002 MPT852002:MPX852002 MZP852002:MZT852002 NJL852002:NJP852002 NTH852002:NTL852002 ODD852002:ODH852002 OMZ852002:OND852002 OWV852002:OWZ852002 PGR852002:PGV852002 PQN852002:PQR852002 QAJ852002:QAN852002 QKF852002:QKJ852002 QUB852002:QUF852002 RDX852002:REB852002 RNT852002:RNX852002 RXP852002:RXT852002 SHL852002:SHP852002 SRH852002:SRL852002 TBD852002:TBH852002 TKZ852002:TLD852002 TUV852002:TUZ852002 UER852002:UEV852002 UON852002:UOR852002 UYJ852002:UYN852002 VIF852002:VIJ852002 VSB852002:VSF852002 WBX852002:WCB852002 WLT852002:WLX852002 WVP852002:WVT852002 C917538:I917538 JD917538:JH917538 SZ917538:TD917538 ACV917538:ACZ917538 AMR917538:AMV917538 AWN917538:AWR917538 BGJ917538:BGN917538 BQF917538:BQJ917538 CAB917538:CAF917538 CJX917538:CKB917538 CTT917538:CTX917538 DDP917538:DDT917538 DNL917538:DNP917538 DXH917538:DXL917538 EHD917538:EHH917538 EQZ917538:ERD917538 FAV917538:FAZ917538 FKR917538:FKV917538 FUN917538:FUR917538 GEJ917538:GEN917538 GOF917538:GOJ917538 GYB917538:GYF917538 HHX917538:HIB917538 HRT917538:HRX917538 IBP917538:IBT917538 ILL917538:ILP917538 IVH917538:IVL917538 JFD917538:JFH917538 JOZ917538:JPD917538 JYV917538:JYZ917538 KIR917538:KIV917538 KSN917538:KSR917538 LCJ917538:LCN917538 LMF917538:LMJ917538 LWB917538:LWF917538 MFX917538:MGB917538 MPT917538:MPX917538 MZP917538:MZT917538 NJL917538:NJP917538 NTH917538:NTL917538 ODD917538:ODH917538 OMZ917538:OND917538 OWV917538:OWZ917538 PGR917538:PGV917538 PQN917538:PQR917538 QAJ917538:QAN917538 QKF917538:QKJ917538 QUB917538:QUF917538 RDX917538:REB917538 RNT917538:RNX917538 RXP917538:RXT917538 SHL917538:SHP917538 SRH917538:SRL917538 TBD917538:TBH917538 TKZ917538:TLD917538 TUV917538:TUZ917538 UER917538:UEV917538 UON917538:UOR917538 UYJ917538:UYN917538 VIF917538:VIJ917538 VSB917538:VSF917538 WBX917538:WCB917538 WLT917538:WLX917538 WVP917538:WVT917538 C983074:I983074 JD983074:JH983074 SZ983074:TD983074 ACV983074:ACZ983074 AMR983074:AMV983074 AWN983074:AWR983074 BGJ983074:BGN983074 BQF983074:BQJ983074 CAB983074:CAF983074 CJX983074:CKB983074 CTT983074:CTX983074 DDP983074:DDT983074 DNL983074:DNP983074 DXH983074:DXL983074 EHD983074:EHH983074 EQZ983074:ERD983074 FAV983074:FAZ983074 FKR983074:FKV983074 FUN983074:FUR983074 GEJ983074:GEN983074 GOF983074:GOJ983074 GYB983074:GYF983074 HHX983074:HIB983074 HRT983074:HRX983074 IBP983074:IBT983074 ILL983074:ILP983074 IVH983074:IVL983074 JFD983074:JFH983074 JOZ983074:JPD983074 JYV983074:JYZ983074 KIR983074:KIV983074 KSN983074:KSR983074 LCJ983074:LCN983074 LMF983074:LMJ983074 LWB983074:LWF983074 MFX983074:MGB983074 MPT983074:MPX983074 MZP983074:MZT983074 NJL983074:NJP983074 NTH983074:NTL983074 ODD983074:ODH983074 OMZ983074:OND983074 OWV983074:OWZ983074 PGR983074:PGV983074 PQN983074:PQR983074 QAJ983074:QAN983074 QKF983074:QKJ983074 QUB983074:QUF983074 RDX983074:REB983074 RNT983074:RNX983074 RXP983074:RXT983074 SHL983074:SHP983074 SRH983074:SRL983074 TBD983074:TBH983074 TKZ983074:TLD983074 TUV983074:TUZ983074 UER983074:UEV983074 UON983074:UOR983074 UYJ983074:UYN983074 VIF983074:VIJ983074 VSB983074:VSF983074 WBX983074:WCB983074 WLT983074:WLX983074 JD9:JH9" xr:uid="{F645DC08-BD3C-4455-88F2-D5341C7A0B6D}">
      <formula1>$K$9:$Q$9</formula1>
    </dataValidation>
    <dataValidation type="list" allowBlank="1" showInputMessage="1" showErrorMessage="1" promptTitle="WORK" prompt="SELECT FROM DROP DOWN LIST" sqref="WVP983073:WVT983073 JD65569:JH65569 SZ65569:TD65569 ACV65569:ACZ65569 AMR65569:AMV65569 AWN65569:AWR65569 BGJ65569:BGN65569 BQF65569:BQJ65569 CAB65569:CAF65569 CJX65569:CKB65569 CTT65569:CTX65569 DDP65569:DDT65569 DNL65569:DNP65569 DXH65569:DXL65569 EHD65569:EHH65569 EQZ65569:ERD65569 FAV65569:FAZ65569 FKR65569:FKV65569 FUN65569:FUR65569 GEJ65569:GEN65569 GOF65569:GOJ65569 GYB65569:GYF65569 HHX65569:HIB65569 HRT65569:HRX65569 IBP65569:IBT65569 ILL65569:ILP65569 IVH65569:IVL65569 JFD65569:JFH65569 JOZ65569:JPD65569 JYV65569:JYZ65569 KIR65569:KIV65569 KSN65569:KSR65569 LCJ65569:LCN65569 LMF65569:LMJ65569 LWB65569:LWF65569 MFX65569:MGB65569 MPT65569:MPX65569 MZP65569:MZT65569 NJL65569:NJP65569 NTH65569:NTL65569 ODD65569:ODH65569 OMZ65569:OND65569 OWV65569:OWZ65569 PGR65569:PGV65569 PQN65569:PQR65569 QAJ65569:QAN65569 QKF65569:QKJ65569 QUB65569:QUF65569 RDX65569:REB65569 RNT65569:RNX65569 RXP65569:RXT65569 SHL65569:SHP65569 SRH65569:SRL65569 TBD65569:TBH65569 TKZ65569:TLD65569 TUV65569:TUZ65569 UER65569:UEV65569 UON65569:UOR65569 UYJ65569:UYN65569 VIF65569:VIJ65569 VSB65569:VSF65569 WBX65569:WCB65569 WLT65569:WLX65569 WVP65569:WVT65569 JD131105:JH131105 SZ131105:TD131105 ACV131105:ACZ131105 AMR131105:AMV131105 AWN131105:AWR131105 BGJ131105:BGN131105 BQF131105:BQJ131105 CAB131105:CAF131105 CJX131105:CKB131105 CTT131105:CTX131105 DDP131105:DDT131105 DNL131105:DNP131105 DXH131105:DXL131105 EHD131105:EHH131105 EQZ131105:ERD131105 FAV131105:FAZ131105 FKR131105:FKV131105 FUN131105:FUR131105 GEJ131105:GEN131105 GOF131105:GOJ131105 GYB131105:GYF131105 HHX131105:HIB131105 HRT131105:HRX131105 IBP131105:IBT131105 ILL131105:ILP131105 IVH131105:IVL131105 JFD131105:JFH131105 JOZ131105:JPD131105 JYV131105:JYZ131105 KIR131105:KIV131105 KSN131105:KSR131105 LCJ131105:LCN131105 LMF131105:LMJ131105 LWB131105:LWF131105 MFX131105:MGB131105 MPT131105:MPX131105 MZP131105:MZT131105 NJL131105:NJP131105 NTH131105:NTL131105 ODD131105:ODH131105 OMZ131105:OND131105 OWV131105:OWZ131105 PGR131105:PGV131105 PQN131105:PQR131105 QAJ131105:QAN131105 QKF131105:QKJ131105 QUB131105:QUF131105 RDX131105:REB131105 RNT131105:RNX131105 RXP131105:RXT131105 SHL131105:SHP131105 SRH131105:SRL131105 TBD131105:TBH131105 TKZ131105:TLD131105 TUV131105:TUZ131105 UER131105:UEV131105 UON131105:UOR131105 UYJ131105:UYN131105 VIF131105:VIJ131105 VSB131105:VSF131105 WBX131105:WCB131105 WLT131105:WLX131105 WVP131105:WVT131105 JD196641:JH196641 SZ196641:TD196641 ACV196641:ACZ196641 AMR196641:AMV196641 AWN196641:AWR196641 BGJ196641:BGN196641 BQF196641:BQJ196641 CAB196641:CAF196641 CJX196641:CKB196641 CTT196641:CTX196641 DDP196641:DDT196641 DNL196641:DNP196641 DXH196641:DXL196641 EHD196641:EHH196641 EQZ196641:ERD196641 FAV196641:FAZ196641 FKR196641:FKV196641 FUN196641:FUR196641 GEJ196641:GEN196641 GOF196641:GOJ196641 GYB196641:GYF196641 HHX196641:HIB196641 HRT196641:HRX196641 IBP196641:IBT196641 ILL196641:ILP196641 IVH196641:IVL196641 JFD196641:JFH196641 JOZ196641:JPD196641 JYV196641:JYZ196641 KIR196641:KIV196641 KSN196641:KSR196641 LCJ196641:LCN196641 LMF196641:LMJ196641 LWB196641:LWF196641 MFX196641:MGB196641 MPT196641:MPX196641 MZP196641:MZT196641 NJL196641:NJP196641 NTH196641:NTL196641 ODD196641:ODH196641 OMZ196641:OND196641 OWV196641:OWZ196641 PGR196641:PGV196641 PQN196641:PQR196641 QAJ196641:QAN196641 QKF196641:QKJ196641 QUB196641:QUF196641 RDX196641:REB196641 RNT196641:RNX196641 RXP196641:RXT196641 SHL196641:SHP196641 SRH196641:SRL196641 TBD196641:TBH196641 TKZ196641:TLD196641 TUV196641:TUZ196641 UER196641:UEV196641 UON196641:UOR196641 UYJ196641:UYN196641 VIF196641:VIJ196641 VSB196641:VSF196641 WBX196641:WCB196641 WLT196641:WLX196641 WVP196641:WVT196641 JD262177:JH262177 SZ262177:TD262177 ACV262177:ACZ262177 AMR262177:AMV262177 AWN262177:AWR262177 BGJ262177:BGN262177 BQF262177:BQJ262177 CAB262177:CAF262177 CJX262177:CKB262177 CTT262177:CTX262177 DDP262177:DDT262177 DNL262177:DNP262177 DXH262177:DXL262177 EHD262177:EHH262177 EQZ262177:ERD262177 FAV262177:FAZ262177 FKR262177:FKV262177 FUN262177:FUR262177 GEJ262177:GEN262177 GOF262177:GOJ262177 GYB262177:GYF262177 HHX262177:HIB262177 HRT262177:HRX262177 IBP262177:IBT262177 ILL262177:ILP262177 IVH262177:IVL262177 JFD262177:JFH262177 JOZ262177:JPD262177 JYV262177:JYZ262177 KIR262177:KIV262177 KSN262177:KSR262177 LCJ262177:LCN262177 LMF262177:LMJ262177 LWB262177:LWF262177 MFX262177:MGB262177 MPT262177:MPX262177 MZP262177:MZT262177 NJL262177:NJP262177 NTH262177:NTL262177 ODD262177:ODH262177 OMZ262177:OND262177 OWV262177:OWZ262177 PGR262177:PGV262177 PQN262177:PQR262177 QAJ262177:QAN262177 QKF262177:QKJ262177 QUB262177:QUF262177 RDX262177:REB262177 RNT262177:RNX262177 RXP262177:RXT262177 SHL262177:SHP262177 SRH262177:SRL262177 TBD262177:TBH262177 TKZ262177:TLD262177 TUV262177:TUZ262177 UER262177:UEV262177 UON262177:UOR262177 UYJ262177:UYN262177 VIF262177:VIJ262177 VSB262177:VSF262177 WBX262177:WCB262177 WLT262177:WLX262177 WVP262177:WVT262177 JD327713:JH327713 SZ327713:TD327713 ACV327713:ACZ327713 AMR327713:AMV327713 AWN327713:AWR327713 BGJ327713:BGN327713 BQF327713:BQJ327713 CAB327713:CAF327713 CJX327713:CKB327713 CTT327713:CTX327713 DDP327713:DDT327713 DNL327713:DNP327713 DXH327713:DXL327713 EHD327713:EHH327713 EQZ327713:ERD327713 FAV327713:FAZ327713 FKR327713:FKV327713 FUN327713:FUR327713 GEJ327713:GEN327713 GOF327713:GOJ327713 GYB327713:GYF327713 HHX327713:HIB327713 HRT327713:HRX327713 IBP327713:IBT327713 ILL327713:ILP327713 IVH327713:IVL327713 JFD327713:JFH327713 JOZ327713:JPD327713 JYV327713:JYZ327713 KIR327713:KIV327713 KSN327713:KSR327713 LCJ327713:LCN327713 LMF327713:LMJ327713 LWB327713:LWF327713 MFX327713:MGB327713 MPT327713:MPX327713 MZP327713:MZT327713 NJL327713:NJP327713 NTH327713:NTL327713 ODD327713:ODH327713 OMZ327713:OND327713 OWV327713:OWZ327713 PGR327713:PGV327713 PQN327713:PQR327713 QAJ327713:QAN327713 QKF327713:QKJ327713 QUB327713:QUF327713 RDX327713:REB327713 RNT327713:RNX327713 RXP327713:RXT327713 SHL327713:SHP327713 SRH327713:SRL327713 TBD327713:TBH327713 TKZ327713:TLD327713 TUV327713:TUZ327713 UER327713:UEV327713 UON327713:UOR327713 UYJ327713:UYN327713 VIF327713:VIJ327713 VSB327713:VSF327713 WBX327713:WCB327713 WLT327713:WLX327713 WVP327713:WVT327713 JD393249:JH393249 SZ393249:TD393249 ACV393249:ACZ393249 AMR393249:AMV393249 AWN393249:AWR393249 BGJ393249:BGN393249 BQF393249:BQJ393249 CAB393249:CAF393249 CJX393249:CKB393249 CTT393249:CTX393249 DDP393249:DDT393249 DNL393249:DNP393249 DXH393249:DXL393249 EHD393249:EHH393249 EQZ393249:ERD393249 FAV393249:FAZ393249 FKR393249:FKV393249 FUN393249:FUR393249 GEJ393249:GEN393249 GOF393249:GOJ393249 GYB393249:GYF393249 HHX393249:HIB393249 HRT393249:HRX393249 IBP393249:IBT393249 ILL393249:ILP393249 IVH393249:IVL393249 JFD393249:JFH393249 JOZ393249:JPD393249 JYV393249:JYZ393249 KIR393249:KIV393249 KSN393249:KSR393249 LCJ393249:LCN393249 LMF393249:LMJ393249 LWB393249:LWF393249 MFX393249:MGB393249 MPT393249:MPX393249 MZP393249:MZT393249 NJL393249:NJP393249 NTH393249:NTL393249 ODD393249:ODH393249 OMZ393249:OND393249 OWV393249:OWZ393249 PGR393249:PGV393249 PQN393249:PQR393249 QAJ393249:QAN393249 QKF393249:QKJ393249 QUB393249:QUF393249 RDX393249:REB393249 RNT393249:RNX393249 RXP393249:RXT393249 SHL393249:SHP393249 SRH393249:SRL393249 TBD393249:TBH393249 TKZ393249:TLD393249 TUV393249:TUZ393249 UER393249:UEV393249 UON393249:UOR393249 UYJ393249:UYN393249 VIF393249:VIJ393249 VSB393249:VSF393249 WBX393249:WCB393249 WLT393249:WLX393249 WVP393249:WVT393249 JD458785:JH458785 SZ458785:TD458785 ACV458785:ACZ458785 AMR458785:AMV458785 AWN458785:AWR458785 BGJ458785:BGN458785 BQF458785:BQJ458785 CAB458785:CAF458785 CJX458785:CKB458785 CTT458785:CTX458785 DDP458785:DDT458785 DNL458785:DNP458785 DXH458785:DXL458785 EHD458785:EHH458785 EQZ458785:ERD458785 FAV458785:FAZ458785 FKR458785:FKV458785 FUN458785:FUR458785 GEJ458785:GEN458785 GOF458785:GOJ458785 GYB458785:GYF458785 HHX458785:HIB458785 HRT458785:HRX458785 IBP458785:IBT458785 ILL458785:ILP458785 IVH458785:IVL458785 JFD458785:JFH458785 JOZ458785:JPD458785 JYV458785:JYZ458785 KIR458785:KIV458785 KSN458785:KSR458785 LCJ458785:LCN458785 LMF458785:LMJ458785 LWB458785:LWF458785 MFX458785:MGB458785 MPT458785:MPX458785 MZP458785:MZT458785 NJL458785:NJP458785 NTH458785:NTL458785 ODD458785:ODH458785 OMZ458785:OND458785 OWV458785:OWZ458785 PGR458785:PGV458785 PQN458785:PQR458785 QAJ458785:QAN458785 QKF458785:QKJ458785 QUB458785:QUF458785 RDX458785:REB458785 RNT458785:RNX458785 RXP458785:RXT458785 SHL458785:SHP458785 SRH458785:SRL458785 TBD458785:TBH458785 TKZ458785:TLD458785 TUV458785:TUZ458785 UER458785:UEV458785 UON458785:UOR458785 UYJ458785:UYN458785 VIF458785:VIJ458785 VSB458785:VSF458785 WBX458785:WCB458785 WLT458785:WLX458785 WVP458785:WVT458785 JD524321:JH524321 SZ524321:TD524321 ACV524321:ACZ524321 AMR524321:AMV524321 AWN524321:AWR524321 BGJ524321:BGN524321 BQF524321:BQJ524321 CAB524321:CAF524321 CJX524321:CKB524321 CTT524321:CTX524321 DDP524321:DDT524321 DNL524321:DNP524321 DXH524321:DXL524321 EHD524321:EHH524321 EQZ524321:ERD524321 FAV524321:FAZ524321 FKR524321:FKV524321 FUN524321:FUR524321 GEJ524321:GEN524321 GOF524321:GOJ524321 GYB524321:GYF524321 HHX524321:HIB524321 HRT524321:HRX524321 IBP524321:IBT524321 ILL524321:ILP524321 IVH524321:IVL524321 JFD524321:JFH524321 JOZ524321:JPD524321 JYV524321:JYZ524321 KIR524321:KIV524321 KSN524321:KSR524321 LCJ524321:LCN524321 LMF524321:LMJ524321 LWB524321:LWF524321 MFX524321:MGB524321 MPT524321:MPX524321 MZP524321:MZT524321 NJL524321:NJP524321 NTH524321:NTL524321 ODD524321:ODH524321 OMZ524321:OND524321 OWV524321:OWZ524321 PGR524321:PGV524321 PQN524321:PQR524321 QAJ524321:QAN524321 QKF524321:QKJ524321 QUB524321:QUF524321 RDX524321:REB524321 RNT524321:RNX524321 RXP524321:RXT524321 SHL524321:SHP524321 SRH524321:SRL524321 TBD524321:TBH524321 TKZ524321:TLD524321 TUV524321:TUZ524321 UER524321:UEV524321 UON524321:UOR524321 UYJ524321:UYN524321 VIF524321:VIJ524321 VSB524321:VSF524321 WBX524321:WCB524321 WLT524321:WLX524321 WVP524321:WVT524321 JD589857:JH589857 SZ589857:TD589857 ACV589857:ACZ589857 AMR589857:AMV589857 AWN589857:AWR589857 BGJ589857:BGN589857 BQF589857:BQJ589857 CAB589857:CAF589857 CJX589857:CKB589857 CTT589857:CTX589857 DDP589857:DDT589857 DNL589857:DNP589857 DXH589857:DXL589857 EHD589857:EHH589857 EQZ589857:ERD589857 FAV589857:FAZ589857 FKR589857:FKV589857 FUN589857:FUR589857 GEJ589857:GEN589857 GOF589857:GOJ589857 GYB589857:GYF589857 HHX589857:HIB589857 HRT589857:HRX589857 IBP589857:IBT589857 ILL589857:ILP589857 IVH589857:IVL589857 JFD589857:JFH589857 JOZ589857:JPD589857 JYV589857:JYZ589857 KIR589857:KIV589857 KSN589857:KSR589857 LCJ589857:LCN589857 LMF589857:LMJ589857 LWB589857:LWF589857 MFX589857:MGB589857 MPT589857:MPX589857 MZP589857:MZT589857 NJL589857:NJP589857 NTH589857:NTL589857 ODD589857:ODH589857 OMZ589857:OND589857 OWV589857:OWZ589857 PGR589857:PGV589857 PQN589857:PQR589857 QAJ589857:QAN589857 QKF589857:QKJ589857 QUB589857:QUF589857 RDX589857:REB589857 RNT589857:RNX589857 RXP589857:RXT589857 SHL589857:SHP589857 SRH589857:SRL589857 TBD589857:TBH589857 TKZ589857:TLD589857 TUV589857:TUZ589857 UER589857:UEV589857 UON589857:UOR589857 UYJ589857:UYN589857 VIF589857:VIJ589857 VSB589857:VSF589857 WBX589857:WCB589857 WLT589857:WLX589857 WVP589857:WVT589857 JD655393:JH655393 SZ655393:TD655393 ACV655393:ACZ655393 AMR655393:AMV655393 AWN655393:AWR655393 BGJ655393:BGN655393 BQF655393:BQJ655393 CAB655393:CAF655393 CJX655393:CKB655393 CTT655393:CTX655393 DDP655393:DDT655393 DNL655393:DNP655393 DXH655393:DXL655393 EHD655393:EHH655393 EQZ655393:ERD655393 FAV655393:FAZ655393 FKR655393:FKV655393 FUN655393:FUR655393 GEJ655393:GEN655393 GOF655393:GOJ655393 GYB655393:GYF655393 HHX655393:HIB655393 HRT655393:HRX655393 IBP655393:IBT655393 ILL655393:ILP655393 IVH655393:IVL655393 JFD655393:JFH655393 JOZ655393:JPD655393 JYV655393:JYZ655393 KIR655393:KIV655393 KSN655393:KSR655393 LCJ655393:LCN655393 LMF655393:LMJ655393 LWB655393:LWF655393 MFX655393:MGB655393 MPT655393:MPX655393 MZP655393:MZT655393 NJL655393:NJP655393 NTH655393:NTL655393 ODD655393:ODH655393 OMZ655393:OND655393 OWV655393:OWZ655393 PGR655393:PGV655393 PQN655393:PQR655393 QAJ655393:QAN655393 QKF655393:QKJ655393 QUB655393:QUF655393 RDX655393:REB655393 RNT655393:RNX655393 RXP655393:RXT655393 SHL655393:SHP655393 SRH655393:SRL655393 TBD655393:TBH655393 TKZ655393:TLD655393 TUV655393:TUZ655393 UER655393:UEV655393 UON655393:UOR655393 UYJ655393:UYN655393 VIF655393:VIJ655393 VSB655393:VSF655393 WBX655393:WCB655393 WLT655393:WLX655393 WVP655393:WVT655393 JD720929:JH720929 SZ720929:TD720929 ACV720929:ACZ720929 AMR720929:AMV720929 AWN720929:AWR720929 BGJ720929:BGN720929 BQF720929:BQJ720929 CAB720929:CAF720929 CJX720929:CKB720929 CTT720929:CTX720929 DDP720929:DDT720929 DNL720929:DNP720929 DXH720929:DXL720929 EHD720929:EHH720929 EQZ720929:ERD720929 FAV720929:FAZ720929 FKR720929:FKV720929 FUN720929:FUR720929 GEJ720929:GEN720929 GOF720929:GOJ720929 GYB720929:GYF720929 HHX720929:HIB720929 HRT720929:HRX720929 IBP720929:IBT720929 ILL720929:ILP720929 IVH720929:IVL720929 JFD720929:JFH720929 JOZ720929:JPD720929 JYV720929:JYZ720929 KIR720929:KIV720929 KSN720929:KSR720929 LCJ720929:LCN720929 LMF720929:LMJ720929 LWB720929:LWF720929 MFX720929:MGB720929 MPT720929:MPX720929 MZP720929:MZT720929 NJL720929:NJP720929 NTH720929:NTL720929 ODD720929:ODH720929 OMZ720929:OND720929 OWV720929:OWZ720929 PGR720929:PGV720929 PQN720929:PQR720929 QAJ720929:QAN720929 QKF720929:QKJ720929 QUB720929:QUF720929 RDX720929:REB720929 RNT720929:RNX720929 RXP720929:RXT720929 SHL720929:SHP720929 SRH720929:SRL720929 TBD720929:TBH720929 TKZ720929:TLD720929 TUV720929:TUZ720929 UER720929:UEV720929 UON720929:UOR720929 UYJ720929:UYN720929 VIF720929:VIJ720929 VSB720929:VSF720929 WBX720929:WCB720929 WLT720929:WLX720929 WVP720929:WVT720929 JD786465:JH786465 SZ786465:TD786465 ACV786465:ACZ786465 AMR786465:AMV786465 AWN786465:AWR786465 BGJ786465:BGN786465 BQF786465:BQJ786465 CAB786465:CAF786465 CJX786465:CKB786465 CTT786465:CTX786465 DDP786465:DDT786465 DNL786465:DNP786465 DXH786465:DXL786465 EHD786465:EHH786465 EQZ786465:ERD786465 FAV786465:FAZ786465 FKR786465:FKV786465 FUN786465:FUR786465 GEJ786465:GEN786465 GOF786465:GOJ786465 GYB786465:GYF786465 HHX786465:HIB786465 HRT786465:HRX786465 IBP786465:IBT786465 ILL786465:ILP786465 IVH786465:IVL786465 JFD786465:JFH786465 JOZ786465:JPD786465 JYV786465:JYZ786465 KIR786465:KIV786465 KSN786465:KSR786465 LCJ786465:LCN786465 LMF786465:LMJ786465 LWB786465:LWF786465 MFX786465:MGB786465 MPT786465:MPX786465 MZP786465:MZT786465 NJL786465:NJP786465 NTH786465:NTL786465 ODD786465:ODH786465 OMZ786465:OND786465 OWV786465:OWZ786465 PGR786465:PGV786465 PQN786465:PQR786465 QAJ786465:QAN786465 QKF786465:QKJ786465 QUB786465:QUF786465 RDX786465:REB786465 RNT786465:RNX786465 RXP786465:RXT786465 SHL786465:SHP786465 SRH786465:SRL786465 TBD786465:TBH786465 TKZ786465:TLD786465 TUV786465:TUZ786465 UER786465:UEV786465 UON786465:UOR786465 UYJ786465:UYN786465 VIF786465:VIJ786465 VSB786465:VSF786465 WBX786465:WCB786465 WLT786465:WLX786465 WVP786465:WVT786465 JD852001:JH852001 SZ852001:TD852001 ACV852001:ACZ852001 AMR852001:AMV852001 AWN852001:AWR852001 BGJ852001:BGN852001 BQF852001:BQJ852001 CAB852001:CAF852001 CJX852001:CKB852001 CTT852001:CTX852001 DDP852001:DDT852001 DNL852001:DNP852001 DXH852001:DXL852001 EHD852001:EHH852001 EQZ852001:ERD852001 FAV852001:FAZ852001 FKR852001:FKV852001 FUN852001:FUR852001 GEJ852001:GEN852001 GOF852001:GOJ852001 GYB852001:GYF852001 HHX852001:HIB852001 HRT852001:HRX852001 IBP852001:IBT852001 ILL852001:ILP852001 IVH852001:IVL852001 JFD852001:JFH852001 JOZ852001:JPD852001 JYV852001:JYZ852001 KIR852001:KIV852001 KSN852001:KSR852001 LCJ852001:LCN852001 LMF852001:LMJ852001 LWB852001:LWF852001 MFX852001:MGB852001 MPT852001:MPX852001 MZP852001:MZT852001 NJL852001:NJP852001 NTH852001:NTL852001 ODD852001:ODH852001 OMZ852001:OND852001 OWV852001:OWZ852001 PGR852001:PGV852001 PQN852001:PQR852001 QAJ852001:QAN852001 QKF852001:QKJ852001 QUB852001:QUF852001 RDX852001:REB852001 RNT852001:RNX852001 RXP852001:RXT852001 SHL852001:SHP852001 SRH852001:SRL852001 TBD852001:TBH852001 TKZ852001:TLD852001 TUV852001:TUZ852001 UER852001:UEV852001 UON852001:UOR852001 UYJ852001:UYN852001 VIF852001:VIJ852001 VSB852001:VSF852001 WBX852001:WCB852001 WLT852001:WLX852001 WVP852001:WVT852001 JD917537:JH917537 SZ917537:TD917537 ACV917537:ACZ917537 AMR917537:AMV917537 AWN917537:AWR917537 BGJ917537:BGN917537 BQF917537:BQJ917537 CAB917537:CAF917537 CJX917537:CKB917537 CTT917537:CTX917537 DDP917537:DDT917537 DNL917537:DNP917537 DXH917537:DXL917537 EHD917537:EHH917537 EQZ917537:ERD917537 FAV917537:FAZ917537 FKR917537:FKV917537 FUN917537:FUR917537 GEJ917537:GEN917537 GOF917537:GOJ917537 GYB917537:GYF917537 HHX917537:HIB917537 HRT917537:HRX917537 IBP917537:IBT917537 ILL917537:ILP917537 IVH917537:IVL917537 JFD917537:JFH917537 JOZ917537:JPD917537 JYV917537:JYZ917537 KIR917537:KIV917537 KSN917537:KSR917537 LCJ917537:LCN917537 LMF917537:LMJ917537 LWB917537:LWF917537 MFX917537:MGB917537 MPT917537:MPX917537 MZP917537:MZT917537 NJL917537:NJP917537 NTH917537:NTL917537 ODD917537:ODH917537 OMZ917537:OND917537 OWV917537:OWZ917537 PGR917537:PGV917537 PQN917537:PQR917537 QAJ917537:QAN917537 QKF917537:QKJ917537 QUB917537:QUF917537 RDX917537:REB917537 RNT917537:RNX917537 RXP917537:RXT917537 SHL917537:SHP917537 SRH917537:SRL917537 TBD917537:TBH917537 TKZ917537:TLD917537 TUV917537:TUZ917537 UER917537:UEV917537 UON917537:UOR917537 UYJ917537:UYN917537 VIF917537:VIJ917537 VSB917537:VSF917537 WBX917537:WCB917537 WLT917537:WLX917537 WVP917537:WVT917537 JD983073:JH983073 SZ983073:TD983073 ACV983073:ACZ983073 AMR983073:AMV983073 AWN983073:AWR983073 BGJ983073:BGN983073 BQF983073:BQJ983073 CAB983073:CAF983073 CJX983073:CKB983073 CTT983073:CTX983073 DDP983073:DDT983073 DNL983073:DNP983073 DXH983073:DXL983073 EHD983073:EHH983073 EQZ983073:ERD983073 FAV983073:FAZ983073 FKR983073:FKV983073 FUN983073:FUR983073 GEJ983073:GEN983073 GOF983073:GOJ983073 GYB983073:GYF983073 HHX983073:HIB983073 HRT983073:HRX983073 IBP983073:IBT983073 ILL983073:ILP983073 IVH983073:IVL983073 JFD983073:JFH983073 JOZ983073:JPD983073 JYV983073:JYZ983073 KIR983073:KIV983073 KSN983073:KSR983073 LCJ983073:LCN983073 LMF983073:LMJ983073 LWB983073:LWF983073 MFX983073:MGB983073 MPT983073:MPX983073 MZP983073:MZT983073 NJL983073:NJP983073 NTH983073:NTL983073 ODD983073:ODH983073 OMZ983073:OND983073 OWV983073:OWZ983073 PGR983073:PGV983073 PQN983073:PQR983073 QAJ983073:QAN983073 QKF983073:QKJ983073 QUB983073:QUF983073 RDX983073:REB983073 RNT983073:RNX983073 RXP983073:RXT983073 SHL983073:SHP983073 SRH983073:SRL983073 TBD983073:TBH983073 TKZ983073:TLD983073 TUV983073:TUZ983073 UER983073:UEV983073 UON983073:UOR983073 UYJ983073:UYN983073 VIF983073:VIJ983073 VSB983073:VSF983073 WBX983073:WCB983073 WLT983073:WLX983073 C983073:I983073 C917537:I917537 C852001:I852001 C786465:I786465 C720929:I720929 C655393:I655393 C589857:I589857 C524321:I524321 C458785:I458785 C393249:I393249 C327713:I327713 C262177:I262177 C196641:I196641 C131105:I131105 C65569:I65569" xr:uid="{720C000D-DEE1-4C1D-8B80-9815DA8562B6}">
      <formula1>#REF!</formula1>
    </dataValidation>
    <dataValidation allowBlank="1" showInputMessage="1" showErrorMessage="1" promptTitle="SYSTEM" prompt="SELECT FROM DROP DOWN LIST" sqref="WVP983075:WVT983075 AMR10:AMV39 AWN10:AWR39 BGJ10:BGN39 BQF10:BQJ39 CAB10:CAF39 CJX10:CKB39 CTT10:CTX39 DDP10:DDT39 DNL10:DNP39 DXH10:DXL39 EHD10:EHH39 EQZ10:ERD39 FAV10:FAZ39 FKR10:FKV39 FUN10:FUR39 GEJ10:GEN39 GOF10:GOJ39 GYB10:GYF39 HHX10:HIB39 HRT10:HRX39 IBP10:IBT39 ILL10:ILP39 IVH10:IVL39 JFD10:JFH39 JOZ10:JPD39 JYV10:JYZ39 KIR10:KIV39 KSN10:KSR39 LCJ10:LCN39 LMF10:LMJ39 LWB10:LWF39 MFX10:MGB39 MPT10:MPX39 MZP10:MZT39 NJL10:NJP39 NTH10:NTL39 ODD10:ODH39 OMZ10:OND39 OWV10:OWZ39 PGR10:PGV39 PQN10:PQR39 QAJ10:QAN39 QKF10:QKJ39 QUB10:QUF39 RDX10:REB39 RNT10:RNX39 RXP10:RXT39 SHL10:SHP39 SRH10:SRL39 TBD10:TBH39 TKZ10:TLD39 TUV10:TUZ39 UER10:UEV39 UON10:UOR39 UYJ10:UYN39 VIF10:VIJ39 VSB10:VSF39 WBX10:WCB39 WLT10:WLX39 WVP10:WVT39 JD10:JH39 SZ10:TD39 WLT983075:WLX983075 JD65571:JH65571 SZ65571:TD65571 ACV65571:ACZ65571 AMR65571:AMV65571 AWN65571:AWR65571 BGJ65571:BGN65571 BQF65571:BQJ65571 CAB65571:CAF65571 CJX65571:CKB65571 CTT65571:CTX65571 DDP65571:DDT65571 DNL65571:DNP65571 DXH65571:DXL65571 EHD65571:EHH65571 EQZ65571:ERD65571 FAV65571:FAZ65571 FKR65571:FKV65571 FUN65571:FUR65571 GEJ65571:GEN65571 GOF65571:GOJ65571 GYB65571:GYF65571 HHX65571:HIB65571 HRT65571:HRX65571 IBP65571:IBT65571 ILL65571:ILP65571 IVH65571:IVL65571 JFD65571:JFH65571 JOZ65571:JPD65571 JYV65571:JYZ65571 KIR65571:KIV65571 KSN65571:KSR65571 LCJ65571:LCN65571 LMF65571:LMJ65571 LWB65571:LWF65571 MFX65571:MGB65571 MPT65571:MPX65571 MZP65571:MZT65571 NJL65571:NJP65571 NTH65571:NTL65571 ODD65571:ODH65571 OMZ65571:OND65571 OWV65571:OWZ65571 PGR65571:PGV65571 PQN65571:PQR65571 QAJ65571:QAN65571 QKF65571:QKJ65571 QUB65571:QUF65571 RDX65571:REB65571 RNT65571:RNX65571 RXP65571:RXT65571 SHL65571:SHP65571 SRH65571:SRL65571 TBD65571:TBH65571 TKZ65571:TLD65571 TUV65571:TUZ65571 UER65571:UEV65571 UON65571:UOR65571 UYJ65571:UYN65571 VIF65571:VIJ65571 VSB65571:VSF65571 WBX65571:WCB65571 WLT65571:WLX65571 WVP65571:WVT65571 JD131107:JH131107 SZ131107:TD131107 ACV131107:ACZ131107 AMR131107:AMV131107 AWN131107:AWR131107 BGJ131107:BGN131107 BQF131107:BQJ131107 CAB131107:CAF131107 CJX131107:CKB131107 CTT131107:CTX131107 DDP131107:DDT131107 DNL131107:DNP131107 DXH131107:DXL131107 EHD131107:EHH131107 EQZ131107:ERD131107 FAV131107:FAZ131107 FKR131107:FKV131107 FUN131107:FUR131107 GEJ131107:GEN131107 GOF131107:GOJ131107 GYB131107:GYF131107 HHX131107:HIB131107 HRT131107:HRX131107 IBP131107:IBT131107 ILL131107:ILP131107 IVH131107:IVL131107 JFD131107:JFH131107 JOZ131107:JPD131107 JYV131107:JYZ131107 KIR131107:KIV131107 KSN131107:KSR131107 LCJ131107:LCN131107 LMF131107:LMJ131107 LWB131107:LWF131107 MFX131107:MGB131107 MPT131107:MPX131107 MZP131107:MZT131107 NJL131107:NJP131107 NTH131107:NTL131107 ODD131107:ODH131107 OMZ131107:OND131107 OWV131107:OWZ131107 PGR131107:PGV131107 PQN131107:PQR131107 QAJ131107:QAN131107 QKF131107:QKJ131107 QUB131107:QUF131107 RDX131107:REB131107 RNT131107:RNX131107 RXP131107:RXT131107 SHL131107:SHP131107 SRH131107:SRL131107 TBD131107:TBH131107 TKZ131107:TLD131107 TUV131107:TUZ131107 UER131107:UEV131107 UON131107:UOR131107 UYJ131107:UYN131107 VIF131107:VIJ131107 VSB131107:VSF131107 WBX131107:WCB131107 WLT131107:WLX131107 WVP131107:WVT131107 JD196643:JH196643 SZ196643:TD196643 ACV196643:ACZ196643 AMR196643:AMV196643 AWN196643:AWR196643 BGJ196643:BGN196643 BQF196643:BQJ196643 CAB196643:CAF196643 CJX196643:CKB196643 CTT196643:CTX196643 DDP196643:DDT196643 DNL196643:DNP196643 DXH196643:DXL196643 EHD196643:EHH196643 EQZ196643:ERD196643 FAV196643:FAZ196643 FKR196643:FKV196643 FUN196643:FUR196643 GEJ196643:GEN196643 GOF196643:GOJ196643 GYB196643:GYF196643 HHX196643:HIB196643 HRT196643:HRX196643 IBP196643:IBT196643 ILL196643:ILP196643 IVH196643:IVL196643 JFD196643:JFH196643 JOZ196643:JPD196643 JYV196643:JYZ196643 KIR196643:KIV196643 KSN196643:KSR196643 LCJ196643:LCN196643 LMF196643:LMJ196643 LWB196643:LWF196643 MFX196643:MGB196643 MPT196643:MPX196643 MZP196643:MZT196643 NJL196643:NJP196643 NTH196643:NTL196643 ODD196643:ODH196643 OMZ196643:OND196643 OWV196643:OWZ196643 PGR196643:PGV196643 PQN196643:PQR196643 QAJ196643:QAN196643 QKF196643:QKJ196643 QUB196643:QUF196643 RDX196643:REB196643 RNT196643:RNX196643 RXP196643:RXT196643 SHL196643:SHP196643 SRH196643:SRL196643 TBD196643:TBH196643 TKZ196643:TLD196643 TUV196643:TUZ196643 UER196643:UEV196643 UON196643:UOR196643 UYJ196643:UYN196643 VIF196643:VIJ196643 VSB196643:VSF196643 WBX196643:WCB196643 WLT196643:WLX196643 WVP196643:WVT196643 JD262179:JH262179 SZ262179:TD262179 ACV262179:ACZ262179 AMR262179:AMV262179 AWN262179:AWR262179 BGJ262179:BGN262179 BQF262179:BQJ262179 CAB262179:CAF262179 CJX262179:CKB262179 CTT262179:CTX262179 DDP262179:DDT262179 DNL262179:DNP262179 DXH262179:DXL262179 EHD262179:EHH262179 EQZ262179:ERD262179 FAV262179:FAZ262179 FKR262179:FKV262179 FUN262179:FUR262179 GEJ262179:GEN262179 GOF262179:GOJ262179 GYB262179:GYF262179 HHX262179:HIB262179 HRT262179:HRX262179 IBP262179:IBT262179 ILL262179:ILP262179 IVH262179:IVL262179 JFD262179:JFH262179 JOZ262179:JPD262179 JYV262179:JYZ262179 KIR262179:KIV262179 KSN262179:KSR262179 LCJ262179:LCN262179 LMF262179:LMJ262179 LWB262179:LWF262179 MFX262179:MGB262179 MPT262179:MPX262179 MZP262179:MZT262179 NJL262179:NJP262179 NTH262179:NTL262179 ODD262179:ODH262179 OMZ262179:OND262179 OWV262179:OWZ262179 PGR262179:PGV262179 PQN262179:PQR262179 QAJ262179:QAN262179 QKF262179:QKJ262179 QUB262179:QUF262179 RDX262179:REB262179 RNT262179:RNX262179 RXP262179:RXT262179 SHL262179:SHP262179 SRH262179:SRL262179 TBD262179:TBH262179 TKZ262179:TLD262179 TUV262179:TUZ262179 UER262179:UEV262179 UON262179:UOR262179 UYJ262179:UYN262179 VIF262179:VIJ262179 VSB262179:VSF262179 WBX262179:WCB262179 WLT262179:WLX262179 WVP262179:WVT262179 JD327715:JH327715 SZ327715:TD327715 ACV327715:ACZ327715 AMR327715:AMV327715 AWN327715:AWR327715 BGJ327715:BGN327715 BQF327715:BQJ327715 CAB327715:CAF327715 CJX327715:CKB327715 CTT327715:CTX327715 DDP327715:DDT327715 DNL327715:DNP327715 DXH327715:DXL327715 EHD327715:EHH327715 EQZ327715:ERD327715 FAV327715:FAZ327715 FKR327715:FKV327715 FUN327715:FUR327715 GEJ327715:GEN327715 GOF327715:GOJ327715 GYB327715:GYF327715 HHX327715:HIB327715 HRT327715:HRX327715 IBP327715:IBT327715 ILL327715:ILP327715 IVH327715:IVL327715 JFD327715:JFH327715 JOZ327715:JPD327715 JYV327715:JYZ327715 KIR327715:KIV327715 KSN327715:KSR327715 LCJ327715:LCN327715 LMF327715:LMJ327715 LWB327715:LWF327715 MFX327715:MGB327715 MPT327715:MPX327715 MZP327715:MZT327715 NJL327715:NJP327715 NTH327715:NTL327715 ODD327715:ODH327715 OMZ327715:OND327715 OWV327715:OWZ327715 PGR327715:PGV327715 PQN327715:PQR327715 QAJ327715:QAN327715 QKF327715:QKJ327715 QUB327715:QUF327715 RDX327715:REB327715 RNT327715:RNX327715 RXP327715:RXT327715 SHL327715:SHP327715 SRH327715:SRL327715 TBD327715:TBH327715 TKZ327715:TLD327715 TUV327715:TUZ327715 UER327715:UEV327715 UON327715:UOR327715 UYJ327715:UYN327715 VIF327715:VIJ327715 VSB327715:VSF327715 WBX327715:WCB327715 WLT327715:WLX327715 WVP327715:WVT327715 JD393251:JH393251 SZ393251:TD393251 ACV393251:ACZ393251 AMR393251:AMV393251 AWN393251:AWR393251 BGJ393251:BGN393251 BQF393251:BQJ393251 CAB393251:CAF393251 CJX393251:CKB393251 CTT393251:CTX393251 DDP393251:DDT393251 DNL393251:DNP393251 DXH393251:DXL393251 EHD393251:EHH393251 EQZ393251:ERD393251 FAV393251:FAZ393251 FKR393251:FKV393251 FUN393251:FUR393251 GEJ393251:GEN393251 GOF393251:GOJ393251 GYB393251:GYF393251 HHX393251:HIB393251 HRT393251:HRX393251 IBP393251:IBT393251 ILL393251:ILP393251 IVH393251:IVL393251 JFD393251:JFH393251 JOZ393251:JPD393251 JYV393251:JYZ393251 KIR393251:KIV393251 KSN393251:KSR393251 LCJ393251:LCN393251 LMF393251:LMJ393251 LWB393251:LWF393251 MFX393251:MGB393251 MPT393251:MPX393251 MZP393251:MZT393251 NJL393251:NJP393251 NTH393251:NTL393251 ODD393251:ODH393251 OMZ393251:OND393251 OWV393251:OWZ393251 PGR393251:PGV393251 PQN393251:PQR393251 QAJ393251:QAN393251 QKF393251:QKJ393251 QUB393251:QUF393251 RDX393251:REB393251 RNT393251:RNX393251 RXP393251:RXT393251 SHL393251:SHP393251 SRH393251:SRL393251 TBD393251:TBH393251 TKZ393251:TLD393251 TUV393251:TUZ393251 UER393251:UEV393251 UON393251:UOR393251 UYJ393251:UYN393251 VIF393251:VIJ393251 VSB393251:VSF393251 WBX393251:WCB393251 WLT393251:WLX393251 WVP393251:WVT393251 JD458787:JH458787 SZ458787:TD458787 ACV458787:ACZ458787 AMR458787:AMV458787 AWN458787:AWR458787 BGJ458787:BGN458787 BQF458787:BQJ458787 CAB458787:CAF458787 CJX458787:CKB458787 CTT458787:CTX458787 DDP458787:DDT458787 DNL458787:DNP458787 DXH458787:DXL458787 EHD458787:EHH458787 EQZ458787:ERD458787 FAV458787:FAZ458787 FKR458787:FKV458787 FUN458787:FUR458787 GEJ458787:GEN458787 GOF458787:GOJ458787 GYB458787:GYF458787 HHX458787:HIB458787 HRT458787:HRX458787 IBP458787:IBT458787 ILL458787:ILP458787 IVH458787:IVL458787 JFD458787:JFH458787 JOZ458787:JPD458787 JYV458787:JYZ458787 KIR458787:KIV458787 KSN458787:KSR458787 LCJ458787:LCN458787 LMF458787:LMJ458787 LWB458787:LWF458787 MFX458787:MGB458787 MPT458787:MPX458787 MZP458787:MZT458787 NJL458787:NJP458787 NTH458787:NTL458787 ODD458787:ODH458787 OMZ458787:OND458787 OWV458787:OWZ458787 PGR458787:PGV458787 PQN458787:PQR458787 QAJ458787:QAN458787 QKF458787:QKJ458787 QUB458787:QUF458787 RDX458787:REB458787 RNT458787:RNX458787 RXP458787:RXT458787 SHL458787:SHP458787 SRH458787:SRL458787 TBD458787:TBH458787 TKZ458787:TLD458787 TUV458787:TUZ458787 UER458787:UEV458787 UON458787:UOR458787 UYJ458787:UYN458787 VIF458787:VIJ458787 VSB458787:VSF458787 WBX458787:WCB458787 WLT458787:WLX458787 WVP458787:WVT458787 JD524323:JH524323 SZ524323:TD524323 ACV524323:ACZ524323 AMR524323:AMV524323 AWN524323:AWR524323 BGJ524323:BGN524323 BQF524323:BQJ524323 CAB524323:CAF524323 CJX524323:CKB524323 CTT524323:CTX524323 DDP524323:DDT524323 DNL524323:DNP524323 DXH524323:DXL524323 EHD524323:EHH524323 EQZ524323:ERD524323 FAV524323:FAZ524323 FKR524323:FKV524323 FUN524323:FUR524323 GEJ524323:GEN524323 GOF524323:GOJ524323 GYB524323:GYF524323 HHX524323:HIB524323 HRT524323:HRX524323 IBP524323:IBT524323 ILL524323:ILP524323 IVH524323:IVL524323 JFD524323:JFH524323 JOZ524323:JPD524323 JYV524323:JYZ524323 KIR524323:KIV524323 KSN524323:KSR524323 LCJ524323:LCN524323 LMF524323:LMJ524323 LWB524323:LWF524323 MFX524323:MGB524323 MPT524323:MPX524323 MZP524323:MZT524323 NJL524323:NJP524323 NTH524323:NTL524323 ODD524323:ODH524323 OMZ524323:OND524323 OWV524323:OWZ524323 PGR524323:PGV524323 PQN524323:PQR524323 QAJ524323:QAN524323 QKF524323:QKJ524323 QUB524323:QUF524323 RDX524323:REB524323 RNT524323:RNX524323 RXP524323:RXT524323 SHL524323:SHP524323 SRH524323:SRL524323 TBD524323:TBH524323 TKZ524323:TLD524323 TUV524323:TUZ524323 UER524323:UEV524323 UON524323:UOR524323 UYJ524323:UYN524323 VIF524323:VIJ524323 VSB524323:VSF524323 WBX524323:WCB524323 WLT524323:WLX524323 WVP524323:WVT524323 JD589859:JH589859 SZ589859:TD589859 ACV589859:ACZ589859 AMR589859:AMV589859 AWN589859:AWR589859 BGJ589859:BGN589859 BQF589859:BQJ589859 CAB589859:CAF589859 CJX589859:CKB589859 CTT589859:CTX589859 DDP589859:DDT589859 DNL589859:DNP589859 DXH589859:DXL589859 EHD589859:EHH589859 EQZ589859:ERD589859 FAV589859:FAZ589859 FKR589859:FKV589859 FUN589859:FUR589859 GEJ589859:GEN589859 GOF589859:GOJ589859 GYB589859:GYF589859 HHX589859:HIB589859 HRT589859:HRX589859 IBP589859:IBT589859 ILL589859:ILP589859 IVH589859:IVL589859 JFD589859:JFH589859 JOZ589859:JPD589859 JYV589859:JYZ589859 KIR589859:KIV589859 KSN589859:KSR589859 LCJ589859:LCN589859 LMF589859:LMJ589859 LWB589859:LWF589859 MFX589859:MGB589859 MPT589859:MPX589859 MZP589859:MZT589859 NJL589859:NJP589859 NTH589859:NTL589859 ODD589859:ODH589859 OMZ589859:OND589859 OWV589859:OWZ589859 PGR589859:PGV589859 PQN589859:PQR589859 QAJ589859:QAN589859 QKF589859:QKJ589859 QUB589859:QUF589859 RDX589859:REB589859 RNT589859:RNX589859 RXP589859:RXT589859 SHL589859:SHP589859 SRH589859:SRL589859 TBD589859:TBH589859 TKZ589859:TLD589859 TUV589859:TUZ589859 UER589859:UEV589859 UON589859:UOR589859 UYJ589859:UYN589859 VIF589859:VIJ589859 VSB589859:VSF589859 WBX589859:WCB589859 WLT589859:WLX589859 WVP589859:WVT589859 JD655395:JH655395 SZ655395:TD655395 ACV655395:ACZ655395 AMR655395:AMV655395 AWN655395:AWR655395 BGJ655395:BGN655395 BQF655395:BQJ655395 CAB655395:CAF655395 CJX655395:CKB655395 CTT655395:CTX655395 DDP655395:DDT655395 DNL655395:DNP655395 DXH655395:DXL655395 EHD655395:EHH655395 EQZ655395:ERD655395 FAV655395:FAZ655395 FKR655395:FKV655395 FUN655395:FUR655395 GEJ655395:GEN655395 GOF655395:GOJ655395 GYB655395:GYF655395 HHX655395:HIB655395 HRT655395:HRX655395 IBP655395:IBT655395 ILL655395:ILP655395 IVH655395:IVL655395 JFD655395:JFH655395 JOZ655395:JPD655395 JYV655395:JYZ655395 KIR655395:KIV655395 KSN655395:KSR655395 LCJ655395:LCN655395 LMF655395:LMJ655395 LWB655395:LWF655395 MFX655395:MGB655395 MPT655395:MPX655395 MZP655395:MZT655395 NJL655395:NJP655395 NTH655395:NTL655395 ODD655395:ODH655395 OMZ655395:OND655395 OWV655395:OWZ655395 PGR655395:PGV655395 PQN655395:PQR655395 QAJ655395:QAN655395 QKF655395:QKJ655395 QUB655395:QUF655395 RDX655395:REB655395 RNT655395:RNX655395 RXP655395:RXT655395 SHL655395:SHP655395 SRH655395:SRL655395 TBD655395:TBH655395 TKZ655395:TLD655395 TUV655395:TUZ655395 UER655395:UEV655395 UON655395:UOR655395 UYJ655395:UYN655395 VIF655395:VIJ655395 VSB655395:VSF655395 WBX655395:WCB655395 WLT655395:WLX655395 WVP655395:WVT655395 JD720931:JH720931 SZ720931:TD720931 ACV720931:ACZ720931 AMR720931:AMV720931 AWN720931:AWR720931 BGJ720931:BGN720931 BQF720931:BQJ720931 CAB720931:CAF720931 CJX720931:CKB720931 CTT720931:CTX720931 DDP720931:DDT720931 DNL720931:DNP720931 DXH720931:DXL720931 EHD720931:EHH720931 EQZ720931:ERD720931 FAV720931:FAZ720931 FKR720931:FKV720931 FUN720931:FUR720931 GEJ720931:GEN720931 GOF720931:GOJ720931 GYB720931:GYF720931 HHX720931:HIB720931 HRT720931:HRX720931 IBP720931:IBT720931 ILL720931:ILP720931 IVH720931:IVL720931 JFD720931:JFH720931 JOZ720931:JPD720931 JYV720931:JYZ720931 KIR720931:KIV720931 KSN720931:KSR720931 LCJ720931:LCN720931 LMF720931:LMJ720931 LWB720931:LWF720931 MFX720931:MGB720931 MPT720931:MPX720931 MZP720931:MZT720931 NJL720931:NJP720931 NTH720931:NTL720931 ODD720931:ODH720931 OMZ720931:OND720931 OWV720931:OWZ720931 PGR720931:PGV720931 PQN720931:PQR720931 QAJ720931:QAN720931 QKF720931:QKJ720931 QUB720931:QUF720931 RDX720931:REB720931 RNT720931:RNX720931 RXP720931:RXT720931 SHL720931:SHP720931 SRH720931:SRL720931 TBD720931:TBH720931 TKZ720931:TLD720931 TUV720931:TUZ720931 UER720931:UEV720931 UON720931:UOR720931 UYJ720931:UYN720931 VIF720931:VIJ720931 VSB720931:VSF720931 WBX720931:WCB720931 WLT720931:WLX720931 WVP720931:WVT720931 JD786467:JH786467 SZ786467:TD786467 ACV786467:ACZ786467 AMR786467:AMV786467 AWN786467:AWR786467 BGJ786467:BGN786467 BQF786467:BQJ786467 CAB786467:CAF786467 CJX786467:CKB786467 CTT786467:CTX786467 DDP786467:DDT786467 DNL786467:DNP786467 DXH786467:DXL786467 EHD786467:EHH786467 EQZ786467:ERD786467 FAV786467:FAZ786467 FKR786467:FKV786467 FUN786467:FUR786467 GEJ786467:GEN786467 GOF786467:GOJ786467 GYB786467:GYF786467 HHX786467:HIB786467 HRT786467:HRX786467 IBP786467:IBT786467 ILL786467:ILP786467 IVH786467:IVL786467 JFD786467:JFH786467 JOZ786467:JPD786467 JYV786467:JYZ786467 KIR786467:KIV786467 KSN786467:KSR786467 LCJ786467:LCN786467 LMF786467:LMJ786467 LWB786467:LWF786467 MFX786467:MGB786467 MPT786467:MPX786467 MZP786467:MZT786467 NJL786467:NJP786467 NTH786467:NTL786467 ODD786467:ODH786467 OMZ786467:OND786467 OWV786467:OWZ786467 PGR786467:PGV786467 PQN786467:PQR786467 QAJ786467:QAN786467 QKF786467:QKJ786467 QUB786467:QUF786467 RDX786467:REB786467 RNT786467:RNX786467 RXP786467:RXT786467 SHL786467:SHP786467 SRH786467:SRL786467 TBD786467:TBH786467 TKZ786467:TLD786467 TUV786467:TUZ786467 UER786467:UEV786467 UON786467:UOR786467 UYJ786467:UYN786467 VIF786467:VIJ786467 VSB786467:VSF786467 WBX786467:WCB786467 WLT786467:WLX786467 WVP786467:WVT786467 JD852003:JH852003 SZ852003:TD852003 ACV852003:ACZ852003 AMR852003:AMV852003 AWN852003:AWR852003 BGJ852003:BGN852003 BQF852003:BQJ852003 CAB852003:CAF852003 CJX852003:CKB852003 CTT852003:CTX852003 DDP852003:DDT852003 DNL852003:DNP852003 DXH852003:DXL852003 EHD852003:EHH852003 EQZ852003:ERD852003 FAV852003:FAZ852003 FKR852003:FKV852003 FUN852003:FUR852003 GEJ852003:GEN852003 GOF852003:GOJ852003 GYB852003:GYF852003 HHX852003:HIB852003 HRT852003:HRX852003 IBP852003:IBT852003 ILL852003:ILP852003 IVH852003:IVL852003 JFD852003:JFH852003 JOZ852003:JPD852003 JYV852003:JYZ852003 KIR852003:KIV852003 KSN852003:KSR852003 LCJ852003:LCN852003 LMF852003:LMJ852003 LWB852003:LWF852003 MFX852003:MGB852003 MPT852003:MPX852003 MZP852003:MZT852003 NJL852003:NJP852003 NTH852003:NTL852003 ODD852003:ODH852003 OMZ852003:OND852003 OWV852003:OWZ852003 PGR852003:PGV852003 PQN852003:PQR852003 QAJ852003:QAN852003 QKF852003:QKJ852003 QUB852003:QUF852003 RDX852003:REB852003 RNT852003:RNX852003 RXP852003:RXT852003 SHL852003:SHP852003 SRH852003:SRL852003 TBD852003:TBH852003 TKZ852003:TLD852003 TUV852003:TUZ852003 UER852003:UEV852003 UON852003:UOR852003 UYJ852003:UYN852003 VIF852003:VIJ852003 VSB852003:VSF852003 WBX852003:WCB852003 WLT852003:WLX852003 WVP852003:WVT852003 JD917539:JH917539 SZ917539:TD917539 ACV917539:ACZ917539 AMR917539:AMV917539 AWN917539:AWR917539 BGJ917539:BGN917539 BQF917539:BQJ917539 CAB917539:CAF917539 CJX917539:CKB917539 CTT917539:CTX917539 DDP917539:DDT917539 DNL917539:DNP917539 DXH917539:DXL917539 EHD917539:EHH917539 EQZ917539:ERD917539 FAV917539:FAZ917539 FKR917539:FKV917539 FUN917539:FUR917539 GEJ917539:GEN917539 GOF917539:GOJ917539 GYB917539:GYF917539 HHX917539:HIB917539 HRT917539:HRX917539 IBP917539:IBT917539 ILL917539:ILP917539 IVH917539:IVL917539 JFD917539:JFH917539 JOZ917539:JPD917539 JYV917539:JYZ917539 KIR917539:KIV917539 KSN917539:KSR917539 LCJ917539:LCN917539 LMF917539:LMJ917539 LWB917539:LWF917539 MFX917539:MGB917539 MPT917539:MPX917539 MZP917539:MZT917539 NJL917539:NJP917539 NTH917539:NTL917539 ODD917539:ODH917539 OMZ917539:OND917539 OWV917539:OWZ917539 PGR917539:PGV917539 PQN917539:PQR917539 QAJ917539:QAN917539 QKF917539:QKJ917539 QUB917539:QUF917539 RDX917539:REB917539 RNT917539:RNX917539 RXP917539:RXT917539 SHL917539:SHP917539 SRH917539:SRL917539 TBD917539:TBH917539 TKZ917539:TLD917539 TUV917539:TUZ917539 UER917539:UEV917539 UON917539:UOR917539 UYJ917539:UYN917539 VIF917539:VIJ917539 VSB917539:VSF917539 WBX917539:WCB917539 WLT917539:WLX917539 WVP917539:WVT917539 JD983075:JH983075 SZ983075:TD983075 ACV983075:ACZ983075 AMR983075:AMV983075 AWN983075:AWR983075 BGJ983075:BGN983075 BQF983075:BQJ983075 CAB983075:CAF983075 CJX983075:CKB983075 CTT983075:CTX983075 DDP983075:DDT983075 DNL983075:DNP983075 DXH983075:DXL983075 EHD983075:EHH983075 EQZ983075:ERD983075 FAV983075:FAZ983075 FKR983075:FKV983075 FUN983075:FUR983075 GEJ983075:GEN983075 GOF983075:GOJ983075 GYB983075:GYF983075 HHX983075:HIB983075 HRT983075:HRX983075 IBP983075:IBT983075 ILL983075:ILP983075 IVH983075:IVL983075 JFD983075:JFH983075 JOZ983075:JPD983075 JYV983075:JYZ983075 KIR983075:KIV983075 KSN983075:KSR983075 LCJ983075:LCN983075 LMF983075:LMJ983075 LWB983075:LWF983075 MFX983075:MGB983075 MPT983075:MPX983075 MZP983075:MZT983075 NJL983075:NJP983075 NTH983075:NTL983075 ODD983075:ODH983075 OMZ983075:OND983075 OWV983075:OWZ983075 PGR983075:PGV983075 PQN983075:PQR983075 QAJ983075:QAN983075 QKF983075:QKJ983075 QUB983075:QUF983075 RDX983075:REB983075 RNT983075:RNX983075 RXP983075:RXT983075 SHL983075:SHP983075 SRH983075:SRL983075 TBD983075:TBH983075 TKZ983075:TLD983075 TUV983075:TUZ983075 UER983075:UEV983075 UON983075:UOR983075 UYJ983075:UYN983075 VIF983075:VIJ983075 VSB983075:VSF983075 WBX983075:WCB983075 ACV10:ACZ39 C983075:I983075 C917539:I917539 C852003:I852003 C786467:I786467 C720931:I720931 C655395:I655395 C589859:I589859 C524323:I524323 C458787:I458787 C393251:I393251 C327715:I327715 C262179:I262179 C196643:I196643 C131107:I131107 C65571:I65571" xr:uid="{06BD6F1B-01B9-4C8F-9F63-F493EA1B2E65}"/>
  </dataValidations>
  <printOptions horizontalCentered="1"/>
  <pageMargins left="0.25" right="0.25" top="0.5" bottom="0.75" header="0.3" footer="0.3"/>
  <pageSetup paperSize="9" scale="86" fitToHeight="0" orientation="portrait" r:id="rId1"/>
  <headerFooter alignWithMargins="0">
    <oddFooter>&amp;R&amp;"Arial,Italic"&amp;9PMO-T-OPM-006-R00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EF78-F52D-43A2-A031-C65CC708C0AC}">
  <sheetPr>
    <tabColor rgb="FF92D050"/>
    <pageSetUpPr fitToPage="1"/>
  </sheetPr>
  <dimension ref="A1:BL498"/>
  <sheetViews>
    <sheetView view="pageBreakPreview" zoomScale="85" zoomScaleNormal="85" zoomScaleSheetLayoutView="85" workbookViewId="0">
      <pane ySplit="8" topLeftCell="A23" activePane="bottomLeft" state="frozen"/>
      <selection pane="bottomLeft" activeCell="F2" sqref="F1:O1048576"/>
      <selection activeCell="Z13" sqref="Z13"/>
    </sheetView>
  </sheetViews>
  <sheetFormatPr defaultColWidth="9.140625" defaultRowHeight="14.25" outlineLevelRow="1" outlineLevelCol="1"/>
  <cols>
    <col min="1" max="1" width="20.7109375" style="73" customWidth="1"/>
    <col min="2" max="2" width="5.140625" style="73" hidden="1" customWidth="1"/>
    <col min="3" max="3" width="9.5703125" style="73" hidden="1" customWidth="1"/>
    <col min="4" max="4" width="2.42578125" style="75" customWidth="1"/>
    <col min="5" max="5" width="85.7109375" style="74" customWidth="1"/>
    <col min="6" max="11" width="4.7109375" style="75" hidden="1" customWidth="1" outlineLevel="1"/>
    <col min="12" max="13" width="5.42578125" style="75" hidden="1" customWidth="1" outlineLevel="1"/>
    <col min="14" max="15" width="4.7109375" style="75" hidden="1" customWidth="1" outlineLevel="1"/>
    <col min="16" max="16" width="4.7109375" style="75" customWidth="1" outlineLevel="1"/>
    <col min="17" max="17" width="8.7109375" style="76" customWidth="1"/>
    <col min="18" max="18" width="9.140625" style="76" hidden="1" customWidth="1"/>
    <col min="19" max="19" width="23.140625" style="76" bestFit="1" customWidth="1"/>
    <col min="20" max="20" width="23.140625" style="76" customWidth="1"/>
    <col min="21" max="21" width="54" style="76" customWidth="1"/>
    <col min="22" max="22" width="8.85546875" style="64" customWidth="1" outlineLevel="1"/>
    <col min="23" max="23" width="9.140625" style="65" customWidth="1" outlineLevel="1"/>
    <col min="24" max="24" width="15.28515625" style="65" bestFit="1" customWidth="1" outlineLevel="1"/>
    <col min="25" max="25" width="12.28515625" style="65" customWidth="1" outlineLevel="1"/>
    <col min="26" max="27" width="9.140625" style="65" customWidth="1" outlineLevel="1"/>
    <col min="28" max="29" width="9.140625" style="65" customWidth="1"/>
    <col min="30" max="33" width="7.5703125" style="65" customWidth="1"/>
    <col min="34" max="35" width="9.140625" style="65" customWidth="1" outlineLevel="1"/>
    <col min="36" max="37" width="9.140625" style="65" customWidth="1"/>
    <col min="38" max="41" width="7.5703125" style="65" customWidth="1"/>
    <col min="42" max="43" width="9.140625" style="65" customWidth="1" outlineLevel="1"/>
    <col min="44" max="45" width="9.140625" style="65" customWidth="1"/>
    <col min="46" max="49" width="7.5703125" style="65" customWidth="1"/>
    <col min="50" max="51" width="9.140625" style="65" customWidth="1" outlineLevel="1"/>
    <col min="52" max="53" width="9.140625" style="65" customWidth="1"/>
    <col min="54" max="57" width="7.5703125" style="65" customWidth="1"/>
    <col min="58" max="58" width="9.140625" style="68" customWidth="1"/>
    <col min="59" max="16384" width="9.140625" style="68"/>
  </cols>
  <sheetData>
    <row r="1" spans="1:64" s="50" customFormat="1" ht="45" customHeight="1">
      <c r="A1" s="533" t="s">
        <v>420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271"/>
      <c r="U1" s="271"/>
      <c r="V1" s="131" t="s">
        <v>421</v>
      </c>
      <c r="W1" s="47"/>
      <c r="X1" s="47"/>
      <c r="Y1" s="47" t="s">
        <v>422</v>
      </c>
      <c r="Z1" s="48"/>
      <c r="AA1" s="49"/>
      <c r="AB1" s="48"/>
      <c r="AC1" s="48"/>
      <c r="AD1" s="48"/>
      <c r="AE1" s="49"/>
      <c r="AF1" s="49"/>
      <c r="AG1" s="47"/>
      <c r="AH1" s="48"/>
      <c r="AI1" s="49"/>
      <c r="AJ1" s="48"/>
      <c r="AK1" s="48"/>
      <c r="AL1" s="48"/>
      <c r="AM1" s="49"/>
      <c r="AN1" s="49"/>
      <c r="AO1" s="4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</row>
    <row r="2" spans="1:64" s="50" customFormat="1" ht="15" customHeight="1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42"/>
      <c r="T2" s="142"/>
      <c r="U2" s="142"/>
      <c r="V2" s="51"/>
      <c r="W2" s="51"/>
      <c r="X2" s="51"/>
      <c r="Y2" s="52">
        <f>SUM(Y8:Y270)</f>
        <v>154.90000000000009</v>
      </c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</row>
    <row r="3" spans="1:64" s="50" customFormat="1" ht="18" customHeight="1">
      <c r="A3" s="166" t="e" cm="1">
        <f t="array" aca="1" ref="A3" ca="1">MID(CELL("filename", A1), FIND("]", CELL("filename", A1)) + 1, LEN(CELL("filename", A1)))</f>
        <v>#VALUE!</v>
      </c>
      <c r="B3" s="166"/>
      <c r="C3" s="166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6"/>
      <c r="R3" s="36"/>
      <c r="S3" s="143"/>
      <c r="T3" s="143"/>
      <c r="U3" s="143"/>
      <c r="V3" s="198" t="s">
        <v>45</v>
      </c>
      <c r="W3" s="518" t="s">
        <v>46</v>
      </c>
      <c r="X3" s="518"/>
      <c r="Y3" s="504" t="s">
        <v>47</v>
      </c>
      <c r="Z3" s="585" t="s">
        <v>423</v>
      </c>
      <c r="AA3" s="585"/>
      <c r="AB3" s="585"/>
      <c r="AC3" s="585"/>
      <c r="AD3" s="585" t="s">
        <v>424</v>
      </c>
      <c r="AE3" s="585"/>
      <c r="AF3" s="585"/>
      <c r="AG3" s="585"/>
      <c r="AH3" s="582" t="s">
        <v>50</v>
      </c>
      <c r="AI3" s="582"/>
      <c r="AJ3" s="582"/>
      <c r="AK3" s="582"/>
      <c r="AL3" s="582" t="s">
        <v>51</v>
      </c>
      <c r="AM3" s="582"/>
      <c r="AN3" s="582"/>
      <c r="AO3" s="582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</row>
    <row r="4" spans="1:64" s="50" customFormat="1">
      <c r="A4" s="33"/>
      <c r="B4" s="33"/>
      <c r="C4" s="33"/>
      <c r="D4" s="34"/>
      <c r="E4" s="35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6"/>
      <c r="R4" s="36"/>
      <c r="S4" s="36"/>
      <c r="T4" s="36"/>
      <c r="U4" s="36"/>
      <c r="V4" s="513" t="s">
        <v>54</v>
      </c>
      <c r="W4" s="513" t="s">
        <v>55</v>
      </c>
      <c r="X4" s="513" t="s">
        <v>56</v>
      </c>
      <c r="Y4" s="504"/>
      <c r="Z4" s="583">
        <v>46051</v>
      </c>
      <c r="AA4" s="583"/>
      <c r="AB4" s="583"/>
      <c r="AC4" s="583"/>
      <c r="AD4" s="584">
        <v>46065</v>
      </c>
      <c r="AE4" s="584"/>
      <c r="AF4" s="584"/>
      <c r="AG4" s="584"/>
      <c r="AH4" s="584" t="s">
        <v>425</v>
      </c>
      <c r="AI4" s="584"/>
      <c r="AJ4" s="584"/>
      <c r="AK4" s="584"/>
      <c r="AL4" s="583">
        <v>46091</v>
      </c>
      <c r="AM4" s="583"/>
      <c r="AN4" s="583"/>
      <c r="AO4" s="583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</row>
    <row r="5" spans="1:64" s="50" customFormat="1">
      <c r="A5" s="524" t="s">
        <v>57</v>
      </c>
      <c r="B5" s="530"/>
      <c r="C5" s="525"/>
      <c r="D5" s="524" t="s">
        <v>58</v>
      </c>
      <c r="E5" s="525"/>
      <c r="F5" s="521" t="s">
        <v>59</v>
      </c>
      <c r="G5" s="522"/>
      <c r="H5" s="522"/>
      <c r="I5" s="522"/>
      <c r="J5" s="522"/>
      <c r="K5" s="522"/>
      <c r="L5" s="522"/>
      <c r="M5" s="522"/>
      <c r="N5" s="522"/>
      <c r="O5" s="522"/>
      <c r="P5" s="523"/>
      <c r="Q5" s="499" t="s">
        <v>60</v>
      </c>
      <c r="R5" s="499" t="s">
        <v>61</v>
      </c>
      <c r="S5" s="499" t="s">
        <v>62</v>
      </c>
      <c r="T5" s="499" t="s">
        <v>63</v>
      </c>
      <c r="U5" s="499" t="s">
        <v>65</v>
      </c>
      <c r="V5" s="514"/>
      <c r="W5" s="514"/>
      <c r="X5" s="514"/>
      <c r="Y5" s="504"/>
      <c r="Z5" s="365"/>
      <c r="AA5" s="366"/>
      <c r="AB5" s="366"/>
      <c r="AC5" s="366"/>
      <c r="AD5" s="366"/>
      <c r="AE5" s="366"/>
      <c r="AF5" s="366"/>
      <c r="AG5" s="366"/>
      <c r="AH5" s="365"/>
      <c r="AI5" s="366"/>
      <c r="AJ5" s="366"/>
      <c r="AK5" s="366"/>
      <c r="AL5" s="366"/>
      <c r="AM5" s="366"/>
      <c r="AN5" s="366"/>
      <c r="AO5" s="366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</row>
    <row r="6" spans="1:64" s="50" customFormat="1" ht="39">
      <c r="A6" s="526"/>
      <c r="B6" s="531"/>
      <c r="C6" s="527"/>
      <c r="D6" s="526"/>
      <c r="E6" s="527"/>
      <c r="F6" s="263" t="s">
        <v>66</v>
      </c>
      <c r="G6" s="263" t="s">
        <v>68</v>
      </c>
      <c r="H6" s="260" t="s">
        <v>69</v>
      </c>
      <c r="I6" s="260" t="s">
        <v>70</v>
      </c>
      <c r="J6" s="260" t="s">
        <v>71</v>
      </c>
      <c r="K6" s="263" t="s">
        <v>426</v>
      </c>
      <c r="L6" s="260" t="s">
        <v>2</v>
      </c>
      <c r="M6" s="409" t="s">
        <v>67</v>
      </c>
      <c r="N6" s="260" t="s">
        <v>72</v>
      </c>
      <c r="O6" s="260" t="s">
        <v>73</v>
      </c>
      <c r="P6" s="339" t="s">
        <v>427</v>
      </c>
      <c r="Q6" s="537"/>
      <c r="R6" s="537"/>
      <c r="S6" s="537"/>
      <c r="T6" s="537"/>
      <c r="U6" s="537"/>
      <c r="V6" s="514"/>
      <c r="W6" s="514"/>
      <c r="X6" s="514"/>
      <c r="Y6" s="504"/>
      <c r="Z6" s="365"/>
      <c r="AA6" s="366"/>
      <c r="AB6" s="366"/>
      <c r="AC6" s="366"/>
      <c r="AD6" s="365"/>
      <c r="AE6" s="366"/>
      <c r="AF6" s="366"/>
      <c r="AG6" s="366"/>
      <c r="AH6" s="365"/>
      <c r="AI6" s="366"/>
      <c r="AJ6" s="366"/>
      <c r="AK6" s="366"/>
      <c r="AL6" s="365"/>
      <c r="AM6" s="366"/>
      <c r="AN6" s="366"/>
      <c r="AO6" s="366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</row>
    <row r="7" spans="1:64" s="50" customFormat="1" ht="30">
      <c r="A7" s="526"/>
      <c r="B7" s="531"/>
      <c r="C7" s="527"/>
      <c r="D7" s="528"/>
      <c r="E7" s="529"/>
      <c r="F7" s="202" t="s">
        <v>78</v>
      </c>
      <c r="G7" s="202" t="s">
        <v>80</v>
      </c>
      <c r="H7" s="202" t="s">
        <v>428</v>
      </c>
      <c r="I7" s="202" t="s">
        <v>82</v>
      </c>
      <c r="J7" s="202" t="s">
        <v>83</v>
      </c>
      <c r="K7" s="202" t="s">
        <v>429</v>
      </c>
      <c r="L7" s="202" t="s">
        <v>84</v>
      </c>
      <c r="M7" s="411" t="s">
        <v>85</v>
      </c>
      <c r="N7" s="459" t="s">
        <v>86</v>
      </c>
      <c r="O7" s="463" t="s">
        <v>430</v>
      </c>
      <c r="P7" s="430" t="s">
        <v>88</v>
      </c>
      <c r="Q7" s="500"/>
      <c r="R7" s="500"/>
      <c r="S7" s="500"/>
      <c r="T7" s="537"/>
      <c r="U7" s="537"/>
      <c r="V7" s="514"/>
      <c r="W7" s="514"/>
      <c r="X7" s="514"/>
      <c r="Y7" s="504"/>
      <c r="Z7" s="367" t="s">
        <v>75</v>
      </c>
      <c r="AA7" s="368">
        <f>AA271/$Y271</f>
        <v>0.4280645161290324</v>
      </c>
      <c r="AB7" s="368" t="s">
        <v>76</v>
      </c>
      <c r="AC7" s="368">
        <f>AC271/$Y271</f>
        <v>0.43064516129032265</v>
      </c>
      <c r="AD7" s="369" t="s">
        <v>75</v>
      </c>
      <c r="AE7" s="368">
        <f>AE271/$Y271</f>
        <v>0.60935483870967722</v>
      </c>
      <c r="AF7" s="368" t="s">
        <v>76</v>
      </c>
      <c r="AG7" s="368">
        <f>AG271/$Y271</f>
        <v>0.54064516129032258</v>
      </c>
      <c r="AH7" s="367" t="s">
        <v>75</v>
      </c>
      <c r="AI7" s="368">
        <f>AI271/$Y271</f>
        <v>0</v>
      </c>
      <c r="AJ7" s="368" t="s">
        <v>76</v>
      </c>
      <c r="AK7" s="368">
        <f>AK271/$Y271</f>
        <v>0</v>
      </c>
      <c r="AL7" s="369" t="s">
        <v>75</v>
      </c>
      <c r="AM7" s="368">
        <f>AM271/$Y271</f>
        <v>1</v>
      </c>
      <c r="AN7" s="368" t="s">
        <v>76</v>
      </c>
      <c r="AO7" s="368">
        <f>AO271/$Y271</f>
        <v>0.94522580645161114</v>
      </c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</row>
    <row r="8" spans="1:64" s="165" customFormat="1" ht="18" customHeight="1">
      <c r="A8" s="160" t="s">
        <v>431</v>
      </c>
      <c r="B8" s="160"/>
      <c r="C8" s="160"/>
      <c r="D8" s="162"/>
      <c r="E8" s="162"/>
      <c r="F8" s="161"/>
      <c r="G8" s="161"/>
      <c r="H8" s="161"/>
      <c r="I8" s="161"/>
      <c r="J8" s="161"/>
      <c r="K8" s="161"/>
      <c r="L8" s="161"/>
      <c r="M8" s="431"/>
      <c r="N8" s="161"/>
      <c r="O8" s="161"/>
      <c r="P8" s="161"/>
      <c r="Q8" s="162"/>
      <c r="R8" s="162"/>
      <c r="S8" s="162"/>
      <c r="T8" s="162"/>
      <c r="U8" s="162"/>
      <c r="V8" s="163"/>
      <c r="W8" s="163"/>
      <c r="X8" s="163"/>
      <c r="Y8" s="164"/>
      <c r="Z8" s="159"/>
      <c r="AA8" s="135"/>
      <c r="AB8" s="135"/>
      <c r="AC8" s="135"/>
      <c r="AD8" s="159"/>
      <c r="AE8" s="135"/>
      <c r="AF8" s="135"/>
      <c r="AG8" s="135"/>
      <c r="AH8" s="159"/>
      <c r="AI8" s="135"/>
      <c r="AJ8" s="135"/>
      <c r="AK8" s="135"/>
      <c r="AL8" s="159"/>
      <c r="AM8" s="135"/>
      <c r="AN8" s="135"/>
      <c r="AO8" s="135"/>
    </row>
    <row r="9" spans="1:64" s="50" customFormat="1" ht="18" customHeight="1">
      <c r="A9" s="32" t="s">
        <v>432</v>
      </c>
      <c r="B9" s="32"/>
      <c r="C9" s="32"/>
      <c r="D9" s="11"/>
      <c r="E9" s="11"/>
      <c r="F9" s="11"/>
      <c r="G9" s="11"/>
      <c r="H9" s="11"/>
      <c r="I9" s="11"/>
      <c r="J9" s="11"/>
      <c r="K9" s="11"/>
      <c r="L9" s="11"/>
      <c r="M9" s="36"/>
      <c r="N9" s="11"/>
      <c r="O9" s="11"/>
      <c r="P9" s="11"/>
      <c r="Q9" s="11"/>
      <c r="R9" s="11"/>
      <c r="S9" s="11"/>
      <c r="T9" s="11"/>
      <c r="U9" s="11"/>
      <c r="V9" s="53"/>
      <c r="W9" s="53"/>
      <c r="X9" s="53"/>
      <c r="Y9" s="54"/>
      <c r="Z9" s="79"/>
      <c r="AA9" s="51"/>
      <c r="AB9" s="79"/>
      <c r="AC9" s="51"/>
      <c r="AD9" s="51"/>
      <c r="AE9" s="51"/>
      <c r="AF9" s="51"/>
      <c r="AG9" s="51"/>
      <c r="AH9" s="79"/>
      <c r="AI9" s="51"/>
      <c r="AJ9" s="79"/>
      <c r="AK9" s="51"/>
      <c r="AL9" s="51"/>
      <c r="AM9" s="51"/>
      <c r="AN9" s="51"/>
      <c r="AO9" s="51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</row>
    <row r="10" spans="1:64" s="50" customFormat="1" ht="15" customHeight="1">
      <c r="A10" s="42" t="s">
        <v>433</v>
      </c>
      <c r="B10" s="241" t="s">
        <v>94</v>
      </c>
      <c r="C10" s="42"/>
      <c r="D10" s="42"/>
      <c r="E10" s="57" t="s">
        <v>434</v>
      </c>
      <c r="F10" s="38" t="s">
        <v>34</v>
      </c>
      <c r="G10" s="38" t="s">
        <v>31</v>
      </c>
      <c r="H10" s="38"/>
      <c r="I10" s="38"/>
      <c r="J10" s="38"/>
      <c r="K10" s="38"/>
      <c r="L10" s="38" t="s">
        <v>116</v>
      </c>
      <c r="M10" s="38" t="s">
        <v>116</v>
      </c>
      <c r="N10" s="446" t="s">
        <v>38</v>
      </c>
      <c r="O10" s="38"/>
      <c r="P10" s="38">
        <v>0</v>
      </c>
      <c r="Q10" s="38" t="s">
        <v>98</v>
      </c>
      <c r="R10" s="40"/>
      <c r="S10" s="40"/>
      <c r="T10" s="40" t="str" cm="1">
        <f t="array" ref="T10">IF(A10&lt;&gt;"",_xlfn.XLOOKUP(_xlfn.XLOOKUP(TRUE,F10:O10&lt;&gt;"",F10:O10,"-",-1,-1),F10:O10,$F$6:$O$6,,,-1),"")</f>
        <v>Add8</v>
      </c>
      <c r="U10" s="245"/>
      <c r="V10" s="55"/>
      <c r="W10" s="55" t="s">
        <v>435</v>
      </c>
      <c r="X10" s="55" t="s">
        <v>436</v>
      </c>
      <c r="Y10" s="52">
        <v>0.5</v>
      </c>
      <c r="Z10" s="56">
        <v>0.8</v>
      </c>
      <c r="AA10" s="51">
        <v>0</v>
      </c>
      <c r="AB10" s="56">
        <v>0.8</v>
      </c>
      <c r="AC10" s="51">
        <f t="shared" ref="AC10:AC19" si="0">Y10*AB10</f>
        <v>0.4</v>
      </c>
      <c r="AD10" s="56">
        <v>0</v>
      </c>
      <c r="AE10" s="51">
        <f t="shared" ref="AE10:AE19" si="1">$Y10*AD10</f>
        <v>0</v>
      </c>
      <c r="AF10" s="56">
        <v>0</v>
      </c>
      <c r="AG10" s="51">
        <f t="shared" ref="AG10:AG16" si="2">$Y$10*AF10</f>
        <v>0</v>
      </c>
      <c r="AH10" s="56">
        <v>0</v>
      </c>
      <c r="AI10" s="51">
        <f t="shared" ref="AI10:AI19" si="3">$Y10*AH10</f>
        <v>0</v>
      </c>
      <c r="AJ10" s="56">
        <v>0</v>
      </c>
      <c r="AK10" s="51">
        <f t="shared" ref="AK10:AK16" si="4">$Y$10*AJ10</f>
        <v>0</v>
      </c>
      <c r="AL10" s="56">
        <v>1</v>
      </c>
      <c r="AM10" s="51">
        <f t="shared" ref="AM10:AM19" si="5">$Y10*AL10</f>
        <v>0.5</v>
      </c>
      <c r="AN10" s="56">
        <v>0</v>
      </c>
      <c r="AO10" s="51">
        <f t="shared" ref="AO10:AO16" si="6">$Y$10*AN10</f>
        <v>0</v>
      </c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</row>
    <row r="11" spans="1:64" s="50" customFormat="1" ht="15" customHeight="1">
      <c r="A11" s="42" t="s">
        <v>437</v>
      </c>
      <c r="B11" s="241" t="s">
        <v>94</v>
      </c>
      <c r="C11" s="42"/>
      <c r="D11" s="42"/>
      <c r="E11" s="57" t="s">
        <v>438</v>
      </c>
      <c r="F11" s="38" t="s">
        <v>34</v>
      </c>
      <c r="G11" s="38" t="s">
        <v>31</v>
      </c>
      <c r="H11" s="38" t="s">
        <v>116</v>
      </c>
      <c r="I11" s="38"/>
      <c r="J11" s="38"/>
      <c r="K11" s="38"/>
      <c r="L11" s="38"/>
      <c r="M11" s="38"/>
      <c r="N11" s="38"/>
      <c r="O11" s="38"/>
      <c r="P11" s="38">
        <v>0</v>
      </c>
      <c r="Q11" s="38" t="s">
        <v>98</v>
      </c>
      <c r="R11" s="40"/>
      <c r="S11" s="40"/>
      <c r="T11" s="40" t="str" cm="1">
        <f t="array" ref="T11">IF(A11&lt;&gt;"",_xlfn.XLOOKUP(_xlfn.XLOOKUP(TRUE,F11:O11&lt;&gt;"",F11:O11,"-",-1,-1),F11:O11,$F$6:$O$6,,,-1),"")</f>
        <v>Add2</v>
      </c>
      <c r="U11" s="245"/>
      <c r="V11" s="55"/>
      <c r="W11" s="55" t="s">
        <v>435</v>
      </c>
      <c r="X11" s="55" t="s">
        <v>435</v>
      </c>
      <c r="Y11" s="52">
        <v>0.5</v>
      </c>
      <c r="Z11" s="56">
        <v>1</v>
      </c>
      <c r="AA11" s="51">
        <v>0</v>
      </c>
      <c r="AB11" s="56">
        <v>1</v>
      </c>
      <c r="AC11" s="51">
        <f t="shared" si="0"/>
        <v>0.5</v>
      </c>
      <c r="AD11" s="56">
        <v>0</v>
      </c>
      <c r="AE11" s="51">
        <f t="shared" si="1"/>
        <v>0</v>
      </c>
      <c r="AF11" s="56">
        <v>0</v>
      </c>
      <c r="AG11" s="51">
        <f t="shared" si="2"/>
        <v>0</v>
      </c>
      <c r="AH11" s="56">
        <v>0</v>
      </c>
      <c r="AI11" s="51">
        <f t="shared" si="3"/>
        <v>0</v>
      </c>
      <c r="AJ11" s="56">
        <v>0</v>
      </c>
      <c r="AK11" s="51">
        <f t="shared" si="4"/>
        <v>0</v>
      </c>
      <c r="AL11" s="56">
        <v>1</v>
      </c>
      <c r="AM11" s="51">
        <f t="shared" si="5"/>
        <v>0.5</v>
      </c>
      <c r="AN11" s="56">
        <v>0</v>
      </c>
      <c r="AO11" s="51">
        <f t="shared" si="6"/>
        <v>0</v>
      </c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</row>
    <row r="12" spans="1:64" s="50" customFormat="1" ht="15" customHeight="1">
      <c r="A12" s="42" t="s">
        <v>439</v>
      </c>
      <c r="B12" s="241" t="s">
        <v>94</v>
      </c>
      <c r="C12" s="42"/>
      <c r="D12" s="42"/>
      <c r="E12" s="57" t="s">
        <v>440</v>
      </c>
      <c r="F12" s="38" t="s">
        <v>34</v>
      </c>
      <c r="G12" s="38" t="s">
        <v>31</v>
      </c>
      <c r="H12" s="38"/>
      <c r="I12" s="38" t="s">
        <v>116</v>
      </c>
      <c r="J12" s="38"/>
      <c r="K12" s="38"/>
      <c r="L12" s="38"/>
      <c r="M12" s="38"/>
      <c r="N12" s="38"/>
      <c r="O12" s="38"/>
      <c r="P12" s="38">
        <v>0</v>
      </c>
      <c r="Q12" s="38" t="s">
        <v>98</v>
      </c>
      <c r="R12" s="40"/>
      <c r="S12" s="40"/>
      <c r="T12" s="40" t="str" cm="1">
        <f t="array" ref="T12">IF(A12&lt;&gt;"",_xlfn.XLOOKUP(_xlfn.XLOOKUP(TRUE,F12:O12&lt;&gt;"",F12:O12,"-",-1,-1),F12:O12,$F$6:$O$6,,,-1),"")</f>
        <v>Add3</v>
      </c>
      <c r="U12" s="245"/>
      <c r="V12" s="55"/>
      <c r="W12" s="55" t="s">
        <v>435</v>
      </c>
      <c r="X12" s="55" t="s">
        <v>435</v>
      </c>
      <c r="Y12" s="52">
        <v>0.5</v>
      </c>
      <c r="Z12" s="56">
        <v>1</v>
      </c>
      <c r="AA12" s="51">
        <v>0</v>
      </c>
      <c r="AB12" s="56">
        <v>1</v>
      </c>
      <c r="AC12" s="51">
        <f t="shared" si="0"/>
        <v>0.5</v>
      </c>
      <c r="AD12" s="56">
        <v>0</v>
      </c>
      <c r="AE12" s="51">
        <f t="shared" si="1"/>
        <v>0</v>
      </c>
      <c r="AF12" s="56">
        <v>0</v>
      </c>
      <c r="AG12" s="51">
        <f t="shared" si="2"/>
        <v>0</v>
      </c>
      <c r="AH12" s="56">
        <v>0</v>
      </c>
      <c r="AI12" s="51">
        <f t="shared" si="3"/>
        <v>0</v>
      </c>
      <c r="AJ12" s="56">
        <v>0</v>
      </c>
      <c r="AK12" s="51">
        <f t="shared" si="4"/>
        <v>0</v>
      </c>
      <c r="AL12" s="56">
        <v>1</v>
      </c>
      <c r="AM12" s="51">
        <f t="shared" si="5"/>
        <v>0.5</v>
      </c>
      <c r="AN12" s="56">
        <v>0</v>
      </c>
      <c r="AO12" s="51">
        <f t="shared" si="6"/>
        <v>0</v>
      </c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</row>
    <row r="13" spans="1:64" s="50" customFormat="1" ht="15" customHeight="1">
      <c r="A13" s="42" t="s">
        <v>441</v>
      </c>
      <c r="B13" s="241" t="s">
        <v>94</v>
      </c>
      <c r="C13" s="42"/>
      <c r="D13" s="42"/>
      <c r="E13" s="57" t="s">
        <v>442</v>
      </c>
      <c r="F13" s="38" t="s">
        <v>34</v>
      </c>
      <c r="G13" s="38"/>
      <c r="H13" s="38" t="s">
        <v>31</v>
      </c>
      <c r="I13" s="38"/>
      <c r="J13" s="38"/>
      <c r="K13" s="38"/>
      <c r="L13" s="38"/>
      <c r="M13" s="38"/>
      <c r="N13" s="38"/>
      <c r="O13" s="38"/>
      <c r="P13" s="38">
        <v>0</v>
      </c>
      <c r="Q13" s="38" t="s">
        <v>98</v>
      </c>
      <c r="R13" s="40"/>
      <c r="S13" s="40"/>
      <c r="T13" s="40" t="str" cm="1">
        <f t="array" ref="T13">IF(A13&lt;&gt;"",_xlfn.XLOOKUP(_xlfn.XLOOKUP(TRUE,F13:O13&lt;&gt;"",F13:O13,"-",-1,-1),F13:O13,$F$6:$O$6,,,-1),"")</f>
        <v>Add2</v>
      </c>
      <c r="U13" s="40"/>
      <c r="V13" s="55"/>
      <c r="W13" s="55" t="s">
        <v>435</v>
      </c>
      <c r="X13" s="55" t="s">
        <v>435</v>
      </c>
      <c r="Y13" s="52">
        <v>0.5</v>
      </c>
      <c r="Z13" s="56">
        <v>1</v>
      </c>
      <c r="AA13" s="51">
        <v>0</v>
      </c>
      <c r="AB13" s="56">
        <v>1</v>
      </c>
      <c r="AC13" s="51">
        <f t="shared" si="0"/>
        <v>0.5</v>
      </c>
      <c r="AD13" s="56">
        <v>0</v>
      </c>
      <c r="AE13" s="51">
        <f t="shared" si="1"/>
        <v>0</v>
      </c>
      <c r="AF13" s="56">
        <v>0</v>
      </c>
      <c r="AG13" s="51">
        <f t="shared" si="2"/>
        <v>0</v>
      </c>
      <c r="AH13" s="56">
        <v>0</v>
      </c>
      <c r="AI13" s="51">
        <f t="shared" si="3"/>
        <v>0</v>
      </c>
      <c r="AJ13" s="56">
        <v>0</v>
      </c>
      <c r="AK13" s="51">
        <f t="shared" si="4"/>
        <v>0</v>
      </c>
      <c r="AL13" s="56">
        <v>1</v>
      </c>
      <c r="AM13" s="51">
        <f t="shared" si="5"/>
        <v>0.5</v>
      </c>
      <c r="AN13" s="56">
        <v>0</v>
      </c>
      <c r="AO13" s="51">
        <f t="shared" si="6"/>
        <v>0</v>
      </c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</row>
    <row r="14" spans="1:64" s="50" customFormat="1" ht="15" customHeight="1">
      <c r="A14" s="42" t="s">
        <v>443</v>
      </c>
      <c r="B14" s="241" t="s">
        <v>94</v>
      </c>
      <c r="C14" s="42"/>
      <c r="D14" s="42"/>
      <c r="E14" s="57" t="s">
        <v>444</v>
      </c>
      <c r="F14" s="38" t="s">
        <v>34</v>
      </c>
      <c r="G14" s="38" t="s">
        <v>31</v>
      </c>
      <c r="H14" s="38" t="s">
        <v>116</v>
      </c>
      <c r="I14" s="38"/>
      <c r="J14" s="38"/>
      <c r="K14" s="38"/>
      <c r="L14" s="38"/>
      <c r="M14" s="38"/>
      <c r="N14" s="38"/>
      <c r="O14" s="38"/>
      <c r="P14" s="38">
        <v>0</v>
      </c>
      <c r="Q14" s="38" t="s">
        <v>98</v>
      </c>
      <c r="R14" s="40"/>
      <c r="S14" s="40"/>
      <c r="T14" s="40" t="str" cm="1">
        <f t="array" ref="T14">IF(A14&lt;&gt;"",_xlfn.XLOOKUP(_xlfn.XLOOKUP(TRUE,F14:O14&lt;&gt;"",F14:O14,"-",-1,-1),F14:O14,$F$6:$O$6,,,-1),"")</f>
        <v>Add2</v>
      </c>
      <c r="U14" s="40"/>
      <c r="V14" s="55"/>
      <c r="W14" s="55" t="s">
        <v>435</v>
      </c>
      <c r="X14" s="55" t="s">
        <v>435</v>
      </c>
      <c r="Y14" s="52">
        <v>0.5</v>
      </c>
      <c r="Z14" s="56">
        <v>1</v>
      </c>
      <c r="AA14" s="51">
        <v>0</v>
      </c>
      <c r="AB14" s="56">
        <v>1</v>
      </c>
      <c r="AC14" s="51">
        <f t="shared" si="0"/>
        <v>0.5</v>
      </c>
      <c r="AD14" s="56">
        <v>0</v>
      </c>
      <c r="AE14" s="51">
        <f t="shared" si="1"/>
        <v>0</v>
      </c>
      <c r="AF14" s="56">
        <v>0</v>
      </c>
      <c r="AG14" s="51">
        <f t="shared" si="2"/>
        <v>0</v>
      </c>
      <c r="AH14" s="56">
        <v>0</v>
      </c>
      <c r="AI14" s="51">
        <f t="shared" si="3"/>
        <v>0</v>
      </c>
      <c r="AJ14" s="56">
        <v>0</v>
      </c>
      <c r="AK14" s="51">
        <f t="shared" si="4"/>
        <v>0</v>
      </c>
      <c r="AL14" s="56">
        <v>1</v>
      </c>
      <c r="AM14" s="51">
        <f t="shared" si="5"/>
        <v>0.5</v>
      </c>
      <c r="AN14" s="56">
        <v>0</v>
      </c>
      <c r="AO14" s="51">
        <f t="shared" si="6"/>
        <v>0</v>
      </c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</row>
    <row r="15" spans="1:64" s="50" customFormat="1" ht="15" customHeight="1" outlineLevel="1">
      <c r="A15" s="42" t="s">
        <v>445</v>
      </c>
      <c r="B15" s="241" t="s">
        <v>94</v>
      </c>
      <c r="C15" s="42"/>
      <c r="D15" s="42"/>
      <c r="E15" s="57" t="s">
        <v>446</v>
      </c>
      <c r="F15" s="38" t="s">
        <v>34</v>
      </c>
      <c r="G15" s="38" t="s">
        <v>31</v>
      </c>
      <c r="H15" s="38"/>
      <c r="I15" s="38"/>
      <c r="J15" s="38"/>
      <c r="K15" s="38"/>
      <c r="L15" s="38"/>
      <c r="M15" s="38"/>
      <c r="N15" s="446" t="s">
        <v>116</v>
      </c>
      <c r="O15" s="38"/>
      <c r="P15" s="38">
        <v>0</v>
      </c>
      <c r="Q15" s="38" t="s">
        <v>98</v>
      </c>
      <c r="R15" s="40"/>
      <c r="S15" s="40"/>
      <c r="T15" s="40" t="str" cm="1">
        <f t="array" ref="T15">IF(A15&lt;&gt;"",_xlfn.XLOOKUP(_xlfn.XLOOKUP(TRUE,F15:O15&lt;&gt;"",F15:O15,"-",-1,-1),F15:O15,$F$6:$O$6,,,-1),"")</f>
        <v>Add8</v>
      </c>
      <c r="U15" s="40"/>
      <c r="V15" s="141"/>
      <c r="W15" s="55" t="s">
        <v>435</v>
      </c>
      <c r="X15" s="55" t="s">
        <v>435</v>
      </c>
      <c r="Y15" s="52">
        <v>0.5</v>
      </c>
      <c r="Z15" s="56">
        <v>1</v>
      </c>
      <c r="AA15" s="51">
        <v>0</v>
      </c>
      <c r="AB15" s="56">
        <v>1</v>
      </c>
      <c r="AC15" s="51">
        <f t="shared" si="0"/>
        <v>0.5</v>
      </c>
      <c r="AD15" s="56">
        <v>0</v>
      </c>
      <c r="AE15" s="51">
        <f t="shared" si="1"/>
        <v>0</v>
      </c>
      <c r="AF15" s="56">
        <v>0</v>
      </c>
      <c r="AG15" s="51">
        <f t="shared" si="2"/>
        <v>0</v>
      </c>
      <c r="AH15" s="56">
        <v>0</v>
      </c>
      <c r="AI15" s="51">
        <f t="shared" si="3"/>
        <v>0</v>
      </c>
      <c r="AJ15" s="56">
        <v>0</v>
      </c>
      <c r="AK15" s="51">
        <f t="shared" si="4"/>
        <v>0</v>
      </c>
      <c r="AL15" s="56">
        <v>1</v>
      </c>
      <c r="AM15" s="51">
        <f t="shared" si="5"/>
        <v>0.5</v>
      </c>
      <c r="AN15" s="56">
        <v>0</v>
      </c>
      <c r="AO15" s="51">
        <f t="shared" si="6"/>
        <v>0</v>
      </c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</row>
    <row r="16" spans="1:64" s="50" customFormat="1" ht="15" customHeight="1" outlineLevel="1">
      <c r="A16" s="42" t="s">
        <v>447</v>
      </c>
      <c r="B16" s="241" t="s">
        <v>94</v>
      </c>
      <c r="C16" s="42"/>
      <c r="D16" s="42"/>
      <c r="E16" s="57" t="s">
        <v>448</v>
      </c>
      <c r="F16" s="38"/>
      <c r="G16" s="38" t="s">
        <v>97</v>
      </c>
      <c r="H16" s="38" t="s">
        <v>34</v>
      </c>
      <c r="I16" s="38"/>
      <c r="J16" s="38"/>
      <c r="K16" s="38"/>
      <c r="L16" s="38"/>
      <c r="M16" s="38"/>
      <c r="N16" s="38"/>
      <c r="O16" s="38"/>
      <c r="P16" s="38">
        <v>0</v>
      </c>
      <c r="Q16" s="38" t="s">
        <v>98</v>
      </c>
      <c r="R16" s="40"/>
      <c r="S16" s="40"/>
      <c r="T16" s="40" t="str" cm="1">
        <f t="array" ref="T16">IF(A16&lt;&gt;"",_xlfn.XLOOKUP(_xlfn.XLOOKUP(TRUE,F16:O16&lt;&gt;"",F16:O16,"-",-1,-1),F16:O16,$F$6:$O$6,,,-1),"")</f>
        <v>Add2</v>
      </c>
      <c r="U16" s="40"/>
      <c r="V16" s="141"/>
      <c r="W16" s="55" t="s">
        <v>435</v>
      </c>
      <c r="X16" s="55" t="s">
        <v>435</v>
      </c>
      <c r="Y16" s="52">
        <v>0.5</v>
      </c>
      <c r="Z16" s="56">
        <v>1</v>
      </c>
      <c r="AA16" s="51">
        <v>0</v>
      </c>
      <c r="AB16" s="56">
        <v>1</v>
      </c>
      <c r="AC16" s="51">
        <f t="shared" si="0"/>
        <v>0.5</v>
      </c>
      <c r="AD16" s="56">
        <v>0</v>
      </c>
      <c r="AE16" s="51">
        <f t="shared" si="1"/>
        <v>0</v>
      </c>
      <c r="AF16" s="56">
        <v>0</v>
      </c>
      <c r="AG16" s="51">
        <f t="shared" si="2"/>
        <v>0</v>
      </c>
      <c r="AH16" s="56">
        <v>0</v>
      </c>
      <c r="AI16" s="51">
        <f t="shared" si="3"/>
        <v>0</v>
      </c>
      <c r="AJ16" s="56">
        <v>0</v>
      </c>
      <c r="AK16" s="51">
        <f t="shared" si="4"/>
        <v>0</v>
      </c>
      <c r="AL16" s="56">
        <v>1</v>
      </c>
      <c r="AM16" s="51">
        <f t="shared" si="5"/>
        <v>0.5</v>
      </c>
      <c r="AN16" s="56">
        <v>0</v>
      </c>
      <c r="AO16" s="51">
        <f t="shared" si="6"/>
        <v>0</v>
      </c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</row>
    <row r="17" spans="1:64" s="50" customFormat="1" ht="15" customHeight="1" outlineLevel="1">
      <c r="A17" s="42" t="s">
        <v>449</v>
      </c>
      <c r="B17" s="241" t="s">
        <v>94</v>
      </c>
      <c r="C17" s="42"/>
      <c r="D17" s="42"/>
      <c r="E17" s="57" t="s">
        <v>450</v>
      </c>
      <c r="F17" s="38"/>
      <c r="G17" s="38" t="s">
        <v>97</v>
      </c>
      <c r="H17" s="38"/>
      <c r="I17" s="38"/>
      <c r="J17" s="38"/>
      <c r="K17" s="38"/>
      <c r="L17" s="38"/>
      <c r="M17" s="38"/>
      <c r="N17" s="38"/>
      <c r="O17" s="38"/>
      <c r="P17" s="38">
        <v>0</v>
      </c>
      <c r="Q17" s="38" t="s">
        <v>98</v>
      </c>
      <c r="R17" s="40"/>
      <c r="S17" s="40"/>
      <c r="T17" s="40" t="str" cm="1">
        <f t="array" ref="T17">IF(A17&lt;&gt;"",_xlfn.XLOOKUP(_xlfn.XLOOKUP(TRUE,F17:O17&lt;&gt;"",F17:O17,"-",-1,-1),F17:O17,$F$6:$O$6,,,-1),"")</f>
        <v>Add1</v>
      </c>
      <c r="U17" s="40"/>
      <c r="V17" s="141"/>
      <c r="W17" s="55" t="s">
        <v>435</v>
      </c>
      <c r="X17" s="55" t="s">
        <v>435</v>
      </c>
      <c r="Y17" s="52">
        <v>0.5</v>
      </c>
      <c r="Z17" s="56">
        <v>1</v>
      </c>
      <c r="AA17" s="51">
        <v>0</v>
      </c>
      <c r="AB17" s="56">
        <v>1</v>
      </c>
      <c r="AC17" s="51">
        <f t="shared" si="0"/>
        <v>0.5</v>
      </c>
      <c r="AD17" s="56">
        <v>0</v>
      </c>
      <c r="AE17" s="51">
        <f t="shared" si="1"/>
        <v>0</v>
      </c>
      <c r="AF17" s="56">
        <v>0</v>
      </c>
      <c r="AG17" s="51">
        <f t="shared" ref="AG17:AG19" si="7">$Y$10*AF17</f>
        <v>0</v>
      </c>
      <c r="AH17" s="56">
        <v>0</v>
      </c>
      <c r="AI17" s="51">
        <f t="shared" si="3"/>
        <v>0</v>
      </c>
      <c r="AJ17" s="56">
        <v>0</v>
      </c>
      <c r="AK17" s="51">
        <f t="shared" ref="AK17:AK19" si="8">$Y$10*AJ17</f>
        <v>0</v>
      </c>
      <c r="AL17" s="56">
        <v>1</v>
      </c>
      <c r="AM17" s="51">
        <f t="shared" si="5"/>
        <v>0.5</v>
      </c>
      <c r="AN17" s="56">
        <v>0</v>
      </c>
      <c r="AO17" s="51">
        <f t="shared" ref="AO17:AO19" si="9">$Y$10*AN17</f>
        <v>0</v>
      </c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</row>
    <row r="18" spans="1:64" s="50" customFormat="1" ht="15" customHeight="1" outlineLevel="1">
      <c r="A18" s="42" t="s">
        <v>451</v>
      </c>
      <c r="B18" s="241" t="s">
        <v>94</v>
      </c>
      <c r="C18" s="42"/>
      <c r="D18" s="42"/>
      <c r="E18" s="57" t="s">
        <v>452</v>
      </c>
      <c r="F18" s="38" t="s">
        <v>34</v>
      </c>
      <c r="G18" s="38"/>
      <c r="H18" s="38"/>
      <c r="I18" s="38" t="s">
        <v>31</v>
      </c>
      <c r="J18" s="38"/>
      <c r="K18" s="38"/>
      <c r="L18" s="38"/>
      <c r="M18" s="38"/>
      <c r="N18" s="38"/>
      <c r="O18" s="38"/>
      <c r="P18" s="38">
        <v>0</v>
      </c>
      <c r="Q18" s="38" t="s">
        <v>98</v>
      </c>
      <c r="R18" s="40"/>
      <c r="S18" s="40"/>
      <c r="T18" s="40" t="str" cm="1">
        <f t="array" ref="T18">IF(A18&lt;&gt;"",_xlfn.XLOOKUP(_xlfn.XLOOKUP(TRUE,F18:O18&lt;&gt;"",F18:O18,"-",-1,-1),F18:O18,$F$6:$O$6,,,-1),"")</f>
        <v>Add3</v>
      </c>
      <c r="U18" s="40"/>
      <c r="V18" s="141"/>
      <c r="W18" s="55" t="s">
        <v>435</v>
      </c>
      <c r="X18" s="55" t="s">
        <v>435</v>
      </c>
      <c r="Y18" s="52">
        <v>0.5</v>
      </c>
      <c r="Z18" s="56">
        <v>1</v>
      </c>
      <c r="AA18" s="51">
        <v>0</v>
      </c>
      <c r="AB18" s="56">
        <v>1</v>
      </c>
      <c r="AC18" s="51">
        <f t="shared" si="0"/>
        <v>0.5</v>
      </c>
      <c r="AD18" s="56">
        <v>0</v>
      </c>
      <c r="AE18" s="51">
        <f t="shared" si="1"/>
        <v>0</v>
      </c>
      <c r="AF18" s="56">
        <v>0</v>
      </c>
      <c r="AG18" s="51">
        <f t="shared" si="7"/>
        <v>0</v>
      </c>
      <c r="AH18" s="56">
        <v>0</v>
      </c>
      <c r="AI18" s="51">
        <f t="shared" si="3"/>
        <v>0</v>
      </c>
      <c r="AJ18" s="56">
        <v>0</v>
      </c>
      <c r="AK18" s="51">
        <f t="shared" si="8"/>
        <v>0</v>
      </c>
      <c r="AL18" s="56">
        <v>1</v>
      </c>
      <c r="AM18" s="51">
        <f t="shared" si="5"/>
        <v>0.5</v>
      </c>
      <c r="AN18" s="56">
        <v>0</v>
      </c>
      <c r="AO18" s="51">
        <f t="shared" si="9"/>
        <v>0</v>
      </c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</row>
    <row r="19" spans="1:64" s="50" customFormat="1" ht="15" customHeight="1" outlineLevel="1">
      <c r="A19" s="42" t="s">
        <v>453</v>
      </c>
      <c r="B19" s="241" t="s">
        <v>94</v>
      </c>
      <c r="C19" s="42"/>
      <c r="D19" s="42"/>
      <c r="E19" s="57" t="s">
        <v>454</v>
      </c>
      <c r="F19" s="38" t="s">
        <v>34</v>
      </c>
      <c r="G19" s="38"/>
      <c r="H19" s="38"/>
      <c r="I19" s="38"/>
      <c r="J19" s="38"/>
      <c r="K19" s="38"/>
      <c r="L19" s="38"/>
      <c r="M19" s="38"/>
      <c r="N19" s="38"/>
      <c r="O19" s="38"/>
      <c r="P19" s="38">
        <v>0</v>
      </c>
      <c r="Q19" s="38" t="s">
        <v>98</v>
      </c>
      <c r="R19" s="40"/>
      <c r="S19" s="40"/>
      <c r="T19" s="40" t="str" cm="1">
        <f t="array" ref="T19">IF(A19&lt;&gt;"",_xlfn.XLOOKUP(_xlfn.XLOOKUP(TRUE,F19:O19&lt;&gt;"",F19:O19,"-",-1,-1),F19:O19,$F$6:$O$6,,,-1),"")</f>
        <v>For Bid</v>
      </c>
      <c r="U19" s="40"/>
      <c r="V19" s="141"/>
      <c r="W19" s="55" t="s">
        <v>435</v>
      </c>
      <c r="X19" s="55" t="s">
        <v>435</v>
      </c>
      <c r="Y19" s="52">
        <v>0.5</v>
      </c>
      <c r="Z19" s="56">
        <v>1</v>
      </c>
      <c r="AA19" s="51">
        <v>0</v>
      </c>
      <c r="AB19" s="56">
        <v>1</v>
      </c>
      <c r="AC19" s="51">
        <f t="shared" si="0"/>
        <v>0.5</v>
      </c>
      <c r="AD19" s="56">
        <v>0</v>
      </c>
      <c r="AE19" s="51">
        <f t="shared" si="1"/>
        <v>0</v>
      </c>
      <c r="AF19" s="56">
        <v>0</v>
      </c>
      <c r="AG19" s="51">
        <f t="shared" si="7"/>
        <v>0</v>
      </c>
      <c r="AH19" s="56">
        <v>0</v>
      </c>
      <c r="AI19" s="51">
        <f t="shared" si="3"/>
        <v>0</v>
      </c>
      <c r="AJ19" s="56">
        <v>0</v>
      </c>
      <c r="AK19" s="51">
        <f t="shared" si="8"/>
        <v>0</v>
      </c>
      <c r="AL19" s="56">
        <v>1</v>
      </c>
      <c r="AM19" s="51">
        <f t="shared" si="5"/>
        <v>0.5</v>
      </c>
      <c r="AN19" s="56">
        <v>0</v>
      </c>
      <c r="AO19" s="51">
        <f t="shared" si="9"/>
        <v>0</v>
      </c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</row>
    <row r="20" spans="1:64" s="50" customFormat="1" ht="15" customHeight="1" outlineLevel="1">
      <c r="A20" s="42"/>
      <c r="B20" s="241"/>
      <c r="C20" s="42"/>
      <c r="D20" s="42"/>
      <c r="E20" s="57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40"/>
      <c r="S20" s="40"/>
      <c r="T20" s="40"/>
      <c r="U20" s="40"/>
      <c r="V20" s="141"/>
      <c r="W20" s="55"/>
      <c r="X20" s="55"/>
      <c r="Y20" s="52"/>
      <c r="Z20" s="56"/>
      <c r="AA20" s="51"/>
      <c r="AB20" s="56"/>
      <c r="AC20" s="51"/>
      <c r="AD20" s="56"/>
      <c r="AE20" s="51"/>
      <c r="AF20" s="56"/>
      <c r="AG20" s="51"/>
      <c r="AH20" s="56"/>
      <c r="AI20" s="51"/>
      <c r="AJ20" s="56"/>
      <c r="AK20" s="51"/>
      <c r="AL20" s="56"/>
      <c r="AM20" s="51"/>
      <c r="AN20" s="56"/>
      <c r="AO20" s="51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</row>
    <row r="21" spans="1:64" s="50" customFormat="1" ht="15" customHeight="1" outlineLevel="1">
      <c r="A21" s="42"/>
      <c r="B21" s="241"/>
      <c r="C21" s="42"/>
      <c r="D21" s="42"/>
      <c r="E21" s="57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40"/>
      <c r="S21" s="40"/>
      <c r="T21" s="40"/>
      <c r="U21" s="40"/>
      <c r="V21" s="141"/>
      <c r="W21" s="55"/>
      <c r="X21" s="55"/>
      <c r="Y21" s="52"/>
      <c r="Z21" s="56"/>
      <c r="AA21" s="51"/>
      <c r="AB21" s="56"/>
      <c r="AC21" s="51"/>
      <c r="AD21" s="56"/>
      <c r="AE21" s="51"/>
      <c r="AF21" s="56"/>
      <c r="AG21" s="51"/>
      <c r="AH21" s="56"/>
      <c r="AI21" s="51"/>
      <c r="AJ21" s="56"/>
      <c r="AK21" s="51"/>
      <c r="AL21" s="56"/>
      <c r="AM21" s="51"/>
      <c r="AN21" s="56"/>
      <c r="AO21" s="51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</row>
    <row r="22" spans="1:64" s="50" customFormat="1" ht="15" customHeight="1" thickBot="1">
      <c r="A22" s="41"/>
      <c r="B22" s="38"/>
      <c r="C22" s="233"/>
      <c r="D22" s="38"/>
      <c r="E22" s="43" t="str">
        <f>"SUB-TOTAL "&amp;UPPER(A9)&amp;" DRAWINGS"</f>
        <v>SUB-TOTAL GENERAL DRAWINGS DRAWINGS</v>
      </c>
      <c r="F22" s="133">
        <f t="shared" ref="F22:P22" si="10">COUNTA(F10:F19)</f>
        <v>8</v>
      </c>
      <c r="G22" s="133">
        <f t="shared" si="10"/>
        <v>7</v>
      </c>
      <c r="H22" s="133">
        <f t="shared" si="10"/>
        <v>4</v>
      </c>
      <c r="I22" s="133">
        <f t="shared" si="10"/>
        <v>2</v>
      </c>
      <c r="J22" s="133">
        <f t="shared" si="10"/>
        <v>0</v>
      </c>
      <c r="K22" s="133">
        <f t="shared" si="10"/>
        <v>0</v>
      </c>
      <c r="L22" s="133">
        <f t="shared" si="10"/>
        <v>1</v>
      </c>
      <c r="M22" s="133">
        <f t="shared" si="10"/>
        <v>1</v>
      </c>
      <c r="N22" s="133">
        <f t="shared" si="10"/>
        <v>2</v>
      </c>
      <c r="O22" s="133">
        <f t="shared" si="10"/>
        <v>0</v>
      </c>
      <c r="P22" s="133">
        <f t="shared" si="10"/>
        <v>10</v>
      </c>
      <c r="Q22" s="38"/>
      <c r="R22" s="36"/>
      <c r="S22" s="36"/>
      <c r="T22" s="36"/>
      <c r="U22" s="36"/>
      <c r="V22" s="55"/>
      <c r="W22" s="55"/>
      <c r="X22" s="55"/>
      <c r="Y22" s="52"/>
      <c r="Z22" s="56"/>
      <c r="AA22" s="51"/>
      <c r="AB22" s="56"/>
      <c r="AC22" s="51"/>
      <c r="AD22" s="56"/>
      <c r="AE22" s="51"/>
      <c r="AF22" s="56"/>
      <c r="AG22" s="51"/>
      <c r="AH22" s="56"/>
      <c r="AI22" s="51"/>
      <c r="AJ22" s="56"/>
      <c r="AK22" s="51"/>
      <c r="AL22" s="56"/>
      <c r="AM22" s="51"/>
      <c r="AN22" s="56"/>
      <c r="AO22" s="51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</row>
    <row r="23" spans="1:64" s="50" customFormat="1" ht="15" customHeight="1" outlineLevel="1" thickTop="1">
      <c r="A23" s="41"/>
      <c r="B23" s="41"/>
      <c r="C23" s="41"/>
      <c r="D23" s="38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40"/>
      <c r="S23" s="40"/>
      <c r="T23" s="40"/>
      <c r="U23" s="40"/>
      <c r="V23" s="55"/>
      <c r="W23" s="55"/>
      <c r="X23" s="55"/>
      <c r="Y23" s="52"/>
      <c r="Z23" s="56"/>
      <c r="AA23" s="51"/>
      <c r="AB23" s="56"/>
      <c r="AC23" s="51"/>
      <c r="AD23" s="56"/>
      <c r="AE23" s="51"/>
      <c r="AF23" s="56"/>
      <c r="AG23" s="51"/>
      <c r="AH23" s="56"/>
      <c r="AI23" s="51"/>
      <c r="AJ23" s="56"/>
      <c r="AK23" s="51"/>
      <c r="AL23" s="56"/>
      <c r="AM23" s="51"/>
      <c r="AN23" s="56"/>
      <c r="AO23" s="51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</row>
    <row r="24" spans="1:64" s="50" customFormat="1" ht="18" customHeight="1">
      <c r="A24" s="32" t="s">
        <v>189</v>
      </c>
      <c r="B24" s="32"/>
      <c r="C24" s="32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53"/>
      <c r="W24" s="53"/>
      <c r="X24" s="53"/>
      <c r="Y24" s="54"/>
      <c r="Z24" s="79"/>
      <c r="AA24" s="51"/>
      <c r="AB24" s="79"/>
      <c r="AC24" s="51"/>
      <c r="AD24" s="79"/>
      <c r="AE24" s="51"/>
      <c r="AF24" s="79"/>
      <c r="AG24" s="51"/>
      <c r="AH24" s="79"/>
      <c r="AI24" s="51"/>
      <c r="AJ24" s="79"/>
      <c r="AK24" s="51"/>
      <c r="AL24" s="79"/>
      <c r="AM24" s="51"/>
      <c r="AN24" s="79"/>
      <c r="AO24" s="51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</row>
    <row r="25" spans="1:64" s="50" customFormat="1" ht="15" customHeight="1">
      <c r="A25" s="42" t="s">
        <v>455</v>
      </c>
      <c r="B25" s="241" t="s">
        <v>94</v>
      </c>
      <c r="C25" s="42"/>
      <c r="D25" s="42"/>
      <c r="E25" s="57" t="s">
        <v>456</v>
      </c>
      <c r="F25" s="38"/>
      <c r="G25" s="38"/>
      <c r="H25" s="38"/>
      <c r="I25" s="38"/>
      <c r="J25" s="38"/>
      <c r="K25" s="38"/>
      <c r="L25" s="38" t="s">
        <v>97</v>
      </c>
      <c r="M25" s="38" t="s">
        <v>97</v>
      </c>
      <c r="N25" s="38" t="s">
        <v>34</v>
      </c>
      <c r="O25" s="38"/>
      <c r="P25" s="38">
        <v>0</v>
      </c>
      <c r="Q25" s="38" t="s">
        <v>98</v>
      </c>
      <c r="R25" s="40"/>
      <c r="S25" s="40"/>
      <c r="T25" s="40" t="str" cm="1">
        <f t="array" ref="T25">IF(A25&lt;&gt;"",_xlfn.XLOOKUP(_xlfn.XLOOKUP(TRUE,F25:O25&lt;&gt;"",F25:O25,"-",-1,-1),F25:O25,$F$6:$O$6,,,-1),"")</f>
        <v>Add8</v>
      </c>
      <c r="U25" s="245"/>
      <c r="V25" s="55"/>
      <c r="W25" s="55" t="s">
        <v>435</v>
      </c>
      <c r="X25" s="382" t="s">
        <v>435</v>
      </c>
      <c r="Y25" s="52">
        <v>2.5</v>
      </c>
      <c r="Z25" s="56">
        <v>0.65</v>
      </c>
      <c r="AA25" s="51">
        <f t="shared" ref="AA25:AA40" si="11">$Y25*Z25</f>
        <v>1.625</v>
      </c>
      <c r="AB25" s="56">
        <v>0.65</v>
      </c>
      <c r="AC25" s="51">
        <f>Y25*AB25</f>
        <v>1.625</v>
      </c>
      <c r="AD25" s="56">
        <v>0.75</v>
      </c>
      <c r="AE25" s="51">
        <f>$Y25*AD25</f>
        <v>1.875</v>
      </c>
      <c r="AF25" s="56">
        <v>0.7</v>
      </c>
      <c r="AG25" s="51">
        <f>Y25*AF25</f>
        <v>1.75</v>
      </c>
      <c r="AH25" s="56">
        <v>0</v>
      </c>
      <c r="AI25" s="51">
        <f t="shared" ref="AI25:AI44" si="12">$Y25*AH25</f>
        <v>0</v>
      </c>
      <c r="AJ25" s="56">
        <v>0</v>
      </c>
      <c r="AK25" s="51">
        <f t="shared" ref="AK25:AK44" si="13">$Y$10*AJ25</f>
        <v>0</v>
      </c>
      <c r="AL25" s="56">
        <v>1</v>
      </c>
      <c r="AM25" s="51">
        <f>$Y25*AL25</f>
        <v>2.5</v>
      </c>
      <c r="AN25" s="56">
        <v>0.98</v>
      </c>
      <c r="AO25" s="51">
        <f>Y25*AN25</f>
        <v>2.4500000000000002</v>
      </c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</row>
    <row r="26" spans="1:64" s="50" customFormat="1" ht="15" customHeight="1">
      <c r="A26" s="42" t="s">
        <v>457</v>
      </c>
      <c r="B26" s="241" t="s">
        <v>94</v>
      </c>
      <c r="C26" s="42"/>
      <c r="D26" s="42"/>
      <c r="E26" s="57" t="s">
        <v>458</v>
      </c>
      <c r="F26" s="38"/>
      <c r="G26" s="38"/>
      <c r="H26" s="38"/>
      <c r="I26" s="38"/>
      <c r="J26" s="38"/>
      <c r="K26" s="38"/>
      <c r="L26" s="38" t="s">
        <v>97</v>
      </c>
      <c r="M26" s="38" t="s">
        <v>97</v>
      </c>
      <c r="N26" s="38"/>
      <c r="O26" s="38"/>
      <c r="P26" s="38">
        <v>0</v>
      </c>
      <c r="Q26" s="38" t="s">
        <v>98</v>
      </c>
      <c r="R26" s="40"/>
      <c r="S26" s="40"/>
      <c r="T26" s="40" t="str" cm="1">
        <f t="array" ref="T26">IF(A26&lt;&gt;"",_xlfn.XLOOKUP(_xlfn.XLOOKUP(TRUE,F26:O26&lt;&gt;"",F26:O26,"-",-1,-1),F26:O26,$F$6:$O$6,,,-1),"")</f>
        <v>Permit</v>
      </c>
      <c r="U26" s="245"/>
      <c r="V26" s="55"/>
      <c r="W26" s="55" t="s">
        <v>435</v>
      </c>
      <c r="X26" s="55" t="s">
        <v>435</v>
      </c>
      <c r="Y26" s="52">
        <v>1</v>
      </c>
      <c r="Z26" s="56">
        <v>0.65</v>
      </c>
      <c r="AA26" s="51">
        <f t="shared" si="11"/>
        <v>0.65</v>
      </c>
      <c r="AB26" s="56">
        <v>0.65</v>
      </c>
      <c r="AC26" s="51">
        <f>Y26*AB26</f>
        <v>0.65</v>
      </c>
      <c r="AD26" s="56">
        <v>0.8</v>
      </c>
      <c r="AE26" s="51">
        <f>$Y26*AD26</f>
        <v>0.8</v>
      </c>
      <c r="AF26" s="56">
        <v>0.8</v>
      </c>
      <c r="AG26" s="51">
        <f t="shared" ref="AG26:AG44" si="14">Y26*AF26</f>
        <v>0.8</v>
      </c>
      <c r="AH26" s="56">
        <v>0</v>
      </c>
      <c r="AI26" s="51">
        <f t="shared" si="12"/>
        <v>0</v>
      </c>
      <c r="AJ26" s="56">
        <v>0</v>
      </c>
      <c r="AK26" s="51">
        <f t="shared" si="13"/>
        <v>0</v>
      </c>
      <c r="AL26" s="56">
        <v>1</v>
      </c>
      <c r="AM26" s="51">
        <f t="shared" ref="AM26:AM44" si="15">$Y26*AL26</f>
        <v>1</v>
      </c>
      <c r="AN26" s="56">
        <v>1</v>
      </c>
      <c r="AO26" s="51">
        <f t="shared" ref="AO26:AO92" si="16">Y26*AN26</f>
        <v>1</v>
      </c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</row>
    <row r="27" spans="1:64" s="50" customFormat="1" ht="15" customHeight="1">
      <c r="A27" s="42" t="s">
        <v>459</v>
      </c>
      <c r="B27" s="241" t="s">
        <v>94</v>
      </c>
      <c r="C27" s="42"/>
      <c r="D27" s="42"/>
      <c r="E27" s="57" t="s">
        <v>460</v>
      </c>
      <c r="F27" s="38"/>
      <c r="G27" s="38"/>
      <c r="H27" s="38"/>
      <c r="I27" s="38"/>
      <c r="J27" s="38"/>
      <c r="K27" s="38"/>
      <c r="L27" s="38" t="s">
        <v>97</v>
      </c>
      <c r="M27" s="38" t="s">
        <v>97</v>
      </c>
      <c r="N27" s="38" t="s">
        <v>34</v>
      </c>
      <c r="O27" s="38"/>
      <c r="P27" s="38">
        <v>0</v>
      </c>
      <c r="Q27" s="38" t="s">
        <v>98</v>
      </c>
      <c r="R27" s="40"/>
      <c r="S27" s="40"/>
      <c r="T27" s="40" t="str" cm="1">
        <f t="array" ref="T27">IF(A27&lt;&gt;"",_xlfn.XLOOKUP(_xlfn.XLOOKUP(TRUE,F27:O27&lt;&gt;"",F27:O27,"-",-1,-1),F27:O27,$F$6:$O$6,,,-1),"")</f>
        <v>Add8</v>
      </c>
      <c r="U27" s="245"/>
      <c r="V27" s="55"/>
      <c r="W27" s="55" t="s">
        <v>435</v>
      </c>
      <c r="X27" s="382" t="s">
        <v>435</v>
      </c>
      <c r="Y27" s="52">
        <v>2.5</v>
      </c>
      <c r="Z27" s="56">
        <v>0.65</v>
      </c>
      <c r="AA27" s="51">
        <f t="shared" si="11"/>
        <v>1.625</v>
      </c>
      <c r="AB27" s="56">
        <v>0.65</v>
      </c>
      <c r="AC27" s="51">
        <f t="shared" ref="AC27:AC59" si="17">Y27*AB27</f>
        <v>1.625</v>
      </c>
      <c r="AD27" s="56">
        <v>0.75</v>
      </c>
      <c r="AE27" s="51">
        <f t="shared" ref="AE27:AE44" si="18">$Y27*AD27</f>
        <v>1.875</v>
      </c>
      <c r="AF27" s="56">
        <v>0.7</v>
      </c>
      <c r="AG27" s="51">
        <f t="shared" si="14"/>
        <v>1.75</v>
      </c>
      <c r="AH27" s="56">
        <v>0</v>
      </c>
      <c r="AI27" s="51">
        <f t="shared" si="12"/>
        <v>0</v>
      </c>
      <c r="AJ27" s="56">
        <v>0</v>
      </c>
      <c r="AK27" s="51">
        <f t="shared" si="13"/>
        <v>0</v>
      </c>
      <c r="AL27" s="56">
        <v>1</v>
      </c>
      <c r="AM27" s="51">
        <f t="shared" si="15"/>
        <v>2.5</v>
      </c>
      <c r="AN27" s="56">
        <v>0.98</v>
      </c>
      <c r="AO27" s="51">
        <f t="shared" si="16"/>
        <v>2.4500000000000002</v>
      </c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</row>
    <row r="28" spans="1:64" s="50" customFormat="1" ht="15" customHeight="1">
      <c r="A28" s="42" t="s">
        <v>461</v>
      </c>
      <c r="B28" s="241" t="s">
        <v>94</v>
      </c>
      <c r="C28" s="42"/>
      <c r="D28" s="42"/>
      <c r="E28" s="57" t="s">
        <v>462</v>
      </c>
      <c r="F28" s="38"/>
      <c r="G28" s="38"/>
      <c r="H28" s="38"/>
      <c r="I28" s="38"/>
      <c r="J28" s="38"/>
      <c r="K28" s="38"/>
      <c r="L28" s="38" t="s">
        <v>97</v>
      </c>
      <c r="M28" s="38" t="s">
        <v>97</v>
      </c>
      <c r="N28" s="38"/>
      <c r="O28" s="38"/>
      <c r="P28" s="38">
        <v>0</v>
      </c>
      <c r="Q28" s="38" t="s">
        <v>98</v>
      </c>
      <c r="R28" s="40"/>
      <c r="S28" s="40"/>
      <c r="T28" s="40" t="str" cm="1">
        <f t="array" ref="T28">IF(A28&lt;&gt;"",_xlfn.XLOOKUP(_xlfn.XLOOKUP(TRUE,F28:O28&lt;&gt;"",F28:O28,"-",-1,-1),F28:O28,$F$6:$O$6,,,-1),"")</f>
        <v>Permit</v>
      </c>
      <c r="U28" s="245"/>
      <c r="V28" s="55"/>
      <c r="W28" s="55" t="s">
        <v>435</v>
      </c>
      <c r="X28" s="55" t="s">
        <v>435</v>
      </c>
      <c r="Y28" s="52">
        <v>1</v>
      </c>
      <c r="Z28" s="56">
        <v>0.65</v>
      </c>
      <c r="AA28" s="51">
        <f t="shared" si="11"/>
        <v>0.65</v>
      </c>
      <c r="AB28" s="56">
        <v>0.65</v>
      </c>
      <c r="AC28" s="51">
        <f t="shared" si="17"/>
        <v>0.65</v>
      </c>
      <c r="AD28" s="56">
        <v>0.8</v>
      </c>
      <c r="AE28" s="51">
        <f t="shared" si="18"/>
        <v>0.8</v>
      </c>
      <c r="AF28" s="56">
        <v>0.8</v>
      </c>
      <c r="AG28" s="51">
        <f t="shared" si="14"/>
        <v>0.8</v>
      </c>
      <c r="AH28" s="56">
        <v>0</v>
      </c>
      <c r="AI28" s="51">
        <f t="shared" si="12"/>
        <v>0</v>
      </c>
      <c r="AJ28" s="56">
        <v>0</v>
      </c>
      <c r="AK28" s="51">
        <f t="shared" si="13"/>
        <v>0</v>
      </c>
      <c r="AL28" s="56">
        <v>1</v>
      </c>
      <c r="AM28" s="51">
        <f t="shared" si="15"/>
        <v>1</v>
      </c>
      <c r="AN28" s="56">
        <v>1</v>
      </c>
      <c r="AO28" s="51">
        <f t="shared" si="16"/>
        <v>1</v>
      </c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</row>
    <row r="29" spans="1:64" s="50" customFormat="1" ht="15" customHeight="1">
      <c r="A29" s="42" t="s">
        <v>463</v>
      </c>
      <c r="B29" s="241" t="s">
        <v>94</v>
      </c>
      <c r="C29" s="42"/>
      <c r="D29" s="42"/>
      <c r="E29" s="57" t="s">
        <v>464</v>
      </c>
      <c r="F29" s="38"/>
      <c r="G29" s="38"/>
      <c r="H29" s="38"/>
      <c r="I29" s="38"/>
      <c r="J29" s="38"/>
      <c r="K29" s="38"/>
      <c r="L29" s="38" t="s">
        <v>97</v>
      </c>
      <c r="M29" s="38" t="s">
        <v>97</v>
      </c>
      <c r="N29" s="38" t="s">
        <v>34</v>
      </c>
      <c r="O29" s="38" t="s">
        <v>31</v>
      </c>
      <c r="P29" s="38">
        <v>0</v>
      </c>
      <c r="Q29" s="38" t="s">
        <v>98</v>
      </c>
      <c r="R29" s="40"/>
      <c r="S29" s="40"/>
      <c r="T29" s="40" t="str" cm="1">
        <f t="array" ref="T29">IF(A29&lt;&gt;"",_xlfn.XLOOKUP(_xlfn.XLOOKUP(TRUE,F29:O29&lt;&gt;"",F29:O29,"-",-1,-1),F29:O29,$F$6:$O$6,,,-1),"")</f>
        <v>Add9</v>
      </c>
      <c r="U29" s="245"/>
      <c r="V29" s="55"/>
      <c r="W29" s="55" t="s">
        <v>435</v>
      </c>
      <c r="X29" s="377" t="s">
        <v>465</v>
      </c>
      <c r="Y29" s="52">
        <v>2.5</v>
      </c>
      <c r="Z29" s="56">
        <v>0.65</v>
      </c>
      <c r="AA29" s="51">
        <f t="shared" si="11"/>
        <v>1.625</v>
      </c>
      <c r="AB29" s="56">
        <v>0.65</v>
      </c>
      <c r="AC29" s="51">
        <f t="shared" si="17"/>
        <v>1.625</v>
      </c>
      <c r="AD29" s="56">
        <v>0.75</v>
      </c>
      <c r="AE29" s="51">
        <f t="shared" si="18"/>
        <v>1.875</v>
      </c>
      <c r="AF29" s="56">
        <v>0.7</v>
      </c>
      <c r="AG29" s="51">
        <f t="shared" si="14"/>
        <v>1.75</v>
      </c>
      <c r="AH29" s="56">
        <v>0</v>
      </c>
      <c r="AI29" s="51">
        <f t="shared" si="12"/>
        <v>0</v>
      </c>
      <c r="AJ29" s="56">
        <v>0</v>
      </c>
      <c r="AK29" s="51">
        <f t="shared" si="13"/>
        <v>0</v>
      </c>
      <c r="AL29" s="56">
        <v>1</v>
      </c>
      <c r="AM29" s="51">
        <f t="shared" si="15"/>
        <v>2.5</v>
      </c>
      <c r="AN29" s="56">
        <v>0.98</v>
      </c>
      <c r="AO29" s="51">
        <f t="shared" si="16"/>
        <v>2.4500000000000002</v>
      </c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</row>
    <row r="30" spans="1:64" s="50" customFormat="1" ht="15" customHeight="1">
      <c r="A30" s="42" t="s">
        <v>466</v>
      </c>
      <c r="B30" s="241" t="s">
        <v>94</v>
      </c>
      <c r="C30" s="42"/>
      <c r="D30" s="42"/>
      <c r="E30" s="57" t="s">
        <v>467</v>
      </c>
      <c r="F30" s="38"/>
      <c r="G30" s="38"/>
      <c r="H30" s="38"/>
      <c r="I30" s="38"/>
      <c r="J30" s="38"/>
      <c r="K30" s="38"/>
      <c r="L30" s="38" t="s">
        <v>97</v>
      </c>
      <c r="M30" s="38" t="s">
        <v>97</v>
      </c>
      <c r="N30" s="38"/>
      <c r="O30" s="38" t="s">
        <v>34</v>
      </c>
      <c r="P30" s="38">
        <v>0</v>
      </c>
      <c r="Q30" s="38" t="s">
        <v>98</v>
      </c>
      <c r="R30" s="40"/>
      <c r="S30" s="40"/>
      <c r="T30" s="40" t="str" cm="1">
        <f t="array" ref="T30">IF(A30&lt;&gt;"",_xlfn.XLOOKUP(_xlfn.XLOOKUP(TRUE,F30:O30&lt;&gt;"",F30:O30,"-",-1,-1),F30:O30,$F$6:$O$6,,,-1),"")</f>
        <v>Add9</v>
      </c>
      <c r="U30" s="245"/>
      <c r="V30" s="55"/>
      <c r="W30" s="55" t="s">
        <v>435</v>
      </c>
      <c r="X30" s="55" t="s">
        <v>435</v>
      </c>
      <c r="Y30" s="52">
        <v>1</v>
      </c>
      <c r="Z30" s="56">
        <v>0.65</v>
      </c>
      <c r="AA30" s="51">
        <f t="shared" si="11"/>
        <v>0.65</v>
      </c>
      <c r="AB30" s="56">
        <v>0.65</v>
      </c>
      <c r="AC30" s="51">
        <f t="shared" si="17"/>
        <v>0.65</v>
      </c>
      <c r="AD30" s="56">
        <v>0.8</v>
      </c>
      <c r="AE30" s="51">
        <f t="shared" si="18"/>
        <v>0.8</v>
      </c>
      <c r="AF30" s="56">
        <v>0.8</v>
      </c>
      <c r="AG30" s="51">
        <f t="shared" si="14"/>
        <v>0.8</v>
      </c>
      <c r="AH30" s="56">
        <v>0</v>
      </c>
      <c r="AI30" s="51">
        <f t="shared" si="12"/>
        <v>0</v>
      </c>
      <c r="AJ30" s="56">
        <v>0</v>
      </c>
      <c r="AK30" s="51">
        <f t="shared" si="13"/>
        <v>0</v>
      </c>
      <c r="AL30" s="56">
        <v>1</v>
      </c>
      <c r="AM30" s="51">
        <f t="shared" si="15"/>
        <v>1</v>
      </c>
      <c r="AN30" s="56">
        <v>1</v>
      </c>
      <c r="AO30" s="51">
        <f t="shared" si="16"/>
        <v>1</v>
      </c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</row>
    <row r="31" spans="1:64" s="50" customFormat="1" ht="15" customHeight="1">
      <c r="A31" s="42" t="s">
        <v>468</v>
      </c>
      <c r="B31" s="241" t="s">
        <v>94</v>
      </c>
      <c r="C31" s="42"/>
      <c r="D31" s="42"/>
      <c r="E31" s="57" t="s">
        <v>469</v>
      </c>
      <c r="F31" s="38"/>
      <c r="G31" s="38"/>
      <c r="H31" s="38"/>
      <c r="I31" s="38"/>
      <c r="J31" s="38"/>
      <c r="K31" s="38"/>
      <c r="L31" s="38" t="s">
        <v>97</v>
      </c>
      <c r="M31" s="38" t="s">
        <v>97</v>
      </c>
      <c r="N31" s="38" t="s">
        <v>34</v>
      </c>
      <c r="O31" s="38" t="s">
        <v>31</v>
      </c>
      <c r="P31" s="38">
        <v>0</v>
      </c>
      <c r="Q31" s="38" t="s">
        <v>98</v>
      </c>
      <c r="R31" s="40"/>
      <c r="S31" s="40"/>
      <c r="T31" s="40" t="str" cm="1">
        <f t="array" ref="T31">IF(A31&lt;&gt;"",_xlfn.XLOOKUP(_xlfn.XLOOKUP(TRUE,F31:O31&lt;&gt;"",F31:O31,"-",-1,-1),F31:O31,$F$6:$O$6,,,-1),"")</f>
        <v>Add9</v>
      </c>
      <c r="U31" s="245"/>
      <c r="V31" s="55"/>
      <c r="W31" s="55" t="s">
        <v>435</v>
      </c>
      <c r="X31" s="377" t="s">
        <v>436</v>
      </c>
      <c r="Y31" s="52">
        <v>2.5</v>
      </c>
      <c r="Z31" s="56">
        <v>0.65</v>
      </c>
      <c r="AA31" s="51">
        <f t="shared" si="11"/>
        <v>1.625</v>
      </c>
      <c r="AB31" s="56">
        <v>0.65</v>
      </c>
      <c r="AC31" s="51">
        <f t="shared" si="17"/>
        <v>1.625</v>
      </c>
      <c r="AD31" s="56">
        <v>0.75</v>
      </c>
      <c r="AE31" s="51">
        <f t="shared" si="18"/>
        <v>1.875</v>
      </c>
      <c r="AF31" s="56">
        <v>0.7</v>
      </c>
      <c r="AG31" s="51">
        <f t="shared" si="14"/>
        <v>1.75</v>
      </c>
      <c r="AH31" s="56">
        <v>0</v>
      </c>
      <c r="AI31" s="51">
        <f t="shared" si="12"/>
        <v>0</v>
      </c>
      <c r="AJ31" s="56">
        <v>0</v>
      </c>
      <c r="AK31" s="51">
        <f t="shared" si="13"/>
        <v>0</v>
      </c>
      <c r="AL31" s="56">
        <v>1</v>
      </c>
      <c r="AM31" s="51">
        <f t="shared" si="15"/>
        <v>2.5</v>
      </c>
      <c r="AN31" s="56">
        <v>0.98</v>
      </c>
      <c r="AO31" s="51">
        <f t="shared" si="16"/>
        <v>2.4500000000000002</v>
      </c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</row>
    <row r="32" spans="1:64" s="50" customFormat="1" ht="15" customHeight="1">
      <c r="A32" s="42" t="s">
        <v>470</v>
      </c>
      <c r="B32" s="241" t="s">
        <v>94</v>
      </c>
      <c r="C32" s="42"/>
      <c r="D32" s="42"/>
      <c r="E32" s="57" t="s">
        <v>471</v>
      </c>
      <c r="F32" s="38"/>
      <c r="G32" s="38"/>
      <c r="H32" s="38"/>
      <c r="I32" s="38"/>
      <c r="J32" s="38"/>
      <c r="K32" s="38"/>
      <c r="L32" s="38" t="s">
        <v>97</v>
      </c>
      <c r="M32" s="38" t="s">
        <v>97</v>
      </c>
      <c r="N32" s="38"/>
      <c r="O32" s="38"/>
      <c r="P32" s="38">
        <v>0</v>
      </c>
      <c r="Q32" s="38" t="s">
        <v>98</v>
      </c>
      <c r="R32" s="40"/>
      <c r="S32" s="40"/>
      <c r="T32" s="40" t="str" cm="1">
        <f t="array" ref="T32">IF(A32&lt;&gt;"",_xlfn.XLOOKUP(_xlfn.XLOOKUP(TRUE,F32:O32&lt;&gt;"",F32:O32,"-",-1,-1),F32:O32,$F$6:$O$6,,,-1),"")</f>
        <v>Permit</v>
      </c>
      <c r="U32" s="245"/>
      <c r="V32" s="55"/>
      <c r="W32" s="55" t="s">
        <v>435</v>
      </c>
      <c r="X32" s="55" t="s">
        <v>435</v>
      </c>
      <c r="Y32" s="52">
        <v>1</v>
      </c>
      <c r="Z32" s="56">
        <v>0.65</v>
      </c>
      <c r="AA32" s="51">
        <f t="shared" si="11"/>
        <v>0.65</v>
      </c>
      <c r="AB32" s="56">
        <v>0.65</v>
      </c>
      <c r="AC32" s="51">
        <f t="shared" si="17"/>
        <v>0.65</v>
      </c>
      <c r="AD32" s="56">
        <v>0.8</v>
      </c>
      <c r="AE32" s="51">
        <f t="shared" si="18"/>
        <v>0.8</v>
      </c>
      <c r="AF32" s="56">
        <v>0.8</v>
      </c>
      <c r="AG32" s="51">
        <f t="shared" si="14"/>
        <v>0.8</v>
      </c>
      <c r="AH32" s="56">
        <v>0</v>
      </c>
      <c r="AI32" s="51">
        <f t="shared" si="12"/>
        <v>0</v>
      </c>
      <c r="AJ32" s="56">
        <v>0</v>
      </c>
      <c r="AK32" s="51">
        <f t="shared" si="13"/>
        <v>0</v>
      </c>
      <c r="AL32" s="56">
        <v>1</v>
      </c>
      <c r="AM32" s="51">
        <f t="shared" si="15"/>
        <v>1</v>
      </c>
      <c r="AN32" s="56">
        <v>1</v>
      </c>
      <c r="AO32" s="51">
        <f t="shared" si="16"/>
        <v>1</v>
      </c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</row>
    <row r="33" spans="1:64" s="50" customFormat="1" ht="15" customHeight="1">
      <c r="A33" s="42" t="s">
        <v>472</v>
      </c>
      <c r="B33" s="241" t="s">
        <v>94</v>
      </c>
      <c r="C33" s="42"/>
      <c r="D33" s="42"/>
      <c r="E33" s="57" t="s">
        <v>473</v>
      </c>
      <c r="F33" s="38"/>
      <c r="G33" s="38"/>
      <c r="H33" s="38"/>
      <c r="I33" s="38"/>
      <c r="J33" s="38"/>
      <c r="K33" s="38"/>
      <c r="L33" s="38" t="s">
        <v>97</v>
      </c>
      <c r="M33" s="38" t="s">
        <v>97</v>
      </c>
      <c r="N33" s="38" t="s">
        <v>34</v>
      </c>
      <c r="O33" s="38" t="s">
        <v>31</v>
      </c>
      <c r="P33" s="38">
        <v>0</v>
      </c>
      <c r="Q33" s="38" t="s">
        <v>98</v>
      </c>
      <c r="R33" s="40"/>
      <c r="S33" s="40"/>
      <c r="T33" s="40" t="str" cm="1">
        <f t="array" ref="T33">IF(A33&lt;&gt;"",_xlfn.XLOOKUP(_xlfn.XLOOKUP(TRUE,F33:O33&lt;&gt;"",F33:O33,"-",-1,-1),F33:O33,$F$6:$O$6,,,-1),"")</f>
        <v>Add9</v>
      </c>
      <c r="U33" s="245"/>
      <c r="V33" s="55"/>
      <c r="W33" s="55" t="s">
        <v>435</v>
      </c>
      <c r="X33" s="378" t="s">
        <v>474</v>
      </c>
      <c r="Y33" s="52">
        <v>2.5</v>
      </c>
      <c r="Z33" s="56">
        <v>0.65</v>
      </c>
      <c r="AA33" s="51">
        <f t="shared" si="11"/>
        <v>1.625</v>
      </c>
      <c r="AB33" s="56">
        <v>0.65</v>
      </c>
      <c r="AC33" s="51">
        <f t="shared" si="17"/>
        <v>1.625</v>
      </c>
      <c r="AD33" s="56">
        <v>0.75</v>
      </c>
      <c r="AE33" s="51">
        <f t="shared" si="18"/>
        <v>1.875</v>
      </c>
      <c r="AF33" s="56">
        <v>0.7</v>
      </c>
      <c r="AG33" s="51">
        <f t="shared" si="14"/>
        <v>1.75</v>
      </c>
      <c r="AH33" s="56">
        <v>0</v>
      </c>
      <c r="AI33" s="51">
        <f t="shared" si="12"/>
        <v>0</v>
      </c>
      <c r="AJ33" s="56">
        <v>0</v>
      </c>
      <c r="AK33" s="51">
        <f t="shared" si="13"/>
        <v>0</v>
      </c>
      <c r="AL33" s="56">
        <v>1</v>
      </c>
      <c r="AM33" s="51">
        <f t="shared" si="15"/>
        <v>2.5</v>
      </c>
      <c r="AN33" s="56">
        <v>0.98</v>
      </c>
      <c r="AO33" s="51">
        <f t="shared" si="16"/>
        <v>2.4500000000000002</v>
      </c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</row>
    <row r="34" spans="1:64" s="50" customFormat="1" ht="15" customHeight="1">
      <c r="A34" s="42" t="s">
        <v>475</v>
      </c>
      <c r="B34" s="241" t="s">
        <v>94</v>
      </c>
      <c r="C34" s="42"/>
      <c r="D34" s="42"/>
      <c r="E34" s="57" t="s">
        <v>476</v>
      </c>
      <c r="F34" s="38"/>
      <c r="G34" s="38"/>
      <c r="H34" s="38"/>
      <c r="I34" s="38"/>
      <c r="J34" s="38"/>
      <c r="K34" s="38"/>
      <c r="L34" s="38" t="s">
        <v>97</v>
      </c>
      <c r="M34" s="38" t="s">
        <v>97</v>
      </c>
      <c r="N34" s="38"/>
      <c r="O34" s="38" t="s">
        <v>34</v>
      </c>
      <c r="P34" s="38">
        <v>0</v>
      </c>
      <c r="Q34" s="38" t="s">
        <v>98</v>
      </c>
      <c r="R34" s="40"/>
      <c r="S34" s="40"/>
      <c r="T34" s="40" t="str" cm="1">
        <f t="array" ref="T34">IF(A34&lt;&gt;"",_xlfn.XLOOKUP(_xlfn.XLOOKUP(TRUE,F34:O34&lt;&gt;"",F34:O34,"-",-1,-1),F34:O34,$F$6:$O$6,,,-1),"")</f>
        <v>Add9</v>
      </c>
      <c r="U34" s="245"/>
      <c r="V34" s="55"/>
      <c r="W34" s="55" t="s">
        <v>435</v>
      </c>
      <c r="X34" s="55" t="s">
        <v>435</v>
      </c>
      <c r="Y34" s="52">
        <v>1</v>
      </c>
      <c r="Z34" s="56">
        <v>0.65</v>
      </c>
      <c r="AA34" s="51">
        <f t="shared" si="11"/>
        <v>0.65</v>
      </c>
      <c r="AB34" s="56">
        <v>0.65</v>
      </c>
      <c r="AC34" s="51">
        <f t="shared" si="17"/>
        <v>0.65</v>
      </c>
      <c r="AD34" s="56">
        <v>0.8</v>
      </c>
      <c r="AE34" s="51">
        <f t="shared" si="18"/>
        <v>0.8</v>
      </c>
      <c r="AF34" s="56">
        <v>0.8</v>
      </c>
      <c r="AG34" s="51">
        <f t="shared" si="14"/>
        <v>0.8</v>
      </c>
      <c r="AH34" s="56">
        <v>0</v>
      </c>
      <c r="AI34" s="51">
        <f t="shared" si="12"/>
        <v>0</v>
      </c>
      <c r="AJ34" s="56">
        <v>0</v>
      </c>
      <c r="AK34" s="51">
        <f t="shared" si="13"/>
        <v>0</v>
      </c>
      <c r="AL34" s="56">
        <v>1</v>
      </c>
      <c r="AM34" s="51">
        <f t="shared" si="15"/>
        <v>1</v>
      </c>
      <c r="AN34" s="56">
        <v>1</v>
      </c>
      <c r="AO34" s="51">
        <f t="shared" si="16"/>
        <v>1</v>
      </c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</row>
    <row r="35" spans="1:64" s="50" customFormat="1" ht="15" customHeight="1">
      <c r="A35" s="42" t="s">
        <v>477</v>
      </c>
      <c r="B35" s="241" t="s">
        <v>94</v>
      </c>
      <c r="C35" s="42"/>
      <c r="D35" s="42"/>
      <c r="E35" s="57" t="s">
        <v>478</v>
      </c>
      <c r="F35" s="38"/>
      <c r="G35" s="38"/>
      <c r="H35" s="38"/>
      <c r="I35" s="38"/>
      <c r="J35" s="38"/>
      <c r="K35" s="38"/>
      <c r="L35" s="38" t="s">
        <v>97</v>
      </c>
      <c r="M35" s="38" t="s">
        <v>97</v>
      </c>
      <c r="N35" s="38" t="s">
        <v>34</v>
      </c>
      <c r="O35" s="38" t="s">
        <v>31</v>
      </c>
      <c r="P35" s="38">
        <v>0</v>
      </c>
      <c r="Q35" s="38" t="s">
        <v>98</v>
      </c>
      <c r="R35" s="40"/>
      <c r="S35" s="40"/>
      <c r="T35" s="40" t="str" cm="1">
        <f t="array" ref="T35">IF(A35&lt;&gt;"",_xlfn.XLOOKUP(_xlfn.XLOOKUP(TRUE,F35:O35&lt;&gt;"",F35:O35,"-",-1,-1),F35:O35,$F$6:$O$6,,,-1),"")</f>
        <v>Add9</v>
      </c>
      <c r="U35" s="245"/>
      <c r="V35" s="55"/>
      <c r="W35" s="55" t="s">
        <v>435</v>
      </c>
      <c r="X35" s="377" t="s">
        <v>436</v>
      </c>
      <c r="Y35" s="52">
        <v>2.5</v>
      </c>
      <c r="Z35" s="56">
        <v>0.65</v>
      </c>
      <c r="AA35" s="51">
        <f t="shared" si="11"/>
        <v>1.625</v>
      </c>
      <c r="AB35" s="56">
        <v>0.65</v>
      </c>
      <c r="AC35" s="51">
        <f t="shared" si="17"/>
        <v>1.625</v>
      </c>
      <c r="AD35" s="56">
        <v>0.75</v>
      </c>
      <c r="AE35" s="51">
        <f t="shared" si="18"/>
        <v>1.875</v>
      </c>
      <c r="AF35" s="56">
        <v>0.7</v>
      </c>
      <c r="AG35" s="51">
        <f t="shared" si="14"/>
        <v>1.75</v>
      </c>
      <c r="AH35" s="56">
        <v>0</v>
      </c>
      <c r="AI35" s="51">
        <f t="shared" si="12"/>
        <v>0</v>
      </c>
      <c r="AJ35" s="56">
        <v>0</v>
      </c>
      <c r="AK35" s="51">
        <f t="shared" si="13"/>
        <v>0</v>
      </c>
      <c r="AL35" s="56">
        <v>1</v>
      </c>
      <c r="AM35" s="51">
        <f t="shared" si="15"/>
        <v>2.5</v>
      </c>
      <c r="AN35" s="56">
        <v>0.98</v>
      </c>
      <c r="AO35" s="51">
        <f t="shared" si="16"/>
        <v>2.4500000000000002</v>
      </c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</row>
    <row r="36" spans="1:64" s="50" customFormat="1" ht="15" customHeight="1">
      <c r="A36" s="42" t="s">
        <v>479</v>
      </c>
      <c r="B36" s="241" t="s">
        <v>94</v>
      </c>
      <c r="C36" s="42"/>
      <c r="D36" s="42"/>
      <c r="E36" s="57" t="s">
        <v>480</v>
      </c>
      <c r="F36" s="38"/>
      <c r="G36" s="38"/>
      <c r="H36" s="38"/>
      <c r="I36" s="38"/>
      <c r="J36" s="38"/>
      <c r="K36" s="38"/>
      <c r="L36" s="38" t="s">
        <v>97</v>
      </c>
      <c r="M36" s="38" t="s">
        <v>97</v>
      </c>
      <c r="N36" s="38"/>
      <c r="O36" s="38"/>
      <c r="P36" s="38">
        <v>0</v>
      </c>
      <c r="Q36" s="38" t="s">
        <v>98</v>
      </c>
      <c r="R36" s="40"/>
      <c r="S36" s="40"/>
      <c r="T36" s="40" t="str" cm="1">
        <f t="array" ref="T36">IF(A36&lt;&gt;"",_xlfn.XLOOKUP(_xlfn.XLOOKUP(TRUE,F36:O36&lt;&gt;"",F36:O36,"-",-1,-1),F36:O36,$F$6:$O$6,,,-1),"")</f>
        <v>Permit</v>
      </c>
      <c r="U36" s="245"/>
      <c r="V36" s="55"/>
      <c r="W36" s="55" t="s">
        <v>435</v>
      </c>
      <c r="X36" s="55" t="s">
        <v>435</v>
      </c>
      <c r="Y36" s="52">
        <v>1</v>
      </c>
      <c r="Z36" s="56">
        <v>0.65</v>
      </c>
      <c r="AA36" s="51">
        <f t="shared" si="11"/>
        <v>0.65</v>
      </c>
      <c r="AB36" s="56">
        <v>0.65</v>
      </c>
      <c r="AC36" s="51">
        <f t="shared" si="17"/>
        <v>0.65</v>
      </c>
      <c r="AD36" s="56">
        <v>0.8</v>
      </c>
      <c r="AE36" s="51">
        <f t="shared" si="18"/>
        <v>0.8</v>
      </c>
      <c r="AF36" s="56">
        <v>0.8</v>
      </c>
      <c r="AG36" s="51">
        <f t="shared" si="14"/>
        <v>0.8</v>
      </c>
      <c r="AH36" s="56">
        <v>0</v>
      </c>
      <c r="AI36" s="51">
        <f t="shared" si="12"/>
        <v>0</v>
      </c>
      <c r="AJ36" s="56">
        <v>0</v>
      </c>
      <c r="AK36" s="51">
        <f t="shared" si="13"/>
        <v>0</v>
      </c>
      <c r="AL36" s="56">
        <v>1</v>
      </c>
      <c r="AM36" s="51">
        <f t="shared" si="15"/>
        <v>1</v>
      </c>
      <c r="AN36" s="56">
        <v>1</v>
      </c>
      <c r="AO36" s="51">
        <f t="shared" si="16"/>
        <v>1</v>
      </c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</row>
    <row r="37" spans="1:64" s="50" customFormat="1" ht="15" customHeight="1">
      <c r="A37" s="42" t="s">
        <v>481</v>
      </c>
      <c r="B37" s="241" t="s">
        <v>94</v>
      </c>
      <c r="C37" s="42"/>
      <c r="D37" s="42"/>
      <c r="E37" s="57" t="s">
        <v>482</v>
      </c>
      <c r="F37" s="38"/>
      <c r="G37" s="38"/>
      <c r="H37" s="38"/>
      <c r="I37" s="38"/>
      <c r="J37" s="38"/>
      <c r="K37" s="38"/>
      <c r="L37" s="38" t="s">
        <v>97</v>
      </c>
      <c r="M37" s="38" t="s">
        <v>97</v>
      </c>
      <c r="N37" s="38" t="s">
        <v>34</v>
      </c>
      <c r="O37" s="38" t="s">
        <v>31</v>
      </c>
      <c r="P37" s="38">
        <v>0</v>
      </c>
      <c r="Q37" s="38" t="s">
        <v>98</v>
      </c>
      <c r="R37" s="40"/>
      <c r="S37" s="40"/>
      <c r="T37" s="40" t="str" cm="1">
        <f t="array" ref="T37">IF(A37&lt;&gt;"",_xlfn.XLOOKUP(_xlfn.XLOOKUP(TRUE,F37:O37&lt;&gt;"",F37:O37,"-",-1,-1),F37:O37,$F$6:$O$6,,,-1),"")</f>
        <v>Add9</v>
      </c>
      <c r="U37" s="245"/>
      <c r="V37" s="55"/>
      <c r="W37" s="55" t="s">
        <v>435</v>
      </c>
      <c r="X37" s="378" t="s">
        <v>474</v>
      </c>
      <c r="Y37" s="52">
        <v>2.5</v>
      </c>
      <c r="Z37" s="56">
        <v>0.65</v>
      </c>
      <c r="AA37" s="51">
        <f t="shared" si="11"/>
        <v>1.625</v>
      </c>
      <c r="AB37" s="56">
        <v>0.65</v>
      </c>
      <c r="AC37" s="51">
        <f t="shared" si="17"/>
        <v>1.625</v>
      </c>
      <c r="AD37" s="56">
        <v>0.75</v>
      </c>
      <c r="AE37" s="51">
        <f t="shared" si="18"/>
        <v>1.875</v>
      </c>
      <c r="AF37" s="56">
        <v>0.7</v>
      </c>
      <c r="AG37" s="51">
        <f t="shared" si="14"/>
        <v>1.75</v>
      </c>
      <c r="AH37" s="56">
        <v>0</v>
      </c>
      <c r="AI37" s="51">
        <f t="shared" si="12"/>
        <v>0</v>
      </c>
      <c r="AJ37" s="56">
        <v>0</v>
      </c>
      <c r="AK37" s="51">
        <f t="shared" si="13"/>
        <v>0</v>
      </c>
      <c r="AL37" s="56">
        <v>1</v>
      </c>
      <c r="AM37" s="51">
        <f t="shared" si="15"/>
        <v>2.5</v>
      </c>
      <c r="AN37" s="56">
        <v>0.98</v>
      </c>
      <c r="AO37" s="51">
        <f t="shared" si="16"/>
        <v>2.4500000000000002</v>
      </c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</row>
    <row r="38" spans="1:64" s="50" customFormat="1" ht="15" customHeight="1">
      <c r="A38" s="42" t="s">
        <v>483</v>
      </c>
      <c r="B38" s="241" t="s">
        <v>94</v>
      </c>
      <c r="C38" s="42"/>
      <c r="D38" s="42"/>
      <c r="E38" s="57" t="s">
        <v>484</v>
      </c>
      <c r="F38" s="38"/>
      <c r="G38" s="38"/>
      <c r="H38" s="38"/>
      <c r="I38" s="38"/>
      <c r="J38" s="38"/>
      <c r="K38" s="38"/>
      <c r="L38" s="38" t="s">
        <v>97</v>
      </c>
      <c r="M38" s="38" t="s">
        <v>97</v>
      </c>
      <c r="N38" s="38" t="s">
        <v>34</v>
      </c>
      <c r="O38" s="38"/>
      <c r="P38" s="38">
        <v>0</v>
      </c>
      <c r="Q38" s="38" t="s">
        <v>98</v>
      </c>
      <c r="R38" s="40"/>
      <c r="S38" s="40"/>
      <c r="T38" s="40" t="str" cm="1">
        <f t="array" ref="T38">IF(A38&lt;&gt;"",_xlfn.XLOOKUP(_xlfn.XLOOKUP(TRUE,F38:O38&lt;&gt;"",F38:O38,"-",-1,-1),F38:O38,$F$6:$O$6,,,-1),"")</f>
        <v>Add8</v>
      </c>
      <c r="U38" s="245"/>
      <c r="V38" s="55"/>
      <c r="W38" s="55" t="s">
        <v>435</v>
      </c>
      <c r="X38" s="55" t="s">
        <v>435</v>
      </c>
      <c r="Y38" s="52">
        <v>1</v>
      </c>
      <c r="Z38" s="56">
        <v>0.65</v>
      </c>
      <c r="AA38" s="51">
        <f>$Y38*Z38</f>
        <v>0.65</v>
      </c>
      <c r="AB38" s="56">
        <v>0.65</v>
      </c>
      <c r="AC38" s="51">
        <f>Y38*AB38</f>
        <v>0.65</v>
      </c>
      <c r="AD38" s="56">
        <v>0.8</v>
      </c>
      <c r="AE38" s="51">
        <f>$Y38*AD38</f>
        <v>0.8</v>
      </c>
      <c r="AF38" s="56">
        <v>0.8</v>
      </c>
      <c r="AG38" s="51">
        <f t="shared" si="14"/>
        <v>0.8</v>
      </c>
      <c r="AH38" s="56">
        <v>0</v>
      </c>
      <c r="AI38" s="51">
        <f>$Y38*AH38</f>
        <v>0</v>
      </c>
      <c r="AJ38" s="56">
        <v>0</v>
      </c>
      <c r="AK38" s="51">
        <f>$Y$10*AJ38</f>
        <v>0</v>
      </c>
      <c r="AL38" s="56">
        <v>1</v>
      </c>
      <c r="AM38" s="51">
        <f>$Y38*AL38</f>
        <v>1</v>
      </c>
      <c r="AN38" s="56">
        <v>1</v>
      </c>
      <c r="AO38" s="51">
        <f t="shared" si="16"/>
        <v>1</v>
      </c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</row>
    <row r="39" spans="1:64" s="50" customFormat="1" ht="15" customHeight="1">
      <c r="A39" s="42" t="s">
        <v>485</v>
      </c>
      <c r="B39" s="241" t="s">
        <v>94</v>
      </c>
      <c r="C39" s="42"/>
      <c r="D39" s="42"/>
      <c r="E39" s="57" t="s">
        <v>486</v>
      </c>
      <c r="F39" s="38"/>
      <c r="G39" s="38"/>
      <c r="H39" s="38"/>
      <c r="I39" s="38"/>
      <c r="J39" s="38"/>
      <c r="K39" s="38"/>
      <c r="L39" s="38" t="s">
        <v>97</v>
      </c>
      <c r="M39" s="38" t="s">
        <v>97</v>
      </c>
      <c r="N39" s="38" t="s">
        <v>34</v>
      </c>
      <c r="O39" s="38" t="s">
        <v>31</v>
      </c>
      <c r="P39" s="38">
        <v>0</v>
      </c>
      <c r="Q39" s="38" t="s">
        <v>98</v>
      </c>
      <c r="R39" s="40"/>
      <c r="S39" s="40"/>
      <c r="T39" s="40" t="str" cm="1">
        <f t="array" ref="T39">IF(A39&lt;&gt;"",_xlfn.XLOOKUP(_xlfn.XLOOKUP(TRUE,F39:O39&lt;&gt;"",F39:O39,"-",-1,-1),F39:O39,$F$6:$O$6,,,-1),"")</f>
        <v>Add9</v>
      </c>
      <c r="U39" s="245"/>
      <c r="V39" s="55"/>
      <c r="W39" s="55" t="s">
        <v>435</v>
      </c>
      <c r="X39" s="377" t="s">
        <v>436</v>
      </c>
      <c r="Y39" s="52">
        <v>2.5</v>
      </c>
      <c r="Z39" s="56">
        <v>0.65</v>
      </c>
      <c r="AA39" s="51">
        <f>$Y39*Z39</f>
        <v>1.625</v>
      </c>
      <c r="AB39" s="56">
        <v>0.65</v>
      </c>
      <c r="AC39" s="51">
        <f>Y39*AB39</f>
        <v>1.625</v>
      </c>
      <c r="AD39" s="56">
        <v>0.75</v>
      </c>
      <c r="AE39" s="51">
        <f>$Y39*AD39</f>
        <v>1.875</v>
      </c>
      <c r="AF39" s="56">
        <v>0.7</v>
      </c>
      <c r="AG39" s="51">
        <f t="shared" si="14"/>
        <v>1.75</v>
      </c>
      <c r="AH39" s="56">
        <v>0</v>
      </c>
      <c r="AI39" s="51">
        <f>$Y39*AH39</f>
        <v>0</v>
      </c>
      <c r="AJ39" s="56">
        <v>0</v>
      </c>
      <c r="AK39" s="51">
        <f>$Y$10*AJ39</f>
        <v>0</v>
      </c>
      <c r="AL39" s="56">
        <v>1</v>
      </c>
      <c r="AM39" s="51">
        <f>$Y39*AL39</f>
        <v>2.5</v>
      </c>
      <c r="AN39" s="56">
        <v>0.98</v>
      </c>
      <c r="AO39" s="51">
        <f t="shared" si="16"/>
        <v>2.4500000000000002</v>
      </c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</row>
    <row r="40" spans="1:64" s="50" customFormat="1" ht="15" customHeight="1">
      <c r="A40" s="42" t="s">
        <v>487</v>
      </c>
      <c r="B40" s="241" t="s">
        <v>94</v>
      </c>
      <c r="C40" s="42"/>
      <c r="D40" s="42"/>
      <c r="E40" s="57" t="s">
        <v>488</v>
      </c>
      <c r="F40" s="38"/>
      <c r="G40" s="38"/>
      <c r="H40" s="38"/>
      <c r="I40" s="38"/>
      <c r="J40" s="38"/>
      <c r="K40" s="38"/>
      <c r="L40" s="38" t="s">
        <v>97</v>
      </c>
      <c r="M40" s="38" t="s">
        <v>97</v>
      </c>
      <c r="N40" s="38" t="s">
        <v>34</v>
      </c>
      <c r="O40" s="38"/>
      <c r="P40" s="38">
        <v>0</v>
      </c>
      <c r="Q40" s="38" t="s">
        <v>98</v>
      </c>
      <c r="R40" s="40"/>
      <c r="S40" s="40"/>
      <c r="T40" s="40" t="str" cm="1">
        <f t="array" ref="T40">IF(A40&lt;&gt;"",_xlfn.XLOOKUP(_xlfn.XLOOKUP(TRUE,F40:O40&lt;&gt;"",F40:O40,"-",-1,-1),F40:O40,$F$6:$O$6,,,-1),"")</f>
        <v>Add8</v>
      </c>
      <c r="U40" s="245"/>
      <c r="V40" s="55"/>
      <c r="W40" s="55" t="s">
        <v>435</v>
      </c>
      <c r="X40" s="381" t="s">
        <v>489</v>
      </c>
      <c r="Y40" s="52">
        <v>2.5</v>
      </c>
      <c r="Z40" s="56">
        <v>0.65</v>
      </c>
      <c r="AA40" s="51">
        <f t="shared" si="11"/>
        <v>1.625</v>
      </c>
      <c r="AB40" s="56">
        <v>0.65</v>
      </c>
      <c r="AC40" s="51">
        <f t="shared" si="17"/>
        <v>1.625</v>
      </c>
      <c r="AD40" s="56">
        <v>0.75</v>
      </c>
      <c r="AE40" s="51">
        <f t="shared" si="18"/>
        <v>1.875</v>
      </c>
      <c r="AF40" s="56">
        <v>0.7</v>
      </c>
      <c r="AG40" s="51">
        <f t="shared" si="14"/>
        <v>1.75</v>
      </c>
      <c r="AH40" s="56">
        <v>0</v>
      </c>
      <c r="AI40" s="51">
        <f t="shared" si="12"/>
        <v>0</v>
      </c>
      <c r="AJ40" s="56">
        <v>0</v>
      </c>
      <c r="AK40" s="51">
        <f t="shared" si="13"/>
        <v>0</v>
      </c>
      <c r="AL40" s="56">
        <v>1</v>
      </c>
      <c r="AM40" s="51">
        <f t="shared" si="15"/>
        <v>2.5</v>
      </c>
      <c r="AN40" s="56">
        <v>0.98</v>
      </c>
      <c r="AO40" s="51">
        <f t="shared" si="16"/>
        <v>2.4500000000000002</v>
      </c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</row>
    <row r="41" spans="1:64" s="50" customFormat="1" ht="15" customHeight="1">
      <c r="A41" s="42" t="s">
        <v>490</v>
      </c>
      <c r="B41" s="241" t="s">
        <v>94</v>
      </c>
      <c r="C41" s="42"/>
      <c r="D41" s="42"/>
      <c r="E41" s="57" t="s">
        <v>491</v>
      </c>
      <c r="F41" s="38"/>
      <c r="G41" s="38"/>
      <c r="H41" s="38"/>
      <c r="I41" s="38"/>
      <c r="J41" s="38"/>
      <c r="K41" s="37"/>
      <c r="L41" s="37"/>
      <c r="M41" s="37"/>
      <c r="N41" s="383" t="s">
        <v>97</v>
      </c>
      <c r="O41" s="383"/>
      <c r="P41" s="383">
        <v>0</v>
      </c>
      <c r="Q41" s="38" t="s">
        <v>98</v>
      </c>
      <c r="R41" s="40"/>
      <c r="S41" s="40"/>
      <c r="T41" s="40" t="str" cm="1">
        <f t="array" ref="T41">IF(A41&lt;&gt;"",_xlfn.XLOOKUP(_xlfn.XLOOKUP(TRUE,F41:O41&lt;&gt;"",F41:O41,"-",-1,-1),F41:O41,$F$6:$O$6,,,-1),"")</f>
        <v>Add8</v>
      </c>
      <c r="U41" s="40"/>
      <c r="V41" s="55"/>
      <c r="W41" s="55" t="s">
        <v>435</v>
      </c>
      <c r="X41" s="380" t="s">
        <v>436</v>
      </c>
      <c r="Y41" s="52">
        <v>0.75</v>
      </c>
      <c r="Z41" s="56">
        <v>0.3</v>
      </c>
      <c r="AA41" s="51">
        <f>$Y41*Z41</f>
        <v>0.22499999999999998</v>
      </c>
      <c r="AB41" s="56">
        <v>0.3</v>
      </c>
      <c r="AC41" s="51">
        <f t="shared" si="17"/>
        <v>0.22499999999999998</v>
      </c>
      <c r="AD41" s="56">
        <v>0.5</v>
      </c>
      <c r="AE41" s="51">
        <f t="shared" si="18"/>
        <v>0.375</v>
      </c>
      <c r="AF41" s="56">
        <v>0.5</v>
      </c>
      <c r="AG41" s="51">
        <f t="shared" si="14"/>
        <v>0.375</v>
      </c>
      <c r="AH41" s="56">
        <v>0</v>
      </c>
      <c r="AI41" s="51">
        <f t="shared" si="12"/>
        <v>0</v>
      </c>
      <c r="AJ41" s="56">
        <v>0</v>
      </c>
      <c r="AK41" s="51">
        <f t="shared" si="13"/>
        <v>0</v>
      </c>
      <c r="AL41" s="56">
        <v>1</v>
      </c>
      <c r="AM41" s="51">
        <f t="shared" si="15"/>
        <v>0.75</v>
      </c>
      <c r="AN41" s="56">
        <v>0.98</v>
      </c>
      <c r="AO41" s="51">
        <f t="shared" si="16"/>
        <v>0.73499999999999999</v>
      </c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</row>
    <row r="42" spans="1:64" s="50" customFormat="1" ht="15" customHeight="1">
      <c r="A42" s="42" t="s">
        <v>492</v>
      </c>
      <c r="B42" s="241" t="s">
        <v>94</v>
      </c>
      <c r="C42" s="42"/>
      <c r="D42" s="42"/>
      <c r="E42" s="57" t="s">
        <v>493</v>
      </c>
      <c r="F42" s="38"/>
      <c r="G42" s="38"/>
      <c r="H42" s="38"/>
      <c r="I42" s="38"/>
      <c r="J42" s="38"/>
      <c r="K42" s="37"/>
      <c r="L42" s="37"/>
      <c r="M42" s="37"/>
      <c r="N42" s="383" t="s">
        <v>97</v>
      </c>
      <c r="O42" s="383" t="s">
        <v>34</v>
      </c>
      <c r="P42" s="383">
        <v>0</v>
      </c>
      <c r="Q42" s="38" t="s">
        <v>98</v>
      </c>
      <c r="R42" s="40"/>
      <c r="S42" s="40"/>
      <c r="T42" s="40" t="str" cm="1">
        <f t="array" ref="T42">IF(A42&lt;&gt;"",_xlfn.XLOOKUP(_xlfn.XLOOKUP(TRUE,F42:O42&lt;&gt;"",F42:O42,"-",-1,-1),F42:O42,$F$6:$O$6,,,-1),"")</f>
        <v>Add9</v>
      </c>
      <c r="U42" s="40"/>
      <c r="V42" s="55"/>
      <c r="W42" s="55" t="s">
        <v>435</v>
      </c>
      <c r="X42" s="380" t="s">
        <v>436</v>
      </c>
      <c r="Y42" s="52">
        <v>0.75</v>
      </c>
      <c r="Z42" s="56">
        <v>0.3</v>
      </c>
      <c r="AA42" s="51">
        <f t="shared" ref="AA42:AA57" si="19">$Y42*Z42</f>
        <v>0.22499999999999998</v>
      </c>
      <c r="AB42" s="56">
        <v>0.3</v>
      </c>
      <c r="AC42" s="51">
        <f t="shared" si="17"/>
        <v>0.22499999999999998</v>
      </c>
      <c r="AD42" s="56">
        <v>0.5</v>
      </c>
      <c r="AE42" s="51">
        <f t="shared" si="18"/>
        <v>0.375</v>
      </c>
      <c r="AF42" s="56">
        <v>0.5</v>
      </c>
      <c r="AG42" s="51">
        <f t="shared" si="14"/>
        <v>0.375</v>
      </c>
      <c r="AH42" s="56">
        <v>0</v>
      </c>
      <c r="AI42" s="51">
        <f t="shared" si="12"/>
        <v>0</v>
      </c>
      <c r="AJ42" s="56">
        <v>0</v>
      </c>
      <c r="AK42" s="51">
        <f t="shared" si="13"/>
        <v>0</v>
      </c>
      <c r="AL42" s="56">
        <v>1</v>
      </c>
      <c r="AM42" s="51">
        <f t="shared" si="15"/>
        <v>0.75</v>
      </c>
      <c r="AN42" s="56">
        <v>0.98</v>
      </c>
      <c r="AO42" s="51">
        <f t="shared" si="16"/>
        <v>0.73499999999999999</v>
      </c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</row>
    <row r="43" spans="1:64" s="50" customFormat="1" ht="15" customHeight="1">
      <c r="A43" s="42" t="s">
        <v>494</v>
      </c>
      <c r="B43" s="241" t="s">
        <v>94</v>
      </c>
      <c r="C43" s="42"/>
      <c r="D43" s="42"/>
      <c r="E43" s="57" t="s">
        <v>495</v>
      </c>
      <c r="F43" s="38"/>
      <c r="G43" s="38"/>
      <c r="H43" s="38"/>
      <c r="I43" s="38"/>
      <c r="J43" s="38"/>
      <c r="K43" s="37"/>
      <c r="L43" s="37"/>
      <c r="M43" s="37"/>
      <c r="N43" s="383" t="s">
        <v>97</v>
      </c>
      <c r="O43" s="383"/>
      <c r="P43" s="383">
        <v>0</v>
      </c>
      <c r="Q43" s="38" t="s">
        <v>98</v>
      </c>
      <c r="R43" s="40"/>
      <c r="S43" s="40"/>
      <c r="T43" s="40" t="str" cm="1">
        <f t="array" ref="T43">IF(A43&lt;&gt;"",_xlfn.XLOOKUP(_xlfn.XLOOKUP(TRUE,F43:O43&lt;&gt;"",F43:O43,"-",-1,-1),F43:O43,$F$6:$O$6,,,-1),"")</f>
        <v>Add8</v>
      </c>
      <c r="U43" s="40"/>
      <c r="V43" s="55"/>
      <c r="W43" s="55" t="s">
        <v>435</v>
      </c>
      <c r="X43" s="380" t="s">
        <v>436</v>
      </c>
      <c r="Y43" s="52">
        <v>0.75</v>
      </c>
      <c r="Z43" s="56">
        <v>0.3</v>
      </c>
      <c r="AA43" s="51">
        <f t="shared" si="19"/>
        <v>0.22499999999999998</v>
      </c>
      <c r="AB43" s="56">
        <v>0.3</v>
      </c>
      <c r="AC43" s="51">
        <f t="shared" si="17"/>
        <v>0.22499999999999998</v>
      </c>
      <c r="AD43" s="56">
        <v>0.5</v>
      </c>
      <c r="AE43" s="51">
        <f t="shared" si="18"/>
        <v>0.375</v>
      </c>
      <c r="AF43" s="56">
        <v>0.5</v>
      </c>
      <c r="AG43" s="51">
        <f t="shared" si="14"/>
        <v>0.375</v>
      </c>
      <c r="AH43" s="56">
        <v>0</v>
      </c>
      <c r="AI43" s="51">
        <f t="shared" si="12"/>
        <v>0</v>
      </c>
      <c r="AJ43" s="56">
        <v>0</v>
      </c>
      <c r="AK43" s="51">
        <f t="shared" si="13"/>
        <v>0</v>
      </c>
      <c r="AL43" s="56">
        <v>1</v>
      </c>
      <c r="AM43" s="51">
        <f t="shared" si="15"/>
        <v>0.75</v>
      </c>
      <c r="AN43" s="56">
        <v>0.98</v>
      </c>
      <c r="AO43" s="51">
        <f t="shared" si="16"/>
        <v>0.73499999999999999</v>
      </c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</row>
    <row r="44" spans="1:64" s="50" customFormat="1" ht="15" customHeight="1">
      <c r="A44" s="42" t="s">
        <v>496</v>
      </c>
      <c r="B44" s="241" t="s">
        <v>94</v>
      </c>
      <c r="C44" s="42"/>
      <c r="D44" s="42"/>
      <c r="E44" s="57" t="s">
        <v>497</v>
      </c>
      <c r="F44" s="38"/>
      <c r="G44" s="38"/>
      <c r="H44" s="38"/>
      <c r="I44" s="38"/>
      <c r="J44" s="38"/>
      <c r="K44" s="37"/>
      <c r="L44" s="37"/>
      <c r="M44" s="37"/>
      <c r="N44" s="383" t="s">
        <v>97</v>
      </c>
      <c r="O44" s="383" t="s">
        <v>34</v>
      </c>
      <c r="P44" s="383">
        <v>0</v>
      </c>
      <c r="Q44" s="38" t="s">
        <v>98</v>
      </c>
      <c r="R44" s="40"/>
      <c r="S44" s="40"/>
      <c r="T44" s="40" t="str" cm="1">
        <f t="array" ref="T44">IF(A44&lt;&gt;"",_xlfn.XLOOKUP(_xlfn.XLOOKUP(TRUE,F44:O44&lt;&gt;"",F44:O44,"-",-1,-1),F44:O44,$F$6:$O$6,,,-1),"")</f>
        <v>Add9</v>
      </c>
      <c r="U44" s="40"/>
      <c r="V44" s="55"/>
      <c r="W44" s="55" t="s">
        <v>435</v>
      </c>
      <c r="X44" s="380" t="s">
        <v>436</v>
      </c>
      <c r="Y44" s="52">
        <v>0.75</v>
      </c>
      <c r="Z44" s="56">
        <v>0.3</v>
      </c>
      <c r="AA44" s="51">
        <f t="shared" si="19"/>
        <v>0.22499999999999998</v>
      </c>
      <c r="AB44" s="56">
        <v>0.3</v>
      </c>
      <c r="AC44" s="51">
        <f t="shared" si="17"/>
        <v>0.22499999999999998</v>
      </c>
      <c r="AD44" s="56">
        <v>0.5</v>
      </c>
      <c r="AE44" s="51">
        <f t="shared" si="18"/>
        <v>0.375</v>
      </c>
      <c r="AF44" s="56">
        <v>0.5</v>
      </c>
      <c r="AG44" s="51">
        <f t="shared" si="14"/>
        <v>0.375</v>
      </c>
      <c r="AH44" s="56">
        <v>0</v>
      </c>
      <c r="AI44" s="51">
        <f t="shared" si="12"/>
        <v>0</v>
      </c>
      <c r="AJ44" s="56">
        <v>0</v>
      </c>
      <c r="AK44" s="51">
        <f t="shared" si="13"/>
        <v>0</v>
      </c>
      <c r="AL44" s="56">
        <v>1</v>
      </c>
      <c r="AM44" s="51">
        <f t="shared" si="15"/>
        <v>0.75</v>
      </c>
      <c r="AN44" s="56">
        <v>0.98</v>
      </c>
      <c r="AO44" s="51">
        <f t="shared" si="16"/>
        <v>0.73499999999999999</v>
      </c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</row>
    <row r="45" spans="1:64" s="50" customFormat="1" ht="15" customHeight="1">
      <c r="A45" s="42"/>
      <c r="B45" s="241"/>
      <c r="C45" s="42"/>
      <c r="D45" s="42"/>
      <c r="E45" s="57"/>
      <c r="F45" s="38"/>
      <c r="G45" s="38"/>
      <c r="H45" s="38"/>
      <c r="I45" s="38"/>
      <c r="J45" s="38"/>
      <c r="K45" s="38"/>
      <c r="L45" s="37"/>
      <c r="M45" s="37"/>
      <c r="N45" s="38"/>
      <c r="O45" s="38"/>
      <c r="P45" s="38"/>
      <c r="Q45" s="38"/>
      <c r="R45" s="40"/>
      <c r="S45" s="40"/>
      <c r="T45" s="40" t="str" cm="1">
        <f t="array" ref="T45">IF(A45&lt;&gt;"",_xlfn.XLOOKUP(_xlfn.XLOOKUP(TRUE,F45:N45&lt;&gt;"",F45:N45,"-",-1,-1),F45:N45,$F$6:$N$6,,,-1),"")</f>
        <v/>
      </c>
      <c r="U45" s="40"/>
      <c r="V45" s="55"/>
      <c r="W45" s="55"/>
      <c r="X45" s="55"/>
      <c r="Y45" s="52"/>
      <c r="Z45" s="56"/>
      <c r="AA45" s="51">
        <f t="shared" si="19"/>
        <v>0</v>
      </c>
      <c r="AB45" s="56"/>
      <c r="AC45" s="51">
        <f t="shared" si="17"/>
        <v>0</v>
      </c>
      <c r="AD45" s="56"/>
      <c r="AE45" s="51"/>
      <c r="AF45" s="56"/>
      <c r="AG45" s="51"/>
      <c r="AH45" s="56"/>
      <c r="AI45" s="51"/>
      <c r="AJ45" s="56"/>
      <c r="AK45" s="51"/>
      <c r="AL45" s="56"/>
      <c r="AM45" s="51"/>
      <c r="AN45" s="56"/>
      <c r="AO45" s="51">
        <f>Y45*AN45</f>
        <v>0</v>
      </c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</row>
    <row r="46" spans="1:64" s="50" customFormat="1" ht="15" customHeight="1">
      <c r="A46" s="42" t="s">
        <v>498</v>
      </c>
      <c r="B46" s="241" t="s">
        <v>94</v>
      </c>
      <c r="C46" s="42"/>
      <c r="D46" s="42"/>
      <c r="E46" s="57" t="s">
        <v>499</v>
      </c>
      <c r="F46" s="38"/>
      <c r="G46" s="38"/>
      <c r="H46" s="38"/>
      <c r="I46" s="38"/>
      <c r="J46" s="38"/>
      <c r="K46" s="38"/>
      <c r="L46" s="38" t="s">
        <v>97</v>
      </c>
      <c r="M46" s="38" t="s">
        <v>97</v>
      </c>
      <c r="N46" s="38" t="s">
        <v>34</v>
      </c>
      <c r="O46" s="38"/>
      <c r="P46" s="38">
        <v>0</v>
      </c>
      <c r="Q46" s="38" t="s">
        <v>98</v>
      </c>
      <c r="R46" s="40"/>
      <c r="S46" s="40"/>
      <c r="T46" s="40" t="str" cm="1">
        <f t="array" ref="T46">IF(A46&lt;&gt;"",_xlfn.XLOOKUP(_xlfn.XLOOKUP(TRUE,F46:O46&lt;&gt;"",F46:O46,"-",-1,-1),F46:O46,$F$6:$O$6,,,-1),"")</f>
        <v>Add8</v>
      </c>
      <c r="U46" s="40"/>
      <c r="V46" s="55"/>
      <c r="W46" s="55" t="s">
        <v>435</v>
      </c>
      <c r="X46" s="382" t="s">
        <v>435</v>
      </c>
      <c r="Y46" s="52">
        <v>1</v>
      </c>
      <c r="Z46" s="56">
        <v>0.5</v>
      </c>
      <c r="AA46" s="51">
        <f t="shared" si="19"/>
        <v>0.5</v>
      </c>
      <c r="AB46" s="56">
        <v>0.5</v>
      </c>
      <c r="AC46" s="51">
        <f t="shared" si="17"/>
        <v>0.5</v>
      </c>
      <c r="AD46" s="56">
        <v>0.75</v>
      </c>
      <c r="AE46" s="51">
        <f t="shared" ref="AE46:AE52" si="20">$Y46*AD46</f>
        <v>0.75</v>
      </c>
      <c r="AF46" s="56">
        <v>0.75</v>
      </c>
      <c r="AG46" s="51">
        <f>Y46*AF46</f>
        <v>0.75</v>
      </c>
      <c r="AH46" s="56">
        <v>0</v>
      </c>
      <c r="AI46" s="51">
        <f t="shared" ref="AI46:AI52" si="21">$Y46*AH46</f>
        <v>0</v>
      </c>
      <c r="AJ46" s="56">
        <v>0</v>
      </c>
      <c r="AK46" s="51">
        <f t="shared" ref="AK46:AK52" si="22">$Y$10*AJ46</f>
        <v>0</v>
      </c>
      <c r="AL46" s="56">
        <v>1</v>
      </c>
      <c r="AM46" s="51">
        <f t="shared" ref="AM46:AM52" si="23">$Y46*AL46</f>
        <v>1</v>
      </c>
      <c r="AN46" s="56">
        <v>0.98</v>
      </c>
      <c r="AO46" s="51">
        <f t="shared" si="16"/>
        <v>0.98</v>
      </c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</row>
    <row r="47" spans="1:64" s="50" customFormat="1" ht="15" customHeight="1">
      <c r="A47" s="42" t="s">
        <v>500</v>
      </c>
      <c r="B47" s="241" t="s">
        <v>94</v>
      </c>
      <c r="C47" s="42"/>
      <c r="D47" s="42"/>
      <c r="E47" s="57" t="s">
        <v>501</v>
      </c>
      <c r="F47" s="38"/>
      <c r="G47" s="38"/>
      <c r="H47" s="38"/>
      <c r="I47" s="38"/>
      <c r="J47" s="38"/>
      <c r="K47" s="38"/>
      <c r="L47" s="38" t="s">
        <v>97</v>
      </c>
      <c r="M47" s="38" t="s">
        <v>97</v>
      </c>
      <c r="N47" s="38" t="s">
        <v>34</v>
      </c>
      <c r="O47" s="38"/>
      <c r="P47" s="38">
        <v>0</v>
      </c>
      <c r="Q47" s="38" t="s">
        <v>98</v>
      </c>
      <c r="R47" s="40"/>
      <c r="S47" s="40"/>
      <c r="T47" s="40" t="str" cm="1">
        <f t="array" ref="T47">IF(A47&lt;&gt;"",_xlfn.XLOOKUP(_xlfn.XLOOKUP(TRUE,F47:O47&lt;&gt;"",F47:O47,"-",-1,-1),F47:O47,$F$6:$O$6,,,-1),"")</f>
        <v>Add8</v>
      </c>
      <c r="U47" s="40"/>
      <c r="V47" s="55"/>
      <c r="W47" s="55" t="s">
        <v>435</v>
      </c>
      <c r="X47" s="382" t="s">
        <v>435</v>
      </c>
      <c r="Y47" s="52">
        <v>1</v>
      </c>
      <c r="Z47" s="56">
        <v>0.5</v>
      </c>
      <c r="AA47" s="51">
        <f t="shared" si="19"/>
        <v>0.5</v>
      </c>
      <c r="AB47" s="56">
        <v>0.5</v>
      </c>
      <c r="AC47" s="51">
        <f t="shared" si="17"/>
        <v>0.5</v>
      </c>
      <c r="AD47" s="56">
        <v>0.75</v>
      </c>
      <c r="AE47" s="51">
        <f t="shared" si="20"/>
        <v>0.75</v>
      </c>
      <c r="AF47" s="56">
        <v>0.75</v>
      </c>
      <c r="AG47" s="51">
        <f t="shared" ref="AG47:AG52" si="24">Y47*AF47</f>
        <v>0.75</v>
      </c>
      <c r="AH47" s="56">
        <v>0</v>
      </c>
      <c r="AI47" s="51">
        <f t="shared" si="21"/>
        <v>0</v>
      </c>
      <c r="AJ47" s="56">
        <v>0</v>
      </c>
      <c r="AK47" s="51">
        <f t="shared" si="22"/>
        <v>0</v>
      </c>
      <c r="AL47" s="56">
        <v>1</v>
      </c>
      <c r="AM47" s="51">
        <f t="shared" si="23"/>
        <v>1</v>
      </c>
      <c r="AN47" s="56">
        <v>0.98</v>
      </c>
      <c r="AO47" s="51">
        <f t="shared" si="16"/>
        <v>0.98</v>
      </c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</row>
    <row r="48" spans="1:64" s="50" customFormat="1" ht="15" customHeight="1">
      <c r="A48" s="42" t="s">
        <v>502</v>
      </c>
      <c r="B48" s="241" t="s">
        <v>94</v>
      </c>
      <c r="C48" s="42"/>
      <c r="D48" s="42"/>
      <c r="E48" s="57" t="s">
        <v>503</v>
      </c>
      <c r="F48" s="38"/>
      <c r="G48" s="38"/>
      <c r="H48" s="38"/>
      <c r="I48" s="38"/>
      <c r="J48" s="38"/>
      <c r="K48" s="38"/>
      <c r="L48" s="38" t="s">
        <v>97</v>
      </c>
      <c r="M48" s="38" t="s">
        <v>97</v>
      </c>
      <c r="N48" s="38" t="s">
        <v>34</v>
      </c>
      <c r="O48" s="38"/>
      <c r="P48" s="38">
        <v>0</v>
      </c>
      <c r="Q48" s="38" t="s">
        <v>98</v>
      </c>
      <c r="R48" s="40"/>
      <c r="S48" s="40"/>
      <c r="T48" s="40" t="str" cm="1">
        <f t="array" ref="T48">IF(A48&lt;&gt;"",_xlfn.XLOOKUP(_xlfn.XLOOKUP(TRUE,F48:O48&lt;&gt;"",F48:O48,"-",-1,-1),F48:O48,$F$6:$O$6,,,-1),"")</f>
        <v>Add8</v>
      </c>
      <c r="U48" s="40"/>
      <c r="V48" s="55"/>
      <c r="W48" s="55" t="s">
        <v>435</v>
      </c>
      <c r="X48" s="382" t="s">
        <v>435</v>
      </c>
      <c r="Y48" s="52">
        <v>1</v>
      </c>
      <c r="Z48" s="56">
        <v>0.5</v>
      </c>
      <c r="AA48" s="51">
        <f t="shared" si="19"/>
        <v>0.5</v>
      </c>
      <c r="AB48" s="56">
        <v>0.5</v>
      </c>
      <c r="AC48" s="51">
        <f t="shared" si="17"/>
        <v>0.5</v>
      </c>
      <c r="AD48" s="56">
        <v>0.75</v>
      </c>
      <c r="AE48" s="51">
        <f t="shared" si="20"/>
        <v>0.75</v>
      </c>
      <c r="AF48" s="56">
        <v>0.75</v>
      </c>
      <c r="AG48" s="51">
        <f t="shared" si="24"/>
        <v>0.75</v>
      </c>
      <c r="AH48" s="56">
        <v>0</v>
      </c>
      <c r="AI48" s="51">
        <f t="shared" si="21"/>
        <v>0</v>
      </c>
      <c r="AJ48" s="56">
        <v>0</v>
      </c>
      <c r="AK48" s="51">
        <f t="shared" si="22"/>
        <v>0</v>
      </c>
      <c r="AL48" s="56">
        <v>1</v>
      </c>
      <c r="AM48" s="51">
        <f t="shared" si="23"/>
        <v>1</v>
      </c>
      <c r="AN48" s="56">
        <v>0.98</v>
      </c>
      <c r="AO48" s="51">
        <f t="shared" si="16"/>
        <v>0.98</v>
      </c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</row>
    <row r="49" spans="1:64" s="50" customFormat="1" ht="15" customHeight="1">
      <c r="A49" s="42" t="s">
        <v>504</v>
      </c>
      <c r="B49" s="241" t="s">
        <v>94</v>
      </c>
      <c r="C49" s="42"/>
      <c r="D49" s="42"/>
      <c r="E49" s="57" t="s">
        <v>505</v>
      </c>
      <c r="F49" s="38"/>
      <c r="G49" s="38"/>
      <c r="H49" s="38"/>
      <c r="I49" s="38"/>
      <c r="J49" s="38"/>
      <c r="K49" s="38"/>
      <c r="L49" s="38" t="s">
        <v>97</v>
      </c>
      <c r="M49" s="38" t="s">
        <v>97</v>
      </c>
      <c r="N49" s="38" t="s">
        <v>34</v>
      </c>
      <c r="O49" s="38"/>
      <c r="P49" s="38">
        <v>0</v>
      </c>
      <c r="Q49" s="38" t="s">
        <v>98</v>
      </c>
      <c r="R49" s="40"/>
      <c r="S49" s="40"/>
      <c r="T49" s="40" t="str" cm="1">
        <f t="array" ref="T49">IF(A49&lt;&gt;"",_xlfn.XLOOKUP(_xlfn.XLOOKUP(TRUE,F49:O49&lt;&gt;"",F49:O49,"-",-1,-1),F49:O49,$F$6:$O$6,,,-1),"")</f>
        <v>Add8</v>
      </c>
      <c r="U49" s="40"/>
      <c r="V49" s="55"/>
      <c r="W49" s="55" t="s">
        <v>435</v>
      </c>
      <c r="X49" s="382" t="s">
        <v>435</v>
      </c>
      <c r="Y49" s="52">
        <v>1</v>
      </c>
      <c r="Z49" s="56">
        <v>0.5</v>
      </c>
      <c r="AA49" s="51">
        <f t="shared" si="19"/>
        <v>0.5</v>
      </c>
      <c r="AB49" s="56">
        <v>0.5</v>
      </c>
      <c r="AC49" s="51">
        <f t="shared" si="17"/>
        <v>0.5</v>
      </c>
      <c r="AD49" s="56">
        <v>0.75</v>
      </c>
      <c r="AE49" s="51">
        <f t="shared" si="20"/>
        <v>0.75</v>
      </c>
      <c r="AF49" s="56">
        <v>0.75</v>
      </c>
      <c r="AG49" s="51">
        <f t="shared" si="24"/>
        <v>0.75</v>
      </c>
      <c r="AH49" s="56">
        <v>0</v>
      </c>
      <c r="AI49" s="51">
        <f t="shared" si="21"/>
        <v>0</v>
      </c>
      <c r="AJ49" s="56">
        <v>0</v>
      </c>
      <c r="AK49" s="51">
        <f t="shared" si="22"/>
        <v>0</v>
      </c>
      <c r="AL49" s="56">
        <v>1</v>
      </c>
      <c r="AM49" s="51">
        <f t="shared" si="23"/>
        <v>1</v>
      </c>
      <c r="AN49" s="56">
        <v>0.98</v>
      </c>
      <c r="AO49" s="51">
        <f t="shared" si="16"/>
        <v>0.98</v>
      </c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</row>
    <row r="50" spans="1:64" s="50" customFormat="1" ht="15" customHeight="1">
      <c r="A50" s="42" t="s">
        <v>506</v>
      </c>
      <c r="B50" s="241" t="s">
        <v>94</v>
      </c>
      <c r="C50" s="42"/>
      <c r="D50" s="42"/>
      <c r="E50" s="57" t="s">
        <v>507</v>
      </c>
      <c r="F50" s="38"/>
      <c r="G50" s="38"/>
      <c r="H50" s="38"/>
      <c r="I50" s="38"/>
      <c r="J50" s="38"/>
      <c r="K50" s="38"/>
      <c r="L50" s="38" t="s">
        <v>97</v>
      </c>
      <c r="M50" s="38" t="s">
        <v>97</v>
      </c>
      <c r="N50" s="38" t="s">
        <v>34</v>
      </c>
      <c r="O50" s="38"/>
      <c r="P50" s="38">
        <v>0</v>
      </c>
      <c r="Q50" s="38" t="s">
        <v>98</v>
      </c>
      <c r="R50" s="40"/>
      <c r="S50" s="40"/>
      <c r="T50" s="40" t="str" cm="1">
        <f t="array" ref="T50">IF(A50&lt;&gt;"",_xlfn.XLOOKUP(_xlfn.XLOOKUP(TRUE,F50:O50&lt;&gt;"",F50:O50,"-",-1,-1),F50:O50,$F$6:$O$6,,,-1),"")</f>
        <v>Add8</v>
      </c>
      <c r="U50" s="40"/>
      <c r="V50" s="55"/>
      <c r="W50" s="55" t="s">
        <v>435</v>
      </c>
      <c r="X50" s="382" t="s">
        <v>435</v>
      </c>
      <c r="Y50" s="52">
        <v>1</v>
      </c>
      <c r="Z50" s="56">
        <v>0.5</v>
      </c>
      <c r="AA50" s="51">
        <f t="shared" si="19"/>
        <v>0.5</v>
      </c>
      <c r="AB50" s="56">
        <v>0.5</v>
      </c>
      <c r="AC50" s="51">
        <f t="shared" si="17"/>
        <v>0.5</v>
      </c>
      <c r="AD50" s="56">
        <v>0.75</v>
      </c>
      <c r="AE50" s="51">
        <f t="shared" si="20"/>
        <v>0.75</v>
      </c>
      <c r="AF50" s="56">
        <v>0.75</v>
      </c>
      <c r="AG50" s="51">
        <f t="shared" si="24"/>
        <v>0.75</v>
      </c>
      <c r="AH50" s="56">
        <v>0</v>
      </c>
      <c r="AI50" s="51">
        <f t="shared" si="21"/>
        <v>0</v>
      </c>
      <c r="AJ50" s="56">
        <v>0</v>
      </c>
      <c r="AK50" s="51">
        <f t="shared" si="22"/>
        <v>0</v>
      </c>
      <c r="AL50" s="56">
        <v>1</v>
      </c>
      <c r="AM50" s="51">
        <f t="shared" si="23"/>
        <v>1</v>
      </c>
      <c r="AN50" s="56">
        <v>0.98</v>
      </c>
      <c r="AO50" s="51">
        <f t="shared" si="16"/>
        <v>0.98</v>
      </c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</row>
    <row r="51" spans="1:64" s="50" customFormat="1" ht="15" customHeight="1">
      <c r="A51" s="42" t="s">
        <v>508</v>
      </c>
      <c r="B51" s="241" t="s">
        <v>94</v>
      </c>
      <c r="C51" s="42"/>
      <c r="D51" s="42"/>
      <c r="E51" s="57" t="s">
        <v>509</v>
      </c>
      <c r="F51" s="38"/>
      <c r="G51" s="38"/>
      <c r="H51" s="38"/>
      <c r="I51" s="38"/>
      <c r="J51" s="38"/>
      <c r="K51" s="38"/>
      <c r="L51" s="38" t="s">
        <v>97</v>
      </c>
      <c r="M51" s="38" t="s">
        <v>97</v>
      </c>
      <c r="N51" s="38"/>
      <c r="O51" s="38"/>
      <c r="P51" s="38">
        <v>0</v>
      </c>
      <c r="Q51" s="38" t="s">
        <v>98</v>
      </c>
      <c r="R51" s="40"/>
      <c r="S51" s="40"/>
      <c r="T51" s="40" t="str" cm="1">
        <f t="array" ref="T51">IF(A51&lt;&gt;"",_xlfn.XLOOKUP(_xlfn.XLOOKUP(TRUE,F51:O51&lt;&gt;"",F51:O51,"-",-1,-1),F51:O51,$F$6:$O$6,,,-1),"")</f>
        <v>Permit</v>
      </c>
      <c r="U51" s="40"/>
      <c r="V51" s="55"/>
      <c r="W51" s="55" t="s">
        <v>435</v>
      </c>
      <c r="X51" s="382" t="s">
        <v>435</v>
      </c>
      <c r="Y51" s="52">
        <v>1</v>
      </c>
      <c r="Z51" s="56">
        <v>0.5</v>
      </c>
      <c r="AA51" s="51">
        <f t="shared" si="19"/>
        <v>0.5</v>
      </c>
      <c r="AB51" s="56">
        <v>0.5</v>
      </c>
      <c r="AC51" s="51">
        <f t="shared" si="17"/>
        <v>0.5</v>
      </c>
      <c r="AD51" s="56">
        <v>0.75</v>
      </c>
      <c r="AE51" s="51">
        <f t="shared" si="20"/>
        <v>0.75</v>
      </c>
      <c r="AF51" s="56">
        <v>0.75</v>
      </c>
      <c r="AG51" s="51">
        <f t="shared" si="24"/>
        <v>0.75</v>
      </c>
      <c r="AH51" s="56">
        <v>0</v>
      </c>
      <c r="AI51" s="51">
        <f t="shared" si="21"/>
        <v>0</v>
      </c>
      <c r="AJ51" s="56">
        <v>0</v>
      </c>
      <c r="AK51" s="51">
        <f t="shared" si="22"/>
        <v>0</v>
      </c>
      <c r="AL51" s="56">
        <v>1</v>
      </c>
      <c r="AM51" s="51">
        <f t="shared" si="23"/>
        <v>1</v>
      </c>
      <c r="AN51" s="56">
        <v>0.98</v>
      </c>
      <c r="AO51" s="51">
        <f t="shared" si="16"/>
        <v>0.98</v>
      </c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</row>
    <row r="52" spans="1:64" s="50" customFormat="1" ht="15" customHeight="1">
      <c r="A52" s="42" t="s">
        <v>510</v>
      </c>
      <c r="B52" s="241" t="s">
        <v>94</v>
      </c>
      <c r="C52" s="42"/>
      <c r="D52" s="42"/>
      <c r="E52" s="57" t="s">
        <v>511</v>
      </c>
      <c r="F52" s="38"/>
      <c r="G52" s="38"/>
      <c r="H52" s="38"/>
      <c r="I52" s="38"/>
      <c r="J52" s="38"/>
      <c r="K52" s="38"/>
      <c r="L52" s="38" t="s">
        <v>97</v>
      </c>
      <c r="M52" s="38" t="s">
        <v>97</v>
      </c>
      <c r="N52" s="38" t="s">
        <v>34</v>
      </c>
      <c r="O52" s="38"/>
      <c r="P52" s="38">
        <v>0</v>
      </c>
      <c r="Q52" s="38" t="s">
        <v>98</v>
      </c>
      <c r="R52" s="40"/>
      <c r="S52" s="40"/>
      <c r="T52" s="40" t="str" cm="1">
        <f t="array" ref="T52">IF(A52&lt;&gt;"",_xlfn.XLOOKUP(_xlfn.XLOOKUP(TRUE,F52:O52&lt;&gt;"",F52:O52,"-",-1,-1),F52:O52,$F$6:$O$6,,,-1),"")</f>
        <v>Add8</v>
      </c>
      <c r="U52" s="40"/>
      <c r="V52" s="55"/>
      <c r="W52" s="55" t="s">
        <v>435</v>
      </c>
      <c r="X52" s="382" t="s">
        <v>435</v>
      </c>
      <c r="Y52" s="52">
        <v>1</v>
      </c>
      <c r="Z52" s="56">
        <v>0.5</v>
      </c>
      <c r="AA52" s="51">
        <f t="shared" si="19"/>
        <v>0.5</v>
      </c>
      <c r="AB52" s="56">
        <v>0.5</v>
      </c>
      <c r="AC52" s="51">
        <f t="shared" si="17"/>
        <v>0.5</v>
      </c>
      <c r="AD52" s="56">
        <v>0.75</v>
      </c>
      <c r="AE52" s="51">
        <f t="shared" si="20"/>
        <v>0.75</v>
      </c>
      <c r="AF52" s="56">
        <v>0.75</v>
      </c>
      <c r="AG52" s="51">
        <f t="shared" si="24"/>
        <v>0.75</v>
      </c>
      <c r="AH52" s="56">
        <v>0</v>
      </c>
      <c r="AI52" s="51">
        <f t="shared" si="21"/>
        <v>0</v>
      </c>
      <c r="AJ52" s="56">
        <v>0</v>
      </c>
      <c r="AK52" s="51">
        <f t="shared" si="22"/>
        <v>0</v>
      </c>
      <c r="AL52" s="56">
        <v>1</v>
      </c>
      <c r="AM52" s="51">
        <f t="shared" si="23"/>
        <v>1</v>
      </c>
      <c r="AN52" s="56">
        <v>0.98</v>
      </c>
      <c r="AO52" s="51">
        <f t="shared" si="16"/>
        <v>0.98</v>
      </c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</row>
    <row r="53" spans="1:64" s="50" customFormat="1" ht="15" customHeight="1">
      <c r="A53" s="42"/>
      <c r="B53" s="241"/>
      <c r="C53" s="42"/>
      <c r="D53" s="42"/>
      <c r="E53" s="57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40"/>
      <c r="S53" s="40"/>
      <c r="T53" s="40" t="str" cm="1">
        <f t="array" ref="T53">IF(A53&lt;&gt;"",_xlfn.XLOOKUP(_xlfn.XLOOKUP(TRUE,F53:N53&lt;&gt;"",F53:N53,"-",-1,-1),F53:N53,$F$6:$N$6,,,-1),"")</f>
        <v/>
      </c>
      <c r="U53" s="40"/>
      <c r="V53" s="55"/>
      <c r="W53" s="55"/>
      <c r="X53" s="55"/>
      <c r="Y53" s="52"/>
      <c r="Z53" s="56"/>
      <c r="AA53" s="51"/>
      <c r="AB53" s="56"/>
      <c r="AC53" s="51"/>
      <c r="AD53" s="56"/>
      <c r="AE53" s="51"/>
      <c r="AF53" s="56"/>
      <c r="AG53" s="51"/>
      <c r="AH53" s="56"/>
      <c r="AI53" s="51"/>
      <c r="AJ53" s="56"/>
      <c r="AK53" s="51"/>
      <c r="AL53" s="56"/>
      <c r="AM53" s="51"/>
      <c r="AN53" s="56"/>
      <c r="AO53" s="51">
        <f>Y53*AN53</f>
        <v>0</v>
      </c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</row>
    <row r="54" spans="1:64" s="50" customFormat="1" ht="15" customHeight="1">
      <c r="A54" s="42" t="s">
        <v>512</v>
      </c>
      <c r="B54" s="241" t="s">
        <v>94</v>
      </c>
      <c r="C54" s="42"/>
      <c r="D54" s="42"/>
      <c r="E54" s="57" t="s">
        <v>513</v>
      </c>
      <c r="F54" s="38"/>
      <c r="G54" s="38"/>
      <c r="H54" s="38"/>
      <c r="I54" s="38"/>
      <c r="J54" s="38"/>
      <c r="K54" s="38"/>
      <c r="L54" s="38" t="s">
        <v>97</v>
      </c>
      <c r="M54" s="38" t="s">
        <v>97</v>
      </c>
      <c r="N54" s="38" t="s">
        <v>34</v>
      </c>
      <c r="O54" s="38"/>
      <c r="P54" s="38">
        <v>0</v>
      </c>
      <c r="Q54" s="38" t="s">
        <v>98</v>
      </c>
      <c r="R54" s="40"/>
      <c r="S54" s="40"/>
      <c r="T54" s="40" t="str" cm="1">
        <f t="array" ref="T54">IF(A54&lt;&gt;"",_xlfn.XLOOKUP(_xlfn.XLOOKUP(TRUE,F54:O54&lt;&gt;"",F54:O54,"-",-1,-1),F54:O54,$F$6:$O$6,,,-1),"")</f>
        <v>Add8</v>
      </c>
      <c r="U54" s="40"/>
      <c r="V54" s="55"/>
      <c r="W54" s="55" t="s">
        <v>435</v>
      </c>
      <c r="X54" s="382" t="s">
        <v>435</v>
      </c>
      <c r="Y54" s="52">
        <v>1</v>
      </c>
      <c r="Z54" s="56">
        <v>0.3</v>
      </c>
      <c r="AA54" s="51">
        <f>$Y54*Z54</f>
        <v>0.3</v>
      </c>
      <c r="AB54" s="56">
        <v>0.3</v>
      </c>
      <c r="AC54" s="51">
        <f t="shared" si="17"/>
        <v>0.3</v>
      </c>
      <c r="AD54" s="56">
        <v>0.75</v>
      </c>
      <c r="AE54" s="51">
        <f t="shared" ref="AE54:AE59" si="25">$Y54*AD54</f>
        <v>0.75</v>
      </c>
      <c r="AF54" s="56">
        <v>0.75</v>
      </c>
      <c r="AG54" s="51">
        <f>Y54*AF54</f>
        <v>0.75</v>
      </c>
      <c r="AH54" s="56">
        <v>0</v>
      </c>
      <c r="AI54" s="51">
        <f t="shared" ref="AI54:AI59" si="26">$Y54*AH54</f>
        <v>0</v>
      </c>
      <c r="AJ54" s="56">
        <v>0</v>
      </c>
      <c r="AK54" s="51">
        <f t="shared" ref="AK54:AK59" si="27">$Y$10*AJ54</f>
        <v>0</v>
      </c>
      <c r="AL54" s="56">
        <v>1</v>
      </c>
      <c r="AM54" s="51">
        <f t="shared" ref="AM54:AM59" si="28">$Y54*AL54</f>
        <v>1</v>
      </c>
      <c r="AN54" s="56">
        <v>0.95</v>
      </c>
      <c r="AO54" s="51">
        <f t="shared" si="16"/>
        <v>0.95</v>
      </c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</row>
    <row r="55" spans="1:64" s="50" customFormat="1" ht="15" customHeight="1">
      <c r="A55" s="42" t="s">
        <v>514</v>
      </c>
      <c r="B55" s="241" t="s">
        <v>94</v>
      </c>
      <c r="C55" s="42"/>
      <c r="D55" s="42"/>
      <c r="E55" s="57" t="s">
        <v>515</v>
      </c>
      <c r="F55" s="38"/>
      <c r="G55" s="38"/>
      <c r="H55" s="38"/>
      <c r="I55" s="38"/>
      <c r="J55" s="38"/>
      <c r="K55" s="38"/>
      <c r="L55" s="38" t="s">
        <v>97</v>
      </c>
      <c r="M55" s="38" t="s">
        <v>97</v>
      </c>
      <c r="N55" s="38" t="s">
        <v>34</v>
      </c>
      <c r="O55" s="38"/>
      <c r="P55" s="38">
        <v>0</v>
      </c>
      <c r="Q55" s="38" t="s">
        <v>98</v>
      </c>
      <c r="R55" s="40"/>
      <c r="S55" s="40"/>
      <c r="T55" s="40" t="str" cm="1">
        <f t="array" ref="T55">IF(A55&lt;&gt;"",_xlfn.XLOOKUP(_xlfn.XLOOKUP(TRUE,F55:O55&lt;&gt;"",F55:O55,"-",-1,-1),F55:O55,$F$6:$O$6,,,-1),"")</f>
        <v>Add8</v>
      </c>
      <c r="U55" s="40"/>
      <c r="V55" s="55"/>
      <c r="W55" s="55" t="s">
        <v>435</v>
      </c>
      <c r="X55" s="377" t="s">
        <v>436</v>
      </c>
      <c r="Y55" s="52">
        <v>1</v>
      </c>
      <c r="Z55" s="56">
        <v>0.2</v>
      </c>
      <c r="AA55" s="51">
        <f t="shared" si="19"/>
        <v>0.2</v>
      </c>
      <c r="AB55" s="56">
        <v>0.2</v>
      </c>
      <c r="AC55" s="51">
        <f t="shared" si="17"/>
        <v>0.2</v>
      </c>
      <c r="AD55" s="56">
        <v>0.7</v>
      </c>
      <c r="AE55" s="51">
        <f t="shared" si="25"/>
        <v>0.7</v>
      </c>
      <c r="AF55" s="56">
        <v>0.5</v>
      </c>
      <c r="AG55" s="51">
        <f t="shared" ref="AG55:AG97" si="29">Y55*AF55</f>
        <v>0.5</v>
      </c>
      <c r="AH55" s="56">
        <v>0</v>
      </c>
      <c r="AI55" s="51">
        <f t="shared" si="26"/>
        <v>0</v>
      </c>
      <c r="AJ55" s="56">
        <v>0</v>
      </c>
      <c r="AK55" s="51">
        <f t="shared" si="27"/>
        <v>0</v>
      </c>
      <c r="AL55" s="56">
        <v>1</v>
      </c>
      <c r="AM55" s="51">
        <f t="shared" si="28"/>
        <v>1</v>
      </c>
      <c r="AN55" s="56">
        <v>0.95</v>
      </c>
      <c r="AO55" s="51">
        <f t="shared" si="16"/>
        <v>0.95</v>
      </c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</row>
    <row r="56" spans="1:64" s="50" customFormat="1" ht="15" customHeight="1">
      <c r="A56" s="42" t="s">
        <v>516</v>
      </c>
      <c r="B56" s="241" t="s">
        <v>94</v>
      </c>
      <c r="C56" s="42"/>
      <c r="D56" s="42"/>
      <c r="E56" s="57" t="s">
        <v>517</v>
      </c>
      <c r="F56" s="38"/>
      <c r="G56" s="38"/>
      <c r="H56" s="38"/>
      <c r="I56" s="38"/>
      <c r="J56" s="38"/>
      <c r="K56" s="38"/>
      <c r="L56" s="38" t="s">
        <v>97</v>
      </c>
      <c r="M56" s="38" t="s">
        <v>97</v>
      </c>
      <c r="N56" s="38" t="s">
        <v>34</v>
      </c>
      <c r="O56" s="38"/>
      <c r="P56" s="38">
        <v>0</v>
      </c>
      <c r="Q56" s="38" t="s">
        <v>98</v>
      </c>
      <c r="R56" s="40"/>
      <c r="S56" s="40"/>
      <c r="T56" s="40" t="str" cm="1">
        <f t="array" ref="T56">IF(A56&lt;&gt;"",_xlfn.XLOOKUP(_xlfn.XLOOKUP(TRUE,F56:O56&lt;&gt;"",F56:O56,"-",-1,-1),F56:O56,$F$6:$O$6,,,-1),"")</f>
        <v>Add8</v>
      </c>
      <c r="U56" s="40"/>
      <c r="V56" s="55"/>
      <c r="W56" s="55" t="s">
        <v>435</v>
      </c>
      <c r="X56" s="377" t="s">
        <v>436</v>
      </c>
      <c r="Y56" s="52">
        <v>1</v>
      </c>
      <c r="Z56" s="56">
        <v>0.2</v>
      </c>
      <c r="AA56" s="51">
        <f t="shared" si="19"/>
        <v>0.2</v>
      </c>
      <c r="AB56" s="56">
        <v>0.2</v>
      </c>
      <c r="AC56" s="51">
        <f t="shared" si="17"/>
        <v>0.2</v>
      </c>
      <c r="AD56" s="56">
        <v>0.7</v>
      </c>
      <c r="AE56" s="51">
        <f t="shared" si="25"/>
        <v>0.7</v>
      </c>
      <c r="AF56" s="56">
        <v>0.5</v>
      </c>
      <c r="AG56" s="51">
        <f t="shared" si="29"/>
        <v>0.5</v>
      </c>
      <c r="AH56" s="56">
        <v>0</v>
      </c>
      <c r="AI56" s="51">
        <f t="shared" si="26"/>
        <v>0</v>
      </c>
      <c r="AJ56" s="56">
        <v>0</v>
      </c>
      <c r="AK56" s="51">
        <f t="shared" si="27"/>
        <v>0</v>
      </c>
      <c r="AL56" s="56">
        <v>1</v>
      </c>
      <c r="AM56" s="51">
        <f t="shared" si="28"/>
        <v>1</v>
      </c>
      <c r="AN56" s="56">
        <v>0.95</v>
      </c>
      <c r="AO56" s="51">
        <f t="shared" si="16"/>
        <v>0.95</v>
      </c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</row>
    <row r="57" spans="1:64" s="50" customFormat="1" ht="15" customHeight="1">
      <c r="A57" s="42" t="s">
        <v>518</v>
      </c>
      <c r="B57" s="241" t="s">
        <v>94</v>
      </c>
      <c r="C57" s="42"/>
      <c r="D57" s="42"/>
      <c r="E57" s="57" t="s">
        <v>519</v>
      </c>
      <c r="F57" s="38"/>
      <c r="G57" s="38"/>
      <c r="H57" s="38"/>
      <c r="I57" s="38"/>
      <c r="J57" s="38"/>
      <c r="K57" s="37"/>
      <c r="L57" s="38"/>
      <c r="M57" s="236"/>
      <c r="N57" s="383" t="s">
        <v>97</v>
      </c>
      <c r="O57" s="383"/>
      <c r="P57" s="383">
        <v>0</v>
      </c>
      <c r="Q57" s="38" t="s">
        <v>98</v>
      </c>
      <c r="R57" s="40"/>
      <c r="S57" s="40"/>
      <c r="T57" s="40" t="str" cm="1">
        <f t="array" ref="T57">IF(A57&lt;&gt;"",_xlfn.XLOOKUP(_xlfn.XLOOKUP(TRUE,F57:O57&lt;&gt;"",F57:O57,"-",-1,-1),F57:O57,$F$6:$O$6,,,-1),"")</f>
        <v>Add8</v>
      </c>
      <c r="U57" s="40"/>
      <c r="V57" s="55"/>
      <c r="W57" s="55" t="s">
        <v>435</v>
      </c>
      <c r="X57" s="377" t="s">
        <v>436</v>
      </c>
      <c r="Y57" s="52">
        <v>0.5</v>
      </c>
      <c r="Z57" s="56">
        <v>0.2</v>
      </c>
      <c r="AA57" s="51">
        <f t="shared" si="19"/>
        <v>0.1</v>
      </c>
      <c r="AB57" s="56">
        <v>0.2</v>
      </c>
      <c r="AC57" s="51">
        <f t="shared" si="17"/>
        <v>0.1</v>
      </c>
      <c r="AD57" s="56">
        <v>0.7</v>
      </c>
      <c r="AE57" s="51">
        <f>$Y57*AD57</f>
        <v>0.35</v>
      </c>
      <c r="AF57" s="56">
        <v>0.5</v>
      </c>
      <c r="AG57" s="51">
        <f>Y57*AF57</f>
        <v>0.25</v>
      </c>
      <c r="AH57" s="56">
        <v>0</v>
      </c>
      <c r="AI57" s="51">
        <f t="shared" si="26"/>
        <v>0</v>
      </c>
      <c r="AJ57" s="56">
        <v>0</v>
      </c>
      <c r="AK57" s="51">
        <f t="shared" si="27"/>
        <v>0</v>
      </c>
      <c r="AL57" s="56">
        <v>1</v>
      </c>
      <c r="AM57" s="51">
        <f t="shared" si="28"/>
        <v>0.5</v>
      </c>
      <c r="AN57" s="56">
        <v>0.95</v>
      </c>
      <c r="AO57" s="51">
        <f t="shared" si="16"/>
        <v>0.47499999999999998</v>
      </c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</row>
    <row r="58" spans="1:64" s="50" customFormat="1" ht="15" customHeight="1">
      <c r="A58" s="42"/>
      <c r="B58" s="241"/>
      <c r="C58" s="42"/>
      <c r="D58" s="42"/>
      <c r="E58" s="57"/>
      <c r="F58" s="38"/>
      <c r="G58" s="38"/>
      <c r="H58" s="38"/>
      <c r="I58" s="38"/>
      <c r="J58" s="38"/>
      <c r="K58" s="37"/>
      <c r="L58" s="38"/>
      <c r="M58" s="37"/>
      <c r="N58" s="383"/>
      <c r="O58" s="383"/>
      <c r="P58" s="383"/>
      <c r="Q58" s="38"/>
      <c r="R58" s="40"/>
      <c r="S58" s="40"/>
      <c r="T58" s="40" t="str" cm="1">
        <f t="array" ref="T58">IF(A58&lt;&gt;"",_xlfn.XLOOKUP(_xlfn.XLOOKUP(TRUE,F58:N58&lt;&gt;"",F58:N58,"-",-1,-1),F58:N58,$F$6:$N$6,,,-1),"")</f>
        <v/>
      </c>
      <c r="U58" s="40"/>
      <c r="V58" s="55"/>
      <c r="W58" s="55"/>
      <c r="X58" s="55"/>
      <c r="Y58" s="52"/>
      <c r="Z58" s="56"/>
      <c r="AA58" s="51"/>
      <c r="AB58" s="56"/>
      <c r="AC58" s="51"/>
      <c r="AD58" s="56"/>
      <c r="AE58" s="51"/>
      <c r="AF58" s="56"/>
      <c r="AG58" s="51"/>
      <c r="AH58" s="56"/>
      <c r="AI58" s="51"/>
      <c r="AJ58" s="56"/>
      <c r="AK58" s="51"/>
      <c r="AL58" s="56"/>
      <c r="AM58" s="51"/>
      <c r="AN58" s="56"/>
      <c r="AO58" s="51">
        <f>Y58*AN58</f>
        <v>0</v>
      </c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</row>
    <row r="59" spans="1:64" s="50" customFormat="1" ht="15" customHeight="1">
      <c r="A59" s="42" t="s">
        <v>520</v>
      </c>
      <c r="B59" s="241"/>
      <c r="C59" s="42"/>
      <c r="D59" s="42"/>
      <c r="E59" s="57" t="s">
        <v>521</v>
      </c>
      <c r="F59" s="38"/>
      <c r="G59" s="38"/>
      <c r="H59" s="38"/>
      <c r="I59" s="38"/>
      <c r="J59" s="38"/>
      <c r="K59" s="37"/>
      <c r="L59" s="38" t="s">
        <v>97</v>
      </c>
      <c r="M59" s="236" t="s">
        <v>97</v>
      </c>
      <c r="N59" s="383" t="s">
        <v>34</v>
      </c>
      <c r="O59" s="383"/>
      <c r="P59" s="383">
        <v>0</v>
      </c>
      <c r="Q59" s="38" t="s">
        <v>98</v>
      </c>
      <c r="R59" s="40"/>
      <c r="S59" s="40"/>
      <c r="T59" s="40" t="str" cm="1">
        <f t="array" ref="T59">IF(A59&lt;&gt;"",_xlfn.XLOOKUP(_xlfn.XLOOKUP(TRUE,F59:O59&lt;&gt;"",F59:O59,"-",-1,-1),F59:O59,$F$6:$O$6,,,-1),"")</f>
        <v>Add8</v>
      </c>
      <c r="U59" s="40"/>
      <c r="V59" s="55"/>
      <c r="W59" s="55" t="s">
        <v>435</v>
      </c>
      <c r="X59" s="377" t="s">
        <v>436</v>
      </c>
      <c r="Y59" s="52">
        <v>1</v>
      </c>
      <c r="Z59" s="56">
        <v>0.7</v>
      </c>
      <c r="AA59" s="51">
        <f t="shared" ref="AA59" si="30">$Y59*Z59</f>
        <v>0.7</v>
      </c>
      <c r="AB59" s="56">
        <v>0.75</v>
      </c>
      <c r="AC59" s="51">
        <f t="shared" si="17"/>
        <v>0.75</v>
      </c>
      <c r="AD59" s="56">
        <v>0.8</v>
      </c>
      <c r="AE59" s="51">
        <f t="shared" si="25"/>
        <v>0.8</v>
      </c>
      <c r="AF59" s="56">
        <v>0.8</v>
      </c>
      <c r="AG59" s="51">
        <f t="shared" si="29"/>
        <v>0.8</v>
      </c>
      <c r="AH59" s="56">
        <v>0</v>
      </c>
      <c r="AI59" s="51">
        <f t="shared" si="26"/>
        <v>0</v>
      </c>
      <c r="AJ59" s="56">
        <v>0</v>
      </c>
      <c r="AK59" s="51">
        <f t="shared" si="27"/>
        <v>0</v>
      </c>
      <c r="AL59" s="56">
        <v>1</v>
      </c>
      <c r="AM59" s="51">
        <f t="shared" si="28"/>
        <v>1</v>
      </c>
      <c r="AN59" s="56">
        <v>1</v>
      </c>
      <c r="AO59" s="51">
        <f t="shared" si="16"/>
        <v>1</v>
      </c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</row>
    <row r="60" spans="1:64" s="50" customFormat="1" ht="15" customHeight="1">
      <c r="A60" s="42"/>
      <c r="B60" s="241"/>
      <c r="C60" s="42"/>
      <c r="D60" s="42"/>
      <c r="E60" s="57"/>
      <c r="F60" s="38"/>
      <c r="G60" s="38"/>
      <c r="H60" s="38"/>
      <c r="I60" s="38"/>
      <c r="J60" s="38"/>
      <c r="K60" s="37"/>
      <c r="L60" s="38"/>
      <c r="M60" s="37"/>
      <c r="N60" s="383"/>
      <c r="O60" s="383"/>
      <c r="P60" s="383"/>
      <c r="Q60" s="38"/>
      <c r="R60" s="40"/>
      <c r="S60" s="40"/>
      <c r="T60" s="40" t="str" cm="1">
        <f t="array" ref="T60">IF(A60&lt;&gt;"",_xlfn.XLOOKUP(_xlfn.XLOOKUP(TRUE,F60:N60&lt;&gt;"",F60:N60,"-",-1,-1),F60:N60,$F$6:$N$6,,,-1),"")</f>
        <v/>
      </c>
      <c r="U60" s="40"/>
      <c r="V60" s="55"/>
      <c r="W60" s="55"/>
      <c r="X60" s="55"/>
      <c r="Y60" s="52"/>
      <c r="Z60" s="56"/>
      <c r="AA60" s="51"/>
      <c r="AB60" s="56"/>
      <c r="AC60" s="51"/>
      <c r="AD60" s="56"/>
      <c r="AE60" s="51"/>
      <c r="AF60" s="56"/>
      <c r="AG60" s="51"/>
      <c r="AH60" s="56"/>
      <c r="AI60" s="51"/>
      <c r="AJ60" s="56"/>
      <c r="AK60" s="51"/>
      <c r="AL60" s="56"/>
      <c r="AM60" s="51"/>
      <c r="AN60" s="56"/>
      <c r="AO60" s="51">
        <f t="shared" si="16"/>
        <v>0</v>
      </c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</row>
    <row r="61" spans="1:64" s="50" customFormat="1" ht="15" customHeight="1">
      <c r="A61" s="42" t="s">
        <v>522</v>
      </c>
      <c r="B61" s="241"/>
      <c r="C61" s="42"/>
      <c r="D61" s="42"/>
      <c r="E61" s="37" t="s">
        <v>523</v>
      </c>
      <c r="F61" s="38"/>
      <c r="G61" s="38"/>
      <c r="H61" s="38"/>
      <c r="I61" s="38"/>
      <c r="J61" s="38"/>
      <c r="K61" s="37"/>
      <c r="L61" s="38" t="s">
        <v>97</v>
      </c>
      <c r="M61" s="236" t="s">
        <v>97</v>
      </c>
      <c r="N61" s="383"/>
      <c r="O61" s="383"/>
      <c r="P61" s="383">
        <v>0</v>
      </c>
      <c r="Q61" s="38" t="s">
        <v>98</v>
      </c>
      <c r="R61" s="40"/>
      <c r="S61" s="40"/>
      <c r="T61" s="40" t="str" cm="1">
        <f t="array" ref="T61">IF(A61&lt;&gt;"",_xlfn.XLOOKUP(_xlfn.XLOOKUP(TRUE,F61:O61&lt;&gt;"",F61:O61,"-",-1,-1),F61:O61,$F$6:$O$6,,,-1),"")</f>
        <v>Permit</v>
      </c>
      <c r="U61" s="40"/>
      <c r="V61" s="55"/>
      <c r="W61" s="55" t="s">
        <v>435</v>
      </c>
      <c r="X61" s="377" t="s">
        <v>436</v>
      </c>
      <c r="Y61" s="52">
        <v>0.5</v>
      </c>
      <c r="Z61" s="56">
        <v>0.75</v>
      </c>
      <c r="AA61" s="51">
        <f>$Y61*Z61</f>
        <v>0.375</v>
      </c>
      <c r="AB61" s="56">
        <v>0.75</v>
      </c>
      <c r="AC61" s="51">
        <f>Y61*AB61</f>
        <v>0.375</v>
      </c>
      <c r="AD61" s="56">
        <v>0.8</v>
      </c>
      <c r="AE61" s="51">
        <f>$Y61*AD61</f>
        <v>0.4</v>
      </c>
      <c r="AF61" s="56">
        <v>0.8</v>
      </c>
      <c r="AG61" s="51">
        <f t="shared" si="29"/>
        <v>0.4</v>
      </c>
      <c r="AH61" s="56">
        <v>0</v>
      </c>
      <c r="AI61" s="51">
        <f>$Y61*AH61</f>
        <v>0</v>
      </c>
      <c r="AJ61" s="56">
        <v>0</v>
      </c>
      <c r="AK61" s="51">
        <f>$Y$10*AJ61</f>
        <v>0</v>
      </c>
      <c r="AL61" s="56">
        <v>1</v>
      </c>
      <c r="AM61" s="51">
        <f>$Y61*AL61</f>
        <v>0.5</v>
      </c>
      <c r="AN61" s="56">
        <v>1</v>
      </c>
      <c r="AO61" s="51">
        <f t="shared" si="16"/>
        <v>0.5</v>
      </c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</row>
    <row r="62" spans="1:64" s="50" customFormat="1" ht="15" customHeight="1">
      <c r="A62" s="42" t="s">
        <v>524</v>
      </c>
      <c r="B62" s="241"/>
      <c r="C62" s="42"/>
      <c r="D62" s="42"/>
      <c r="E62" s="37" t="s">
        <v>525</v>
      </c>
      <c r="F62" s="38"/>
      <c r="G62" s="38"/>
      <c r="H62" s="38"/>
      <c r="I62" s="38"/>
      <c r="J62" s="38"/>
      <c r="K62" s="37"/>
      <c r="L62" s="38" t="s">
        <v>97</v>
      </c>
      <c r="M62" s="236" t="s">
        <v>97</v>
      </c>
      <c r="N62" s="383" t="s">
        <v>34</v>
      </c>
      <c r="O62" s="383" t="s">
        <v>31</v>
      </c>
      <c r="P62" s="383">
        <v>0</v>
      </c>
      <c r="Q62" s="38" t="s">
        <v>98</v>
      </c>
      <c r="R62" s="40"/>
      <c r="S62" s="40"/>
      <c r="T62" s="40" t="str" cm="1">
        <f t="array" ref="T62">IF(A62&lt;&gt;"",_xlfn.XLOOKUP(_xlfn.XLOOKUP(TRUE,F62:O62&lt;&gt;"",F62:O62,"-",-1,-1),F62:O62,$F$6:$O$6,,,-1),"")</f>
        <v>Add9</v>
      </c>
      <c r="U62" s="40"/>
      <c r="V62" s="55"/>
      <c r="W62" s="55" t="s">
        <v>435</v>
      </c>
      <c r="X62" s="377" t="s">
        <v>436</v>
      </c>
      <c r="Y62" s="52">
        <v>0.5</v>
      </c>
      <c r="Z62" s="56">
        <v>0.75</v>
      </c>
      <c r="AA62" s="51">
        <f>$Y62*Z62</f>
        <v>0.375</v>
      </c>
      <c r="AB62" s="56">
        <v>0.75</v>
      </c>
      <c r="AC62" s="51">
        <f>Y62*AB62</f>
        <v>0.375</v>
      </c>
      <c r="AD62" s="56">
        <v>0.8</v>
      </c>
      <c r="AE62" s="51">
        <f>$Y62*AD62</f>
        <v>0.4</v>
      </c>
      <c r="AF62" s="56">
        <v>0.8</v>
      </c>
      <c r="AG62" s="51">
        <f t="shared" si="29"/>
        <v>0.4</v>
      </c>
      <c r="AH62" s="56">
        <v>0</v>
      </c>
      <c r="AI62" s="51">
        <f>$Y62*AH62</f>
        <v>0</v>
      </c>
      <c r="AJ62" s="56">
        <v>0</v>
      </c>
      <c r="AK62" s="51">
        <f>$Y$10*AJ62</f>
        <v>0</v>
      </c>
      <c r="AL62" s="56">
        <v>1</v>
      </c>
      <c r="AM62" s="51">
        <f>$Y62*AL62</f>
        <v>0.5</v>
      </c>
      <c r="AN62" s="56">
        <v>1</v>
      </c>
      <c r="AO62" s="51">
        <f t="shared" si="16"/>
        <v>0.5</v>
      </c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</row>
    <row r="63" spans="1:64" s="50" customFormat="1" ht="15" customHeight="1">
      <c r="A63" s="42" t="s">
        <v>526</v>
      </c>
      <c r="B63" s="241"/>
      <c r="C63" s="42"/>
      <c r="D63" s="42"/>
      <c r="E63" s="341" t="s">
        <v>527</v>
      </c>
      <c r="F63" s="38"/>
      <c r="G63" s="38"/>
      <c r="H63" s="38"/>
      <c r="I63" s="38"/>
      <c r="J63" s="38"/>
      <c r="K63" s="37"/>
      <c r="L63" s="38" t="s">
        <v>97</v>
      </c>
      <c r="M63" s="236" t="s">
        <v>97</v>
      </c>
      <c r="N63" s="383" t="s">
        <v>34</v>
      </c>
      <c r="O63" s="383"/>
      <c r="P63" s="383">
        <v>0</v>
      </c>
      <c r="Q63" s="38" t="s">
        <v>98</v>
      </c>
      <c r="R63" s="40"/>
      <c r="S63" s="40"/>
      <c r="T63" s="40" t="str" cm="1">
        <f t="array" ref="T63">IF(A63&lt;&gt;"",_xlfn.XLOOKUP(_xlfn.XLOOKUP(TRUE,F63:O63&lt;&gt;"",F63:O63,"-",-1,-1),F63:O63,$F$6:$O$6,,,-1),"")</f>
        <v>Add8</v>
      </c>
      <c r="U63" s="40"/>
      <c r="V63" s="55"/>
      <c r="W63" s="55" t="s">
        <v>435</v>
      </c>
      <c r="X63" s="377" t="s">
        <v>436</v>
      </c>
      <c r="Y63" s="52">
        <v>1</v>
      </c>
      <c r="Z63" s="56">
        <v>0.75</v>
      </c>
      <c r="AA63" s="51">
        <f>$Y63*Z63</f>
        <v>0.75</v>
      </c>
      <c r="AB63" s="56">
        <v>0.75</v>
      </c>
      <c r="AC63" s="51">
        <f>Y63*AB63</f>
        <v>0.75</v>
      </c>
      <c r="AD63" s="56">
        <v>0.8</v>
      </c>
      <c r="AE63" s="51">
        <f>$Y63*AD63</f>
        <v>0.8</v>
      </c>
      <c r="AF63" s="56">
        <v>0.8</v>
      </c>
      <c r="AG63" s="51">
        <f t="shared" si="29"/>
        <v>0.8</v>
      </c>
      <c r="AH63" s="56">
        <v>0</v>
      </c>
      <c r="AI63" s="51">
        <f>$Y63*AH63</f>
        <v>0</v>
      </c>
      <c r="AJ63" s="56">
        <v>0</v>
      </c>
      <c r="AK63" s="51">
        <f>$Y$10*AJ63</f>
        <v>0</v>
      </c>
      <c r="AL63" s="56">
        <v>1</v>
      </c>
      <c r="AM63" s="51">
        <f>$Y63*AL63</f>
        <v>1</v>
      </c>
      <c r="AN63" s="56">
        <v>1</v>
      </c>
      <c r="AO63" s="51">
        <f t="shared" si="16"/>
        <v>1</v>
      </c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</row>
    <row r="64" spans="1:64" s="50" customFormat="1" ht="15" customHeight="1">
      <c r="A64" s="42" t="s">
        <v>528</v>
      </c>
      <c r="B64" s="241"/>
      <c r="C64" s="42"/>
      <c r="D64" s="42"/>
      <c r="E64" s="341" t="s">
        <v>529</v>
      </c>
      <c r="F64" s="38"/>
      <c r="G64" s="38"/>
      <c r="H64" s="38"/>
      <c r="I64" s="38"/>
      <c r="J64" s="38"/>
      <c r="K64" s="37"/>
      <c r="L64" s="38" t="s">
        <v>97</v>
      </c>
      <c r="M64" s="236" t="s">
        <v>97</v>
      </c>
      <c r="N64" s="383" t="s">
        <v>34</v>
      </c>
      <c r="O64" s="383"/>
      <c r="P64" s="383">
        <v>0</v>
      </c>
      <c r="Q64" s="38" t="s">
        <v>98</v>
      </c>
      <c r="R64" s="40"/>
      <c r="S64" s="40"/>
      <c r="T64" s="40" t="str" cm="1">
        <f t="array" ref="T64">IF(A64&lt;&gt;"",_xlfn.XLOOKUP(_xlfn.XLOOKUP(TRUE,F64:O64&lt;&gt;"",F64:O64,"-",-1,-1),F64:O64,$F$6:$O$6,,,-1),"")</f>
        <v>Add8</v>
      </c>
      <c r="U64" s="40"/>
      <c r="V64" s="55"/>
      <c r="W64" s="55" t="s">
        <v>435</v>
      </c>
      <c r="X64" s="377" t="s">
        <v>436</v>
      </c>
      <c r="Y64" s="52">
        <v>1</v>
      </c>
      <c r="Z64" s="56">
        <v>0.75</v>
      </c>
      <c r="AA64" s="51">
        <f>$Y64*Z64</f>
        <v>0.75</v>
      </c>
      <c r="AB64" s="56">
        <v>0.75</v>
      </c>
      <c r="AC64" s="51">
        <f>Y64*AB64</f>
        <v>0.75</v>
      </c>
      <c r="AD64" s="56">
        <v>0.8</v>
      </c>
      <c r="AE64" s="51">
        <f>$Y64*AD64</f>
        <v>0.8</v>
      </c>
      <c r="AF64" s="56">
        <v>0.8</v>
      </c>
      <c r="AG64" s="51">
        <f t="shared" si="29"/>
        <v>0.8</v>
      </c>
      <c r="AH64" s="56">
        <v>0</v>
      </c>
      <c r="AI64" s="51">
        <f>$Y64*AH64</f>
        <v>0</v>
      </c>
      <c r="AJ64" s="56">
        <v>0</v>
      </c>
      <c r="AK64" s="51">
        <f>$Y$10*AJ64</f>
        <v>0</v>
      </c>
      <c r="AL64" s="56">
        <v>1</v>
      </c>
      <c r="AM64" s="51">
        <f>$Y64*AL64</f>
        <v>1</v>
      </c>
      <c r="AN64" s="56">
        <v>1</v>
      </c>
      <c r="AO64" s="51">
        <f t="shared" si="16"/>
        <v>1</v>
      </c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</row>
    <row r="65" spans="1:64" s="50" customFormat="1" ht="15" customHeight="1">
      <c r="A65" s="42" t="s">
        <v>530</v>
      </c>
      <c r="B65" s="241"/>
      <c r="C65" s="42"/>
      <c r="D65" s="42"/>
      <c r="E65" s="37" t="s">
        <v>531</v>
      </c>
      <c r="F65" s="38"/>
      <c r="G65" s="38"/>
      <c r="H65" s="38"/>
      <c r="I65" s="38"/>
      <c r="J65" s="38"/>
      <c r="K65" s="37"/>
      <c r="L65" s="38" t="s">
        <v>97</v>
      </c>
      <c r="M65" s="236" t="s">
        <v>97</v>
      </c>
      <c r="N65" s="383" t="s">
        <v>34</v>
      </c>
      <c r="O65" s="383"/>
      <c r="P65" s="383">
        <v>0</v>
      </c>
      <c r="Q65" s="38" t="s">
        <v>98</v>
      </c>
      <c r="R65" s="40"/>
      <c r="S65" s="40"/>
      <c r="T65" s="40" t="str" cm="1">
        <f t="array" ref="T65">IF(A65&lt;&gt;"",_xlfn.XLOOKUP(_xlfn.XLOOKUP(TRUE,F65:O65&lt;&gt;"",F65:O65,"-",-1,-1),F65:O65,$F$6:$O$6,,,-1),"")</f>
        <v>Add8</v>
      </c>
      <c r="U65" s="40"/>
      <c r="V65" s="55"/>
      <c r="W65" s="55" t="s">
        <v>435</v>
      </c>
      <c r="X65" s="377" t="s">
        <v>436</v>
      </c>
      <c r="Y65" s="52">
        <v>1</v>
      </c>
      <c r="Z65" s="56">
        <v>0.75</v>
      </c>
      <c r="AA65" s="51">
        <f>$Y65*Z65</f>
        <v>0.75</v>
      </c>
      <c r="AB65" s="56">
        <v>0.75</v>
      </c>
      <c r="AC65" s="51">
        <f>Y65*AB65</f>
        <v>0.75</v>
      </c>
      <c r="AD65" s="56">
        <v>0.8</v>
      </c>
      <c r="AE65" s="51">
        <f>$Y65*AD65</f>
        <v>0.8</v>
      </c>
      <c r="AF65" s="56">
        <v>0.8</v>
      </c>
      <c r="AG65" s="51">
        <f t="shared" si="29"/>
        <v>0.8</v>
      </c>
      <c r="AH65" s="56">
        <v>0</v>
      </c>
      <c r="AI65" s="51">
        <f>$Y65*AH65</f>
        <v>0</v>
      </c>
      <c r="AJ65" s="56">
        <v>0</v>
      </c>
      <c r="AK65" s="51">
        <f>$Y$10*AJ65</f>
        <v>0</v>
      </c>
      <c r="AL65" s="56">
        <v>1</v>
      </c>
      <c r="AM65" s="51">
        <f>$Y65*AL65</f>
        <v>1</v>
      </c>
      <c r="AN65" s="56">
        <v>1</v>
      </c>
      <c r="AO65" s="51">
        <f t="shared" si="16"/>
        <v>1</v>
      </c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</row>
    <row r="66" spans="1:64" s="50" customFormat="1" ht="15" customHeight="1">
      <c r="A66" s="42"/>
      <c r="B66" s="241"/>
      <c r="C66" s="42"/>
      <c r="D66" s="42"/>
      <c r="E66" s="57"/>
      <c r="F66" s="38"/>
      <c r="G66" s="38"/>
      <c r="H66" s="38"/>
      <c r="I66" s="38"/>
      <c r="J66" s="38"/>
      <c r="K66" s="37"/>
      <c r="L66" s="38"/>
      <c r="M66" s="37"/>
      <c r="N66" s="383"/>
      <c r="O66" s="383"/>
      <c r="P66" s="383"/>
      <c r="Q66" s="38"/>
      <c r="R66" s="40"/>
      <c r="S66" s="40"/>
      <c r="T66" s="40" t="str" cm="1">
        <f t="array" ref="T66">IF(A66&lt;&gt;"",_xlfn.XLOOKUP(_xlfn.XLOOKUP(TRUE,F66:O66&lt;&gt;"",F66:O66,"-",-1,-1),F66:O66,$F$6:$O$6,,,-1),"")</f>
        <v/>
      </c>
      <c r="U66" s="40"/>
      <c r="V66" s="55"/>
      <c r="W66" s="55"/>
      <c r="X66" s="55"/>
      <c r="Y66" s="52"/>
      <c r="Z66" s="56"/>
      <c r="AA66" s="51"/>
      <c r="AB66" s="56"/>
      <c r="AC66" s="51"/>
      <c r="AD66" s="56"/>
      <c r="AE66" s="51"/>
      <c r="AF66" s="56"/>
      <c r="AG66" s="51"/>
      <c r="AH66" s="56"/>
      <c r="AI66" s="51"/>
      <c r="AJ66" s="56"/>
      <c r="AK66" s="51"/>
      <c r="AL66" s="56"/>
      <c r="AM66" s="51"/>
      <c r="AN66" s="56"/>
      <c r="AO66" s="51">
        <f t="shared" si="16"/>
        <v>0</v>
      </c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</row>
    <row r="67" spans="1:64" s="50" customFormat="1" ht="15" customHeight="1">
      <c r="A67" s="42" t="s">
        <v>532</v>
      </c>
      <c r="B67" s="241"/>
      <c r="C67" s="42"/>
      <c r="D67" s="42"/>
      <c r="E67" s="57" t="s">
        <v>533</v>
      </c>
      <c r="F67" s="38"/>
      <c r="G67" s="38"/>
      <c r="H67" s="38"/>
      <c r="I67" s="38"/>
      <c r="J67" s="38"/>
      <c r="K67" s="37"/>
      <c r="L67" s="38" t="s">
        <v>97</v>
      </c>
      <c r="M67" s="236" t="s">
        <v>97</v>
      </c>
      <c r="N67" s="383" t="s">
        <v>34</v>
      </c>
      <c r="O67" s="383"/>
      <c r="P67" s="383">
        <v>0</v>
      </c>
      <c r="Q67" s="38" t="s">
        <v>98</v>
      </c>
      <c r="R67" s="40"/>
      <c r="S67" s="40"/>
      <c r="T67" s="40" t="str" cm="1">
        <f t="array" ref="T67">IF(A67&lt;&gt;"",_xlfn.XLOOKUP(_xlfn.XLOOKUP(TRUE,F67:O67&lt;&gt;"",F67:O67,"-",-1,-1),F67:O67,$F$6:$O$6,,,-1),"")</f>
        <v>Add8</v>
      </c>
      <c r="U67" s="40"/>
      <c r="V67" s="55"/>
      <c r="W67" s="55" t="s">
        <v>435</v>
      </c>
      <c r="X67" s="378" t="s">
        <v>474</v>
      </c>
      <c r="Y67" s="52">
        <v>1</v>
      </c>
      <c r="Z67" s="56">
        <v>0.6</v>
      </c>
      <c r="AA67" s="51">
        <f>$Y67*Z67</f>
        <v>0.6</v>
      </c>
      <c r="AB67" s="56">
        <v>0.6</v>
      </c>
      <c r="AC67" s="51">
        <f>Y67*AB67</f>
        <v>0.6</v>
      </c>
      <c r="AD67" s="56">
        <v>0.8</v>
      </c>
      <c r="AE67" s="51">
        <f>$Y67*AD67</f>
        <v>0.8</v>
      </c>
      <c r="AF67" s="56">
        <v>0.7</v>
      </c>
      <c r="AG67" s="51">
        <f t="shared" si="29"/>
        <v>0.7</v>
      </c>
      <c r="AH67" s="56">
        <v>0</v>
      </c>
      <c r="AI67" s="51">
        <f>$Y67*AH67</f>
        <v>0</v>
      </c>
      <c r="AJ67" s="56">
        <v>0</v>
      </c>
      <c r="AK67" s="51">
        <f>$Y$10*AJ67</f>
        <v>0</v>
      </c>
      <c r="AL67" s="56">
        <v>1</v>
      </c>
      <c r="AM67" s="51">
        <f>$Y67*AL67</f>
        <v>1</v>
      </c>
      <c r="AN67" s="56">
        <v>0.98</v>
      </c>
      <c r="AO67" s="51">
        <f t="shared" si="16"/>
        <v>0.98</v>
      </c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</row>
    <row r="68" spans="1:64" s="50" customFormat="1" ht="15" customHeight="1">
      <c r="A68" s="42" t="s">
        <v>534</v>
      </c>
      <c r="B68" s="241"/>
      <c r="C68" s="42"/>
      <c r="D68" s="42"/>
      <c r="E68" s="57" t="s">
        <v>535</v>
      </c>
      <c r="F68" s="38"/>
      <c r="G68" s="38"/>
      <c r="H68" s="38"/>
      <c r="I68" s="38"/>
      <c r="J68" s="38"/>
      <c r="K68" s="37"/>
      <c r="L68" s="38" t="s">
        <v>97</v>
      </c>
      <c r="M68" s="236" t="s">
        <v>97</v>
      </c>
      <c r="N68" s="383" t="s">
        <v>34</v>
      </c>
      <c r="O68" s="383"/>
      <c r="P68" s="383">
        <v>0</v>
      </c>
      <c r="Q68" s="38" t="s">
        <v>98</v>
      </c>
      <c r="R68" s="40"/>
      <c r="S68" s="40"/>
      <c r="T68" s="40" t="str" cm="1">
        <f t="array" ref="T68">IF(A68&lt;&gt;"",_xlfn.XLOOKUP(_xlfn.XLOOKUP(TRUE,F68:O68&lt;&gt;"",F68:O68,"-",-1,-1),F68:O68,$F$6:$O$6,,,-1),"")</f>
        <v>Add8</v>
      </c>
      <c r="U68" s="40"/>
      <c r="V68" s="55"/>
      <c r="W68" s="55" t="s">
        <v>435</v>
      </c>
      <c r="X68" s="378" t="s">
        <v>474</v>
      </c>
      <c r="Y68" s="52">
        <v>1</v>
      </c>
      <c r="Z68" s="56">
        <v>0.6</v>
      </c>
      <c r="AA68" s="51">
        <f>$Y68*Z68</f>
        <v>0.6</v>
      </c>
      <c r="AB68" s="56">
        <v>0.6</v>
      </c>
      <c r="AC68" s="51">
        <f>Y68*AB68</f>
        <v>0.6</v>
      </c>
      <c r="AD68" s="56">
        <v>0.8</v>
      </c>
      <c r="AE68" s="51">
        <f>$Y68*AD68</f>
        <v>0.8</v>
      </c>
      <c r="AF68" s="56">
        <v>0.7</v>
      </c>
      <c r="AG68" s="51">
        <f t="shared" si="29"/>
        <v>0.7</v>
      </c>
      <c r="AH68" s="56">
        <v>0</v>
      </c>
      <c r="AI68" s="51">
        <f>$Y68*AH68</f>
        <v>0</v>
      </c>
      <c r="AJ68" s="56">
        <v>0</v>
      </c>
      <c r="AK68" s="51">
        <f>$Y$10*AJ68</f>
        <v>0</v>
      </c>
      <c r="AL68" s="56">
        <v>1</v>
      </c>
      <c r="AM68" s="51">
        <f>$Y68*AL68</f>
        <v>1</v>
      </c>
      <c r="AN68" s="56">
        <v>0.98</v>
      </c>
      <c r="AO68" s="51">
        <f t="shared" si="16"/>
        <v>0.98</v>
      </c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</row>
    <row r="69" spans="1:64" s="50" customFormat="1" ht="15" customHeight="1">
      <c r="A69" s="42"/>
      <c r="B69" s="241"/>
      <c r="C69" s="42"/>
      <c r="D69" s="42"/>
      <c r="E69" s="57"/>
      <c r="F69" s="38"/>
      <c r="G69" s="38"/>
      <c r="H69" s="38"/>
      <c r="I69" s="38"/>
      <c r="J69" s="38"/>
      <c r="K69" s="37"/>
      <c r="L69" s="38"/>
      <c r="M69" s="37"/>
      <c r="N69" s="383"/>
      <c r="O69" s="383"/>
      <c r="P69" s="383"/>
      <c r="Q69" s="38"/>
      <c r="R69" s="40"/>
      <c r="S69" s="40"/>
      <c r="T69" s="40" t="str" cm="1">
        <f t="array" ref="T69">IF(A69&lt;&gt;"",_xlfn.XLOOKUP(_xlfn.XLOOKUP(TRUE,F69:O69&lt;&gt;"",F69:O69,"-",-1,-1),F69:O69,$F$6:$O$6,,,-1),"")</f>
        <v/>
      </c>
      <c r="U69" s="40"/>
      <c r="V69" s="55"/>
      <c r="W69" s="55"/>
      <c r="X69" s="55"/>
      <c r="Y69" s="52"/>
      <c r="Z69" s="56"/>
      <c r="AA69" s="51"/>
      <c r="AB69" s="56"/>
      <c r="AC69" s="51"/>
      <c r="AD69" s="56"/>
      <c r="AE69" s="51"/>
      <c r="AF69" s="56"/>
      <c r="AG69" s="51"/>
      <c r="AH69" s="56"/>
      <c r="AI69" s="51"/>
      <c r="AJ69" s="56"/>
      <c r="AK69" s="51"/>
      <c r="AL69" s="56"/>
      <c r="AM69" s="51"/>
      <c r="AN69" s="56"/>
      <c r="AO69" s="51">
        <f>Y69*AN69</f>
        <v>0</v>
      </c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</row>
    <row r="70" spans="1:64" s="50" customFormat="1" ht="15" customHeight="1">
      <c r="A70" s="42" t="s">
        <v>536</v>
      </c>
      <c r="B70" s="241"/>
      <c r="C70" s="42"/>
      <c r="D70" s="42"/>
      <c r="E70" s="57" t="s">
        <v>537</v>
      </c>
      <c r="F70" s="38"/>
      <c r="G70" s="38"/>
      <c r="H70" s="38"/>
      <c r="I70" s="38"/>
      <c r="J70" s="38"/>
      <c r="K70" s="37"/>
      <c r="L70" s="38" t="s">
        <v>97</v>
      </c>
      <c r="M70" s="236" t="s">
        <v>97</v>
      </c>
      <c r="N70" s="383" t="s">
        <v>34</v>
      </c>
      <c r="O70" s="383"/>
      <c r="P70" s="383">
        <v>0</v>
      </c>
      <c r="Q70" s="38" t="s">
        <v>98</v>
      </c>
      <c r="R70" s="40"/>
      <c r="S70" s="40"/>
      <c r="T70" s="40" t="str" cm="1">
        <f t="array" ref="T70">IF(A70&lt;&gt;"",_xlfn.XLOOKUP(_xlfn.XLOOKUP(TRUE,F70:O70&lt;&gt;"",F70:O70,"-",-1,-1),F70:O70,$F$6:$O$6,,,-1),"")</f>
        <v>Add8</v>
      </c>
      <c r="U70" s="40"/>
      <c r="V70" s="55"/>
      <c r="W70" s="55" t="s">
        <v>435</v>
      </c>
      <c r="X70" s="378" t="s">
        <v>474</v>
      </c>
      <c r="Y70" s="52">
        <v>1</v>
      </c>
      <c r="Z70" s="56">
        <v>0.25</v>
      </c>
      <c r="AA70" s="51">
        <f t="shared" ref="AA70:AA97" si="31">$Y70*Z70</f>
        <v>0.25</v>
      </c>
      <c r="AB70" s="56">
        <v>0.3</v>
      </c>
      <c r="AC70" s="51">
        <f>Y70*AB70</f>
        <v>0.3</v>
      </c>
      <c r="AD70" s="56">
        <v>0.5</v>
      </c>
      <c r="AE70" s="51">
        <f>$Y70*AD70</f>
        <v>0.5</v>
      </c>
      <c r="AF70" s="56">
        <v>0.3</v>
      </c>
      <c r="AG70" s="51">
        <f t="shared" si="29"/>
        <v>0.3</v>
      </c>
      <c r="AH70" s="56">
        <v>0</v>
      </c>
      <c r="AI70" s="51">
        <f>$Y70*AH70</f>
        <v>0</v>
      </c>
      <c r="AJ70" s="56">
        <v>0</v>
      </c>
      <c r="AK70" s="51">
        <f>$Y$10*AJ70</f>
        <v>0</v>
      </c>
      <c r="AL70" s="56">
        <v>1</v>
      </c>
      <c r="AM70" s="51">
        <f>$Y70*AL70</f>
        <v>1</v>
      </c>
      <c r="AN70" s="56">
        <v>0.98</v>
      </c>
      <c r="AO70" s="51">
        <f t="shared" si="16"/>
        <v>0.98</v>
      </c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</row>
    <row r="71" spans="1:64" s="50" customFormat="1" ht="15" customHeight="1">
      <c r="A71" s="42" t="s">
        <v>538</v>
      </c>
      <c r="B71" s="241"/>
      <c r="C71" s="42"/>
      <c r="D71" s="42"/>
      <c r="E71" s="57" t="s">
        <v>539</v>
      </c>
      <c r="F71" s="38"/>
      <c r="G71" s="38"/>
      <c r="H71" s="38"/>
      <c r="I71" s="38"/>
      <c r="J71" s="38"/>
      <c r="K71" s="37"/>
      <c r="L71" s="38" t="s">
        <v>97</v>
      </c>
      <c r="M71" s="236" t="s">
        <v>97</v>
      </c>
      <c r="N71" s="383" t="s">
        <v>34</v>
      </c>
      <c r="O71" s="383"/>
      <c r="P71" s="383">
        <v>0</v>
      </c>
      <c r="Q71" s="38" t="s">
        <v>98</v>
      </c>
      <c r="R71" s="40"/>
      <c r="S71" s="40"/>
      <c r="T71" s="40" t="str" cm="1">
        <f t="array" ref="T71">IF(A71&lt;&gt;"",_xlfn.XLOOKUP(_xlfn.XLOOKUP(TRUE,F71:O71&lt;&gt;"",F71:O71,"-",-1,-1),F71:O71,$F$6:$O$6,,,-1),"")</f>
        <v>Add8</v>
      </c>
      <c r="U71" s="40"/>
      <c r="V71" s="55"/>
      <c r="W71" s="55" t="s">
        <v>435</v>
      </c>
      <c r="X71" s="378" t="s">
        <v>474</v>
      </c>
      <c r="Y71" s="52">
        <v>1</v>
      </c>
      <c r="Z71" s="56">
        <v>0.25</v>
      </c>
      <c r="AA71" s="51">
        <f t="shared" si="31"/>
        <v>0.25</v>
      </c>
      <c r="AB71" s="56">
        <v>0.3</v>
      </c>
      <c r="AC71" s="51">
        <f>Y71*AB71</f>
        <v>0.3</v>
      </c>
      <c r="AD71" s="56">
        <v>0.5</v>
      </c>
      <c r="AE71" s="51">
        <f>$Y71*AD71</f>
        <v>0.5</v>
      </c>
      <c r="AF71" s="56">
        <v>0.3</v>
      </c>
      <c r="AG71" s="51">
        <f t="shared" si="29"/>
        <v>0.3</v>
      </c>
      <c r="AH71" s="56">
        <v>0</v>
      </c>
      <c r="AI71" s="51">
        <f>$Y71*AH71</f>
        <v>0</v>
      </c>
      <c r="AJ71" s="56">
        <v>0</v>
      </c>
      <c r="AK71" s="51">
        <f>$Y$10*AJ71</f>
        <v>0</v>
      </c>
      <c r="AL71" s="56">
        <v>1</v>
      </c>
      <c r="AM71" s="51">
        <f>$Y71*AL71</f>
        <v>1</v>
      </c>
      <c r="AN71" s="56">
        <v>0.98</v>
      </c>
      <c r="AO71" s="51">
        <f t="shared" si="16"/>
        <v>0.98</v>
      </c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</row>
    <row r="72" spans="1:64" s="50" customFormat="1" ht="15" customHeight="1">
      <c r="A72" s="42"/>
      <c r="B72" s="241"/>
      <c r="C72" s="42"/>
      <c r="D72" s="42"/>
      <c r="E72" s="57"/>
      <c r="F72" s="38"/>
      <c r="G72" s="38"/>
      <c r="H72" s="38"/>
      <c r="I72" s="38"/>
      <c r="J72" s="38"/>
      <c r="K72" s="37"/>
      <c r="L72" s="38"/>
      <c r="M72" s="37"/>
      <c r="N72" s="383"/>
      <c r="O72" s="383"/>
      <c r="P72" s="383"/>
      <c r="Q72" s="38"/>
      <c r="R72" s="40"/>
      <c r="S72" s="40"/>
      <c r="T72" s="40" t="str" cm="1">
        <f t="array" ref="T72">IF(A72&lt;&gt;"",_xlfn.XLOOKUP(_xlfn.XLOOKUP(TRUE,F72:O72&lt;&gt;"",F72:O72,"-",-1,-1),F72:O72,$F$6:$O$6,,,-1),"")</f>
        <v/>
      </c>
      <c r="U72" s="40"/>
      <c r="V72" s="55"/>
      <c r="W72" s="55"/>
      <c r="X72" s="55"/>
      <c r="Y72" s="52"/>
      <c r="Z72" s="56"/>
      <c r="AA72" s="51">
        <f t="shared" si="31"/>
        <v>0</v>
      </c>
      <c r="AB72" s="56"/>
      <c r="AC72" s="51"/>
      <c r="AD72" s="56"/>
      <c r="AE72" s="51"/>
      <c r="AF72" s="56"/>
      <c r="AG72" s="51"/>
      <c r="AH72" s="56"/>
      <c r="AI72" s="51"/>
      <c r="AJ72" s="56"/>
      <c r="AK72" s="51"/>
      <c r="AL72" s="56"/>
      <c r="AM72" s="51"/>
      <c r="AN72" s="56"/>
      <c r="AO72" s="51">
        <f t="shared" si="16"/>
        <v>0</v>
      </c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</row>
    <row r="73" spans="1:64" s="50" customFormat="1" ht="15" customHeight="1">
      <c r="A73" s="42" t="s">
        <v>540</v>
      </c>
      <c r="B73" s="241" t="s">
        <v>94</v>
      </c>
      <c r="C73" s="42"/>
      <c r="D73" s="42"/>
      <c r="E73" s="57" t="s">
        <v>541</v>
      </c>
      <c r="F73" s="38"/>
      <c r="G73" s="236"/>
      <c r="H73" s="236"/>
      <c r="I73" s="236"/>
      <c r="J73" s="236"/>
      <c r="K73" s="38"/>
      <c r="L73" s="38" t="s">
        <v>97</v>
      </c>
      <c r="M73" s="38" t="s">
        <v>97</v>
      </c>
      <c r="N73" s="38" t="s">
        <v>34</v>
      </c>
      <c r="O73" s="38" t="s">
        <v>31</v>
      </c>
      <c r="P73" s="38">
        <v>0</v>
      </c>
      <c r="Q73" s="38" t="s">
        <v>98</v>
      </c>
      <c r="R73" s="40"/>
      <c r="S73" s="40"/>
      <c r="T73" s="40" t="str" cm="1">
        <f t="array" ref="T73">IF(A73&lt;&gt;"",_xlfn.XLOOKUP(_xlfn.XLOOKUP(TRUE,F73:O73&lt;&gt;"",F73:O73,"-",-1,-1),F73:O73,$F$6:$O$6,,,-1),"")</f>
        <v>Add9</v>
      </c>
      <c r="U73" s="40"/>
      <c r="V73" s="55"/>
      <c r="W73" s="55" t="s">
        <v>435</v>
      </c>
      <c r="X73" s="379" t="s">
        <v>542</v>
      </c>
      <c r="Y73" s="52">
        <v>1</v>
      </c>
      <c r="Z73" s="56">
        <v>0.4</v>
      </c>
      <c r="AA73" s="51">
        <f t="shared" si="31"/>
        <v>0.4</v>
      </c>
      <c r="AB73" s="56">
        <v>0.4</v>
      </c>
      <c r="AC73" s="51">
        <f t="shared" ref="AC73:AC75" si="32">Y73*AB73</f>
        <v>0.4</v>
      </c>
      <c r="AD73" s="56">
        <v>0.75</v>
      </c>
      <c r="AE73" s="51">
        <f t="shared" ref="AE73:AE75" si="33">$Y73*AD73</f>
        <v>0.75</v>
      </c>
      <c r="AF73" s="56">
        <v>0.75</v>
      </c>
      <c r="AG73" s="51">
        <f t="shared" si="29"/>
        <v>0.75</v>
      </c>
      <c r="AH73" s="56">
        <v>0</v>
      </c>
      <c r="AI73" s="51">
        <f t="shared" ref="AI73:AI75" si="34">$Y73*AH73</f>
        <v>0</v>
      </c>
      <c r="AJ73" s="56">
        <v>0</v>
      </c>
      <c r="AK73" s="51">
        <f t="shared" ref="AK73:AK75" si="35">$Y$10*AJ73</f>
        <v>0</v>
      </c>
      <c r="AL73" s="56">
        <v>1</v>
      </c>
      <c r="AM73" s="51">
        <f t="shared" ref="AM73:AM75" si="36">$Y73*AL73</f>
        <v>1</v>
      </c>
      <c r="AN73" s="56">
        <v>0.98</v>
      </c>
      <c r="AO73" s="51">
        <f t="shared" si="16"/>
        <v>0.98</v>
      </c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</row>
    <row r="74" spans="1:64" s="50" customFormat="1" ht="15" customHeight="1">
      <c r="A74" s="42" t="s">
        <v>543</v>
      </c>
      <c r="B74" s="241" t="s">
        <v>94</v>
      </c>
      <c r="C74" s="42"/>
      <c r="D74" s="42"/>
      <c r="E74" s="57" t="s">
        <v>544</v>
      </c>
      <c r="F74" s="38"/>
      <c r="G74" s="236"/>
      <c r="H74" s="236"/>
      <c r="I74" s="236"/>
      <c r="J74" s="236"/>
      <c r="K74" s="38"/>
      <c r="L74" s="38" t="s">
        <v>97</v>
      </c>
      <c r="M74" s="38" t="s">
        <v>97</v>
      </c>
      <c r="N74" s="38" t="s">
        <v>34</v>
      </c>
      <c r="O74" s="38" t="s">
        <v>31</v>
      </c>
      <c r="P74" s="38">
        <v>0</v>
      </c>
      <c r="Q74" s="38" t="s">
        <v>98</v>
      </c>
      <c r="R74" s="40"/>
      <c r="S74" s="40"/>
      <c r="T74" s="40" t="str" cm="1">
        <f t="array" ref="T74">IF(A74&lt;&gt;"",_xlfn.XLOOKUP(_xlfn.XLOOKUP(TRUE,F74:O74&lt;&gt;"",F74:O74,"-",-1,-1),F74:O74,$F$6:$O$6,,,-1),"")</f>
        <v>Add9</v>
      </c>
      <c r="U74" s="40"/>
      <c r="V74" s="55"/>
      <c r="W74" s="55" t="s">
        <v>435</v>
      </c>
      <c r="X74" s="379" t="s">
        <v>542</v>
      </c>
      <c r="Y74" s="52">
        <v>1</v>
      </c>
      <c r="Z74" s="56">
        <v>0.4</v>
      </c>
      <c r="AA74" s="51">
        <f t="shared" si="31"/>
        <v>0.4</v>
      </c>
      <c r="AB74" s="56">
        <v>0.4</v>
      </c>
      <c r="AC74" s="51">
        <f t="shared" si="32"/>
        <v>0.4</v>
      </c>
      <c r="AD74" s="56">
        <v>0.75</v>
      </c>
      <c r="AE74" s="51">
        <f t="shared" si="33"/>
        <v>0.75</v>
      </c>
      <c r="AF74" s="56">
        <v>0.75</v>
      </c>
      <c r="AG74" s="51">
        <f t="shared" si="29"/>
        <v>0.75</v>
      </c>
      <c r="AH74" s="56">
        <v>0</v>
      </c>
      <c r="AI74" s="51">
        <f t="shared" si="34"/>
        <v>0</v>
      </c>
      <c r="AJ74" s="56">
        <v>0</v>
      </c>
      <c r="AK74" s="51">
        <f t="shared" si="35"/>
        <v>0</v>
      </c>
      <c r="AL74" s="56">
        <v>1</v>
      </c>
      <c r="AM74" s="51">
        <f t="shared" si="36"/>
        <v>1</v>
      </c>
      <c r="AN74" s="56">
        <v>0.98</v>
      </c>
      <c r="AO74" s="51">
        <f t="shared" si="16"/>
        <v>0.98</v>
      </c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</row>
    <row r="75" spans="1:64" s="50" customFormat="1" ht="15" customHeight="1">
      <c r="A75" s="42" t="s">
        <v>545</v>
      </c>
      <c r="B75" s="241" t="s">
        <v>94</v>
      </c>
      <c r="C75" s="42"/>
      <c r="D75" s="42"/>
      <c r="E75" s="57" t="s">
        <v>546</v>
      </c>
      <c r="F75" s="38"/>
      <c r="G75" s="236"/>
      <c r="H75" s="236"/>
      <c r="I75" s="236"/>
      <c r="J75" s="236"/>
      <c r="K75" s="38"/>
      <c r="L75" s="38" t="s">
        <v>97</v>
      </c>
      <c r="M75" s="38" t="s">
        <v>97</v>
      </c>
      <c r="N75" s="38" t="s">
        <v>34</v>
      </c>
      <c r="O75" s="38" t="s">
        <v>31</v>
      </c>
      <c r="P75" s="38">
        <v>0</v>
      </c>
      <c r="Q75" s="38" t="s">
        <v>98</v>
      </c>
      <c r="R75" s="40"/>
      <c r="S75" s="40"/>
      <c r="T75" s="40" t="str" cm="1">
        <f t="array" ref="T75">IF(A75&lt;&gt;"",_xlfn.XLOOKUP(_xlfn.XLOOKUP(TRUE,F75:O75&lt;&gt;"",F75:O75,"-",-1,-1),F75:O75,$F$6:$O$6,,,-1),"")</f>
        <v>Add9</v>
      </c>
      <c r="U75" s="40"/>
      <c r="V75" s="55"/>
      <c r="W75" s="55" t="s">
        <v>435</v>
      </c>
      <c r="X75" s="379" t="s">
        <v>542</v>
      </c>
      <c r="Y75" s="52">
        <v>1</v>
      </c>
      <c r="Z75" s="56">
        <v>0.4</v>
      </c>
      <c r="AA75" s="51">
        <f t="shared" si="31"/>
        <v>0.4</v>
      </c>
      <c r="AB75" s="56">
        <v>0.4</v>
      </c>
      <c r="AC75" s="51">
        <f t="shared" si="32"/>
        <v>0.4</v>
      </c>
      <c r="AD75" s="56">
        <v>0.75</v>
      </c>
      <c r="AE75" s="51">
        <f t="shared" si="33"/>
        <v>0.75</v>
      </c>
      <c r="AF75" s="56">
        <v>0.75</v>
      </c>
      <c r="AG75" s="51">
        <f t="shared" si="29"/>
        <v>0.75</v>
      </c>
      <c r="AH75" s="56">
        <v>0</v>
      </c>
      <c r="AI75" s="51">
        <f t="shared" si="34"/>
        <v>0</v>
      </c>
      <c r="AJ75" s="56">
        <v>0</v>
      </c>
      <c r="AK75" s="51">
        <f t="shared" si="35"/>
        <v>0</v>
      </c>
      <c r="AL75" s="56">
        <v>1</v>
      </c>
      <c r="AM75" s="51">
        <f t="shared" si="36"/>
        <v>1</v>
      </c>
      <c r="AN75" s="56">
        <v>0.98</v>
      </c>
      <c r="AO75" s="51">
        <f t="shared" si="16"/>
        <v>0.98</v>
      </c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</row>
    <row r="76" spans="1:64" s="50" customFormat="1" ht="15" customHeight="1">
      <c r="A76" s="42"/>
      <c r="B76" s="241"/>
      <c r="C76" s="42"/>
      <c r="D76" s="42"/>
      <c r="E76" s="57"/>
      <c r="F76" s="38"/>
      <c r="G76" s="38"/>
      <c r="H76" s="38"/>
      <c r="I76" s="38"/>
      <c r="J76" s="38"/>
      <c r="K76" s="38"/>
      <c r="L76" s="38"/>
      <c r="M76" s="383"/>
      <c r="N76" s="38"/>
      <c r="O76" s="38"/>
      <c r="P76" s="38"/>
      <c r="Q76" s="38"/>
      <c r="R76" s="40"/>
      <c r="S76" s="40"/>
      <c r="T76" s="40" t="str" cm="1">
        <f t="array" ref="T76">IF(A76&lt;&gt;"",_xlfn.XLOOKUP(_xlfn.XLOOKUP(TRUE,F76:O76&lt;&gt;"",F76:O76,"-",-1,-1),F76:O76,$F$6:$O$6,,,-1),"")</f>
        <v/>
      </c>
      <c r="U76" s="40"/>
      <c r="V76" s="55"/>
      <c r="W76" s="55"/>
      <c r="X76" s="55"/>
      <c r="Y76" s="52"/>
      <c r="Z76" s="56"/>
      <c r="AA76" s="51">
        <f t="shared" si="31"/>
        <v>0</v>
      </c>
      <c r="AB76" s="56"/>
      <c r="AC76" s="51"/>
      <c r="AD76" s="56"/>
      <c r="AE76" s="51"/>
      <c r="AF76" s="56"/>
      <c r="AG76" s="51"/>
      <c r="AH76" s="56"/>
      <c r="AI76" s="51"/>
      <c r="AJ76" s="56"/>
      <c r="AK76" s="51"/>
      <c r="AL76" s="56"/>
      <c r="AM76" s="51"/>
      <c r="AN76" s="56"/>
      <c r="AO76" s="51">
        <f t="shared" si="16"/>
        <v>0</v>
      </c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</row>
    <row r="77" spans="1:64" s="50" customFormat="1" ht="15" customHeight="1">
      <c r="A77" s="42" t="s">
        <v>547</v>
      </c>
      <c r="B77" s="241" t="s">
        <v>94</v>
      </c>
      <c r="C77" s="42"/>
      <c r="D77" s="42"/>
      <c r="E77" s="57" t="s">
        <v>548</v>
      </c>
      <c r="F77" s="38"/>
      <c r="G77" s="38"/>
      <c r="H77" s="38"/>
      <c r="I77" s="38"/>
      <c r="J77" s="38"/>
      <c r="K77" s="38"/>
      <c r="L77" s="38"/>
      <c r="M77" s="38"/>
      <c r="N77" s="309"/>
      <c r="O77" s="309" t="s">
        <v>97</v>
      </c>
      <c r="P77" s="38">
        <v>0</v>
      </c>
      <c r="Q77" s="38" t="s">
        <v>98</v>
      </c>
      <c r="R77" s="40"/>
      <c r="S77" s="40" t="s">
        <v>549</v>
      </c>
      <c r="T77" s="40" t="str" cm="1">
        <f t="array" ref="T77">IF(A77&lt;&gt;"",_xlfn.XLOOKUP(_xlfn.XLOOKUP(TRUE,F77:O77&lt;&gt;"",F77:O77,"-",-1,-1),F77:O77,$F$6:$O$6,,,-1),"")</f>
        <v>Add9</v>
      </c>
      <c r="U77" s="40"/>
      <c r="V77" s="55"/>
      <c r="W77" s="55" t="s">
        <v>435</v>
      </c>
      <c r="X77" s="379" t="s">
        <v>542</v>
      </c>
      <c r="Y77" s="52">
        <v>1</v>
      </c>
      <c r="Z77" s="56">
        <v>0</v>
      </c>
      <c r="AA77" s="51">
        <f t="shared" si="31"/>
        <v>0</v>
      </c>
      <c r="AB77" s="56">
        <v>0</v>
      </c>
      <c r="AC77" s="51">
        <f t="shared" ref="AC77:AC83" si="37">Y77*AB77</f>
        <v>0</v>
      </c>
      <c r="AD77" s="56">
        <v>0.4</v>
      </c>
      <c r="AE77" s="51">
        <f t="shared" ref="AE77:AE83" si="38">$Y77*AD77</f>
        <v>0.4</v>
      </c>
      <c r="AF77" s="56">
        <v>0</v>
      </c>
      <c r="AG77" s="51">
        <f t="shared" si="29"/>
        <v>0</v>
      </c>
      <c r="AH77" s="56">
        <v>0</v>
      </c>
      <c r="AI77" s="51">
        <f t="shared" ref="AI77:AI83" si="39">$Y77*AH77</f>
        <v>0</v>
      </c>
      <c r="AJ77" s="56">
        <v>0</v>
      </c>
      <c r="AK77" s="51">
        <f t="shared" ref="AK77:AK83" si="40">$Y$10*AJ77</f>
        <v>0</v>
      </c>
      <c r="AL77" s="56">
        <v>1</v>
      </c>
      <c r="AM77" s="51">
        <f t="shared" ref="AM77:AM83" si="41">$Y77*AL77</f>
        <v>1</v>
      </c>
      <c r="AN77" s="56">
        <v>0.95</v>
      </c>
      <c r="AO77" s="51">
        <f t="shared" si="16"/>
        <v>0.95</v>
      </c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</row>
    <row r="78" spans="1:64" s="50" customFormat="1" ht="15" customHeight="1">
      <c r="A78" s="42" t="s">
        <v>550</v>
      </c>
      <c r="B78" s="241" t="s">
        <v>94</v>
      </c>
      <c r="C78" s="42"/>
      <c r="D78" s="42"/>
      <c r="E78" s="57" t="s">
        <v>551</v>
      </c>
      <c r="F78" s="38"/>
      <c r="G78" s="38"/>
      <c r="H78" s="38"/>
      <c r="I78" s="38"/>
      <c r="J78" s="38"/>
      <c r="K78" s="38"/>
      <c r="L78" s="38"/>
      <c r="M78" s="38"/>
      <c r="N78" s="309"/>
      <c r="O78" s="309" t="s">
        <v>97</v>
      </c>
      <c r="P78" s="38">
        <v>0</v>
      </c>
      <c r="Q78" s="38" t="s">
        <v>98</v>
      </c>
      <c r="R78" s="40"/>
      <c r="S78" s="40" t="s">
        <v>549</v>
      </c>
      <c r="T78" s="40" t="str" cm="1">
        <f t="array" ref="T78">IF(A78&lt;&gt;"",_xlfn.XLOOKUP(_xlfn.XLOOKUP(TRUE,F78:O78&lt;&gt;"",F78:O78,"-",-1,-1),F78:O78,$F$6:$O$6,,,-1),"")</f>
        <v>Add9</v>
      </c>
      <c r="U78" s="40"/>
      <c r="V78" s="55"/>
      <c r="W78" s="55" t="s">
        <v>435</v>
      </c>
      <c r="X78" s="379" t="s">
        <v>542</v>
      </c>
      <c r="Y78" s="52">
        <v>1</v>
      </c>
      <c r="Z78" s="56">
        <v>0</v>
      </c>
      <c r="AA78" s="51">
        <f t="shared" ref="AA78:AA82" si="42">$Y78*Z78</f>
        <v>0</v>
      </c>
      <c r="AB78" s="56">
        <v>0</v>
      </c>
      <c r="AC78" s="51">
        <f t="shared" si="37"/>
        <v>0</v>
      </c>
      <c r="AD78" s="56">
        <v>0.4</v>
      </c>
      <c r="AE78" s="51">
        <f t="shared" si="38"/>
        <v>0.4</v>
      </c>
      <c r="AF78" s="56">
        <v>0</v>
      </c>
      <c r="AG78" s="51">
        <f t="shared" ref="AG78:AG82" si="43">Y78*AF78</f>
        <v>0</v>
      </c>
      <c r="AH78" s="56">
        <v>0</v>
      </c>
      <c r="AI78" s="51">
        <f t="shared" si="39"/>
        <v>0</v>
      </c>
      <c r="AJ78" s="56">
        <v>0</v>
      </c>
      <c r="AK78" s="51">
        <f t="shared" si="40"/>
        <v>0</v>
      </c>
      <c r="AL78" s="56">
        <v>1</v>
      </c>
      <c r="AM78" s="51">
        <f t="shared" si="41"/>
        <v>1</v>
      </c>
      <c r="AN78" s="56">
        <v>0.95</v>
      </c>
      <c r="AO78" s="51">
        <f t="shared" ref="AO78:AO82" si="44">Y78*AN78</f>
        <v>0.95</v>
      </c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</row>
    <row r="79" spans="1:64" s="50" customFormat="1" ht="15" customHeight="1">
      <c r="A79" s="42" t="s">
        <v>552</v>
      </c>
      <c r="B79" s="241" t="s">
        <v>94</v>
      </c>
      <c r="C79" s="42"/>
      <c r="D79" s="42"/>
      <c r="E79" s="57" t="s">
        <v>553</v>
      </c>
      <c r="F79" s="38"/>
      <c r="G79" s="38"/>
      <c r="H79" s="38"/>
      <c r="I79" s="38"/>
      <c r="J79" s="38"/>
      <c r="K79" s="38"/>
      <c r="L79" s="38"/>
      <c r="M79" s="38"/>
      <c r="N79" s="309"/>
      <c r="O79" s="309" t="s">
        <v>97</v>
      </c>
      <c r="P79" s="38">
        <v>0</v>
      </c>
      <c r="Q79" s="38" t="s">
        <v>98</v>
      </c>
      <c r="R79" s="40"/>
      <c r="S79" s="40" t="s">
        <v>549</v>
      </c>
      <c r="T79" s="40" t="str" cm="1">
        <f t="array" ref="T79">IF(A79&lt;&gt;"",_xlfn.XLOOKUP(_xlfn.XLOOKUP(TRUE,F79:O79&lt;&gt;"",F79:O79,"-",-1,-1),F79:O79,$F$6:$O$6,,,-1),"")</f>
        <v>Add9</v>
      </c>
      <c r="U79" s="40"/>
      <c r="V79" s="55"/>
      <c r="W79" s="55" t="s">
        <v>435</v>
      </c>
      <c r="X79" s="379" t="s">
        <v>542</v>
      </c>
      <c r="Y79" s="52">
        <v>1</v>
      </c>
      <c r="Z79" s="56">
        <v>0</v>
      </c>
      <c r="AA79" s="51">
        <f t="shared" si="42"/>
        <v>0</v>
      </c>
      <c r="AB79" s="56">
        <v>0</v>
      </c>
      <c r="AC79" s="51">
        <f t="shared" si="37"/>
        <v>0</v>
      </c>
      <c r="AD79" s="56">
        <v>0.4</v>
      </c>
      <c r="AE79" s="51">
        <f t="shared" si="38"/>
        <v>0.4</v>
      </c>
      <c r="AF79" s="56">
        <v>0</v>
      </c>
      <c r="AG79" s="51">
        <f t="shared" si="43"/>
        <v>0</v>
      </c>
      <c r="AH79" s="56">
        <v>0</v>
      </c>
      <c r="AI79" s="51">
        <f t="shared" si="39"/>
        <v>0</v>
      </c>
      <c r="AJ79" s="56">
        <v>0</v>
      </c>
      <c r="AK79" s="51">
        <f t="shared" si="40"/>
        <v>0</v>
      </c>
      <c r="AL79" s="56">
        <v>1</v>
      </c>
      <c r="AM79" s="51">
        <f t="shared" si="41"/>
        <v>1</v>
      </c>
      <c r="AN79" s="56">
        <v>0.95</v>
      </c>
      <c r="AO79" s="51">
        <f t="shared" si="44"/>
        <v>0.95</v>
      </c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</row>
    <row r="80" spans="1:64" s="50" customFormat="1" ht="15" customHeight="1">
      <c r="A80" s="42" t="s">
        <v>554</v>
      </c>
      <c r="B80" s="241" t="s">
        <v>94</v>
      </c>
      <c r="C80" s="42"/>
      <c r="D80" s="42"/>
      <c r="E80" s="57" t="s">
        <v>555</v>
      </c>
      <c r="F80" s="38"/>
      <c r="G80" s="38"/>
      <c r="H80" s="38"/>
      <c r="I80" s="38"/>
      <c r="J80" s="38"/>
      <c r="K80" s="38"/>
      <c r="L80" s="38"/>
      <c r="M80" s="38"/>
      <c r="N80" s="309"/>
      <c r="O80" s="309" t="s">
        <v>97</v>
      </c>
      <c r="P80" s="38">
        <v>0</v>
      </c>
      <c r="Q80" s="38" t="s">
        <v>98</v>
      </c>
      <c r="R80" s="40"/>
      <c r="S80" s="40" t="s">
        <v>549</v>
      </c>
      <c r="T80" s="40" t="str" cm="1">
        <f t="array" ref="T80">IF(A80&lt;&gt;"",_xlfn.XLOOKUP(_xlfn.XLOOKUP(TRUE,F80:O80&lt;&gt;"",F80:O80,"-",-1,-1),F80:O80,$F$6:$O$6,,,-1),"")</f>
        <v>Add9</v>
      </c>
      <c r="U80" s="40"/>
      <c r="V80" s="55"/>
      <c r="W80" s="55" t="s">
        <v>435</v>
      </c>
      <c r="X80" s="379" t="s">
        <v>542</v>
      </c>
      <c r="Y80" s="52">
        <v>1</v>
      </c>
      <c r="Z80" s="56">
        <v>0</v>
      </c>
      <c r="AA80" s="51">
        <f t="shared" si="42"/>
        <v>0</v>
      </c>
      <c r="AB80" s="56">
        <v>0</v>
      </c>
      <c r="AC80" s="51">
        <f t="shared" si="37"/>
        <v>0</v>
      </c>
      <c r="AD80" s="56">
        <v>0.4</v>
      </c>
      <c r="AE80" s="51">
        <f t="shared" si="38"/>
        <v>0.4</v>
      </c>
      <c r="AF80" s="56">
        <v>0</v>
      </c>
      <c r="AG80" s="51">
        <f t="shared" si="43"/>
        <v>0</v>
      </c>
      <c r="AH80" s="56">
        <v>0</v>
      </c>
      <c r="AI80" s="51">
        <f t="shared" si="39"/>
        <v>0</v>
      </c>
      <c r="AJ80" s="56">
        <v>0</v>
      </c>
      <c r="AK80" s="51">
        <f t="shared" si="40"/>
        <v>0</v>
      </c>
      <c r="AL80" s="56">
        <v>1</v>
      </c>
      <c r="AM80" s="51">
        <f t="shared" si="41"/>
        <v>1</v>
      </c>
      <c r="AN80" s="56">
        <v>0.95</v>
      </c>
      <c r="AO80" s="51">
        <f t="shared" si="44"/>
        <v>0.95</v>
      </c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</row>
    <row r="81" spans="1:64" s="50" customFormat="1" ht="15" customHeight="1">
      <c r="A81" s="42" t="s">
        <v>556</v>
      </c>
      <c r="B81" s="241" t="s">
        <v>94</v>
      </c>
      <c r="C81" s="42"/>
      <c r="D81" s="42"/>
      <c r="E81" s="57" t="s">
        <v>557</v>
      </c>
      <c r="F81" s="38"/>
      <c r="G81" s="38"/>
      <c r="H81" s="38"/>
      <c r="I81" s="38"/>
      <c r="J81" s="38"/>
      <c r="K81" s="38"/>
      <c r="L81" s="38"/>
      <c r="M81" s="38"/>
      <c r="N81" s="309"/>
      <c r="O81" s="309" t="s">
        <v>97</v>
      </c>
      <c r="P81" s="38">
        <v>0</v>
      </c>
      <c r="Q81" s="38" t="s">
        <v>98</v>
      </c>
      <c r="R81" s="40"/>
      <c r="S81" s="40" t="s">
        <v>549</v>
      </c>
      <c r="T81" s="40" t="str" cm="1">
        <f t="array" ref="T81">IF(A81&lt;&gt;"",_xlfn.XLOOKUP(_xlfn.XLOOKUP(TRUE,F81:O81&lt;&gt;"",F81:O81,"-",-1,-1),F81:O81,$F$6:$O$6,,,-1),"")</f>
        <v>Add9</v>
      </c>
      <c r="U81" s="40"/>
      <c r="V81" s="55"/>
      <c r="W81" s="55" t="s">
        <v>435</v>
      </c>
      <c r="X81" s="379" t="s">
        <v>542</v>
      </c>
      <c r="Y81" s="52">
        <v>1</v>
      </c>
      <c r="Z81" s="56">
        <v>0</v>
      </c>
      <c r="AA81" s="51">
        <f t="shared" si="42"/>
        <v>0</v>
      </c>
      <c r="AB81" s="56">
        <v>0</v>
      </c>
      <c r="AC81" s="51">
        <f t="shared" si="37"/>
        <v>0</v>
      </c>
      <c r="AD81" s="56">
        <v>0.4</v>
      </c>
      <c r="AE81" s="51">
        <f t="shared" si="38"/>
        <v>0.4</v>
      </c>
      <c r="AF81" s="56">
        <v>0</v>
      </c>
      <c r="AG81" s="51">
        <f t="shared" si="43"/>
        <v>0</v>
      </c>
      <c r="AH81" s="56">
        <v>0</v>
      </c>
      <c r="AI81" s="51">
        <f t="shared" si="39"/>
        <v>0</v>
      </c>
      <c r="AJ81" s="56">
        <v>0</v>
      </c>
      <c r="AK81" s="51">
        <f t="shared" si="40"/>
        <v>0</v>
      </c>
      <c r="AL81" s="56">
        <v>1</v>
      </c>
      <c r="AM81" s="51">
        <f t="shared" si="41"/>
        <v>1</v>
      </c>
      <c r="AN81" s="56">
        <v>0.95</v>
      </c>
      <c r="AO81" s="51">
        <f t="shared" si="44"/>
        <v>0.95</v>
      </c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</row>
    <row r="82" spans="1:64" s="50" customFormat="1" ht="15" customHeight="1">
      <c r="A82" s="42" t="s">
        <v>558</v>
      </c>
      <c r="B82" s="241" t="s">
        <v>94</v>
      </c>
      <c r="C82" s="42"/>
      <c r="D82" s="42"/>
      <c r="E82" s="57" t="s">
        <v>559</v>
      </c>
      <c r="F82" s="38"/>
      <c r="G82" s="38"/>
      <c r="H82" s="38"/>
      <c r="I82" s="38"/>
      <c r="J82" s="38"/>
      <c r="K82" s="38"/>
      <c r="L82" s="38"/>
      <c r="M82" s="38"/>
      <c r="N82" s="309"/>
      <c r="O82" s="309" t="s">
        <v>97</v>
      </c>
      <c r="P82" s="38">
        <v>0</v>
      </c>
      <c r="Q82" s="38" t="s">
        <v>98</v>
      </c>
      <c r="R82" s="40"/>
      <c r="S82" s="40" t="s">
        <v>549</v>
      </c>
      <c r="T82" s="40" t="str" cm="1">
        <f t="array" ref="T82">IF(A82&lt;&gt;"",_xlfn.XLOOKUP(_xlfn.XLOOKUP(TRUE,F82:O82&lt;&gt;"",F82:O82,"-",-1,-1),F82:O82,$F$6:$O$6,,,-1),"")</f>
        <v>Add9</v>
      </c>
      <c r="U82" s="40"/>
      <c r="V82" s="55"/>
      <c r="W82" s="55" t="s">
        <v>435</v>
      </c>
      <c r="X82" s="379" t="s">
        <v>542</v>
      </c>
      <c r="Y82" s="52">
        <v>1</v>
      </c>
      <c r="Z82" s="56">
        <v>0</v>
      </c>
      <c r="AA82" s="51">
        <f t="shared" si="42"/>
        <v>0</v>
      </c>
      <c r="AB82" s="56">
        <v>0</v>
      </c>
      <c r="AC82" s="51">
        <f t="shared" si="37"/>
        <v>0</v>
      </c>
      <c r="AD82" s="56">
        <v>0.4</v>
      </c>
      <c r="AE82" s="51">
        <f t="shared" si="38"/>
        <v>0.4</v>
      </c>
      <c r="AF82" s="56">
        <v>0</v>
      </c>
      <c r="AG82" s="51">
        <f t="shared" si="43"/>
        <v>0</v>
      </c>
      <c r="AH82" s="56">
        <v>0</v>
      </c>
      <c r="AI82" s="51">
        <f t="shared" si="39"/>
        <v>0</v>
      </c>
      <c r="AJ82" s="56">
        <v>0</v>
      </c>
      <c r="AK82" s="51">
        <f t="shared" si="40"/>
        <v>0</v>
      </c>
      <c r="AL82" s="56">
        <v>1</v>
      </c>
      <c r="AM82" s="51">
        <f t="shared" si="41"/>
        <v>1</v>
      </c>
      <c r="AN82" s="56">
        <v>0.95</v>
      </c>
      <c r="AO82" s="51">
        <f t="shared" si="44"/>
        <v>0.95</v>
      </c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 s="50" customFormat="1" ht="15" customHeight="1">
      <c r="A83" s="42" t="s">
        <v>560</v>
      </c>
      <c r="B83" s="241" t="s">
        <v>94</v>
      </c>
      <c r="C83" s="42"/>
      <c r="D83" s="42"/>
      <c r="E83" s="57" t="s">
        <v>561</v>
      </c>
      <c r="F83" s="38"/>
      <c r="G83" s="38"/>
      <c r="H83" s="38"/>
      <c r="I83" s="38"/>
      <c r="J83" s="38"/>
      <c r="K83" s="38"/>
      <c r="L83" s="38"/>
      <c r="M83" s="38"/>
      <c r="N83" s="309"/>
      <c r="O83" s="309" t="s">
        <v>97</v>
      </c>
      <c r="P83" s="38">
        <v>0</v>
      </c>
      <c r="Q83" s="38" t="s">
        <v>98</v>
      </c>
      <c r="R83" s="40"/>
      <c r="S83" s="40" t="s">
        <v>549</v>
      </c>
      <c r="T83" s="40" t="str" cm="1">
        <f t="array" ref="T83">IF(A83&lt;&gt;"",_xlfn.XLOOKUP(_xlfn.XLOOKUP(TRUE,F83:O83&lt;&gt;"",F83:O83,"-",-1,-1),F83:O83,$F$6:$O$6,,,-1),"")</f>
        <v>Add9</v>
      </c>
      <c r="U83" s="40"/>
      <c r="V83" s="55"/>
      <c r="W83" s="55" t="s">
        <v>435</v>
      </c>
      <c r="X83" s="379" t="s">
        <v>542</v>
      </c>
      <c r="Y83" s="52">
        <v>1</v>
      </c>
      <c r="Z83" s="56">
        <v>0</v>
      </c>
      <c r="AA83" s="51">
        <f t="shared" si="31"/>
        <v>0</v>
      </c>
      <c r="AB83" s="56">
        <v>0</v>
      </c>
      <c r="AC83" s="51">
        <f t="shared" si="37"/>
        <v>0</v>
      </c>
      <c r="AD83" s="56">
        <v>0.4</v>
      </c>
      <c r="AE83" s="51">
        <f t="shared" si="38"/>
        <v>0.4</v>
      </c>
      <c r="AF83" s="56">
        <v>0</v>
      </c>
      <c r="AG83" s="51">
        <f t="shared" si="29"/>
        <v>0</v>
      </c>
      <c r="AH83" s="56">
        <v>0</v>
      </c>
      <c r="AI83" s="51">
        <f t="shared" si="39"/>
        <v>0</v>
      </c>
      <c r="AJ83" s="56">
        <v>0</v>
      </c>
      <c r="AK83" s="51">
        <f t="shared" si="40"/>
        <v>0</v>
      </c>
      <c r="AL83" s="56">
        <v>1</v>
      </c>
      <c r="AM83" s="51">
        <f t="shared" si="41"/>
        <v>1</v>
      </c>
      <c r="AN83" s="56">
        <v>0.95</v>
      </c>
      <c r="AO83" s="51">
        <f t="shared" si="16"/>
        <v>0.95</v>
      </c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</row>
    <row r="84" spans="1:64" s="50" customFormat="1" ht="15" customHeight="1">
      <c r="A84" s="37"/>
      <c r="B84" s="37"/>
      <c r="C84" s="37"/>
      <c r="D84" s="37"/>
      <c r="E84" s="37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40"/>
      <c r="S84" s="40"/>
      <c r="T84" s="40" t="str" cm="1">
        <f t="array" ref="T84">IF(A84&lt;&gt;"",_xlfn.XLOOKUP(_xlfn.XLOOKUP(TRUE,F84:O84&lt;&gt;"",F84:O84,"-",-1,-1),F84:O84,$F$6:$O$6,,,-1),"")</f>
        <v/>
      </c>
      <c r="U84" s="40"/>
      <c r="V84" s="55"/>
      <c r="W84" s="55"/>
      <c r="X84" s="55"/>
      <c r="Y84" s="52"/>
      <c r="Z84" s="56"/>
      <c r="AA84" s="51">
        <f t="shared" si="31"/>
        <v>0</v>
      </c>
      <c r="AB84" s="56"/>
      <c r="AC84" s="51"/>
      <c r="AD84" s="56"/>
      <c r="AE84" s="51"/>
      <c r="AF84" s="56"/>
      <c r="AG84" s="51"/>
      <c r="AH84" s="56"/>
      <c r="AI84" s="51"/>
      <c r="AJ84" s="56"/>
      <c r="AK84" s="51"/>
      <c r="AL84" s="56"/>
      <c r="AM84" s="51"/>
      <c r="AN84" s="56"/>
      <c r="AO84" s="51">
        <f t="shared" si="16"/>
        <v>0</v>
      </c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</row>
    <row r="85" spans="1:64" s="50" customFormat="1" ht="15" customHeight="1">
      <c r="A85" s="42" t="s">
        <v>562</v>
      </c>
      <c r="B85" s="241" t="s">
        <v>94</v>
      </c>
      <c r="C85" s="42"/>
      <c r="D85" s="42"/>
      <c r="E85" s="57" t="s">
        <v>563</v>
      </c>
      <c r="F85" s="38"/>
      <c r="G85" s="38"/>
      <c r="H85" s="38"/>
      <c r="I85" s="38"/>
      <c r="J85" s="38"/>
      <c r="K85" s="38"/>
      <c r="L85" s="38" t="s">
        <v>97</v>
      </c>
      <c r="M85" s="38" t="s">
        <v>97</v>
      </c>
      <c r="N85" s="38"/>
      <c r="O85" s="38"/>
      <c r="P85" s="38">
        <v>0</v>
      </c>
      <c r="Q85" s="38" t="s">
        <v>98</v>
      </c>
      <c r="R85" s="40"/>
      <c r="S85" s="40"/>
      <c r="T85" s="40" t="str" cm="1">
        <f t="array" ref="T85">IF(A85&lt;&gt;"",_xlfn.XLOOKUP(_xlfn.XLOOKUP(TRUE,F85:O85&lt;&gt;"",F85:O85,"-",-1,-1),F85:O85,$F$6:$O$6,,,-1),"")</f>
        <v>Permit</v>
      </c>
      <c r="U85" s="40"/>
      <c r="V85" s="55"/>
      <c r="W85" s="55" t="s">
        <v>435</v>
      </c>
      <c r="X85" s="379" t="s">
        <v>542</v>
      </c>
      <c r="Y85" s="52">
        <v>1</v>
      </c>
      <c r="Z85" s="56">
        <v>0.5</v>
      </c>
      <c r="AA85" s="51">
        <f t="shared" si="31"/>
        <v>0.5</v>
      </c>
      <c r="AB85" s="56">
        <v>0.5</v>
      </c>
      <c r="AC85" s="51">
        <f>Y85*AB85</f>
        <v>0.5</v>
      </c>
      <c r="AD85" s="56">
        <v>0.75</v>
      </c>
      <c r="AE85" s="51">
        <f>$Y85*AD85</f>
        <v>0.75</v>
      </c>
      <c r="AF85" s="56">
        <v>0.75</v>
      </c>
      <c r="AG85" s="51">
        <f t="shared" si="29"/>
        <v>0.75</v>
      </c>
      <c r="AH85" s="56">
        <v>0</v>
      </c>
      <c r="AI85" s="51">
        <f>$Y85*AH85</f>
        <v>0</v>
      </c>
      <c r="AJ85" s="56">
        <v>0</v>
      </c>
      <c r="AK85" s="51">
        <f>$Y$10*AJ85</f>
        <v>0</v>
      </c>
      <c r="AL85" s="56">
        <v>1</v>
      </c>
      <c r="AM85" s="51">
        <f>$Y85*AL85</f>
        <v>1</v>
      </c>
      <c r="AN85" s="56">
        <v>1</v>
      </c>
      <c r="AO85" s="51">
        <f t="shared" si="16"/>
        <v>1</v>
      </c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</row>
    <row r="86" spans="1:64" s="50" customFormat="1" ht="15" customHeight="1">
      <c r="A86" s="42"/>
      <c r="B86" s="241"/>
      <c r="C86" s="42"/>
      <c r="D86" s="42"/>
      <c r="E86" s="389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40"/>
      <c r="S86" s="40"/>
      <c r="T86" s="40" t="str" cm="1">
        <f t="array" ref="T86">IF(A86&lt;&gt;"",_xlfn.XLOOKUP(_xlfn.XLOOKUP(TRUE,F86:O86&lt;&gt;"",F86:O86,"-",-1,-1),F86:O86,$F$6:$O$6,,,-1),"")</f>
        <v/>
      </c>
      <c r="U86" s="40"/>
      <c r="V86" s="55"/>
      <c r="W86" s="55"/>
      <c r="X86" s="55"/>
      <c r="Y86" s="52"/>
      <c r="Z86" s="56"/>
      <c r="AA86" s="51">
        <f t="shared" si="31"/>
        <v>0</v>
      </c>
      <c r="AB86" s="56"/>
      <c r="AC86" s="51"/>
      <c r="AD86" s="56"/>
      <c r="AE86" s="51"/>
      <c r="AF86" s="56"/>
      <c r="AG86" s="51"/>
      <c r="AH86" s="56"/>
      <c r="AI86" s="51"/>
      <c r="AJ86" s="56"/>
      <c r="AK86" s="51"/>
      <c r="AL86" s="56"/>
      <c r="AM86" s="51"/>
      <c r="AN86" s="56"/>
      <c r="AO86" s="51">
        <f t="shared" si="16"/>
        <v>0</v>
      </c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</row>
    <row r="87" spans="1:64" s="50" customFormat="1" ht="15" customHeight="1">
      <c r="A87" s="42" t="s">
        <v>564</v>
      </c>
      <c r="B87" s="241" t="s">
        <v>94</v>
      </c>
      <c r="C87" s="42"/>
      <c r="D87" s="42"/>
      <c r="E87" s="57" t="s">
        <v>565</v>
      </c>
      <c r="F87" s="38"/>
      <c r="G87" s="38"/>
      <c r="H87" s="38"/>
      <c r="I87" s="38"/>
      <c r="J87" s="38"/>
      <c r="K87" s="38"/>
      <c r="L87" s="38"/>
      <c r="M87" s="37"/>
      <c r="N87" s="38" t="s">
        <v>97</v>
      </c>
      <c r="O87" s="38"/>
      <c r="P87" s="38">
        <v>0</v>
      </c>
      <c r="Q87" s="38" t="s">
        <v>98</v>
      </c>
      <c r="R87" s="40"/>
      <c r="S87" s="40"/>
      <c r="T87" s="40" t="str" cm="1">
        <f t="array" ref="T87">IF(A87&lt;&gt;"",_xlfn.XLOOKUP(_xlfn.XLOOKUP(TRUE,F87:O87&lt;&gt;"",F87:O87,"-",-1,-1),F87:O87,$F$6:$O$6,,,-1),"")</f>
        <v>Add8</v>
      </c>
      <c r="U87" s="40"/>
      <c r="V87" s="55"/>
      <c r="W87" s="55" t="s">
        <v>435</v>
      </c>
      <c r="X87" s="55" t="s">
        <v>489</v>
      </c>
      <c r="Y87" s="52">
        <v>1</v>
      </c>
      <c r="Z87" s="56">
        <v>0.5</v>
      </c>
      <c r="AA87" s="51">
        <f t="shared" si="31"/>
        <v>0.5</v>
      </c>
      <c r="AB87" s="56">
        <v>0.5</v>
      </c>
      <c r="AC87" s="51">
        <f>Y87*AB87</f>
        <v>0.5</v>
      </c>
      <c r="AD87" s="56">
        <v>0.6</v>
      </c>
      <c r="AE87" s="51">
        <f>$Y87*AD87</f>
        <v>0.6</v>
      </c>
      <c r="AF87" s="56">
        <v>0.6</v>
      </c>
      <c r="AG87" s="51">
        <f t="shared" si="29"/>
        <v>0.6</v>
      </c>
      <c r="AH87" s="56">
        <v>0</v>
      </c>
      <c r="AI87" s="51">
        <f>$Y87*AH87</f>
        <v>0</v>
      </c>
      <c r="AJ87" s="56">
        <v>0</v>
      </c>
      <c r="AK87" s="51">
        <f>$Y$10*AJ87</f>
        <v>0</v>
      </c>
      <c r="AL87" s="56">
        <v>1</v>
      </c>
      <c r="AM87" s="51">
        <f>$Y87*AL87</f>
        <v>1</v>
      </c>
      <c r="AN87" s="56">
        <v>0.98</v>
      </c>
      <c r="AO87" s="51">
        <f t="shared" si="16"/>
        <v>0.98</v>
      </c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</row>
    <row r="88" spans="1:64" s="50" customFormat="1" ht="15" customHeight="1">
      <c r="A88" s="42" t="s">
        <v>566</v>
      </c>
      <c r="B88" s="241" t="s">
        <v>94</v>
      </c>
      <c r="C88" s="42"/>
      <c r="D88" s="42"/>
      <c r="E88" s="57" t="s">
        <v>567</v>
      </c>
      <c r="F88" s="38"/>
      <c r="G88" s="38"/>
      <c r="H88" s="38"/>
      <c r="I88" s="38"/>
      <c r="J88" s="38"/>
      <c r="K88" s="38"/>
      <c r="L88" s="38"/>
      <c r="M88" s="37"/>
      <c r="N88" s="38" t="s">
        <v>97</v>
      </c>
      <c r="O88" s="38"/>
      <c r="P88" s="38">
        <v>0</v>
      </c>
      <c r="Q88" s="38" t="s">
        <v>98</v>
      </c>
      <c r="R88" s="40"/>
      <c r="S88" s="40"/>
      <c r="T88" s="40" t="str" cm="1">
        <f t="array" ref="T88">IF(A88&lt;&gt;"",_xlfn.XLOOKUP(_xlfn.XLOOKUP(TRUE,F88:O88&lt;&gt;"",F88:O88,"-",-1,-1),F88:O88,$F$6:$O$6,,,-1),"")</f>
        <v>Add8</v>
      </c>
      <c r="U88" s="40"/>
      <c r="V88" s="55"/>
      <c r="W88" s="55" t="s">
        <v>435</v>
      </c>
      <c r="X88" s="55" t="s">
        <v>489</v>
      </c>
      <c r="Y88" s="52">
        <v>1</v>
      </c>
      <c r="Z88" s="56">
        <v>0.5</v>
      </c>
      <c r="AA88" s="51">
        <f t="shared" si="31"/>
        <v>0.5</v>
      </c>
      <c r="AB88" s="56">
        <v>0.5</v>
      </c>
      <c r="AC88" s="51">
        <f>Y88*AB88</f>
        <v>0.5</v>
      </c>
      <c r="AD88" s="56">
        <v>0.6</v>
      </c>
      <c r="AE88" s="51">
        <f>$Y88*AD88</f>
        <v>0.6</v>
      </c>
      <c r="AF88" s="56">
        <v>0.6</v>
      </c>
      <c r="AG88" s="51">
        <f t="shared" si="29"/>
        <v>0.6</v>
      </c>
      <c r="AH88" s="56">
        <v>0</v>
      </c>
      <c r="AI88" s="51">
        <f>$Y88*AH88</f>
        <v>0</v>
      </c>
      <c r="AJ88" s="56">
        <v>0</v>
      </c>
      <c r="AK88" s="51">
        <f>$Y$10*AJ88</f>
        <v>0</v>
      </c>
      <c r="AL88" s="56">
        <v>1</v>
      </c>
      <c r="AM88" s="51">
        <f>$Y88*AL88</f>
        <v>1</v>
      </c>
      <c r="AN88" s="56">
        <v>0.98</v>
      </c>
      <c r="AO88" s="51">
        <f t="shared" si="16"/>
        <v>0.98</v>
      </c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</row>
    <row r="89" spans="1:64" s="50" customFormat="1" ht="15" customHeight="1">
      <c r="A89" s="42"/>
      <c r="B89" s="241"/>
      <c r="C89" s="42"/>
      <c r="D89" s="42"/>
      <c r="E89" s="57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40"/>
      <c r="S89" s="40"/>
      <c r="T89" s="40" t="str" cm="1">
        <f t="array" ref="T89">IF(A89&lt;&gt;"",_xlfn.XLOOKUP(_xlfn.XLOOKUP(TRUE,F89:O89&lt;&gt;"",F89:O89,"-",-1,-1),F89:O89,$F$6:$O$6,,,-1),"")</f>
        <v/>
      </c>
      <c r="U89" s="40"/>
      <c r="V89" s="55"/>
      <c r="W89" s="55"/>
      <c r="X89" s="55"/>
      <c r="Y89" s="52"/>
      <c r="Z89" s="56"/>
      <c r="AA89" s="51">
        <f t="shared" si="31"/>
        <v>0</v>
      </c>
      <c r="AB89" s="56"/>
      <c r="AC89" s="51"/>
      <c r="AD89" s="56"/>
      <c r="AE89" s="51"/>
      <c r="AF89" s="56"/>
      <c r="AG89" s="51"/>
      <c r="AH89" s="56"/>
      <c r="AI89" s="51"/>
      <c r="AJ89" s="56"/>
      <c r="AK89" s="51"/>
      <c r="AL89" s="56"/>
      <c r="AM89" s="51"/>
      <c r="AN89" s="56"/>
      <c r="AO89" s="51">
        <f t="shared" si="16"/>
        <v>0</v>
      </c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</row>
    <row r="90" spans="1:64" s="50" customFormat="1" ht="15" customHeight="1">
      <c r="A90" s="42" t="s">
        <v>568</v>
      </c>
      <c r="B90" s="241" t="s">
        <v>94</v>
      </c>
      <c r="C90" s="42"/>
      <c r="D90" s="42"/>
      <c r="E90" s="57" t="s">
        <v>569</v>
      </c>
      <c r="F90" s="37"/>
      <c r="G90" s="38"/>
      <c r="H90" s="38"/>
      <c r="I90" s="38"/>
      <c r="J90" s="38"/>
      <c r="K90" s="38"/>
      <c r="L90" s="38" t="s">
        <v>97</v>
      </c>
      <c r="M90" s="38" t="s">
        <v>97</v>
      </c>
      <c r="N90" s="38" t="s">
        <v>34</v>
      </c>
      <c r="O90" s="38"/>
      <c r="P90" s="38">
        <v>0</v>
      </c>
      <c r="Q90" s="38" t="s">
        <v>98</v>
      </c>
      <c r="R90" s="40"/>
      <c r="S90" s="40"/>
      <c r="T90" s="40" t="str" cm="1">
        <f t="array" ref="T90">IF(A90&lt;&gt;"",_xlfn.XLOOKUP(_xlfn.XLOOKUP(TRUE,F90:O90&lt;&gt;"",F90:O90,"-",-1,-1),F90:O90,$F$6:$O$6,,,-1),"")</f>
        <v>Add8</v>
      </c>
      <c r="U90" s="40"/>
      <c r="V90" s="55"/>
      <c r="W90" s="55" t="s">
        <v>435</v>
      </c>
      <c r="X90" s="377" t="s">
        <v>436</v>
      </c>
      <c r="Y90" s="52">
        <v>1</v>
      </c>
      <c r="Z90" s="56">
        <v>0.2</v>
      </c>
      <c r="AA90" s="51">
        <f t="shared" si="31"/>
        <v>0.2</v>
      </c>
      <c r="AB90" s="56">
        <v>0.25</v>
      </c>
      <c r="AC90" s="51">
        <f>Y90*AB90</f>
        <v>0.25</v>
      </c>
      <c r="AD90" s="56">
        <v>0.7</v>
      </c>
      <c r="AE90" s="51">
        <f>$Y90*AD90</f>
        <v>0.7</v>
      </c>
      <c r="AF90" s="56">
        <v>0.6</v>
      </c>
      <c r="AG90" s="51">
        <f t="shared" si="29"/>
        <v>0.6</v>
      </c>
      <c r="AH90" s="56">
        <v>0</v>
      </c>
      <c r="AI90" s="51">
        <f>$Y90*AH90</f>
        <v>0</v>
      </c>
      <c r="AJ90" s="56">
        <v>0</v>
      </c>
      <c r="AK90" s="51">
        <f>$Y$10*AJ90</f>
        <v>0</v>
      </c>
      <c r="AL90" s="56">
        <v>1</v>
      </c>
      <c r="AM90" s="51">
        <f>$Y90*AL90</f>
        <v>1</v>
      </c>
      <c r="AN90" s="56">
        <v>0.98</v>
      </c>
      <c r="AO90" s="51">
        <f t="shared" si="16"/>
        <v>0.98</v>
      </c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</row>
    <row r="91" spans="1:64" s="50" customFormat="1" ht="15" customHeight="1">
      <c r="A91" s="42"/>
      <c r="B91" s="241"/>
      <c r="C91" s="42"/>
      <c r="D91" s="42"/>
      <c r="E91" s="57"/>
      <c r="F91" s="37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40"/>
      <c r="S91" s="40"/>
      <c r="T91" s="40" t="str" cm="1">
        <f t="array" ref="T91">IF(A91&lt;&gt;"",_xlfn.XLOOKUP(_xlfn.XLOOKUP(TRUE,F91:O91&lt;&gt;"",F91:O91,"-",-1,-1),F91:O91,$F$6:$O$6,,,-1),"")</f>
        <v/>
      </c>
      <c r="U91" s="40"/>
      <c r="V91" s="55"/>
      <c r="W91" s="55"/>
      <c r="X91" s="55"/>
      <c r="Y91" s="52"/>
      <c r="Z91" s="56"/>
      <c r="AA91" s="51"/>
      <c r="AB91" s="56"/>
      <c r="AC91" s="51"/>
      <c r="AD91" s="56"/>
      <c r="AE91" s="51"/>
      <c r="AF91" s="56"/>
      <c r="AG91" s="51"/>
      <c r="AH91" s="56"/>
      <c r="AI91" s="51"/>
      <c r="AJ91" s="56"/>
      <c r="AK91" s="51"/>
      <c r="AL91" s="56"/>
      <c r="AM91" s="51"/>
      <c r="AN91" s="56"/>
      <c r="AO91" s="51">
        <f t="shared" si="16"/>
        <v>0</v>
      </c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64" s="50" customFormat="1" ht="15" customHeight="1">
      <c r="A92" s="397" t="s">
        <v>570</v>
      </c>
      <c r="B92" s="398" t="s">
        <v>94</v>
      </c>
      <c r="C92" s="397"/>
      <c r="D92" s="397"/>
      <c r="E92" s="389" t="s">
        <v>571</v>
      </c>
      <c r="F92" s="383"/>
      <c r="G92" s="383"/>
      <c r="H92" s="383"/>
      <c r="I92" s="383"/>
      <c r="J92" s="383"/>
      <c r="K92" s="383"/>
      <c r="L92" s="38"/>
      <c r="M92" s="383"/>
      <c r="N92" s="383" t="s">
        <v>97</v>
      </c>
      <c r="O92" s="383"/>
      <c r="P92" s="383">
        <v>0</v>
      </c>
      <c r="Q92" s="383" t="s">
        <v>98</v>
      </c>
      <c r="R92" s="395"/>
      <c r="S92" s="395"/>
      <c r="T92" s="40" t="str" cm="1">
        <f t="array" ref="T92">IF(A92&lt;&gt;"",_xlfn.XLOOKUP(_xlfn.XLOOKUP(TRUE,F92:O92&lt;&gt;"",F92:O92,"-",-1,-1),F92:O92,$F$6:$O$6,,,-1),"")</f>
        <v>Add8</v>
      </c>
      <c r="U92" s="395"/>
      <c r="V92" s="399"/>
      <c r="W92" s="399" t="s">
        <v>435</v>
      </c>
      <c r="X92" s="399" t="s">
        <v>489</v>
      </c>
      <c r="Y92" s="400">
        <v>1</v>
      </c>
      <c r="Z92" s="401">
        <v>0.5</v>
      </c>
      <c r="AA92" s="402">
        <f>$Y92*Z92</f>
        <v>0.5</v>
      </c>
      <c r="AB92" s="401">
        <v>0.5</v>
      </c>
      <c r="AC92" s="402">
        <f>Y92*AB92</f>
        <v>0.5</v>
      </c>
      <c r="AD92" s="401">
        <v>0.5</v>
      </c>
      <c r="AE92" s="402">
        <f>$Y92*AD92</f>
        <v>0.5</v>
      </c>
      <c r="AF92" s="401">
        <v>0.5</v>
      </c>
      <c r="AG92" s="402">
        <f>Y92*AF92</f>
        <v>0.5</v>
      </c>
      <c r="AH92" s="401">
        <v>0</v>
      </c>
      <c r="AI92" s="402">
        <f>$Y92*AH92</f>
        <v>0</v>
      </c>
      <c r="AJ92" s="401">
        <v>0</v>
      </c>
      <c r="AK92" s="402">
        <f>$Y$10*AJ92</f>
        <v>0</v>
      </c>
      <c r="AL92" s="401">
        <v>1</v>
      </c>
      <c r="AM92" s="402">
        <f>$Y92*AL92</f>
        <v>1</v>
      </c>
      <c r="AN92" s="401">
        <v>1</v>
      </c>
      <c r="AO92" s="51">
        <f t="shared" si="16"/>
        <v>1</v>
      </c>
      <c r="AP92" s="390"/>
      <c r="AQ92" s="390"/>
      <c r="AR92" s="390"/>
      <c r="AS92" s="390"/>
      <c r="AT92" s="390"/>
      <c r="AU92" s="390"/>
      <c r="AV92" s="390"/>
      <c r="AW92" s="390"/>
      <c r="AX92" s="390"/>
      <c r="AY92" s="390"/>
      <c r="AZ92" s="390"/>
      <c r="BA92" s="390"/>
      <c r="BB92" s="390"/>
      <c r="BC92" s="390"/>
      <c r="BD92" s="390"/>
      <c r="BE92" s="390"/>
      <c r="BF92" s="390"/>
      <c r="BG92" s="390"/>
      <c r="BH92" s="390"/>
      <c r="BI92" s="390"/>
      <c r="BJ92" s="390"/>
      <c r="BK92" s="390"/>
      <c r="BL92" s="37"/>
    </row>
    <row r="93" spans="1:64" s="50" customFormat="1" ht="15" customHeight="1">
      <c r="A93" s="397"/>
      <c r="B93" s="398"/>
      <c r="C93" s="397"/>
      <c r="D93" s="397"/>
      <c r="E93" s="389"/>
      <c r="F93" s="383"/>
      <c r="G93" s="383"/>
      <c r="H93" s="383"/>
      <c r="I93" s="383"/>
      <c r="J93" s="383"/>
      <c r="K93" s="383"/>
      <c r="L93" s="38"/>
      <c r="M93" s="383"/>
      <c r="N93" s="383"/>
      <c r="O93" s="383"/>
      <c r="P93" s="383"/>
      <c r="Q93" s="383"/>
      <c r="R93" s="395"/>
      <c r="S93" s="395"/>
      <c r="T93" s="40" t="str" cm="1">
        <f t="array" ref="T93">IF(A93&lt;&gt;"",_xlfn.XLOOKUP(_xlfn.XLOOKUP(TRUE,F93:O93&lt;&gt;"",F93:O93,"-",-1,-1),F93:O93,$F$6:$O$6,,,-1),"")</f>
        <v/>
      </c>
      <c r="U93" s="395"/>
      <c r="V93" s="399"/>
      <c r="W93" s="399"/>
      <c r="X93" s="399"/>
      <c r="Y93" s="400"/>
      <c r="Z93" s="401"/>
      <c r="AA93" s="402"/>
      <c r="AB93" s="401"/>
      <c r="AC93" s="402"/>
      <c r="AD93" s="401"/>
      <c r="AE93" s="402"/>
      <c r="AF93" s="401"/>
      <c r="AG93" s="402"/>
      <c r="AH93" s="401"/>
      <c r="AI93" s="402"/>
      <c r="AJ93" s="401"/>
      <c r="AK93" s="402"/>
      <c r="AL93" s="401"/>
      <c r="AM93" s="402"/>
      <c r="AN93" s="401"/>
      <c r="AO93" s="51">
        <f t="shared" ref="AO93:AO94" si="45">Y93*AN93</f>
        <v>0</v>
      </c>
      <c r="AP93" s="390"/>
      <c r="AQ93" s="390"/>
      <c r="AR93" s="390"/>
      <c r="AS93" s="390"/>
      <c r="AT93" s="390"/>
      <c r="AU93" s="390"/>
      <c r="AV93" s="390"/>
      <c r="AW93" s="390"/>
      <c r="AX93" s="390"/>
      <c r="AY93" s="390"/>
      <c r="AZ93" s="390"/>
      <c r="BA93" s="390"/>
      <c r="BB93" s="390"/>
      <c r="BC93" s="390"/>
      <c r="BD93" s="390"/>
      <c r="BE93" s="390"/>
      <c r="BF93" s="390"/>
      <c r="BG93" s="390"/>
      <c r="BH93" s="390"/>
      <c r="BI93" s="390"/>
      <c r="BJ93" s="390"/>
      <c r="BK93" s="390"/>
      <c r="BL93" s="37"/>
    </row>
    <row r="94" spans="1:64" s="50" customFormat="1" ht="15" customHeight="1">
      <c r="A94" s="397" t="s">
        <v>572</v>
      </c>
      <c r="B94" s="398" t="s">
        <v>94</v>
      </c>
      <c r="C94" s="397"/>
      <c r="D94" s="383"/>
      <c r="E94" s="389" t="s">
        <v>573</v>
      </c>
      <c r="F94" s="383"/>
      <c r="G94" s="383"/>
      <c r="H94" s="383"/>
      <c r="I94" s="383"/>
      <c r="J94" s="383"/>
      <c r="K94" s="383"/>
      <c r="L94" s="38" t="s">
        <v>97</v>
      </c>
      <c r="M94" s="383" t="s">
        <v>97</v>
      </c>
      <c r="N94" s="383" t="s">
        <v>34</v>
      </c>
      <c r="O94" s="383" t="s">
        <v>31</v>
      </c>
      <c r="P94" s="383">
        <v>0</v>
      </c>
      <c r="Q94" s="383" t="s">
        <v>98</v>
      </c>
      <c r="R94" s="395"/>
      <c r="S94" s="395"/>
      <c r="T94" s="40" t="str" cm="1">
        <f t="array" ref="T94">IF(A94&lt;&gt;"",_xlfn.XLOOKUP(_xlfn.XLOOKUP(TRUE,F94:O94&lt;&gt;"",F94:O94,"-",-1,-1),F94:O94,$F$6:$O$6,,,-1),"")</f>
        <v>Add9</v>
      </c>
      <c r="U94" s="395"/>
      <c r="V94" s="399"/>
      <c r="W94" s="399" t="s">
        <v>435</v>
      </c>
      <c r="X94" s="399" t="s">
        <v>574</v>
      </c>
      <c r="Y94" s="400">
        <v>1</v>
      </c>
      <c r="Z94" s="401">
        <v>0</v>
      </c>
      <c r="AA94" s="402">
        <f>$Y94*Z94</f>
        <v>0</v>
      </c>
      <c r="AB94" s="401">
        <v>0</v>
      </c>
      <c r="AC94" s="402">
        <f>Y94*AB94</f>
        <v>0</v>
      </c>
      <c r="AD94" s="401">
        <v>0.7</v>
      </c>
      <c r="AE94" s="402">
        <f>$Y94*AD94</f>
        <v>0.7</v>
      </c>
      <c r="AF94" s="401">
        <v>0.5</v>
      </c>
      <c r="AG94" s="402">
        <f>Y94*AF94</f>
        <v>0.5</v>
      </c>
      <c r="AH94" s="401">
        <v>0</v>
      </c>
      <c r="AI94" s="402">
        <f>$Y94*AH94</f>
        <v>0</v>
      </c>
      <c r="AJ94" s="401">
        <v>0</v>
      </c>
      <c r="AK94" s="402">
        <f>$Y$10*AJ94</f>
        <v>0</v>
      </c>
      <c r="AL94" s="401">
        <v>1</v>
      </c>
      <c r="AM94" s="402">
        <f>$Y94*AL94</f>
        <v>1</v>
      </c>
      <c r="AN94" s="401">
        <v>0.98</v>
      </c>
      <c r="AO94" s="51">
        <f t="shared" si="45"/>
        <v>0.98</v>
      </c>
      <c r="AP94" s="390"/>
      <c r="AQ94" s="390"/>
      <c r="AR94" s="390"/>
      <c r="AS94" s="390"/>
      <c r="AT94" s="390"/>
      <c r="AU94" s="390"/>
      <c r="AV94" s="390"/>
      <c r="AW94" s="390"/>
      <c r="AX94" s="390"/>
      <c r="AY94" s="390"/>
      <c r="AZ94" s="390"/>
      <c r="BA94" s="390"/>
      <c r="BB94" s="390"/>
      <c r="BC94" s="390"/>
      <c r="BD94" s="390"/>
      <c r="BE94" s="390"/>
      <c r="BF94" s="390"/>
      <c r="BG94" s="390"/>
      <c r="BH94" s="390"/>
      <c r="BI94" s="390"/>
      <c r="BJ94" s="390"/>
      <c r="BK94" s="390"/>
      <c r="BL94" s="37"/>
    </row>
    <row r="95" spans="1:64" s="50" customFormat="1" ht="15" customHeight="1">
      <c r="A95" s="42"/>
      <c r="B95" s="241"/>
      <c r="C95" s="42"/>
      <c r="D95" s="42"/>
      <c r="E95" s="57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40"/>
      <c r="S95" s="40"/>
      <c r="T95" s="40" t="str" cm="1">
        <f t="array" ref="T95">IF(A95&lt;&gt;"",_xlfn.XLOOKUP(_xlfn.XLOOKUP(TRUE,F95:O95&lt;&gt;"",F95:O95,"-",-1,-1),F95:O95,$F$6:$O$6,,,-1),"")</f>
        <v/>
      </c>
      <c r="U95" s="40"/>
      <c r="V95" s="55"/>
      <c r="W95" s="55"/>
      <c r="X95" s="55"/>
      <c r="Y95" s="52"/>
      <c r="Z95" s="56"/>
      <c r="AA95" s="51">
        <f t="shared" si="31"/>
        <v>0</v>
      </c>
      <c r="AB95" s="56"/>
      <c r="AC95" s="51"/>
      <c r="AD95" s="56"/>
      <c r="AE95" s="51"/>
      <c r="AF95" s="56"/>
      <c r="AG95" s="51"/>
      <c r="AH95" s="56"/>
      <c r="AI95" s="51"/>
      <c r="AJ95" s="56"/>
      <c r="AK95" s="51"/>
      <c r="AL95" s="56"/>
      <c r="AM95" s="51"/>
      <c r="AN95" s="56"/>
      <c r="AO95" s="51">
        <f>Y95*AN95</f>
        <v>0</v>
      </c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</row>
    <row r="96" spans="1:64" s="50" customFormat="1" ht="15" customHeight="1">
      <c r="A96" s="42" t="s">
        <v>575</v>
      </c>
      <c r="B96" s="241" t="s">
        <v>94</v>
      </c>
      <c r="C96" s="42"/>
      <c r="D96" s="42"/>
      <c r="E96" s="57" t="s">
        <v>576</v>
      </c>
      <c r="F96" s="38"/>
      <c r="G96" s="38"/>
      <c r="H96" s="38"/>
      <c r="I96" s="38"/>
      <c r="J96" s="38"/>
      <c r="K96" s="38"/>
      <c r="L96" s="38"/>
      <c r="M96" s="38"/>
      <c r="N96" s="309"/>
      <c r="O96" s="462" t="s">
        <v>97</v>
      </c>
      <c r="P96" s="38">
        <v>0</v>
      </c>
      <c r="Q96" s="38" t="s">
        <v>98</v>
      </c>
      <c r="R96" s="40"/>
      <c r="S96" s="40" t="s">
        <v>549</v>
      </c>
      <c r="T96" s="40" t="str" cm="1">
        <f t="array" ref="T96">IF(A96&lt;&gt;"",_xlfn.XLOOKUP(_xlfn.XLOOKUP(TRUE,F96:O96&lt;&gt;"",F96:O96,"-",-1,-1),F96:O96,$F$6:$O$6,,,-1),"")</f>
        <v>Add9</v>
      </c>
      <c r="U96" s="40"/>
      <c r="V96" s="55"/>
      <c r="W96" s="55" t="s">
        <v>435</v>
      </c>
      <c r="X96" s="55" t="s">
        <v>574</v>
      </c>
      <c r="Y96" s="52">
        <v>0.5</v>
      </c>
      <c r="Z96" s="56">
        <v>0</v>
      </c>
      <c r="AA96" s="51">
        <f t="shared" si="31"/>
        <v>0</v>
      </c>
      <c r="AB96" s="56">
        <v>0</v>
      </c>
      <c r="AC96" s="51">
        <f t="shared" ref="AC96:AC108" si="46">Y96*AB96</f>
        <v>0</v>
      </c>
      <c r="AD96" s="56">
        <v>0</v>
      </c>
      <c r="AE96" s="51">
        <f t="shared" ref="AE96:AE108" si="47">$Y96*AD96</f>
        <v>0</v>
      </c>
      <c r="AF96" s="56">
        <v>0</v>
      </c>
      <c r="AG96" s="51">
        <f t="shared" si="29"/>
        <v>0</v>
      </c>
      <c r="AH96" s="56">
        <v>0</v>
      </c>
      <c r="AI96" s="51">
        <f t="shared" ref="AI96:AI108" si="48">$Y96*AH96</f>
        <v>0</v>
      </c>
      <c r="AJ96" s="56">
        <v>0</v>
      </c>
      <c r="AK96" s="51">
        <f t="shared" ref="AK96:AK108" si="49">$Y$10*AJ96</f>
        <v>0</v>
      </c>
      <c r="AL96" s="56">
        <v>1</v>
      </c>
      <c r="AM96" s="51">
        <f t="shared" ref="AM96:AM108" si="50">$Y96*AL96</f>
        <v>0.5</v>
      </c>
      <c r="AN96" s="56">
        <v>0.7</v>
      </c>
      <c r="AO96" s="51">
        <f t="shared" ref="AO96:AO108" si="51">Y96*AN96</f>
        <v>0.35</v>
      </c>
      <c r="AP96" s="37"/>
      <c r="AQ96" s="57" t="e">
        <f>A96&amp;B96&amp;C96&amp;D96&amp;E96&amp;#REF!&amp;F96&amp;#REF!&amp;G96&amp;H96</f>
        <v>#REF!</v>
      </c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</row>
    <row r="97" spans="1:64" s="50" customFormat="1" ht="15" customHeight="1">
      <c r="A97" s="42" t="s">
        <v>577</v>
      </c>
      <c r="B97" s="241" t="s">
        <v>94</v>
      </c>
      <c r="C97" s="42"/>
      <c r="D97" s="42"/>
      <c r="E97" s="57" t="s">
        <v>578</v>
      </c>
      <c r="F97" s="38"/>
      <c r="G97" s="38"/>
      <c r="H97" s="38"/>
      <c r="I97" s="38"/>
      <c r="J97" s="38"/>
      <c r="K97" s="38"/>
      <c r="L97" s="38"/>
      <c r="M97" s="38"/>
      <c r="N97" s="309"/>
      <c r="O97" s="462" t="s">
        <v>97</v>
      </c>
      <c r="P97" s="38">
        <v>0</v>
      </c>
      <c r="Q97" s="38" t="s">
        <v>98</v>
      </c>
      <c r="R97" s="40"/>
      <c r="S97" s="40" t="s">
        <v>549</v>
      </c>
      <c r="T97" s="40" t="str" cm="1">
        <f t="array" ref="T97">IF(A97&lt;&gt;"",_xlfn.XLOOKUP(_xlfn.XLOOKUP(TRUE,F97:O97&lt;&gt;"",F97:O97,"-",-1,-1),F97:O97,$F$6:$O$6,,,-1),"")</f>
        <v>Add9</v>
      </c>
      <c r="U97" s="40"/>
      <c r="V97" s="55"/>
      <c r="W97" s="55" t="s">
        <v>435</v>
      </c>
      <c r="X97" s="55" t="s">
        <v>574</v>
      </c>
      <c r="Y97" s="52">
        <v>0.5</v>
      </c>
      <c r="Z97" s="56">
        <v>0</v>
      </c>
      <c r="AA97" s="51">
        <f t="shared" si="31"/>
        <v>0</v>
      </c>
      <c r="AB97" s="56">
        <v>0</v>
      </c>
      <c r="AC97" s="51">
        <f t="shared" si="46"/>
        <v>0</v>
      </c>
      <c r="AD97" s="56">
        <v>0</v>
      </c>
      <c r="AE97" s="51">
        <f t="shared" si="47"/>
        <v>0</v>
      </c>
      <c r="AF97" s="56">
        <v>0</v>
      </c>
      <c r="AG97" s="51">
        <f t="shared" si="29"/>
        <v>0</v>
      </c>
      <c r="AH97" s="56">
        <v>0</v>
      </c>
      <c r="AI97" s="51">
        <f t="shared" si="48"/>
        <v>0</v>
      </c>
      <c r="AJ97" s="56">
        <v>0</v>
      </c>
      <c r="AK97" s="51">
        <f t="shared" si="49"/>
        <v>0</v>
      </c>
      <c r="AL97" s="56">
        <v>1</v>
      </c>
      <c r="AM97" s="51">
        <f t="shared" si="50"/>
        <v>0.5</v>
      </c>
      <c r="AN97" s="56">
        <v>0.7</v>
      </c>
      <c r="AO97" s="51">
        <f t="shared" si="51"/>
        <v>0.35</v>
      </c>
      <c r="AP97" s="37"/>
      <c r="AQ97" s="57" t="e">
        <f>A97&amp;B97&amp;C97&amp;D97&amp;E97&amp;#REF!&amp;F97&amp;#REF!&amp;G97&amp;H97</f>
        <v>#REF!</v>
      </c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</row>
    <row r="98" spans="1:64" s="50" customFormat="1" ht="15" customHeight="1">
      <c r="A98" s="397" t="s">
        <v>579</v>
      </c>
      <c r="B98" s="398" t="s">
        <v>94</v>
      </c>
      <c r="C98" s="397"/>
      <c r="D98" s="397"/>
      <c r="E98" s="389" t="s">
        <v>580</v>
      </c>
      <c r="F98" s="383"/>
      <c r="G98" s="383"/>
      <c r="H98" s="383"/>
      <c r="I98" s="383"/>
      <c r="J98" s="383"/>
      <c r="K98" s="383"/>
      <c r="L98" s="383"/>
      <c r="M98" s="383"/>
      <c r="N98" s="458"/>
      <c r="O98" s="481" t="s">
        <v>97</v>
      </c>
      <c r="P98" s="383">
        <v>0</v>
      </c>
      <c r="Q98" s="383" t="s">
        <v>98</v>
      </c>
      <c r="R98" s="395"/>
      <c r="S98" s="395" t="s">
        <v>549</v>
      </c>
      <c r="T98" s="40" t="str" cm="1">
        <f t="array" ref="T98">IF(A98&lt;&gt;"",_xlfn.XLOOKUP(_xlfn.XLOOKUP(TRUE,F98:O98&lt;&gt;"",F98:O98,"-",-1,-1),F98:O98,$F$6:$O$6,,,-1),"")</f>
        <v>Add9</v>
      </c>
      <c r="U98" s="395"/>
      <c r="V98" s="399"/>
      <c r="W98" s="399" t="s">
        <v>435</v>
      </c>
      <c r="X98" s="399" t="s">
        <v>574</v>
      </c>
      <c r="Y98" s="400">
        <v>0.5</v>
      </c>
      <c r="Z98" s="401">
        <v>0</v>
      </c>
      <c r="AA98" s="402">
        <f>$Y98*Z98</f>
        <v>0</v>
      </c>
      <c r="AB98" s="401">
        <v>0</v>
      </c>
      <c r="AC98" s="402">
        <f>Y98*AB98</f>
        <v>0</v>
      </c>
      <c r="AD98" s="401">
        <v>0</v>
      </c>
      <c r="AE98" s="402">
        <f>$Y98*AD98</f>
        <v>0</v>
      </c>
      <c r="AF98" s="401">
        <v>0</v>
      </c>
      <c r="AG98" s="402">
        <f>Y98*AF98</f>
        <v>0</v>
      </c>
      <c r="AH98" s="401">
        <v>0</v>
      </c>
      <c r="AI98" s="402">
        <f>$Y98*AH98</f>
        <v>0</v>
      </c>
      <c r="AJ98" s="401">
        <v>0</v>
      </c>
      <c r="AK98" s="402">
        <f>$Y$10*AJ98</f>
        <v>0</v>
      </c>
      <c r="AL98" s="401">
        <v>1</v>
      </c>
      <c r="AM98" s="402">
        <f>$Y98*AL98</f>
        <v>0.5</v>
      </c>
      <c r="AN98" s="401">
        <v>0.7</v>
      </c>
      <c r="AO98" s="402">
        <f>Y98*AN98</f>
        <v>0.35</v>
      </c>
      <c r="AP98" s="390"/>
      <c r="AQ98" s="389" t="e">
        <f>A98&amp;B98&amp;C98&amp;D98&amp;E98&amp;#REF!&amp;F98&amp;#REF!&amp;G98&amp;H98</f>
        <v>#REF!</v>
      </c>
      <c r="AR98" s="390"/>
      <c r="AS98" s="390"/>
      <c r="AT98" s="390"/>
      <c r="AU98" s="390"/>
      <c r="AV98" s="390"/>
      <c r="AW98" s="390"/>
      <c r="AX98" s="390"/>
      <c r="AY98" s="390"/>
      <c r="AZ98" s="390"/>
      <c r="BA98" s="390"/>
      <c r="BB98" s="390"/>
      <c r="BC98" s="390"/>
      <c r="BD98" s="390"/>
      <c r="BE98" s="390"/>
      <c r="BF98" s="390"/>
      <c r="BG98" s="390"/>
      <c r="BH98" s="390"/>
      <c r="BI98" s="390"/>
      <c r="BJ98" s="390"/>
      <c r="BK98" s="390"/>
      <c r="BL98" s="37"/>
    </row>
    <row r="99" spans="1:64" s="50" customFormat="1" ht="15" customHeight="1">
      <c r="A99" s="397" t="s">
        <v>581</v>
      </c>
      <c r="B99" s="398" t="s">
        <v>94</v>
      </c>
      <c r="C99" s="397"/>
      <c r="D99" s="397"/>
      <c r="E99" s="389" t="s">
        <v>582</v>
      </c>
      <c r="F99" s="383"/>
      <c r="G99" s="383"/>
      <c r="H99" s="383"/>
      <c r="I99" s="383"/>
      <c r="J99" s="383"/>
      <c r="K99" s="383"/>
      <c r="L99" s="383"/>
      <c r="M99" s="383"/>
      <c r="N99" s="458"/>
      <c r="O99" s="481" t="s">
        <v>97</v>
      </c>
      <c r="P99" s="383">
        <v>0</v>
      </c>
      <c r="Q99" s="383" t="s">
        <v>98</v>
      </c>
      <c r="R99" s="395"/>
      <c r="S99" s="395" t="s">
        <v>549</v>
      </c>
      <c r="T99" s="40" t="str" cm="1">
        <f t="array" ref="T99">IF(A99&lt;&gt;"",_xlfn.XLOOKUP(_xlfn.XLOOKUP(TRUE,F99:O99&lt;&gt;"",F99:O99,"-",-1,-1),F99:O99,$F$6:$O$6,,,-1),"")</f>
        <v>Add9</v>
      </c>
      <c r="U99" s="395"/>
      <c r="V99" s="399"/>
      <c r="W99" s="399" t="s">
        <v>435</v>
      </c>
      <c r="X99" s="399" t="s">
        <v>574</v>
      </c>
      <c r="Y99" s="400">
        <v>0.5</v>
      </c>
      <c r="Z99" s="401">
        <v>0</v>
      </c>
      <c r="AA99" s="402">
        <f>$Y99*Z99</f>
        <v>0</v>
      </c>
      <c r="AB99" s="401">
        <v>0</v>
      </c>
      <c r="AC99" s="402">
        <f>Y99*AB99</f>
        <v>0</v>
      </c>
      <c r="AD99" s="401">
        <v>0</v>
      </c>
      <c r="AE99" s="402">
        <f>$Y99*AD99</f>
        <v>0</v>
      </c>
      <c r="AF99" s="401">
        <v>0</v>
      </c>
      <c r="AG99" s="402">
        <f>Y99*AF99</f>
        <v>0</v>
      </c>
      <c r="AH99" s="401">
        <v>0</v>
      </c>
      <c r="AI99" s="402">
        <f>$Y99*AH99</f>
        <v>0</v>
      </c>
      <c r="AJ99" s="401">
        <v>0</v>
      </c>
      <c r="AK99" s="402">
        <f>$Y$10*AJ99</f>
        <v>0</v>
      </c>
      <c r="AL99" s="401">
        <v>1</v>
      </c>
      <c r="AM99" s="402">
        <f>$Y99*AL99</f>
        <v>0.5</v>
      </c>
      <c r="AN99" s="401">
        <v>0.7</v>
      </c>
      <c r="AO99" s="402">
        <f>Y99*AN99</f>
        <v>0.35</v>
      </c>
      <c r="AP99" s="390"/>
      <c r="AQ99" s="389" t="e">
        <f>A99&amp;B99&amp;C99&amp;D99&amp;E99&amp;#REF!&amp;F99&amp;#REF!&amp;G99&amp;H99</f>
        <v>#REF!</v>
      </c>
      <c r="AR99" s="390"/>
      <c r="AS99" s="390"/>
      <c r="AT99" s="390"/>
      <c r="AU99" s="390"/>
      <c r="AV99" s="390"/>
      <c r="AW99" s="390"/>
      <c r="AX99" s="390"/>
      <c r="AY99" s="390"/>
      <c r="AZ99" s="390"/>
      <c r="BA99" s="390"/>
      <c r="BB99" s="390"/>
      <c r="BC99" s="390"/>
      <c r="BD99" s="390"/>
      <c r="BE99" s="390"/>
      <c r="BF99" s="390"/>
      <c r="BG99" s="390"/>
      <c r="BH99" s="390"/>
      <c r="BI99" s="390"/>
      <c r="BJ99" s="390"/>
      <c r="BK99" s="390"/>
      <c r="BL99" s="37"/>
    </row>
    <row r="100" spans="1:64" s="50" customFormat="1" ht="15" customHeight="1">
      <c r="A100" s="397" t="s">
        <v>583</v>
      </c>
      <c r="B100" s="398" t="s">
        <v>94</v>
      </c>
      <c r="C100" s="397"/>
      <c r="D100" s="397"/>
      <c r="E100" s="389" t="s">
        <v>584</v>
      </c>
      <c r="F100" s="383"/>
      <c r="G100" s="383"/>
      <c r="H100" s="383"/>
      <c r="I100" s="383"/>
      <c r="J100" s="383"/>
      <c r="K100" s="383"/>
      <c r="L100" s="383"/>
      <c r="M100" s="383"/>
      <c r="N100" s="458"/>
      <c r="O100" s="462" t="s">
        <v>97</v>
      </c>
      <c r="P100" s="383">
        <v>0</v>
      </c>
      <c r="Q100" s="383" t="s">
        <v>98</v>
      </c>
      <c r="R100" s="395"/>
      <c r="S100" s="40" t="s">
        <v>549</v>
      </c>
      <c r="T100" s="40" t="str" cm="1">
        <f t="array" ref="T100">IF(A100&lt;&gt;"",_xlfn.XLOOKUP(_xlfn.XLOOKUP(TRUE,F100:O100&lt;&gt;"",F100:O100,"-",-1,-1),F100:O100,$F$6:$O$6,,,-1),"")</f>
        <v>Add9</v>
      </c>
      <c r="U100" s="395"/>
      <c r="V100" s="399"/>
      <c r="W100" s="399" t="s">
        <v>435</v>
      </c>
      <c r="X100" s="399" t="s">
        <v>574</v>
      </c>
      <c r="Y100" s="52">
        <v>0.5</v>
      </c>
      <c r="Z100" s="401">
        <v>0</v>
      </c>
      <c r="AA100" s="402">
        <f t="shared" ref="AA100:AA108" si="52">$Y100*Z100</f>
        <v>0</v>
      </c>
      <c r="AB100" s="401">
        <v>0</v>
      </c>
      <c r="AC100" s="402">
        <f t="shared" si="46"/>
        <v>0</v>
      </c>
      <c r="AD100" s="401">
        <v>0</v>
      </c>
      <c r="AE100" s="402">
        <f t="shared" si="47"/>
        <v>0</v>
      </c>
      <c r="AF100" s="401">
        <v>0</v>
      </c>
      <c r="AG100" s="402">
        <f t="shared" ref="AG100:AG108" si="53">Y100*AF100</f>
        <v>0</v>
      </c>
      <c r="AH100" s="401">
        <v>0</v>
      </c>
      <c r="AI100" s="402">
        <f t="shared" si="48"/>
        <v>0</v>
      </c>
      <c r="AJ100" s="401">
        <v>0</v>
      </c>
      <c r="AK100" s="402">
        <f t="shared" si="49"/>
        <v>0</v>
      </c>
      <c r="AL100" s="401">
        <v>1</v>
      </c>
      <c r="AM100" s="402">
        <f t="shared" si="50"/>
        <v>0.5</v>
      </c>
      <c r="AN100" s="56">
        <v>0.7</v>
      </c>
      <c r="AO100" s="51">
        <f t="shared" si="51"/>
        <v>0.35</v>
      </c>
      <c r="AP100" s="390"/>
      <c r="AQ100" s="389" t="e">
        <f>A100&amp;B100&amp;C100&amp;D100&amp;E100&amp;#REF!&amp;F100&amp;#REF!&amp;G100&amp;H100</f>
        <v>#REF!</v>
      </c>
      <c r="AR100" s="390"/>
      <c r="AS100" s="390"/>
      <c r="AT100" s="390"/>
      <c r="AU100" s="390"/>
      <c r="AV100" s="390"/>
      <c r="AW100" s="390"/>
      <c r="AX100" s="390"/>
      <c r="AY100" s="390"/>
      <c r="AZ100" s="390"/>
      <c r="BA100" s="390"/>
      <c r="BB100" s="390"/>
      <c r="BC100" s="390"/>
      <c r="BD100" s="390"/>
      <c r="BE100" s="390"/>
      <c r="BF100" s="390"/>
      <c r="BG100" s="390"/>
      <c r="BH100" s="390"/>
      <c r="BI100" s="390"/>
      <c r="BJ100" s="390"/>
      <c r="BK100" s="390"/>
      <c r="BL100" s="37"/>
    </row>
    <row r="101" spans="1:64" s="50" customFormat="1" ht="15" customHeight="1">
      <c r="A101" s="397" t="s">
        <v>585</v>
      </c>
      <c r="B101" s="398" t="s">
        <v>94</v>
      </c>
      <c r="C101" s="397"/>
      <c r="D101" s="397"/>
      <c r="E101" s="389" t="s">
        <v>586</v>
      </c>
      <c r="F101" s="383"/>
      <c r="G101" s="383"/>
      <c r="H101" s="383"/>
      <c r="I101" s="383"/>
      <c r="J101" s="383"/>
      <c r="K101" s="383"/>
      <c r="L101" s="383"/>
      <c r="M101" s="383"/>
      <c r="N101" s="458"/>
      <c r="O101" s="462" t="s">
        <v>97</v>
      </c>
      <c r="P101" s="383">
        <v>0</v>
      </c>
      <c r="Q101" s="383" t="s">
        <v>98</v>
      </c>
      <c r="R101" s="395"/>
      <c r="S101" s="40" t="s">
        <v>549</v>
      </c>
      <c r="T101" s="40" t="str" cm="1">
        <f t="array" ref="T101">IF(A101&lt;&gt;"",_xlfn.XLOOKUP(_xlfn.XLOOKUP(TRUE,F101:O101&lt;&gt;"",F101:O101,"-",-1,-1),F101:O101,$F$6:$O$6,,,-1),"")</f>
        <v>Add9</v>
      </c>
      <c r="U101" s="395"/>
      <c r="V101" s="399"/>
      <c r="W101" s="399" t="s">
        <v>435</v>
      </c>
      <c r="X101" s="399" t="s">
        <v>574</v>
      </c>
      <c r="Y101" s="52">
        <v>0.5</v>
      </c>
      <c r="Z101" s="401">
        <v>0</v>
      </c>
      <c r="AA101" s="402">
        <f t="shared" si="52"/>
        <v>0</v>
      </c>
      <c r="AB101" s="401">
        <v>0</v>
      </c>
      <c r="AC101" s="402">
        <f t="shared" si="46"/>
        <v>0</v>
      </c>
      <c r="AD101" s="401">
        <v>0</v>
      </c>
      <c r="AE101" s="402">
        <f t="shared" si="47"/>
        <v>0</v>
      </c>
      <c r="AF101" s="401">
        <v>0</v>
      </c>
      <c r="AG101" s="402">
        <f t="shared" si="53"/>
        <v>0</v>
      </c>
      <c r="AH101" s="401">
        <v>0</v>
      </c>
      <c r="AI101" s="402">
        <f t="shared" si="48"/>
        <v>0</v>
      </c>
      <c r="AJ101" s="401">
        <v>0</v>
      </c>
      <c r="AK101" s="402">
        <f t="shared" si="49"/>
        <v>0</v>
      </c>
      <c r="AL101" s="401">
        <v>1</v>
      </c>
      <c r="AM101" s="402">
        <f t="shared" si="50"/>
        <v>0.5</v>
      </c>
      <c r="AN101" s="56">
        <v>0.7</v>
      </c>
      <c r="AO101" s="51">
        <f t="shared" si="51"/>
        <v>0.35</v>
      </c>
      <c r="AP101" s="390"/>
      <c r="AQ101" s="389" t="e">
        <f>A101&amp;B101&amp;C101&amp;D101&amp;E101&amp;#REF!&amp;F101&amp;#REF!&amp;G101&amp;H101</f>
        <v>#REF!</v>
      </c>
      <c r="AR101" s="390"/>
      <c r="AS101" s="390"/>
      <c r="AT101" s="390"/>
      <c r="AU101" s="390"/>
      <c r="AV101" s="390"/>
      <c r="AW101" s="390"/>
      <c r="AX101" s="390"/>
      <c r="AY101" s="390"/>
      <c r="AZ101" s="390"/>
      <c r="BA101" s="390"/>
      <c r="BB101" s="390"/>
      <c r="BC101" s="390"/>
      <c r="BD101" s="390"/>
      <c r="BE101" s="390"/>
      <c r="BF101" s="390"/>
      <c r="BG101" s="390"/>
      <c r="BH101" s="390"/>
      <c r="BI101" s="390"/>
      <c r="BJ101" s="390"/>
      <c r="BK101" s="390"/>
      <c r="BL101" s="37"/>
    </row>
    <row r="102" spans="1:64" s="50" customFormat="1" ht="15" customHeight="1">
      <c r="A102" s="397" t="s">
        <v>587</v>
      </c>
      <c r="B102" s="398" t="s">
        <v>94</v>
      </c>
      <c r="C102" s="397"/>
      <c r="D102" s="397"/>
      <c r="E102" s="389" t="s">
        <v>588</v>
      </c>
      <c r="F102" s="383"/>
      <c r="G102" s="383"/>
      <c r="H102" s="383"/>
      <c r="I102" s="383"/>
      <c r="J102" s="383"/>
      <c r="K102" s="383"/>
      <c r="L102" s="383"/>
      <c r="M102" s="383"/>
      <c r="N102" s="458"/>
      <c r="O102" s="462" t="s">
        <v>97</v>
      </c>
      <c r="P102" s="383">
        <v>0</v>
      </c>
      <c r="Q102" s="383" t="s">
        <v>98</v>
      </c>
      <c r="R102" s="395"/>
      <c r="S102" s="40" t="s">
        <v>549</v>
      </c>
      <c r="T102" s="40" t="str" cm="1">
        <f t="array" ref="T102">IF(A102&lt;&gt;"",_xlfn.XLOOKUP(_xlfn.XLOOKUP(TRUE,F102:O102&lt;&gt;"",F102:O102,"-",-1,-1),F102:O102,$F$6:$O$6,,,-1),"")</f>
        <v>Add9</v>
      </c>
      <c r="U102" s="395"/>
      <c r="V102" s="399"/>
      <c r="W102" s="399" t="s">
        <v>435</v>
      </c>
      <c r="X102" s="399" t="s">
        <v>574</v>
      </c>
      <c r="Y102" s="52">
        <v>0.5</v>
      </c>
      <c r="Z102" s="401">
        <v>0</v>
      </c>
      <c r="AA102" s="402">
        <f t="shared" si="52"/>
        <v>0</v>
      </c>
      <c r="AB102" s="401">
        <v>0</v>
      </c>
      <c r="AC102" s="402">
        <f t="shared" si="46"/>
        <v>0</v>
      </c>
      <c r="AD102" s="401">
        <v>0</v>
      </c>
      <c r="AE102" s="402">
        <f t="shared" si="47"/>
        <v>0</v>
      </c>
      <c r="AF102" s="401">
        <v>0</v>
      </c>
      <c r="AG102" s="402">
        <f t="shared" si="53"/>
        <v>0</v>
      </c>
      <c r="AH102" s="401">
        <v>0</v>
      </c>
      <c r="AI102" s="402">
        <f t="shared" si="48"/>
        <v>0</v>
      </c>
      <c r="AJ102" s="401">
        <v>0</v>
      </c>
      <c r="AK102" s="402">
        <f t="shared" si="49"/>
        <v>0</v>
      </c>
      <c r="AL102" s="401">
        <v>1</v>
      </c>
      <c r="AM102" s="402">
        <f t="shared" si="50"/>
        <v>0.5</v>
      </c>
      <c r="AN102" s="56">
        <v>0.7</v>
      </c>
      <c r="AO102" s="51">
        <f t="shared" si="51"/>
        <v>0.35</v>
      </c>
      <c r="AP102" s="390"/>
      <c r="AQ102" s="389" t="e">
        <f>A102&amp;B102&amp;C102&amp;D102&amp;E102&amp;#REF!&amp;F102&amp;#REF!&amp;G102&amp;H102</f>
        <v>#REF!</v>
      </c>
      <c r="AR102" s="390"/>
      <c r="AS102" s="390"/>
      <c r="AT102" s="390"/>
      <c r="AU102" s="390"/>
      <c r="AV102" s="390"/>
      <c r="AW102" s="390"/>
      <c r="AX102" s="390"/>
      <c r="AY102" s="390"/>
      <c r="AZ102" s="390"/>
      <c r="BA102" s="390"/>
      <c r="BB102" s="390"/>
      <c r="BC102" s="390"/>
      <c r="BD102" s="390"/>
      <c r="BE102" s="390"/>
      <c r="BF102" s="390"/>
      <c r="BG102" s="390"/>
      <c r="BH102" s="390"/>
      <c r="BI102" s="390"/>
      <c r="BJ102" s="390"/>
      <c r="BK102" s="390"/>
      <c r="BL102" s="37"/>
    </row>
    <row r="103" spans="1:64" s="50" customFormat="1" ht="15" customHeight="1">
      <c r="A103" s="397" t="s">
        <v>589</v>
      </c>
      <c r="B103" s="398" t="s">
        <v>94</v>
      </c>
      <c r="C103" s="397"/>
      <c r="D103" s="397"/>
      <c r="E103" s="389" t="s">
        <v>590</v>
      </c>
      <c r="F103" s="383"/>
      <c r="G103" s="383"/>
      <c r="H103" s="383"/>
      <c r="I103" s="383"/>
      <c r="J103" s="383"/>
      <c r="K103" s="383"/>
      <c r="L103" s="383"/>
      <c r="M103" s="383"/>
      <c r="N103" s="458"/>
      <c r="O103" s="462"/>
      <c r="P103" s="383">
        <v>0</v>
      </c>
      <c r="Q103" s="383" t="s">
        <v>98</v>
      </c>
      <c r="R103" s="395"/>
      <c r="S103" s="40" t="s">
        <v>549</v>
      </c>
      <c r="T103" s="383" t="str" cm="1">
        <f t="array" ref="T103">IF(A103&lt;&gt;"",_xlfn.XLOOKUP(_xlfn.XLOOKUP(TRUE,F103:O103&lt;&gt;"",F103:O103,"-",-1,-1),F103:O103,$F$6:$O$6,,,-1),"")</f>
        <v>Add9</v>
      </c>
      <c r="U103" s="395"/>
      <c r="V103" s="399"/>
      <c r="W103" s="399" t="s">
        <v>435</v>
      </c>
      <c r="X103" s="399" t="s">
        <v>574</v>
      </c>
      <c r="Y103" s="52">
        <v>0.5</v>
      </c>
      <c r="Z103" s="401">
        <v>0</v>
      </c>
      <c r="AA103" s="402">
        <f>$Y103*Z103</f>
        <v>0</v>
      </c>
      <c r="AB103" s="401">
        <v>0</v>
      </c>
      <c r="AC103" s="402">
        <f>Y103*AB103</f>
        <v>0</v>
      </c>
      <c r="AD103" s="401">
        <v>0</v>
      </c>
      <c r="AE103" s="402">
        <f>$Y103*AD103</f>
        <v>0</v>
      </c>
      <c r="AF103" s="401">
        <v>0</v>
      </c>
      <c r="AG103" s="402">
        <f>Y103*AF103</f>
        <v>0</v>
      </c>
      <c r="AH103" s="401">
        <v>0</v>
      </c>
      <c r="AI103" s="402">
        <f>$Y103*AH103</f>
        <v>0</v>
      </c>
      <c r="AJ103" s="401">
        <v>0</v>
      </c>
      <c r="AK103" s="402">
        <f>$Y$10*AJ103</f>
        <v>0</v>
      </c>
      <c r="AL103" s="401">
        <v>1</v>
      </c>
      <c r="AM103" s="402">
        <f>$Y103*AL103</f>
        <v>0.5</v>
      </c>
      <c r="AN103" s="56">
        <v>0.7</v>
      </c>
      <c r="AO103" s="51">
        <f>Y103*AN103</f>
        <v>0.35</v>
      </c>
      <c r="AP103" s="390"/>
      <c r="AQ103" s="389" t="e">
        <f>A103&amp;B103&amp;C103&amp;D103&amp;E103&amp;#REF!&amp;F103&amp;#REF!&amp;G103&amp;H103</f>
        <v>#REF!</v>
      </c>
      <c r="AR103" s="390"/>
      <c r="AS103" s="390"/>
      <c r="AT103" s="390"/>
      <c r="AU103" s="390"/>
      <c r="AV103" s="390"/>
      <c r="AW103" s="390"/>
      <c r="AX103" s="390"/>
      <c r="AY103" s="390"/>
      <c r="AZ103" s="390"/>
      <c r="BA103" s="390"/>
      <c r="BB103" s="390"/>
      <c r="BC103" s="390"/>
      <c r="BD103" s="390"/>
      <c r="BE103" s="390"/>
      <c r="BF103" s="390"/>
      <c r="BG103" s="390"/>
      <c r="BH103" s="390"/>
      <c r="BI103" s="390"/>
      <c r="BJ103" s="390"/>
      <c r="BK103" s="390"/>
      <c r="BL103" s="37"/>
    </row>
    <row r="104" spans="1:64" s="50" customFormat="1" ht="15" customHeight="1">
      <c r="A104" s="397" t="s">
        <v>591</v>
      </c>
      <c r="B104" s="398" t="s">
        <v>94</v>
      </c>
      <c r="C104" s="397"/>
      <c r="D104" s="397"/>
      <c r="E104" s="389" t="s">
        <v>592</v>
      </c>
      <c r="F104" s="383"/>
      <c r="G104" s="383"/>
      <c r="H104" s="383"/>
      <c r="I104" s="383"/>
      <c r="J104" s="383"/>
      <c r="K104" s="383"/>
      <c r="L104" s="383"/>
      <c r="M104" s="383"/>
      <c r="N104" s="458"/>
      <c r="O104" s="462" t="s">
        <v>97</v>
      </c>
      <c r="P104" s="383">
        <v>0</v>
      </c>
      <c r="Q104" s="383" t="s">
        <v>98</v>
      </c>
      <c r="R104" s="395"/>
      <c r="S104" s="40" t="s">
        <v>549</v>
      </c>
      <c r="T104" s="40" t="str" cm="1">
        <f t="array" ref="T104">IF(A104&lt;&gt;"",_xlfn.XLOOKUP(_xlfn.XLOOKUP(TRUE,F104:O104&lt;&gt;"",F104:O104,"-",-1,-1),F104:O104,$F$6:$O$6,,,-1),"")</f>
        <v>Add9</v>
      </c>
      <c r="U104" s="395"/>
      <c r="V104" s="399"/>
      <c r="W104" s="399" t="s">
        <v>435</v>
      </c>
      <c r="X104" s="399" t="s">
        <v>574</v>
      </c>
      <c r="Y104" s="52">
        <v>0.5</v>
      </c>
      <c r="Z104" s="401">
        <v>0</v>
      </c>
      <c r="AA104" s="402">
        <f t="shared" si="52"/>
        <v>0</v>
      </c>
      <c r="AB104" s="401">
        <v>0</v>
      </c>
      <c r="AC104" s="402">
        <f t="shared" si="46"/>
        <v>0</v>
      </c>
      <c r="AD104" s="401">
        <v>0</v>
      </c>
      <c r="AE104" s="402">
        <f t="shared" si="47"/>
        <v>0</v>
      </c>
      <c r="AF104" s="401">
        <v>0</v>
      </c>
      <c r="AG104" s="402">
        <f t="shared" si="53"/>
        <v>0</v>
      </c>
      <c r="AH104" s="401">
        <v>0</v>
      </c>
      <c r="AI104" s="402">
        <f t="shared" si="48"/>
        <v>0</v>
      </c>
      <c r="AJ104" s="401">
        <v>0</v>
      </c>
      <c r="AK104" s="402">
        <f t="shared" si="49"/>
        <v>0</v>
      </c>
      <c r="AL104" s="401">
        <v>1</v>
      </c>
      <c r="AM104" s="402">
        <f t="shared" si="50"/>
        <v>0.5</v>
      </c>
      <c r="AN104" s="56">
        <v>0.7</v>
      </c>
      <c r="AO104" s="51">
        <f t="shared" si="51"/>
        <v>0.35</v>
      </c>
      <c r="AP104" s="390"/>
      <c r="AQ104" s="389" t="e">
        <f>A104&amp;B104&amp;C104&amp;D104&amp;E104&amp;#REF!&amp;F104&amp;#REF!&amp;G104&amp;H104</f>
        <v>#REF!</v>
      </c>
      <c r="AR104" s="390"/>
      <c r="AS104" s="390"/>
      <c r="AT104" s="390"/>
      <c r="AU104" s="390"/>
      <c r="AV104" s="390"/>
      <c r="AW104" s="390"/>
      <c r="AX104" s="390"/>
      <c r="AY104" s="390"/>
      <c r="AZ104" s="390"/>
      <c r="BA104" s="390"/>
      <c r="BB104" s="390"/>
      <c r="BC104" s="390"/>
      <c r="BD104" s="390"/>
      <c r="BE104" s="390"/>
      <c r="BF104" s="390"/>
      <c r="BG104" s="390"/>
      <c r="BH104" s="390"/>
      <c r="BI104" s="390"/>
      <c r="BJ104" s="390"/>
      <c r="BK104" s="390"/>
      <c r="BL104" s="37"/>
    </row>
    <row r="105" spans="1:64" s="50" customFormat="1" ht="15" customHeight="1">
      <c r="A105" s="397" t="s">
        <v>593</v>
      </c>
      <c r="B105" s="398" t="s">
        <v>94</v>
      </c>
      <c r="C105" s="397"/>
      <c r="D105" s="397"/>
      <c r="E105" s="389" t="s">
        <v>594</v>
      </c>
      <c r="F105" s="383"/>
      <c r="G105" s="383"/>
      <c r="H105" s="383"/>
      <c r="I105" s="383"/>
      <c r="J105" s="383"/>
      <c r="K105" s="383"/>
      <c r="L105" s="383"/>
      <c r="M105" s="383"/>
      <c r="N105" s="458"/>
      <c r="O105" s="462" t="s">
        <v>97</v>
      </c>
      <c r="P105" s="383">
        <v>0</v>
      </c>
      <c r="Q105" s="383" t="s">
        <v>98</v>
      </c>
      <c r="R105" s="395"/>
      <c r="S105" s="40" t="s">
        <v>549</v>
      </c>
      <c r="T105" s="40" t="str" cm="1">
        <f t="array" ref="T105">IF(A105&lt;&gt;"",_xlfn.XLOOKUP(_xlfn.XLOOKUP(TRUE,F105:O105&lt;&gt;"",F105:O105,"-",-1,-1),F105:O105,$F$6:$O$6,,,-1),"")</f>
        <v>Add9</v>
      </c>
      <c r="U105" s="395"/>
      <c r="V105" s="399"/>
      <c r="W105" s="399" t="s">
        <v>435</v>
      </c>
      <c r="X105" s="399" t="s">
        <v>574</v>
      </c>
      <c r="Y105" s="52">
        <v>0.5</v>
      </c>
      <c r="Z105" s="401">
        <v>0</v>
      </c>
      <c r="AA105" s="402">
        <f t="shared" si="52"/>
        <v>0</v>
      </c>
      <c r="AB105" s="401">
        <v>0</v>
      </c>
      <c r="AC105" s="402">
        <f t="shared" si="46"/>
        <v>0</v>
      </c>
      <c r="AD105" s="401">
        <v>0</v>
      </c>
      <c r="AE105" s="402">
        <f t="shared" si="47"/>
        <v>0</v>
      </c>
      <c r="AF105" s="401">
        <v>0</v>
      </c>
      <c r="AG105" s="402">
        <f t="shared" si="53"/>
        <v>0</v>
      </c>
      <c r="AH105" s="401">
        <v>0</v>
      </c>
      <c r="AI105" s="402">
        <f t="shared" si="48"/>
        <v>0</v>
      </c>
      <c r="AJ105" s="401">
        <v>0</v>
      </c>
      <c r="AK105" s="402">
        <f t="shared" si="49"/>
        <v>0</v>
      </c>
      <c r="AL105" s="401">
        <v>1</v>
      </c>
      <c r="AM105" s="402">
        <f t="shared" si="50"/>
        <v>0.5</v>
      </c>
      <c r="AN105" s="56">
        <v>0.7</v>
      </c>
      <c r="AO105" s="51">
        <f t="shared" si="51"/>
        <v>0.35</v>
      </c>
      <c r="AP105" s="390"/>
      <c r="AQ105" s="389" t="e">
        <f>A105&amp;B105&amp;C105&amp;D105&amp;E105&amp;#REF!&amp;F105&amp;#REF!&amp;G105&amp;H105</f>
        <v>#REF!</v>
      </c>
      <c r="AR105" s="390"/>
      <c r="AS105" s="390"/>
      <c r="AT105" s="390"/>
      <c r="AU105" s="390"/>
      <c r="AV105" s="390"/>
      <c r="AW105" s="390"/>
      <c r="AX105" s="390"/>
      <c r="AY105" s="390"/>
      <c r="AZ105" s="390"/>
      <c r="BA105" s="390"/>
      <c r="BB105" s="390"/>
      <c r="BC105" s="390"/>
      <c r="BD105" s="390"/>
      <c r="BE105" s="390"/>
      <c r="BF105" s="390"/>
      <c r="BG105" s="390"/>
      <c r="BH105" s="390"/>
      <c r="BI105" s="390"/>
      <c r="BJ105" s="390"/>
      <c r="BK105" s="390"/>
      <c r="BL105" s="37"/>
    </row>
    <row r="106" spans="1:64" s="50" customFormat="1" ht="15" customHeight="1">
      <c r="A106" s="397" t="s">
        <v>595</v>
      </c>
      <c r="B106" s="398" t="s">
        <v>94</v>
      </c>
      <c r="C106" s="397"/>
      <c r="D106" s="397"/>
      <c r="E106" s="389" t="s">
        <v>596</v>
      </c>
      <c r="F106" s="383"/>
      <c r="G106" s="383"/>
      <c r="H106" s="383"/>
      <c r="I106" s="383"/>
      <c r="J106" s="383"/>
      <c r="K106" s="383"/>
      <c r="L106" s="383"/>
      <c r="M106" s="383"/>
      <c r="N106" s="458"/>
      <c r="O106" s="462" t="s">
        <v>97</v>
      </c>
      <c r="P106" s="383">
        <v>0</v>
      </c>
      <c r="Q106" s="383" t="s">
        <v>98</v>
      </c>
      <c r="R106" s="395"/>
      <c r="S106" s="40" t="s">
        <v>549</v>
      </c>
      <c r="T106" s="40" t="str" cm="1">
        <f t="array" ref="T106">IF(A106&lt;&gt;"",_xlfn.XLOOKUP(_xlfn.XLOOKUP(TRUE,F106:O106&lt;&gt;"",F106:O106,"-",-1,-1),F106:O106,$F$6:$O$6,,,-1),"")</f>
        <v>Add9</v>
      </c>
      <c r="U106" s="395"/>
      <c r="V106" s="399"/>
      <c r="W106" s="399" t="s">
        <v>435</v>
      </c>
      <c r="X106" s="399" t="s">
        <v>574</v>
      </c>
      <c r="Y106" s="52">
        <v>0.5</v>
      </c>
      <c r="Z106" s="401">
        <v>0</v>
      </c>
      <c r="AA106" s="402">
        <f t="shared" si="52"/>
        <v>0</v>
      </c>
      <c r="AB106" s="401">
        <v>0</v>
      </c>
      <c r="AC106" s="402">
        <f t="shared" si="46"/>
        <v>0</v>
      </c>
      <c r="AD106" s="401">
        <v>0</v>
      </c>
      <c r="AE106" s="402">
        <f t="shared" si="47"/>
        <v>0</v>
      </c>
      <c r="AF106" s="401">
        <v>0</v>
      </c>
      <c r="AG106" s="402">
        <f t="shared" si="53"/>
        <v>0</v>
      </c>
      <c r="AH106" s="401">
        <v>0</v>
      </c>
      <c r="AI106" s="402">
        <f t="shared" si="48"/>
        <v>0</v>
      </c>
      <c r="AJ106" s="401">
        <v>0</v>
      </c>
      <c r="AK106" s="402">
        <f t="shared" si="49"/>
        <v>0</v>
      </c>
      <c r="AL106" s="401">
        <v>1</v>
      </c>
      <c r="AM106" s="402">
        <f t="shared" si="50"/>
        <v>0.5</v>
      </c>
      <c r="AN106" s="56">
        <v>0.7</v>
      </c>
      <c r="AO106" s="51">
        <f t="shared" si="51"/>
        <v>0.35</v>
      </c>
      <c r="AP106" s="390"/>
      <c r="AQ106" s="389" t="e">
        <f>A106&amp;B106&amp;C106&amp;D106&amp;E106&amp;#REF!&amp;F106&amp;#REF!&amp;G106&amp;H106</f>
        <v>#REF!</v>
      </c>
      <c r="AR106" s="390"/>
      <c r="AS106" s="390"/>
      <c r="AT106" s="390"/>
      <c r="AU106" s="390"/>
      <c r="AV106" s="390"/>
      <c r="AW106" s="390"/>
      <c r="AX106" s="390"/>
      <c r="AY106" s="390"/>
      <c r="AZ106" s="390"/>
      <c r="BA106" s="390"/>
      <c r="BB106" s="390"/>
      <c r="BC106" s="390"/>
      <c r="BD106" s="390"/>
      <c r="BE106" s="390"/>
      <c r="BF106" s="390"/>
      <c r="BG106" s="390"/>
      <c r="BH106" s="390"/>
      <c r="BI106" s="390"/>
      <c r="BJ106" s="390"/>
      <c r="BK106" s="390"/>
      <c r="BL106" s="37"/>
    </row>
    <row r="107" spans="1:64" s="50" customFormat="1" ht="15" customHeight="1">
      <c r="A107" s="397" t="s">
        <v>597</v>
      </c>
      <c r="B107" s="398" t="s">
        <v>94</v>
      </c>
      <c r="C107" s="397"/>
      <c r="D107" s="397"/>
      <c r="E107" s="389" t="s">
        <v>598</v>
      </c>
      <c r="F107" s="383"/>
      <c r="G107" s="383"/>
      <c r="H107" s="383"/>
      <c r="I107" s="383"/>
      <c r="J107" s="383"/>
      <c r="K107" s="383"/>
      <c r="L107" s="383"/>
      <c r="M107" s="383"/>
      <c r="N107" s="458"/>
      <c r="O107" s="462" t="s">
        <v>97</v>
      </c>
      <c r="P107" s="383">
        <v>0</v>
      </c>
      <c r="Q107" s="383" t="s">
        <v>98</v>
      </c>
      <c r="R107" s="395"/>
      <c r="S107" s="40" t="s">
        <v>549</v>
      </c>
      <c r="T107" s="40" t="str" cm="1">
        <f t="array" ref="T107">IF(A107&lt;&gt;"",_xlfn.XLOOKUP(_xlfn.XLOOKUP(TRUE,F107:O107&lt;&gt;"",F107:O107,"-",-1,-1),F107:O107,$F$6:$O$6,,,-1),"")</f>
        <v>Add9</v>
      </c>
      <c r="U107" s="395"/>
      <c r="V107" s="399"/>
      <c r="W107" s="399" t="s">
        <v>435</v>
      </c>
      <c r="X107" s="399" t="s">
        <v>574</v>
      </c>
      <c r="Y107" s="52">
        <v>0.5</v>
      </c>
      <c r="Z107" s="401">
        <v>0</v>
      </c>
      <c r="AA107" s="402">
        <f t="shared" si="52"/>
        <v>0</v>
      </c>
      <c r="AB107" s="401">
        <v>0</v>
      </c>
      <c r="AC107" s="402">
        <f t="shared" si="46"/>
        <v>0</v>
      </c>
      <c r="AD107" s="401">
        <v>0</v>
      </c>
      <c r="AE107" s="402">
        <f t="shared" si="47"/>
        <v>0</v>
      </c>
      <c r="AF107" s="401">
        <v>0</v>
      </c>
      <c r="AG107" s="402">
        <f t="shared" si="53"/>
        <v>0</v>
      </c>
      <c r="AH107" s="401">
        <v>0</v>
      </c>
      <c r="AI107" s="402">
        <f t="shared" si="48"/>
        <v>0</v>
      </c>
      <c r="AJ107" s="401">
        <v>0</v>
      </c>
      <c r="AK107" s="402">
        <f t="shared" si="49"/>
        <v>0</v>
      </c>
      <c r="AL107" s="401">
        <v>1</v>
      </c>
      <c r="AM107" s="402">
        <f t="shared" si="50"/>
        <v>0.5</v>
      </c>
      <c r="AN107" s="56">
        <v>0.7</v>
      </c>
      <c r="AO107" s="51">
        <f t="shared" si="51"/>
        <v>0.35</v>
      </c>
      <c r="AP107" s="390"/>
      <c r="AQ107" s="389" t="e">
        <f>A107&amp;B107&amp;C107&amp;D107&amp;E107&amp;#REF!&amp;F107&amp;#REF!&amp;G107&amp;H107</f>
        <v>#REF!</v>
      </c>
      <c r="AR107" s="390"/>
      <c r="AS107" s="390"/>
      <c r="AT107" s="390"/>
      <c r="AU107" s="390"/>
      <c r="AV107" s="390"/>
      <c r="AW107" s="390"/>
      <c r="AX107" s="390"/>
      <c r="AY107" s="390"/>
      <c r="AZ107" s="390"/>
      <c r="BA107" s="390"/>
      <c r="BB107" s="390"/>
      <c r="BC107" s="390"/>
      <c r="BD107" s="390"/>
      <c r="BE107" s="390"/>
      <c r="BF107" s="390"/>
      <c r="BG107" s="390"/>
      <c r="BH107" s="390"/>
      <c r="BI107" s="390"/>
      <c r="BJ107" s="390"/>
      <c r="BK107" s="390"/>
      <c r="BL107" s="37"/>
    </row>
    <row r="108" spans="1:64" s="50" customFormat="1" ht="15" customHeight="1">
      <c r="A108" s="397" t="s">
        <v>599</v>
      </c>
      <c r="B108" s="398" t="s">
        <v>94</v>
      </c>
      <c r="C108" s="397"/>
      <c r="D108" s="397"/>
      <c r="E108" s="389" t="s">
        <v>600</v>
      </c>
      <c r="F108" s="383"/>
      <c r="G108" s="383"/>
      <c r="H108" s="383"/>
      <c r="I108" s="383"/>
      <c r="J108" s="383"/>
      <c r="K108" s="383"/>
      <c r="L108" s="383"/>
      <c r="M108" s="383"/>
      <c r="N108" s="458"/>
      <c r="O108" s="462" t="s">
        <v>97</v>
      </c>
      <c r="P108" s="383">
        <v>0</v>
      </c>
      <c r="Q108" s="383" t="s">
        <v>98</v>
      </c>
      <c r="R108" s="395"/>
      <c r="S108" s="40" t="s">
        <v>549</v>
      </c>
      <c r="T108" s="40" t="str" cm="1">
        <f t="array" ref="T108">IF(A108&lt;&gt;"",_xlfn.XLOOKUP(_xlfn.XLOOKUP(TRUE,F108:O108&lt;&gt;"",F108:O108,"-",-1,-1),F108:O108,$F$6:$O$6,,,-1),"")</f>
        <v>Add9</v>
      </c>
      <c r="U108" s="395"/>
      <c r="V108" s="399"/>
      <c r="W108" s="399" t="s">
        <v>435</v>
      </c>
      <c r="X108" s="399" t="s">
        <v>574</v>
      </c>
      <c r="Y108" s="52">
        <v>0.5</v>
      </c>
      <c r="Z108" s="401">
        <v>0</v>
      </c>
      <c r="AA108" s="402">
        <f t="shared" si="52"/>
        <v>0</v>
      </c>
      <c r="AB108" s="401">
        <v>0</v>
      </c>
      <c r="AC108" s="402">
        <f t="shared" si="46"/>
        <v>0</v>
      </c>
      <c r="AD108" s="401">
        <v>0</v>
      </c>
      <c r="AE108" s="402">
        <f t="shared" si="47"/>
        <v>0</v>
      </c>
      <c r="AF108" s="401">
        <v>0</v>
      </c>
      <c r="AG108" s="402">
        <f t="shared" si="53"/>
        <v>0</v>
      </c>
      <c r="AH108" s="401">
        <v>0</v>
      </c>
      <c r="AI108" s="402">
        <f t="shared" si="48"/>
        <v>0</v>
      </c>
      <c r="AJ108" s="401">
        <v>0</v>
      </c>
      <c r="AK108" s="402">
        <f t="shared" si="49"/>
        <v>0</v>
      </c>
      <c r="AL108" s="401">
        <v>1</v>
      </c>
      <c r="AM108" s="402">
        <f t="shared" si="50"/>
        <v>0.5</v>
      </c>
      <c r="AN108" s="56">
        <v>0.7</v>
      </c>
      <c r="AO108" s="51">
        <f t="shared" si="51"/>
        <v>0.35</v>
      </c>
      <c r="AP108" s="390"/>
      <c r="AQ108" s="389" t="e">
        <f>A108&amp;B108&amp;C108&amp;D108&amp;E108&amp;#REF!&amp;F108&amp;#REF!&amp;G108&amp;H108</f>
        <v>#REF!</v>
      </c>
      <c r="AR108" s="390"/>
      <c r="AS108" s="390"/>
      <c r="AT108" s="390"/>
      <c r="AU108" s="390"/>
      <c r="AV108" s="390"/>
      <c r="AW108" s="390"/>
      <c r="AX108" s="390"/>
      <c r="AY108" s="390"/>
      <c r="AZ108" s="390"/>
      <c r="BA108" s="390"/>
      <c r="BB108" s="390"/>
      <c r="BC108" s="390"/>
      <c r="BD108" s="390"/>
      <c r="BE108" s="390"/>
      <c r="BF108" s="390"/>
      <c r="BG108" s="390"/>
      <c r="BH108" s="390"/>
      <c r="BI108" s="390"/>
      <c r="BJ108" s="390"/>
      <c r="BK108" s="390"/>
      <c r="BL108" s="37"/>
    </row>
    <row r="109" spans="1:64" s="50" customFormat="1" ht="15" customHeight="1">
      <c r="A109" s="397" t="s">
        <v>601</v>
      </c>
      <c r="B109" s="398" t="s">
        <v>94</v>
      </c>
      <c r="C109" s="397"/>
      <c r="D109" s="397"/>
      <c r="E109" s="389" t="s">
        <v>602</v>
      </c>
      <c r="F109" s="383"/>
      <c r="G109" s="383"/>
      <c r="H109" s="383"/>
      <c r="I109" s="383"/>
      <c r="J109" s="383"/>
      <c r="K109" s="383"/>
      <c r="L109" s="383"/>
      <c r="M109" s="383"/>
      <c r="N109" s="458"/>
      <c r="O109" s="462" t="s">
        <v>97</v>
      </c>
      <c r="P109" s="383">
        <v>0</v>
      </c>
      <c r="Q109" s="383" t="s">
        <v>98</v>
      </c>
      <c r="R109" s="395"/>
      <c r="S109" s="40" t="s">
        <v>549</v>
      </c>
      <c r="T109" s="40" t="str" cm="1">
        <f t="array" ref="T109">IF(A109&lt;&gt;"",_xlfn.XLOOKUP(_xlfn.XLOOKUP(TRUE,F109:O109&lt;&gt;"",F109:O109,"-",-1,-1),F109:O109,$F$6:$O$6,,,-1),"")</f>
        <v>Add9</v>
      </c>
      <c r="U109" s="395"/>
      <c r="V109" s="399"/>
      <c r="W109" s="399" t="s">
        <v>435</v>
      </c>
      <c r="X109" s="399" t="s">
        <v>574</v>
      </c>
      <c r="Y109" s="400">
        <v>0.5</v>
      </c>
      <c r="Z109" s="401">
        <v>0</v>
      </c>
      <c r="AA109" s="402">
        <f t="shared" ref="AA109:AA114" si="54">$Y109*Z109</f>
        <v>0</v>
      </c>
      <c r="AB109" s="401">
        <v>0</v>
      </c>
      <c r="AC109" s="402">
        <f t="shared" ref="AC109:AC114" si="55">Y109*AB109</f>
        <v>0</v>
      </c>
      <c r="AD109" s="401">
        <v>0</v>
      </c>
      <c r="AE109" s="402">
        <f t="shared" ref="AE109:AE114" si="56">$Y109*AD109</f>
        <v>0</v>
      </c>
      <c r="AF109" s="401">
        <v>0</v>
      </c>
      <c r="AG109" s="402">
        <f t="shared" ref="AG109:AG114" si="57">Y109*AF109</f>
        <v>0</v>
      </c>
      <c r="AH109" s="401">
        <v>0</v>
      </c>
      <c r="AI109" s="402">
        <f t="shared" ref="AI109:AI114" si="58">$Y109*AH109</f>
        <v>0</v>
      </c>
      <c r="AJ109" s="401">
        <v>0</v>
      </c>
      <c r="AK109" s="402">
        <f t="shared" ref="AK109:AK114" si="59">$Y$10*AJ109</f>
        <v>0</v>
      </c>
      <c r="AL109" s="401">
        <v>1</v>
      </c>
      <c r="AM109" s="402">
        <f t="shared" ref="AM109:AM114" si="60">$Y109*AL109</f>
        <v>0.5</v>
      </c>
      <c r="AN109" s="401">
        <v>0.7</v>
      </c>
      <c r="AO109" s="402">
        <f t="shared" ref="AO109:AO114" si="61">Y109*AN109</f>
        <v>0.35</v>
      </c>
      <c r="AP109" s="390"/>
      <c r="AQ109" s="389" t="e">
        <f>A109&amp;B109&amp;C109&amp;D109&amp;E109&amp;#REF!&amp;F109&amp;#REF!&amp;G109&amp;H109</f>
        <v>#REF!</v>
      </c>
      <c r="AR109" s="390"/>
      <c r="AS109" s="390"/>
      <c r="AT109" s="390"/>
      <c r="AU109" s="390"/>
      <c r="AV109" s="390"/>
      <c r="AW109" s="390"/>
      <c r="AX109" s="390"/>
      <c r="AY109" s="390"/>
      <c r="AZ109" s="390"/>
      <c r="BA109" s="390"/>
      <c r="BB109" s="390"/>
      <c r="BC109" s="390"/>
      <c r="BD109" s="390"/>
      <c r="BE109" s="390"/>
      <c r="BF109" s="390"/>
      <c r="BG109" s="390"/>
      <c r="BH109" s="390"/>
      <c r="BI109" s="390"/>
      <c r="BJ109" s="390"/>
      <c r="BK109" s="390"/>
      <c r="BL109" s="37"/>
    </row>
    <row r="110" spans="1:64" s="50" customFormat="1" ht="15" customHeight="1">
      <c r="A110" s="397" t="s">
        <v>603</v>
      </c>
      <c r="B110" s="398" t="s">
        <v>94</v>
      </c>
      <c r="C110" s="397"/>
      <c r="D110" s="397"/>
      <c r="E110" s="389" t="s">
        <v>604</v>
      </c>
      <c r="F110" s="383"/>
      <c r="G110" s="383"/>
      <c r="H110" s="383"/>
      <c r="I110" s="383"/>
      <c r="J110" s="383"/>
      <c r="K110" s="383"/>
      <c r="L110" s="383"/>
      <c r="M110" s="383"/>
      <c r="N110" s="458"/>
      <c r="O110" s="462" t="s">
        <v>97</v>
      </c>
      <c r="P110" s="383">
        <v>0</v>
      </c>
      <c r="Q110" s="383" t="s">
        <v>98</v>
      </c>
      <c r="R110" s="395"/>
      <c r="S110" s="40" t="s">
        <v>549</v>
      </c>
      <c r="T110" s="40" t="str" cm="1">
        <f t="array" ref="T110">IF(A110&lt;&gt;"",_xlfn.XLOOKUP(_xlfn.XLOOKUP(TRUE,F110:O110&lt;&gt;"",F110:O110,"-",-1,-1),F110:O110,$F$6:$O$6,,,-1),"")</f>
        <v>Add9</v>
      </c>
      <c r="U110" s="395"/>
      <c r="V110" s="399"/>
      <c r="W110" s="399" t="s">
        <v>435</v>
      </c>
      <c r="X110" s="399" t="s">
        <v>574</v>
      </c>
      <c r="Y110" s="400">
        <v>0.5</v>
      </c>
      <c r="Z110" s="401">
        <v>0</v>
      </c>
      <c r="AA110" s="402">
        <f t="shared" si="54"/>
        <v>0</v>
      </c>
      <c r="AB110" s="401">
        <v>0</v>
      </c>
      <c r="AC110" s="402">
        <f t="shared" si="55"/>
        <v>0</v>
      </c>
      <c r="AD110" s="401">
        <v>0</v>
      </c>
      <c r="AE110" s="402">
        <f t="shared" si="56"/>
        <v>0</v>
      </c>
      <c r="AF110" s="401">
        <v>0</v>
      </c>
      <c r="AG110" s="402">
        <f t="shared" si="57"/>
        <v>0</v>
      </c>
      <c r="AH110" s="401">
        <v>0</v>
      </c>
      <c r="AI110" s="402">
        <f t="shared" si="58"/>
        <v>0</v>
      </c>
      <c r="AJ110" s="401">
        <v>0</v>
      </c>
      <c r="AK110" s="402">
        <f t="shared" si="59"/>
        <v>0</v>
      </c>
      <c r="AL110" s="401">
        <v>1</v>
      </c>
      <c r="AM110" s="402">
        <f t="shared" si="60"/>
        <v>0.5</v>
      </c>
      <c r="AN110" s="401">
        <v>0.7</v>
      </c>
      <c r="AO110" s="402">
        <f t="shared" si="61"/>
        <v>0.35</v>
      </c>
      <c r="AP110" s="390"/>
      <c r="AQ110" s="389" t="e">
        <f>A110&amp;B110&amp;C110&amp;D110&amp;E110&amp;#REF!&amp;F110&amp;#REF!&amp;G110&amp;H110</f>
        <v>#REF!</v>
      </c>
      <c r="AR110" s="390"/>
      <c r="AS110" s="390"/>
      <c r="AT110" s="390"/>
      <c r="AU110" s="390"/>
      <c r="AV110" s="390"/>
      <c r="AW110" s="390"/>
      <c r="AX110" s="390"/>
      <c r="AY110" s="390"/>
      <c r="AZ110" s="390"/>
      <c r="BA110" s="390"/>
      <c r="BB110" s="390"/>
      <c r="BC110" s="390"/>
      <c r="BD110" s="390"/>
      <c r="BE110" s="390"/>
      <c r="BF110" s="390"/>
      <c r="BG110" s="390"/>
      <c r="BH110" s="390"/>
      <c r="BI110" s="390"/>
      <c r="BJ110" s="390"/>
      <c r="BK110" s="390"/>
      <c r="BL110" s="37"/>
    </row>
    <row r="111" spans="1:64" s="50" customFormat="1" ht="15" customHeight="1">
      <c r="A111" s="397" t="s">
        <v>605</v>
      </c>
      <c r="B111" s="398" t="s">
        <v>94</v>
      </c>
      <c r="C111" s="397"/>
      <c r="D111" s="397"/>
      <c r="E111" s="389" t="s">
        <v>606</v>
      </c>
      <c r="F111" s="383"/>
      <c r="G111" s="383"/>
      <c r="H111" s="383"/>
      <c r="I111" s="383"/>
      <c r="J111" s="383"/>
      <c r="K111" s="383"/>
      <c r="L111" s="383"/>
      <c r="M111" s="383"/>
      <c r="N111" s="458"/>
      <c r="O111" s="462" t="s">
        <v>97</v>
      </c>
      <c r="P111" s="383">
        <v>0</v>
      </c>
      <c r="Q111" s="383" t="s">
        <v>98</v>
      </c>
      <c r="R111" s="395"/>
      <c r="S111" s="40" t="s">
        <v>549</v>
      </c>
      <c r="T111" s="40" t="str" cm="1">
        <f t="array" ref="T111">IF(A111&lt;&gt;"",_xlfn.XLOOKUP(_xlfn.XLOOKUP(TRUE,F111:O111&lt;&gt;"",F111:O111,"-",-1,-1),F111:O111,$F$6:$O$6,,,-1),"")</f>
        <v>Add9</v>
      </c>
      <c r="U111" s="395"/>
      <c r="V111" s="399"/>
      <c r="W111" s="399" t="s">
        <v>435</v>
      </c>
      <c r="X111" s="399" t="s">
        <v>574</v>
      </c>
      <c r="Y111" s="400">
        <v>0.5</v>
      </c>
      <c r="Z111" s="401">
        <v>0</v>
      </c>
      <c r="AA111" s="402">
        <f t="shared" si="54"/>
        <v>0</v>
      </c>
      <c r="AB111" s="401">
        <v>0</v>
      </c>
      <c r="AC111" s="402">
        <f t="shared" si="55"/>
        <v>0</v>
      </c>
      <c r="AD111" s="401">
        <v>0</v>
      </c>
      <c r="AE111" s="402">
        <f t="shared" si="56"/>
        <v>0</v>
      </c>
      <c r="AF111" s="401">
        <v>0</v>
      </c>
      <c r="AG111" s="402">
        <f t="shared" si="57"/>
        <v>0</v>
      </c>
      <c r="AH111" s="401">
        <v>0</v>
      </c>
      <c r="AI111" s="402">
        <f t="shared" si="58"/>
        <v>0</v>
      </c>
      <c r="AJ111" s="401">
        <v>0</v>
      </c>
      <c r="AK111" s="402">
        <f t="shared" si="59"/>
        <v>0</v>
      </c>
      <c r="AL111" s="401">
        <v>1</v>
      </c>
      <c r="AM111" s="402">
        <f t="shared" si="60"/>
        <v>0.5</v>
      </c>
      <c r="AN111" s="401">
        <v>0.7</v>
      </c>
      <c r="AO111" s="402">
        <f t="shared" si="61"/>
        <v>0.35</v>
      </c>
      <c r="AP111" s="390"/>
      <c r="AQ111" s="389" t="e">
        <f>A111&amp;B111&amp;C111&amp;D111&amp;E111&amp;#REF!&amp;F111&amp;#REF!&amp;G111&amp;H111</f>
        <v>#REF!</v>
      </c>
      <c r="AR111" s="390"/>
      <c r="AS111" s="390"/>
      <c r="AT111" s="390"/>
      <c r="AU111" s="390"/>
      <c r="AV111" s="390"/>
      <c r="AW111" s="390"/>
      <c r="AX111" s="390"/>
      <c r="AY111" s="390"/>
      <c r="AZ111" s="390"/>
      <c r="BA111" s="390"/>
      <c r="BB111" s="390"/>
      <c r="BC111" s="390"/>
      <c r="BD111" s="390"/>
      <c r="BE111" s="390"/>
      <c r="BF111" s="390"/>
      <c r="BG111" s="390"/>
      <c r="BH111" s="390"/>
      <c r="BI111" s="390"/>
      <c r="BJ111" s="390"/>
      <c r="BK111" s="390"/>
      <c r="BL111" s="37"/>
    </row>
    <row r="112" spans="1:64" s="50" customFormat="1" ht="15" customHeight="1">
      <c r="A112" s="397" t="s">
        <v>607</v>
      </c>
      <c r="B112" s="398" t="s">
        <v>94</v>
      </c>
      <c r="C112" s="397"/>
      <c r="D112" s="397"/>
      <c r="E112" s="389" t="s">
        <v>608</v>
      </c>
      <c r="F112" s="383"/>
      <c r="G112" s="383"/>
      <c r="H112" s="383"/>
      <c r="I112" s="383"/>
      <c r="J112" s="383"/>
      <c r="K112" s="383"/>
      <c r="L112" s="383"/>
      <c r="M112" s="383"/>
      <c r="N112" s="458"/>
      <c r="O112" s="462" t="s">
        <v>97</v>
      </c>
      <c r="P112" s="383">
        <v>0</v>
      </c>
      <c r="Q112" s="383" t="s">
        <v>98</v>
      </c>
      <c r="R112" s="395"/>
      <c r="S112" s="40" t="s">
        <v>549</v>
      </c>
      <c r="T112" s="40" t="str" cm="1">
        <f t="array" ref="T112">IF(A112&lt;&gt;"",_xlfn.XLOOKUP(_xlfn.XLOOKUP(TRUE,F112:O112&lt;&gt;"",F112:O112,"-",-1,-1),F112:O112,$F$6:$O$6,,,-1),"")</f>
        <v>Add9</v>
      </c>
      <c r="U112" s="395"/>
      <c r="V112" s="399"/>
      <c r="W112" s="399" t="s">
        <v>435</v>
      </c>
      <c r="X112" s="399" t="s">
        <v>574</v>
      </c>
      <c r="Y112" s="400">
        <v>0.5</v>
      </c>
      <c r="Z112" s="401">
        <v>0</v>
      </c>
      <c r="AA112" s="402">
        <f t="shared" si="54"/>
        <v>0</v>
      </c>
      <c r="AB112" s="401">
        <v>0</v>
      </c>
      <c r="AC112" s="402">
        <f t="shared" si="55"/>
        <v>0</v>
      </c>
      <c r="AD112" s="401">
        <v>0</v>
      </c>
      <c r="AE112" s="402">
        <f t="shared" si="56"/>
        <v>0</v>
      </c>
      <c r="AF112" s="401">
        <v>0</v>
      </c>
      <c r="AG112" s="402">
        <f t="shared" si="57"/>
        <v>0</v>
      </c>
      <c r="AH112" s="401">
        <v>0</v>
      </c>
      <c r="AI112" s="402">
        <f t="shared" si="58"/>
        <v>0</v>
      </c>
      <c r="AJ112" s="401">
        <v>0</v>
      </c>
      <c r="AK112" s="402">
        <f t="shared" si="59"/>
        <v>0</v>
      </c>
      <c r="AL112" s="401">
        <v>1</v>
      </c>
      <c r="AM112" s="402">
        <f t="shared" si="60"/>
        <v>0.5</v>
      </c>
      <c r="AN112" s="401">
        <v>0.7</v>
      </c>
      <c r="AO112" s="402">
        <f t="shared" si="61"/>
        <v>0.35</v>
      </c>
      <c r="AP112" s="390"/>
      <c r="AQ112" s="389" t="e">
        <f>A112&amp;B112&amp;C112&amp;D112&amp;E112&amp;#REF!&amp;F112&amp;#REF!&amp;G112&amp;H112</f>
        <v>#REF!</v>
      </c>
      <c r="AR112" s="390"/>
      <c r="AS112" s="390"/>
      <c r="AT112" s="390"/>
      <c r="AU112" s="390"/>
      <c r="AV112" s="390"/>
      <c r="AW112" s="390"/>
      <c r="AX112" s="390"/>
      <c r="AY112" s="390"/>
      <c r="AZ112" s="390"/>
      <c r="BA112" s="390"/>
      <c r="BB112" s="390"/>
      <c r="BC112" s="390"/>
      <c r="BD112" s="390"/>
      <c r="BE112" s="390"/>
      <c r="BF112" s="390"/>
      <c r="BG112" s="390"/>
      <c r="BH112" s="390"/>
      <c r="BI112" s="390"/>
      <c r="BJ112" s="390"/>
      <c r="BK112" s="390"/>
      <c r="BL112" s="37"/>
    </row>
    <row r="113" spans="1:64" s="50" customFormat="1" ht="15" customHeight="1">
      <c r="A113" s="397" t="s">
        <v>609</v>
      </c>
      <c r="B113" s="398" t="s">
        <v>94</v>
      </c>
      <c r="C113" s="397"/>
      <c r="D113" s="397"/>
      <c r="E113" s="389" t="s">
        <v>610</v>
      </c>
      <c r="F113" s="383"/>
      <c r="G113" s="383"/>
      <c r="H113" s="383"/>
      <c r="I113" s="383"/>
      <c r="J113" s="383"/>
      <c r="K113" s="383"/>
      <c r="L113" s="383"/>
      <c r="M113" s="383"/>
      <c r="N113" s="458"/>
      <c r="O113" s="462" t="s">
        <v>97</v>
      </c>
      <c r="P113" s="383">
        <v>0</v>
      </c>
      <c r="Q113" s="383" t="s">
        <v>98</v>
      </c>
      <c r="R113" s="395"/>
      <c r="S113" s="40" t="s">
        <v>549</v>
      </c>
      <c r="T113" s="40" t="str" cm="1">
        <f t="array" ref="T113">IF(A113&lt;&gt;"",_xlfn.XLOOKUP(_xlfn.XLOOKUP(TRUE,F113:O113&lt;&gt;"",F113:O113,"-",-1,-1),F113:O113,$F$6:$O$6,,,-1),"")</f>
        <v>Add9</v>
      </c>
      <c r="U113" s="395"/>
      <c r="V113" s="399"/>
      <c r="W113" s="399" t="s">
        <v>435</v>
      </c>
      <c r="X113" s="399" t="s">
        <v>574</v>
      </c>
      <c r="Y113" s="400">
        <v>0.5</v>
      </c>
      <c r="Z113" s="401">
        <v>0</v>
      </c>
      <c r="AA113" s="402">
        <f t="shared" si="54"/>
        <v>0</v>
      </c>
      <c r="AB113" s="401">
        <v>0</v>
      </c>
      <c r="AC113" s="402">
        <f t="shared" si="55"/>
        <v>0</v>
      </c>
      <c r="AD113" s="401">
        <v>0</v>
      </c>
      <c r="AE113" s="402">
        <f t="shared" si="56"/>
        <v>0</v>
      </c>
      <c r="AF113" s="401">
        <v>0</v>
      </c>
      <c r="AG113" s="402">
        <f t="shared" si="57"/>
        <v>0</v>
      </c>
      <c r="AH113" s="401">
        <v>0</v>
      </c>
      <c r="AI113" s="402">
        <f t="shared" si="58"/>
        <v>0</v>
      </c>
      <c r="AJ113" s="401">
        <v>0</v>
      </c>
      <c r="AK113" s="402">
        <f t="shared" si="59"/>
        <v>0</v>
      </c>
      <c r="AL113" s="401">
        <v>1</v>
      </c>
      <c r="AM113" s="402">
        <f t="shared" si="60"/>
        <v>0.5</v>
      </c>
      <c r="AN113" s="401">
        <v>0.7</v>
      </c>
      <c r="AO113" s="402">
        <f t="shared" si="61"/>
        <v>0.35</v>
      </c>
      <c r="AP113" s="390"/>
      <c r="AQ113" s="389" t="e">
        <f>A113&amp;B113&amp;C113&amp;D113&amp;E113&amp;#REF!&amp;F113&amp;#REF!&amp;G113&amp;H113</f>
        <v>#REF!</v>
      </c>
      <c r="AR113" s="390"/>
      <c r="AS113" s="390"/>
      <c r="AT113" s="390"/>
      <c r="AU113" s="390"/>
      <c r="AV113" s="390"/>
      <c r="AW113" s="390"/>
      <c r="AX113" s="390"/>
      <c r="AY113" s="390"/>
      <c r="AZ113" s="390"/>
      <c r="BA113" s="390"/>
      <c r="BB113" s="390"/>
      <c r="BC113" s="390"/>
      <c r="BD113" s="390"/>
      <c r="BE113" s="390"/>
      <c r="BF113" s="390"/>
      <c r="BG113" s="390"/>
      <c r="BH113" s="390"/>
      <c r="BI113" s="390"/>
      <c r="BJ113" s="390"/>
      <c r="BK113" s="390"/>
      <c r="BL113" s="37"/>
    </row>
    <row r="114" spans="1:64" s="50" customFormat="1" ht="15" customHeight="1">
      <c r="A114" s="397" t="s">
        <v>611</v>
      </c>
      <c r="B114" s="398" t="s">
        <v>94</v>
      </c>
      <c r="C114" s="397"/>
      <c r="D114" s="397"/>
      <c r="E114" s="389" t="s">
        <v>612</v>
      </c>
      <c r="F114" s="383"/>
      <c r="G114" s="383"/>
      <c r="H114" s="383"/>
      <c r="I114" s="383"/>
      <c r="J114" s="383"/>
      <c r="K114" s="383"/>
      <c r="L114" s="383"/>
      <c r="M114" s="383"/>
      <c r="N114" s="458"/>
      <c r="O114" s="462" t="s">
        <v>97</v>
      </c>
      <c r="P114" s="383">
        <v>0</v>
      </c>
      <c r="Q114" s="383" t="s">
        <v>98</v>
      </c>
      <c r="R114" s="395"/>
      <c r="S114" s="40" t="s">
        <v>549</v>
      </c>
      <c r="T114" s="40" t="str" cm="1">
        <f t="array" ref="T114">IF(A114&lt;&gt;"",_xlfn.XLOOKUP(_xlfn.XLOOKUP(TRUE,F114:O114&lt;&gt;"",F114:O114,"-",-1,-1),F114:O114,$F$6:$O$6,,,-1),"")</f>
        <v>Add9</v>
      </c>
      <c r="U114" s="395"/>
      <c r="V114" s="399"/>
      <c r="W114" s="399" t="s">
        <v>435</v>
      </c>
      <c r="X114" s="399" t="s">
        <v>574</v>
      </c>
      <c r="Y114" s="400">
        <v>0.5</v>
      </c>
      <c r="Z114" s="401">
        <v>0</v>
      </c>
      <c r="AA114" s="402">
        <f t="shared" si="54"/>
        <v>0</v>
      </c>
      <c r="AB114" s="401">
        <v>0</v>
      </c>
      <c r="AC114" s="402">
        <f t="shared" si="55"/>
        <v>0</v>
      </c>
      <c r="AD114" s="401">
        <v>0</v>
      </c>
      <c r="AE114" s="402">
        <f t="shared" si="56"/>
        <v>0</v>
      </c>
      <c r="AF114" s="401">
        <v>0</v>
      </c>
      <c r="AG114" s="402">
        <f t="shared" si="57"/>
        <v>0</v>
      </c>
      <c r="AH114" s="401">
        <v>0</v>
      </c>
      <c r="AI114" s="402">
        <f t="shared" si="58"/>
        <v>0</v>
      </c>
      <c r="AJ114" s="401">
        <v>0</v>
      </c>
      <c r="AK114" s="402">
        <f t="shared" si="59"/>
        <v>0</v>
      </c>
      <c r="AL114" s="401">
        <v>1</v>
      </c>
      <c r="AM114" s="402">
        <f t="shared" si="60"/>
        <v>0.5</v>
      </c>
      <c r="AN114" s="401">
        <v>0.7</v>
      </c>
      <c r="AO114" s="402">
        <f t="shared" si="61"/>
        <v>0.35</v>
      </c>
      <c r="AP114" s="390"/>
      <c r="AQ114" s="389" t="e">
        <f>A114&amp;B114&amp;C114&amp;D114&amp;E114&amp;#REF!&amp;F114&amp;#REF!&amp;G114&amp;H114</f>
        <v>#REF!</v>
      </c>
      <c r="AR114" s="390"/>
      <c r="AS114" s="390"/>
      <c r="AT114" s="390"/>
      <c r="AU114" s="390"/>
      <c r="AV114" s="390"/>
      <c r="AW114" s="390"/>
      <c r="AX114" s="390"/>
      <c r="AY114" s="390"/>
      <c r="AZ114" s="390"/>
      <c r="BA114" s="390"/>
      <c r="BB114" s="390"/>
      <c r="BC114" s="390"/>
      <c r="BD114" s="390"/>
      <c r="BE114" s="390"/>
      <c r="BF114" s="390"/>
      <c r="BG114" s="390"/>
      <c r="BH114" s="390"/>
      <c r="BI114" s="390"/>
      <c r="BJ114" s="390"/>
      <c r="BK114" s="390"/>
      <c r="BL114" s="37"/>
    </row>
    <row r="115" spans="1:64" s="50" customFormat="1" ht="15" customHeight="1">
      <c r="A115" s="42"/>
      <c r="B115" s="241"/>
      <c r="C115" s="42"/>
      <c r="D115" s="38"/>
      <c r="E115" s="57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40"/>
      <c r="S115" s="40"/>
      <c r="T115" s="40"/>
      <c r="U115" s="40"/>
      <c r="V115" s="55"/>
      <c r="W115" s="55"/>
      <c r="X115" s="55"/>
      <c r="Y115" s="52"/>
      <c r="Z115" s="56"/>
      <c r="AA115" s="51"/>
      <c r="AB115" s="56"/>
      <c r="AC115" s="51"/>
      <c r="AD115" s="56"/>
      <c r="AE115" s="51"/>
      <c r="AF115" s="56"/>
      <c r="AG115" s="51"/>
      <c r="AH115" s="56"/>
      <c r="AI115" s="51"/>
      <c r="AJ115" s="56"/>
      <c r="AK115" s="51"/>
      <c r="AL115" s="56"/>
      <c r="AM115" s="51"/>
      <c r="AN115" s="56"/>
      <c r="AO115" s="51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</row>
    <row r="116" spans="1:64" s="315" customFormat="1" ht="15" customHeight="1">
      <c r="A116" s="312" t="s">
        <v>340</v>
      </c>
      <c r="B116" s="313" t="s">
        <v>94</v>
      </c>
      <c r="C116" s="312"/>
      <c r="D116" s="312"/>
      <c r="E116" s="314" t="s">
        <v>456</v>
      </c>
      <c r="F116" s="310" t="s">
        <v>34</v>
      </c>
      <c r="G116" s="310" t="s">
        <v>31</v>
      </c>
      <c r="H116" s="310" t="s">
        <v>116</v>
      </c>
      <c r="I116" s="310" t="s">
        <v>38</v>
      </c>
      <c r="J116" s="310"/>
      <c r="K116" s="310"/>
      <c r="L116" s="536" t="s">
        <v>286</v>
      </c>
      <c r="M116" s="432"/>
      <c r="N116" s="383"/>
      <c r="O116" s="383"/>
      <c r="P116" s="383"/>
      <c r="Q116" s="310" t="s">
        <v>98</v>
      </c>
      <c r="R116" s="349"/>
      <c r="S116" s="247"/>
      <c r="T116" s="247"/>
      <c r="U116" s="247" t="s">
        <v>435</v>
      </c>
      <c r="V116" s="248">
        <v>2.5</v>
      </c>
      <c r="W116" s="249">
        <v>0.75</v>
      </c>
      <c r="X116" s="250">
        <f t="shared" ref="X116:X133" si="62">$V116*W116</f>
        <v>1.875</v>
      </c>
      <c r="Y116" s="249">
        <v>1</v>
      </c>
      <c r="Z116" s="250">
        <f t="shared" ref="Z116:Z158" si="63">V116*Y116</f>
        <v>2.5</v>
      </c>
      <c r="AA116" s="249">
        <v>0.85</v>
      </c>
      <c r="AB116" s="250">
        <f t="shared" ref="AB116:AB133" si="64">$V116*AA116</f>
        <v>2.125</v>
      </c>
      <c r="AC116" s="249">
        <v>0</v>
      </c>
      <c r="AD116" s="250">
        <f t="shared" ref="AD116:AD133" si="65">$V$10*AC116</f>
        <v>0</v>
      </c>
      <c r="AE116" s="249">
        <v>0</v>
      </c>
      <c r="AF116" s="250">
        <f t="shared" ref="AF116:AF133" si="66">$V116*AE116</f>
        <v>0</v>
      </c>
      <c r="AG116" s="249">
        <v>0</v>
      </c>
      <c r="AH116" s="250">
        <f t="shared" ref="AH116:AH133" si="67">$V$10*AG116</f>
        <v>0</v>
      </c>
      <c r="AI116" s="249">
        <v>1</v>
      </c>
      <c r="AJ116" s="250">
        <f t="shared" ref="AJ116:AJ133" si="68">$V116*AI116</f>
        <v>2.5</v>
      </c>
      <c r="AK116" s="249">
        <v>0</v>
      </c>
      <c r="AL116" s="250">
        <f t="shared" ref="AL116:AL133" si="69">$V$10*AK116</f>
        <v>0</v>
      </c>
    </row>
    <row r="117" spans="1:64" s="315" customFormat="1" ht="15" customHeight="1">
      <c r="A117" s="312" t="s">
        <v>341</v>
      </c>
      <c r="B117" s="313" t="s">
        <v>94</v>
      </c>
      <c r="C117" s="312"/>
      <c r="D117" s="312"/>
      <c r="E117" s="314" t="s">
        <v>458</v>
      </c>
      <c r="F117" s="310" t="s">
        <v>34</v>
      </c>
      <c r="G117" s="310"/>
      <c r="H117" s="310"/>
      <c r="I117" s="310"/>
      <c r="J117" s="310"/>
      <c r="K117" s="310"/>
      <c r="L117" s="536"/>
      <c r="M117" s="432"/>
      <c r="N117" s="383"/>
      <c r="O117" s="383"/>
      <c r="P117" s="383"/>
      <c r="Q117" s="310" t="s">
        <v>98</v>
      </c>
      <c r="R117" s="349"/>
      <c r="S117" s="247"/>
      <c r="T117" s="247"/>
      <c r="U117" s="247" t="s">
        <v>435</v>
      </c>
      <c r="V117" s="248">
        <v>2.5</v>
      </c>
      <c r="W117" s="249">
        <v>0.75</v>
      </c>
      <c r="X117" s="250">
        <f t="shared" si="62"/>
        <v>1.875</v>
      </c>
      <c r="Y117" s="249">
        <v>1</v>
      </c>
      <c r="Z117" s="250">
        <f t="shared" si="63"/>
        <v>2.5</v>
      </c>
      <c r="AA117" s="249">
        <v>0.85</v>
      </c>
      <c r="AB117" s="250">
        <f t="shared" si="64"/>
        <v>2.125</v>
      </c>
      <c r="AC117" s="249">
        <v>0</v>
      </c>
      <c r="AD117" s="250">
        <f t="shared" si="65"/>
        <v>0</v>
      </c>
      <c r="AE117" s="249">
        <v>0</v>
      </c>
      <c r="AF117" s="250">
        <f t="shared" si="66"/>
        <v>0</v>
      </c>
      <c r="AG117" s="249">
        <v>0</v>
      </c>
      <c r="AH117" s="250">
        <f t="shared" si="67"/>
        <v>0</v>
      </c>
      <c r="AI117" s="249">
        <v>1</v>
      </c>
      <c r="AJ117" s="250">
        <f t="shared" si="68"/>
        <v>2.5</v>
      </c>
      <c r="AK117" s="249">
        <v>0</v>
      </c>
      <c r="AL117" s="250">
        <f t="shared" si="69"/>
        <v>0</v>
      </c>
    </row>
    <row r="118" spans="1:64" s="315" customFormat="1" ht="15" customHeight="1">
      <c r="A118" s="312" t="s">
        <v>342</v>
      </c>
      <c r="B118" s="313" t="s">
        <v>94</v>
      </c>
      <c r="C118" s="312"/>
      <c r="D118" s="312"/>
      <c r="E118" s="314" t="s">
        <v>460</v>
      </c>
      <c r="F118" s="310" t="s">
        <v>34</v>
      </c>
      <c r="G118" s="310" t="s">
        <v>31</v>
      </c>
      <c r="H118" s="310" t="s">
        <v>116</v>
      </c>
      <c r="I118" s="310" t="s">
        <v>38</v>
      </c>
      <c r="J118" s="310" t="s">
        <v>28</v>
      </c>
      <c r="K118" s="310"/>
      <c r="L118" s="536"/>
      <c r="M118" s="432"/>
      <c r="N118" s="383"/>
      <c r="O118" s="383"/>
      <c r="P118" s="383"/>
      <c r="Q118" s="310" t="s">
        <v>98</v>
      </c>
      <c r="R118" s="349"/>
      <c r="S118" s="247"/>
      <c r="T118" s="247"/>
      <c r="U118" s="247" t="s">
        <v>435</v>
      </c>
      <c r="V118" s="248">
        <v>2.5</v>
      </c>
      <c r="W118" s="249">
        <v>0.75</v>
      </c>
      <c r="X118" s="250">
        <f t="shared" si="62"/>
        <v>1.875</v>
      </c>
      <c r="Y118" s="249">
        <v>1</v>
      </c>
      <c r="Z118" s="250">
        <f t="shared" si="63"/>
        <v>2.5</v>
      </c>
      <c r="AA118" s="249">
        <v>0.85</v>
      </c>
      <c r="AB118" s="250">
        <f t="shared" si="64"/>
        <v>2.125</v>
      </c>
      <c r="AC118" s="249">
        <v>0</v>
      </c>
      <c r="AD118" s="250">
        <f t="shared" si="65"/>
        <v>0</v>
      </c>
      <c r="AE118" s="249">
        <v>0</v>
      </c>
      <c r="AF118" s="250">
        <f t="shared" si="66"/>
        <v>0</v>
      </c>
      <c r="AG118" s="249">
        <v>0</v>
      </c>
      <c r="AH118" s="250">
        <f t="shared" si="67"/>
        <v>0</v>
      </c>
      <c r="AI118" s="249">
        <v>1</v>
      </c>
      <c r="AJ118" s="250">
        <f t="shared" si="68"/>
        <v>2.5</v>
      </c>
      <c r="AK118" s="249">
        <v>0</v>
      </c>
      <c r="AL118" s="250">
        <f t="shared" si="69"/>
        <v>0</v>
      </c>
    </row>
    <row r="119" spans="1:64" s="315" customFormat="1" ht="15" customHeight="1">
      <c r="A119" s="312" t="s">
        <v>343</v>
      </c>
      <c r="B119" s="313" t="s">
        <v>94</v>
      </c>
      <c r="C119" s="312"/>
      <c r="D119" s="312"/>
      <c r="E119" s="314" t="s">
        <v>613</v>
      </c>
      <c r="F119" s="310" t="s">
        <v>34</v>
      </c>
      <c r="G119" s="310"/>
      <c r="H119" s="310"/>
      <c r="I119" s="310"/>
      <c r="J119" s="310"/>
      <c r="K119" s="310"/>
      <c r="L119" s="536"/>
      <c r="M119" s="432"/>
      <c r="N119" s="383"/>
      <c r="O119" s="383"/>
      <c r="P119" s="383"/>
      <c r="Q119" s="310" t="s">
        <v>98</v>
      </c>
      <c r="R119" s="349"/>
      <c r="S119" s="247"/>
      <c r="T119" s="247"/>
      <c r="U119" s="247" t="s">
        <v>614</v>
      </c>
      <c r="V119" s="248">
        <v>1.5</v>
      </c>
      <c r="W119" s="249">
        <v>0.75</v>
      </c>
      <c r="X119" s="250">
        <f t="shared" si="62"/>
        <v>1.125</v>
      </c>
      <c r="Y119" s="249">
        <v>1</v>
      </c>
      <c r="Z119" s="250">
        <f t="shared" si="63"/>
        <v>1.5</v>
      </c>
      <c r="AA119" s="249">
        <v>0.85</v>
      </c>
      <c r="AB119" s="250">
        <f t="shared" si="64"/>
        <v>1.2749999999999999</v>
      </c>
      <c r="AC119" s="249">
        <v>0</v>
      </c>
      <c r="AD119" s="250">
        <f t="shared" si="65"/>
        <v>0</v>
      </c>
      <c r="AE119" s="249">
        <v>0</v>
      </c>
      <c r="AF119" s="250">
        <f t="shared" si="66"/>
        <v>0</v>
      </c>
      <c r="AG119" s="249">
        <v>0</v>
      </c>
      <c r="AH119" s="250">
        <f t="shared" si="67"/>
        <v>0</v>
      </c>
      <c r="AI119" s="249">
        <v>1</v>
      </c>
      <c r="AJ119" s="250">
        <f t="shared" si="68"/>
        <v>1.5</v>
      </c>
      <c r="AK119" s="249">
        <v>0</v>
      </c>
      <c r="AL119" s="250">
        <f t="shared" si="69"/>
        <v>0</v>
      </c>
    </row>
    <row r="120" spans="1:64" s="315" customFormat="1" ht="15" customHeight="1">
      <c r="A120" s="312" t="s">
        <v>345</v>
      </c>
      <c r="B120" s="313" t="s">
        <v>94</v>
      </c>
      <c r="C120" s="312"/>
      <c r="D120" s="312"/>
      <c r="E120" s="314" t="s">
        <v>615</v>
      </c>
      <c r="F120" s="310" t="s">
        <v>34</v>
      </c>
      <c r="G120" s="310" t="s">
        <v>31</v>
      </c>
      <c r="H120" s="310" t="s">
        <v>116</v>
      </c>
      <c r="I120" s="310" t="s">
        <v>38</v>
      </c>
      <c r="J120" s="310" t="s">
        <v>28</v>
      </c>
      <c r="K120" s="310"/>
      <c r="L120" s="536"/>
      <c r="M120" s="432"/>
      <c r="N120" s="383"/>
      <c r="O120" s="383"/>
      <c r="P120" s="383"/>
      <c r="Q120" s="310" t="s">
        <v>98</v>
      </c>
      <c r="R120" s="349"/>
      <c r="S120" s="247"/>
      <c r="T120" s="247"/>
      <c r="U120" s="247" t="s">
        <v>614</v>
      </c>
      <c r="V120" s="248">
        <v>2.5</v>
      </c>
      <c r="W120" s="249">
        <v>0.75</v>
      </c>
      <c r="X120" s="250">
        <f t="shared" si="62"/>
        <v>1.875</v>
      </c>
      <c r="Y120" s="249">
        <v>1</v>
      </c>
      <c r="Z120" s="250">
        <f t="shared" si="63"/>
        <v>2.5</v>
      </c>
      <c r="AA120" s="249">
        <v>0.85</v>
      </c>
      <c r="AB120" s="250">
        <f t="shared" si="64"/>
        <v>2.125</v>
      </c>
      <c r="AC120" s="249">
        <v>0</v>
      </c>
      <c r="AD120" s="250">
        <f t="shared" si="65"/>
        <v>0</v>
      </c>
      <c r="AE120" s="249">
        <v>0</v>
      </c>
      <c r="AF120" s="250">
        <f t="shared" si="66"/>
        <v>0</v>
      </c>
      <c r="AG120" s="249">
        <v>0</v>
      </c>
      <c r="AH120" s="250">
        <f t="shared" si="67"/>
        <v>0</v>
      </c>
      <c r="AI120" s="249">
        <v>1</v>
      </c>
      <c r="AJ120" s="250">
        <f t="shared" si="68"/>
        <v>2.5</v>
      </c>
      <c r="AK120" s="249">
        <v>0</v>
      </c>
      <c r="AL120" s="250">
        <f t="shared" si="69"/>
        <v>0</v>
      </c>
    </row>
    <row r="121" spans="1:64" s="315" customFormat="1" ht="15" customHeight="1">
      <c r="A121" s="312" t="s">
        <v>347</v>
      </c>
      <c r="B121" s="313" t="s">
        <v>94</v>
      </c>
      <c r="C121" s="312"/>
      <c r="D121" s="312"/>
      <c r="E121" s="314" t="s">
        <v>616</v>
      </c>
      <c r="F121" s="310" t="s">
        <v>34</v>
      </c>
      <c r="G121" s="310"/>
      <c r="H121" s="310"/>
      <c r="I121" s="310"/>
      <c r="J121" s="310"/>
      <c r="K121" s="310"/>
      <c r="L121" s="536"/>
      <c r="M121" s="432"/>
      <c r="N121" s="383"/>
      <c r="O121" s="383"/>
      <c r="P121" s="383"/>
      <c r="Q121" s="310" t="s">
        <v>98</v>
      </c>
      <c r="R121" s="349"/>
      <c r="S121" s="247"/>
      <c r="T121" s="247"/>
      <c r="U121" s="247" t="s">
        <v>614</v>
      </c>
      <c r="V121" s="248">
        <v>1.5</v>
      </c>
      <c r="W121" s="249">
        <v>0.75</v>
      </c>
      <c r="X121" s="250">
        <f t="shared" si="62"/>
        <v>1.125</v>
      </c>
      <c r="Y121" s="249">
        <v>1</v>
      </c>
      <c r="Z121" s="250">
        <f t="shared" si="63"/>
        <v>1.5</v>
      </c>
      <c r="AA121" s="249">
        <v>0.85</v>
      </c>
      <c r="AB121" s="250">
        <f t="shared" si="64"/>
        <v>1.2749999999999999</v>
      </c>
      <c r="AC121" s="249">
        <v>0</v>
      </c>
      <c r="AD121" s="250">
        <f t="shared" si="65"/>
        <v>0</v>
      </c>
      <c r="AE121" s="249">
        <v>0</v>
      </c>
      <c r="AF121" s="250">
        <f t="shared" si="66"/>
        <v>0</v>
      </c>
      <c r="AG121" s="249">
        <v>0</v>
      </c>
      <c r="AH121" s="250">
        <f t="shared" si="67"/>
        <v>0</v>
      </c>
      <c r="AI121" s="249">
        <v>1</v>
      </c>
      <c r="AJ121" s="250">
        <f t="shared" si="68"/>
        <v>1.5</v>
      </c>
      <c r="AK121" s="249">
        <v>0</v>
      </c>
      <c r="AL121" s="250">
        <f t="shared" si="69"/>
        <v>0</v>
      </c>
    </row>
    <row r="122" spans="1:64" s="315" customFormat="1" ht="15" customHeight="1">
      <c r="A122" s="312" t="s">
        <v>348</v>
      </c>
      <c r="B122" s="313" t="s">
        <v>94</v>
      </c>
      <c r="C122" s="312"/>
      <c r="D122" s="312"/>
      <c r="E122" s="314" t="s">
        <v>617</v>
      </c>
      <c r="F122" s="310" t="s">
        <v>34</v>
      </c>
      <c r="G122" s="310" t="s">
        <v>31</v>
      </c>
      <c r="H122" s="310" t="s">
        <v>116</v>
      </c>
      <c r="I122" s="310" t="s">
        <v>38</v>
      </c>
      <c r="J122" s="310"/>
      <c r="K122" s="310"/>
      <c r="L122" s="536"/>
      <c r="M122" s="432"/>
      <c r="N122" s="383"/>
      <c r="O122" s="383"/>
      <c r="P122" s="383"/>
      <c r="Q122" s="310" t="s">
        <v>98</v>
      </c>
      <c r="R122" s="349"/>
      <c r="S122" s="247"/>
      <c r="T122" s="247"/>
      <c r="U122" s="247" t="s">
        <v>614</v>
      </c>
      <c r="V122" s="248">
        <v>2.5</v>
      </c>
      <c r="W122" s="249">
        <v>0.75</v>
      </c>
      <c r="X122" s="250">
        <f t="shared" si="62"/>
        <v>1.875</v>
      </c>
      <c r="Y122" s="249">
        <v>1</v>
      </c>
      <c r="Z122" s="250">
        <f t="shared" si="63"/>
        <v>2.5</v>
      </c>
      <c r="AA122" s="249">
        <v>0.85</v>
      </c>
      <c r="AB122" s="250">
        <f t="shared" si="64"/>
        <v>2.125</v>
      </c>
      <c r="AC122" s="249">
        <v>0</v>
      </c>
      <c r="AD122" s="250">
        <f t="shared" si="65"/>
        <v>0</v>
      </c>
      <c r="AE122" s="249">
        <v>0</v>
      </c>
      <c r="AF122" s="250">
        <f t="shared" si="66"/>
        <v>0</v>
      </c>
      <c r="AG122" s="249">
        <v>0</v>
      </c>
      <c r="AH122" s="250">
        <f t="shared" si="67"/>
        <v>0</v>
      </c>
      <c r="AI122" s="249">
        <v>1</v>
      </c>
      <c r="AJ122" s="250">
        <f t="shared" si="68"/>
        <v>2.5</v>
      </c>
      <c r="AK122" s="249">
        <v>0</v>
      </c>
      <c r="AL122" s="250">
        <f t="shared" si="69"/>
        <v>0</v>
      </c>
    </row>
    <row r="123" spans="1:64" s="315" customFormat="1" ht="15" customHeight="1">
      <c r="A123" s="312" t="s">
        <v>349</v>
      </c>
      <c r="B123" s="313" t="s">
        <v>94</v>
      </c>
      <c r="C123" s="312"/>
      <c r="D123" s="312"/>
      <c r="E123" s="314" t="s">
        <v>618</v>
      </c>
      <c r="F123" s="310" t="s">
        <v>34</v>
      </c>
      <c r="G123" s="310"/>
      <c r="H123" s="310"/>
      <c r="I123" s="310"/>
      <c r="J123" s="310"/>
      <c r="K123" s="310"/>
      <c r="L123" s="536"/>
      <c r="M123" s="432"/>
      <c r="N123" s="383"/>
      <c r="O123" s="383"/>
      <c r="P123" s="383"/>
      <c r="Q123" s="310" t="s">
        <v>98</v>
      </c>
      <c r="R123" s="349"/>
      <c r="S123" s="247"/>
      <c r="T123" s="247"/>
      <c r="U123" s="247" t="s">
        <v>614</v>
      </c>
      <c r="V123" s="248">
        <v>1.5</v>
      </c>
      <c r="W123" s="249">
        <v>0.75</v>
      </c>
      <c r="X123" s="250">
        <f t="shared" si="62"/>
        <v>1.125</v>
      </c>
      <c r="Y123" s="249">
        <v>1</v>
      </c>
      <c r="Z123" s="250">
        <f t="shared" si="63"/>
        <v>1.5</v>
      </c>
      <c r="AA123" s="249">
        <v>0.85</v>
      </c>
      <c r="AB123" s="250">
        <f t="shared" si="64"/>
        <v>1.2749999999999999</v>
      </c>
      <c r="AC123" s="249">
        <v>0</v>
      </c>
      <c r="AD123" s="250">
        <f t="shared" si="65"/>
        <v>0</v>
      </c>
      <c r="AE123" s="249">
        <v>0</v>
      </c>
      <c r="AF123" s="250">
        <f t="shared" si="66"/>
        <v>0</v>
      </c>
      <c r="AG123" s="249">
        <v>0</v>
      </c>
      <c r="AH123" s="250">
        <f t="shared" si="67"/>
        <v>0</v>
      </c>
      <c r="AI123" s="249">
        <v>1</v>
      </c>
      <c r="AJ123" s="250">
        <f t="shared" si="68"/>
        <v>1.5</v>
      </c>
      <c r="AK123" s="249">
        <v>0</v>
      </c>
      <c r="AL123" s="250">
        <f t="shared" si="69"/>
        <v>0</v>
      </c>
    </row>
    <row r="124" spans="1:64" s="315" customFormat="1" ht="15" customHeight="1">
      <c r="A124" s="312" t="s">
        <v>350</v>
      </c>
      <c r="B124" s="313" t="s">
        <v>94</v>
      </c>
      <c r="C124" s="312"/>
      <c r="D124" s="312"/>
      <c r="E124" s="314" t="s">
        <v>619</v>
      </c>
      <c r="F124" s="310" t="s">
        <v>34</v>
      </c>
      <c r="G124" s="310" t="s">
        <v>31</v>
      </c>
      <c r="H124" s="310" t="s">
        <v>116</v>
      </c>
      <c r="I124" s="310" t="s">
        <v>38</v>
      </c>
      <c r="J124" s="310" t="s">
        <v>28</v>
      </c>
      <c r="K124" s="310"/>
      <c r="L124" s="536"/>
      <c r="M124" s="432"/>
      <c r="N124" s="383"/>
      <c r="O124" s="383"/>
      <c r="P124" s="383"/>
      <c r="Q124" s="310" t="s">
        <v>98</v>
      </c>
      <c r="R124" s="349"/>
      <c r="S124" s="247"/>
      <c r="T124" s="247"/>
      <c r="U124" s="247" t="s">
        <v>614</v>
      </c>
      <c r="V124" s="248">
        <v>2.5</v>
      </c>
      <c r="W124" s="249">
        <v>0.75</v>
      </c>
      <c r="X124" s="250">
        <f t="shared" si="62"/>
        <v>1.875</v>
      </c>
      <c r="Y124" s="249">
        <v>1</v>
      </c>
      <c r="Z124" s="250">
        <f t="shared" si="63"/>
        <v>2.5</v>
      </c>
      <c r="AA124" s="249">
        <v>0.85</v>
      </c>
      <c r="AB124" s="250">
        <f t="shared" si="64"/>
        <v>2.125</v>
      </c>
      <c r="AC124" s="249">
        <v>0</v>
      </c>
      <c r="AD124" s="250">
        <f t="shared" si="65"/>
        <v>0</v>
      </c>
      <c r="AE124" s="249">
        <v>0</v>
      </c>
      <c r="AF124" s="250">
        <f t="shared" si="66"/>
        <v>0</v>
      </c>
      <c r="AG124" s="249">
        <v>0</v>
      </c>
      <c r="AH124" s="250">
        <f t="shared" si="67"/>
        <v>0</v>
      </c>
      <c r="AI124" s="249">
        <v>1</v>
      </c>
      <c r="AJ124" s="250">
        <f t="shared" si="68"/>
        <v>2.5</v>
      </c>
      <c r="AK124" s="249">
        <v>0</v>
      </c>
      <c r="AL124" s="250">
        <f t="shared" si="69"/>
        <v>0</v>
      </c>
    </row>
    <row r="125" spans="1:64" s="315" customFormat="1" ht="15" customHeight="1">
      <c r="A125" s="312" t="s">
        <v>351</v>
      </c>
      <c r="B125" s="313" t="s">
        <v>94</v>
      </c>
      <c r="C125" s="312"/>
      <c r="D125" s="312"/>
      <c r="E125" s="314" t="s">
        <v>620</v>
      </c>
      <c r="F125" s="310" t="s">
        <v>34</v>
      </c>
      <c r="G125" s="310"/>
      <c r="H125" s="310"/>
      <c r="I125" s="310"/>
      <c r="J125" s="310"/>
      <c r="K125" s="310"/>
      <c r="L125" s="536"/>
      <c r="M125" s="432"/>
      <c r="N125" s="383"/>
      <c r="O125" s="383"/>
      <c r="P125" s="383"/>
      <c r="Q125" s="310" t="s">
        <v>98</v>
      </c>
      <c r="R125" s="349"/>
      <c r="S125" s="247"/>
      <c r="T125" s="247"/>
      <c r="U125" s="247" t="s">
        <v>614</v>
      </c>
      <c r="V125" s="248">
        <v>1.5</v>
      </c>
      <c r="W125" s="249">
        <v>0.75</v>
      </c>
      <c r="X125" s="250">
        <f t="shared" si="62"/>
        <v>1.125</v>
      </c>
      <c r="Y125" s="249">
        <v>1</v>
      </c>
      <c r="Z125" s="250">
        <f t="shared" si="63"/>
        <v>1.5</v>
      </c>
      <c r="AA125" s="249">
        <v>0.85</v>
      </c>
      <c r="AB125" s="250">
        <f t="shared" si="64"/>
        <v>1.2749999999999999</v>
      </c>
      <c r="AC125" s="249">
        <v>0</v>
      </c>
      <c r="AD125" s="250">
        <f t="shared" si="65"/>
        <v>0</v>
      </c>
      <c r="AE125" s="249">
        <v>0</v>
      </c>
      <c r="AF125" s="250">
        <f t="shared" si="66"/>
        <v>0</v>
      </c>
      <c r="AG125" s="249">
        <v>0</v>
      </c>
      <c r="AH125" s="250">
        <f t="shared" si="67"/>
        <v>0</v>
      </c>
      <c r="AI125" s="249">
        <v>1</v>
      </c>
      <c r="AJ125" s="250">
        <f t="shared" si="68"/>
        <v>1.5</v>
      </c>
      <c r="AK125" s="249">
        <v>0</v>
      </c>
      <c r="AL125" s="250">
        <f t="shared" si="69"/>
        <v>0</v>
      </c>
    </row>
    <row r="126" spans="1:64" s="315" customFormat="1" ht="15" customHeight="1">
      <c r="A126" s="312" t="s">
        <v>621</v>
      </c>
      <c r="B126" s="313" t="s">
        <v>94</v>
      </c>
      <c r="C126" s="312"/>
      <c r="D126" s="312"/>
      <c r="E126" s="314" t="s">
        <v>622</v>
      </c>
      <c r="F126" s="310" t="s">
        <v>34</v>
      </c>
      <c r="G126" s="310" t="s">
        <v>31</v>
      </c>
      <c r="H126" s="310" t="s">
        <v>116</v>
      </c>
      <c r="I126" s="310" t="s">
        <v>38</v>
      </c>
      <c r="J126" s="310"/>
      <c r="K126" s="310"/>
      <c r="L126" s="536"/>
      <c r="M126" s="432"/>
      <c r="N126" s="383"/>
      <c r="O126" s="383"/>
      <c r="P126" s="383"/>
      <c r="Q126" s="310" t="s">
        <v>98</v>
      </c>
      <c r="R126" s="349"/>
      <c r="S126" s="247"/>
      <c r="T126" s="247"/>
      <c r="U126" s="247" t="s">
        <v>614</v>
      </c>
      <c r="V126" s="248">
        <v>2.5</v>
      </c>
      <c r="W126" s="249">
        <v>0.75</v>
      </c>
      <c r="X126" s="250">
        <f t="shared" si="62"/>
        <v>1.875</v>
      </c>
      <c r="Y126" s="249">
        <v>1</v>
      </c>
      <c r="Z126" s="250">
        <f t="shared" si="63"/>
        <v>2.5</v>
      </c>
      <c r="AA126" s="249">
        <v>0.85</v>
      </c>
      <c r="AB126" s="250">
        <f t="shared" si="64"/>
        <v>2.125</v>
      </c>
      <c r="AC126" s="249">
        <v>0</v>
      </c>
      <c r="AD126" s="250">
        <f t="shared" si="65"/>
        <v>0</v>
      </c>
      <c r="AE126" s="249">
        <v>0</v>
      </c>
      <c r="AF126" s="250">
        <f t="shared" si="66"/>
        <v>0</v>
      </c>
      <c r="AG126" s="249">
        <v>0</v>
      </c>
      <c r="AH126" s="250">
        <f t="shared" si="67"/>
        <v>0</v>
      </c>
      <c r="AI126" s="249">
        <v>1</v>
      </c>
      <c r="AJ126" s="250">
        <f t="shared" si="68"/>
        <v>2.5</v>
      </c>
      <c r="AK126" s="249">
        <v>0</v>
      </c>
      <c r="AL126" s="250">
        <f t="shared" si="69"/>
        <v>0</v>
      </c>
    </row>
    <row r="127" spans="1:64" s="315" customFormat="1" ht="15" customHeight="1">
      <c r="A127" s="312" t="s">
        <v>623</v>
      </c>
      <c r="B127" s="313" t="s">
        <v>94</v>
      </c>
      <c r="C127" s="312"/>
      <c r="D127" s="312"/>
      <c r="E127" s="314" t="s">
        <v>624</v>
      </c>
      <c r="F127" s="310" t="s">
        <v>34</v>
      </c>
      <c r="G127" s="310"/>
      <c r="H127" s="310"/>
      <c r="I127" s="310"/>
      <c r="J127" s="310"/>
      <c r="K127" s="310"/>
      <c r="L127" s="536"/>
      <c r="M127" s="432"/>
      <c r="N127" s="383"/>
      <c r="O127" s="383"/>
      <c r="P127" s="383"/>
      <c r="Q127" s="310" t="s">
        <v>98</v>
      </c>
      <c r="R127" s="349"/>
      <c r="S127" s="247"/>
      <c r="T127" s="247"/>
      <c r="U127" s="247" t="s">
        <v>614</v>
      </c>
      <c r="V127" s="248">
        <v>1.5</v>
      </c>
      <c r="W127" s="249">
        <v>0.75</v>
      </c>
      <c r="X127" s="250">
        <f t="shared" si="62"/>
        <v>1.125</v>
      </c>
      <c r="Y127" s="249">
        <v>1</v>
      </c>
      <c r="Z127" s="250">
        <f t="shared" si="63"/>
        <v>1.5</v>
      </c>
      <c r="AA127" s="249">
        <v>0.85</v>
      </c>
      <c r="AB127" s="250">
        <f t="shared" si="64"/>
        <v>1.2749999999999999</v>
      </c>
      <c r="AC127" s="249">
        <v>0</v>
      </c>
      <c r="AD127" s="250">
        <f t="shared" si="65"/>
        <v>0</v>
      </c>
      <c r="AE127" s="249">
        <v>0</v>
      </c>
      <c r="AF127" s="250">
        <f t="shared" si="66"/>
        <v>0</v>
      </c>
      <c r="AG127" s="249">
        <v>0</v>
      </c>
      <c r="AH127" s="250">
        <f t="shared" si="67"/>
        <v>0</v>
      </c>
      <c r="AI127" s="249">
        <v>1</v>
      </c>
      <c r="AJ127" s="250">
        <f t="shared" si="68"/>
        <v>1.5</v>
      </c>
      <c r="AK127" s="249">
        <v>0</v>
      </c>
      <c r="AL127" s="250">
        <f t="shared" si="69"/>
        <v>0</v>
      </c>
    </row>
    <row r="128" spans="1:64" s="315" customFormat="1" ht="15" customHeight="1">
      <c r="A128" s="312" t="s">
        <v>625</v>
      </c>
      <c r="B128" s="313" t="s">
        <v>94</v>
      </c>
      <c r="C128" s="312"/>
      <c r="D128" s="312"/>
      <c r="E128" s="314" t="s">
        <v>626</v>
      </c>
      <c r="F128" s="310" t="s">
        <v>34</v>
      </c>
      <c r="G128" s="310" t="s">
        <v>31</v>
      </c>
      <c r="H128" s="310" t="s">
        <v>116</v>
      </c>
      <c r="I128" s="310"/>
      <c r="J128" s="310"/>
      <c r="K128" s="310"/>
      <c r="L128" s="536"/>
      <c r="M128" s="432"/>
      <c r="N128" s="383"/>
      <c r="O128" s="383"/>
      <c r="P128" s="383"/>
      <c r="Q128" s="310" t="s">
        <v>98</v>
      </c>
      <c r="R128" s="349"/>
      <c r="S128" s="247"/>
      <c r="T128" s="247"/>
      <c r="U128" s="247" t="s">
        <v>614</v>
      </c>
      <c r="V128" s="248">
        <v>2.5</v>
      </c>
      <c r="W128" s="249">
        <v>0.75</v>
      </c>
      <c r="X128" s="250">
        <f t="shared" si="62"/>
        <v>1.875</v>
      </c>
      <c r="Y128" s="249">
        <v>1</v>
      </c>
      <c r="Z128" s="250">
        <f t="shared" si="63"/>
        <v>2.5</v>
      </c>
      <c r="AA128" s="249">
        <v>0.85</v>
      </c>
      <c r="AB128" s="250">
        <f t="shared" si="64"/>
        <v>2.125</v>
      </c>
      <c r="AC128" s="249">
        <v>0</v>
      </c>
      <c r="AD128" s="250">
        <f t="shared" si="65"/>
        <v>0</v>
      </c>
      <c r="AE128" s="249">
        <v>0</v>
      </c>
      <c r="AF128" s="250">
        <f t="shared" si="66"/>
        <v>0</v>
      </c>
      <c r="AG128" s="249">
        <v>0</v>
      </c>
      <c r="AH128" s="250">
        <f t="shared" si="67"/>
        <v>0</v>
      </c>
      <c r="AI128" s="249">
        <v>1</v>
      </c>
      <c r="AJ128" s="250">
        <f t="shared" si="68"/>
        <v>2.5</v>
      </c>
      <c r="AK128" s="249">
        <v>0</v>
      </c>
      <c r="AL128" s="250">
        <f t="shared" si="69"/>
        <v>0</v>
      </c>
    </row>
    <row r="129" spans="1:38" s="315" customFormat="1" ht="15" customHeight="1">
      <c r="A129" s="312" t="s">
        <v>627</v>
      </c>
      <c r="B129" s="313" t="s">
        <v>94</v>
      </c>
      <c r="C129" s="312"/>
      <c r="D129" s="312"/>
      <c r="E129" s="314" t="s">
        <v>628</v>
      </c>
      <c r="F129" s="310" t="s">
        <v>97</v>
      </c>
      <c r="G129" s="310"/>
      <c r="H129" s="310"/>
      <c r="I129" s="310" t="s">
        <v>34</v>
      </c>
      <c r="J129" s="310"/>
      <c r="L129" s="536"/>
      <c r="M129" s="432"/>
      <c r="N129" s="383"/>
      <c r="O129" s="383"/>
      <c r="P129" s="383"/>
      <c r="Q129" s="310" t="s">
        <v>98</v>
      </c>
      <c r="R129" s="349"/>
      <c r="S129" s="247"/>
      <c r="T129" s="247"/>
      <c r="U129" s="247" t="s">
        <v>614</v>
      </c>
      <c r="V129" s="248">
        <v>1</v>
      </c>
      <c r="W129" s="249">
        <v>0</v>
      </c>
      <c r="X129" s="250">
        <f t="shared" si="62"/>
        <v>0</v>
      </c>
      <c r="Y129" s="249">
        <v>0.9</v>
      </c>
      <c r="Z129" s="250">
        <f t="shared" si="63"/>
        <v>0.9</v>
      </c>
      <c r="AA129" s="249">
        <v>0</v>
      </c>
      <c r="AB129" s="250">
        <f t="shared" si="64"/>
        <v>0</v>
      </c>
      <c r="AC129" s="249">
        <v>0</v>
      </c>
      <c r="AD129" s="250">
        <f t="shared" si="65"/>
        <v>0</v>
      </c>
      <c r="AE129" s="249">
        <v>0</v>
      </c>
      <c r="AF129" s="250">
        <f t="shared" si="66"/>
        <v>0</v>
      </c>
      <c r="AG129" s="249">
        <v>0</v>
      </c>
      <c r="AH129" s="250">
        <f t="shared" si="67"/>
        <v>0</v>
      </c>
      <c r="AI129" s="249">
        <v>1</v>
      </c>
      <c r="AJ129" s="250">
        <f t="shared" si="68"/>
        <v>1</v>
      </c>
      <c r="AK129" s="249">
        <v>0</v>
      </c>
      <c r="AL129" s="250">
        <f t="shared" si="69"/>
        <v>0</v>
      </c>
    </row>
    <row r="130" spans="1:38" s="315" customFormat="1" ht="15" customHeight="1">
      <c r="A130" s="312" t="s">
        <v>629</v>
      </c>
      <c r="B130" s="313" t="s">
        <v>94</v>
      </c>
      <c r="C130" s="312"/>
      <c r="D130" s="312"/>
      <c r="E130" s="314" t="s">
        <v>630</v>
      </c>
      <c r="F130" s="310" t="s">
        <v>97</v>
      </c>
      <c r="G130" s="310"/>
      <c r="H130" s="310"/>
      <c r="I130" s="310" t="s">
        <v>34</v>
      </c>
      <c r="J130" s="310"/>
      <c r="L130" s="536"/>
      <c r="M130" s="432"/>
      <c r="N130" s="383"/>
      <c r="O130" s="383"/>
      <c r="P130" s="383"/>
      <c r="Q130" s="310" t="s">
        <v>98</v>
      </c>
      <c r="R130" s="349"/>
      <c r="S130" s="247"/>
      <c r="T130" s="247"/>
      <c r="U130" s="247" t="s">
        <v>614</v>
      </c>
      <c r="V130" s="248">
        <v>1</v>
      </c>
      <c r="W130" s="249">
        <v>0</v>
      </c>
      <c r="X130" s="250">
        <f t="shared" si="62"/>
        <v>0</v>
      </c>
      <c r="Y130" s="249">
        <v>0.9</v>
      </c>
      <c r="Z130" s="250">
        <f t="shared" si="63"/>
        <v>0.9</v>
      </c>
      <c r="AA130" s="249">
        <v>0</v>
      </c>
      <c r="AB130" s="250">
        <f t="shared" si="64"/>
        <v>0</v>
      </c>
      <c r="AC130" s="249">
        <v>0</v>
      </c>
      <c r="AD130" s="250">
        <f t="shared" si="65"/>
        <v>0</v>
      </c>
      <c r="AE130" s="249">
        <v>0</v>
      </c>
      <c r="AF130" s="250">
        <f t="shared" si="66"/>
        <v>0</v>
      </c>
      <c r="AG130" s="249">
        <v>0</v>
      </c>
      <c r="AH130" s="250">
        <f t="shared" si="67"/>
        <v>0</v>
      </c>
      <c r="AI130" s="249">
        <v>1</v>
      </c>
      <c r="AJ130" s="250">
        <f t="shared" si="68"/>
        <v>1</v>
      </c>
      <c r="AK130" s="249">
        <v>0</v>
      </c>
      <c r="AL130" s="250">
        <f t="shared" si="69"/>
        <v>0</v>
      </c>
    </row>
    <row r="131" spans="1:38" s="315" customFormat="1" ht="15" customHeight="1">
      <c r="A131" s="312" t="s">
        <v>631</v>
      </c>
      <c r="B131" s="313" t="s">
        <v>94</v>
      </c>
      <c r="C131" s="312"/>
      <c r="D131" s="312"/>
      <c r="E131" s="314" t="s">
        <v>632</v>
      </c>
      <c r="F131" s="310" t="s">
        <v>97</v>
      </c>
      <c r="G131" s="310" t="s">
        <v>34</v>
      </c>
      <c r="H131" s="310" t="s">
        <v>31</v>
      </c>
      <c r="I131" s="310"/>
      <c r="J131" s="310"/>
      <c r="L131" s="536"/>
      <c r="M131" s="432"/>
      <c r="N131" s="383"/>
      <c r="O131" s="383"/>
      <c r="P131" s="383"/>
      <c r="Q131" s="310" t="s">
        <v>98</v>
      </c>
      <c r="R131" s="349"/>
      <c r="S131" s="247"/>
      <c r="T131" s="247"/>
      <c r="U131" s="247" t="s">
        <v>614</v>
      </c>
      <c r="V131" s="248">
        <v>1</v>
      </c>
      <c r="W131" s="249">
        <v>0</v>
      </c>
      <c r="X131" s="250">
        <f t="shared" si="62"/>
        <v>0</v>
      </c>
      <c r="Y131" s="249">
        <v>0.9</v>
      </c>
      <c r="Z131" s="250">
        <f t="shared" si="63"/>
        <v>0.9</v>
      </c>
      <c r="AA131" s="249">
        <v>0</v>
      </c>
      <c r="AB131" s="250">
        <f t="shared" si="64"/>
        <v>0</v>
      </c>
      <c r="AC131" s="249">
        <v>0</v>
      </c>
      <c r="AD131" s="250">
        <f t="shared" si="65"/>
        <v>0</v>
      </c>
      <c r="AE131" s="249">
        <v>0</v>
      </c>
      <c r="AF131" s="250">
        <f t="shared" si="66"/>
        <v>0</v>
      </c>
      <c r="AG131" s="249">
        <v>0</v>
      </c>
      <c r="AH131" s="250">
        <f t="shared" si="67"/>
        <v>0</v>
      </c>
      <c r="AI131" s="249">
        <v>1</v>
      </c>
      <c r="AJ131" s="250">
        <f t="shared" si="68"/>
        <v>1</v>
      </c>
      <c r="AK131" s="249">
        <v>0</v>
      </c>
      <c r="AL131" s="250">
        <f t="shared" si="69"/>
        <v>0</v>
      </c>
    </row>
    <row r="132" spans="1:38" s="315" customFormat="1" ht="15" customHeight="1">
      <c r="A132" s="312" t="s">
        <v>633</v>
      </c>
      <c r="B132" s="313" t="s">
        <v>94</v>
      </c>
      <c r="C132" s="312"/>
      <c r="D132" s="312"/>
      <c r="E132" s="314" t="s">
        <v>634</v>
      </c>
      <c r="F132" s="310" t="s">
        <v>97</v>
      </c>
      <c r="G132" s="310"/>
      <c r="H132" s="310"/>
      <c r="I132" s="310"/>
      <c r="J132" s="310"/>
      <c r="L132" s="536"/>
      <c r="M132" s="432"/>
      <c r="N132" s="383"/>
      <c r="O132" s="383"/>
      <c r="P132" s="383"/>
      <c r="Q132" s="310" t="s">
        <v>98</v>
      </c>
      <c r="R132" s="349"/>
      <c r="S132" s="247"/>
      <c r="T132" s="247"/>
      <c r="U132" s="247" t="s">
        <v>614</v>
      </c>
      <c r="V132" s="248">
        <v>1</v>
      </c>
      <c r="W132" s="249">
        <v>0</v>
      </c>
      <c r="X132" s="250">
        <f t="shared" si="62"/>
        <v>0</v>
      </c>
      <c r="Y132" s="249">
        <v>0.9</v>
      </c>
      <c r="Z132" s="250">
        <f t="shared" si="63"/>
        <v>0.9</v>
      </c>
      <c r="AA132" s="249">
        <v>0</v>
      </c>
      <c r="AB132" s="250">
        <f t="shared" si="64"/>
        <v>0</v>
      </c>
      <c r="AC132" s="249">
        <v>0</v>
      </c>
      <c r="AD132" s="250">
        <f t="shared" si="65"/>
        <v>0</v>
      </c>
      <c r="AE132" s="249">
        <v>0</v>
      </c>
      <c r="AF132" s="250">
        <f t="shared" si="66"/>
        <v>0</v>
      </c>
      <c r="AG132" s="249">
        <v>0</v>
      </c>
      <c r="AH132" s="250">
        <f t="shared" si="67"/>
        <v>0</v>
      </c>
      <c r="AI132" s="249">
        <v>1</v>
      </c>
      <c r="AJ132" s="250">
        <f t="shared" si="68"/>
        <v>1</v>
      </c>
      <c r="AK132" s="249">
        <v>0</v>
      </c>
      <c r="AL132" s="250">
        <f t="shared" si="69"/>
        <v>0</v>
      </c>
    </row>
    <row r="133" spans="1:38" s="315" customFormat="1" ht="15" customHeight="1">
      <c r="A133" s="312" t="s">
        <v>635</v>
      </c>
      <c r="B133" s="313" t="s">
        <v>94</v>
      </c>
      <c r="C133" s="312"/>
      <c r="D133" s="312"/>
      <c r="E133" s="314" t="s">
        <v>636</v>
      </c>
      <c r="F133" s="310" t="s">
        <v>97</v>
      </c>
      <c r="G133" s="310"/>
      <c r="H133" s="310"/>
      <c r="I133" s="310"/>
      <c r="J133" s="310" t="s">
        <v>34</v>
      </c>
      <c r="L133" s="536"/>
      <c r="M133" s="432"/>
      <c r="N133" s="383"/>
      <c r="O133" s="383"/>
      <c r="P133" s="383"/>
      <c r="Q133" s="310" t="s">
        <v>98</v>
      </c>
      <c r="R133" s="349"/>
      <c r="S133" s="247"/>
      <c r="T133" s="247"/>
      <c r="U133" s="247" t="s">
        <v>614</v>
      </c>
      <c r="V133" s="248">
        <v>1</v>
      </c>
      <c r="W133" s="249">
        <v>0</v>
      </c>
      <c r="X133" s="250">
        <f t="shared" si="62"/>
        <v>0</v>
      </c>
      <c r="Y133" s="249">
        <v>0.9</v>
      </c>
      <c r="Z133" s="250">
        <f t="shared" si="63"/>
        <v>0.9</v>
      </c>
      <c r="AA133" s="249">
        <v>0</v>
      </c>
      <c r="AB133" s="250">
        <f t="shared" si="64"/>
        <v>0</v>
      </c>
      <c r="AC133" s="249">
        <v>0</v>
      </c>
      <c r="AD133" s="250">
        <f t="shared" si="65"/>
        <v>0</v>
      </c>
      <c r="AE133" s="249">
        <v>0</v>
      </c>
      <c r="AF133" s="250">
        <f t="shared" si="66"/>
        <v>0</v>
      </c>
      <c r="AG133" s="249">
        <v>0</v>
      </c>
      <c r="AH133" s="250">
        <f t="shared" si="67"/>
        <v>0</v>
      </c>
      <c r="AI133" s="249">
        <v>1</v>
      </c>
      <c r="AJ133" s="250">
        <f t="shared" si="68"/>
        <v>1</v>
      </c>
      <c r="AK133" s="249">
        <v>0</v>
      </c>
      <c r="AL133" s="250">
        <f t="shared" si="69"/>
        <v>0</v>
      </c>
    </row>
    <row r="134" spans="1:38" s="315" customFormat="1" ht="15" customHeight="1">
      <c r="A134" s="312"/>
      <c r="B134" s="313"/>
      <c r="C134" s="312"/>
      <c r="D134" s="312"/>
      <c r="E134" s="314"/>
      <c r="F134" s="310"/>
      <c r="G134" s="310"/>
      <c r="H134" s="310"/>
      <c r="I134" s="310"/>
      <c r="J134" s="310"/>
      <c r="K134" s="310"/>
      <c r="L134" s="536"/>
      <c r="M134" s="432"/>
      <c r="N134" s="383"/>
      <c r="O134" s="383"/>
      <c r="P134" s="383"/>
      <c r="Q134" s="310"/>
      <c r="R134" s="349"/>
      <c r="S134" s="349"/>
      <c r="T134" s="349"/>
      <c r="U134" s="349"/>
      <c r="V134" s="248"/>
      <c r="W134" s="249"/>
      <c r="X134" s="250"/>
      <c r="Y134" s="249"/>
      <c r="Z134" s="250">
        <f t="shared" si="63"/>
        <v>0</v>
      </c>
      <c r="AA134" s="249"/>
      <c r="AB134" s="250"/>
      <c r="AC134" s="249"/>
      <c r="AD134" s="250"/>
      <c r="AE134" s="249"/>
      <c r="AF134" s="250"/>
      <c r="AG134" s="249"/>
      <c r="AH134" s="250"/>
      <c r="AI134" s="249"/>
      <c r="AJ134" s="250"/>
      <c r="AK134" s="249"/>
      <c r="AL134" s="250"/>
    </row>
    <row r="135" spans="1:38" s="315" customFormat="1" ht="15" customHeight="1">
      <c r="A135" s="312" t="s">
        <v>637</v>
      </c>
      <c r="B135" s="313" t="s">
        <v>94</v>
      </c>
      <c r="C135" s="312"/>
      <c r="D135" s="312"/>
      <c r="E135" s="314" t="s">
        <v>499</v>
      </c>
      <c r="F135" s="310" t="s">
        <v>97</v>
      </c>
      <c r="G135" s="310" t="s">
        <v>34</v>
      </c>
      <c r="H135" s="310" t="s">
        <v>31</v>
      </c>
      <c r="I135" s="310"/>
      <c r="J135" s="310"/>
      <c r="K135" s="310"/>
      <c r="L135" s="536"/>
      <c r="M135" s="432"/>
      <c r="N135" s="383"/>
      <c r="O135" s="383"/>
      <c r="P135" s="383"/>
      <c r="Q135" s="310" t="s">
        <v>98</v>
      </c>
      <c r="R135" s="349"/>
      <c r="S135" s="247"/>
      <c r="T135" s="247"/>
      <c r="U135" s="247" t="s">
        <v>435</v>
      </c>
      <c r="V135" s="248">
        <v>1</v>
      </c>
      <c r="W135" s="249">
        <v>0.5</v>
      </c>
      <c r="X135" s="250">
        <f t="shared" ref="X135:X144" si="70">$V135*W135</f>
        <v>0.5</v>
      </c>
      <c r="Y135" s="249">
        <v>0.9</v>
      </c>
      <c r="Z135" s="250">
        <f t="shared" si="63"/>
        <v>0.9</v>
      </c>
      <c r="AA135" s="249">
        <v>0.85</v>
      </c>
      <c r="AB135" s="250">
        <f t="shared" ref="AB135:AB144" si="71">$V135*AA135</f>
        <v>0.85</v>
      </c>
      <c r="AC135" s="249">
        <v>0</v>
      </c>
      <c r="AD135" s="250">
        <f t="shared" ref="AD135:AD144" si="72">$V$10*AC135</f>
        <v>0</v>
      </c>
      <c r="AE135" s="249">
        <v>0</v>
      </c>
      <c r="AF135" s="250">
        <f t="shared" ref="AF135:AF144" si="73">$V135*AE135</f>
        <v>0</v>
      </c>
      <c r="AG135" s="249">
        <v>0</v>
      </c>
      <c r="AH135" s="250">
        <f t="shared" ref="AH135:AH144" si="74">$V$10*AG135</f>
        <v>0</v>
      </c>
      <c r="AI135" s="249">
        <v>1</v>
      </c>
      <c r="AJ135" s="250">
        <f t="shared" ref="AJ135:AJ144" si="75">$V135*AI135</f>
        <v>1</v>
      </c>
      <c r="AK135" s="249">
        <v>0</v>
      </c>
      <c r="AL135" s="250">
        <f t="shared" ref="AL135:AL144" si="76">$V$10*AK135</f>
        <v>0</v>
      </c>
    </row>
    <row r="136" spans="1:38" s="315" customFormat="1" ht="15" customHeight="1">
      <c r="A136" s="312" t="s">
        <v>638</v>
      </c>
      <c r="B136" s="313" t="s">
        <v>94</v>
      </c>
      <c r="C136" s="312"/>
      <c r="D136" s="312"/>
      <c r="E136" s="314" t="s">
        <v>501</v>
      </c>
      <c r="F136" s="310" t="s">
        <v>97</v>
      </c>
      <c r="G136" s="310" t="s">
        <v>34</v>
      </c>
      <c r="H136" s="310" t="s">
        <v>31</v>
      </c>
      <c r="I136" s="310"/>
      <c r="J136" s="310"/>
      <c r="K136" s="310"/>
      <c r="L136" s="536"/>
      <c r="M136" s="432"/>
      <c r="N136" s="383"/>
      <c r="O136" s="383"/>
      <c r="P136" s="383"/>
      <c r="Q136" s="310" t="s">
        <v>98</v>
      </c>
      <c r="R136" s="349"/>
      <c r="S136" s="247"/>
      <c r="T136" s="247"/>
      <c r="U136" s="247" t="s">
        <v>435</v>
      </c>
      <c r="V136" s="248">
        <v>1</v>
      </c>
      <c r="W136" s="249">
        <v>0.5</v>
      </c>
      <c r="X136" s="250">
        <f t="shared" si="70"/>
        <v>0.5</v>
      </c>
      <c r="Y136" s="249">
        <v>0.9</v>
      </c>
      <c r="Z136" s="250">
        <f t="shared" si="63"/>
        <v>0.9</v>
      </c>
      <c r="AA136" s="249">
        <v>0.85</v>
      </c>
      <c r="AB136" s="250">
        <f t="shared" si="71"/>
        <v>0.85</v>
      </c>
      <c r="AC136" s="249">
        <v>0</v>
      </c>
      <c r="AD136" s="250">
        <f t="shared" si="72"/>
        <v>0</v>
      </c>
      <c r="AE136" s="249">
        <v>0</v>
      </c>
      <c r="AF136" s="250">
        <f t="shared" si="73"/>
        <v>0</v>
      </c>
      <c r="AG136" s="249">
        <v>0</v>
      </c>
      <c r="AH136" s="250">
        <f t="shared" si="74"/>
        <v>0</v>
      </c>
      <c r="AI136" s="249">
        <v>1</v>
      </c>
      <c r="AJ136" s="250">
        <f t="shared" si="75"/>
        <v>1</v>
      </c>
      <c r="AK136" s="249">
        <v>0</v>
      </c>
      <c r="AL136" s="250">
        <f t="shared" si="76"/>
        <v>0</v>
      </c>
    </row>
    <row r="137" spans="1:38" s="315" customFormat="1" ht="15" customHeight="1">
      <c r="A137" s="312" t="s">
        <v>639</v>
      </c>
      <c r="B137" s="313" t="s">
        <v>94</v>
      </c>
      <c r="C137" s="312"/>
      <c r="D137" s="312"/>
      <c r="E137" s="314" t="s">
        <v>503</v>
      </c>
      <c r="F137" s="310" t="s">
        <v>97</v>
      </c>
      <c r="G137" s="310" t="s">
        <v>34</v>
      </c>
      <c r="H137" s="310" t="s">
        <v>31</v>
      </c>
      <c r="I137" s="310"/>
      <c r="J137" s="310"/>
      <c r="K137" s="310"/>
      <c r="L137" s="536"/>
      <c r="M137" s="432"/>
      <c r="N137" s="383"/>
      <c r="O137" s="383"/>
      <c r="P137" s="383"/>
      <c r="Q137" s="310" t="s">
        <v>98</v>
      </c>
      <c r="R137" s="349"/>
      <c r="S137" s="247"/>
      <c r="T137" s="247"/>
      <c r="U137" s="247" t="s">
        <v>435</v>
      </c>
      <c r="V137" s="248">
        <v>1</v>
      </c>
      <c r="W137" s="249">
        <v>0.5</v>
      </c>
      <c r="X137" s="250">
        <f t="shared" si="70"/>
        <v>0.5</v>
      </c>
      <c r="Y137" s="249">
        <v>0.9</v>
      </c>
      <c r="Z137" s="250">
        <f t="shared" si="63"/>
        <v>0.9</v>
      </c>
      <c r="AA137" s="249">
        <v>0.85</v>
      </c>
      <c r="AB137" s="250">
        <f t="shared" si="71"/>
        <v>0.85</v>
      </c>
      <c r="AC137" s="249">
        <v>0</v>
      </c>
      <c r="AD137" s="250">
        <f t="shared" si="72"/>
        <v>0</v>
      </c>
      <c r="AE137" s="249">
        <v>0</v>
      </c>
      <c r="AF137" s="250">
        <f t="shared" si="73"/>
        <v>0</v>
      </c>
      <c r="AG137" s="249">
        <v>0</v>
      </c>
      <c r="AH137" s="250">
        <f t="shared" si="74"/>
        <v>0</v>
      </c>
      <c r="AI137" s="249">
        <v>1</v>
      </c>
      <c r="AJ137" s="250">
        <f t="shared" si="75"/>
        <v>1</v>
      </c>
      <c r="AK137" s="249">
        <v>0</v>
      </c>
      <c r="AL137" s="250">
        <f t="shared" si="76"/>
        <v>0</v>
      </c>
    </row>
    <row r="138" spans="1:38" s="315" customFormat="1" ht="15" customHeight="1">
      <c r="A138" s="312" t="s">
        <v>640</v>
      </c>
      <c r="B138" s="313" t="s">
        <v>94</v>
      </c>
      <c r="C138" s="312"/>
      <c r="D138" s="312"/>
      <c r="E138" s="314" t="s">
        <v>505</v>
      </c>
      <c r="F138" s="310" t="s">
        <v>97</v>
      </c>
      <c r="G138" s="310" t="s">
        <v>34</v>
      </c>
      <c r="H138" s="310" t="s">
        <v>31</v>
      </c>
      <c r="I138" s="310"/>
      <c r="J138" s="310"/>
      <c r="K138" s="310"/>
      <c r="L138" s="536"/>
      <c r="M138" s="432"/>
      <c r="N138" s="383"/>
      <c r="O138" s="383"/>
      <c r="P138" s="383"/>
      <c r="Q138" s="310" t="s">
        <v>98</v>
      </c>
      <c r="R138" s="349"/>
      <c r="S138" s="247"/>
      <c r="T138" s="247"/>
      <c r="U138" s="247" t="s">
        <v>435</v>
      </c>
      <c r="V138" s="248">
        <v>1</v>
      </c>
      <c r="W138" s="249">
        <v>0.5</v>
      </c>
      <c r="X138" s="250">
        <f t="shared" si="70"/>
        <v>0.5</v>
      </c>
      <c r="Y138" s="249">
        <v>0.9</v>
      </c>
      <c r="Z138" s="250">
        <f t="shared" si="63"/>
        <v>0.9</v>
      </c>
      <c r="AA138" s="249">
        <v>0.85</v>
      </c>
      <c r="AB138" s="250">
        <f t="shared" si="71"/>
        <v>0.85</v>
      </c>
      <c r="AC138" s="249">
        <v>0</v>
      </c>
      <c r="AD138" s="250">
        <f t="shared" si="72"/>
        <v>0</v>
      </c>
      <c r="AE138" s="249">
        <v>0</v>
      </c>
      <c r="AF138" s="250">
        <f t="shared" si="73"/>
        <v>0</v>
      </c>
      <c r="AG138" s="249">
        <v>0</v>
      </c>
      <c r="AH138" s="250">
        <f t="shared" si="74"/>
        <v>0</v>
      </c>
      <c r="AI138" s="249">
        <v>1</v>
      </c>
      <c r="AJ138" s="250">
        <f t="shared" si="75"/>
        <v>1</v>
      </c>
      <c r="AK138" s="249">
        <v>0</v>
      </c>
      <c r="AL138" s="250">
        <f t="shared" si="76"/>
        <v>0</v>
      </c>
    </row>
    <row r="139" spans="1:38" s="315" customFormat="1" ht="15" customHeight="1">
      <c r="A139" s="312" t="s">
        <v>641</v>
      </c>
      <c r="B139" s="313" t="s">
        <v>94</v>
      </c>
      <c r="C139" s="312"/>
      <c r="D139" s="312"/>
      <c r="E139" s="314" t="s">
        <v>507</v>
      </c>
      <c r="F139" s="310" t="s">
        <v>97</v>
      </c>
      <c r="G139" s="310" t="s">
        <v>34</v>
      </c>
      <c r="H139" s="310" t="s">
        <v>31</v>
      </c>
      <c r="I139" s="310"/>
      <c r="J139" s="310"/>
      <c r="K139" s="310"/>
      <c r="L139" s="536"/>
      <c r="M139" s="432"/>
      <c r="N139" s="383"/>
      <c r="O139" s="383"/>
      <c r="P139" s="383"/>
      <c r="Q139" s="310" t="s">
        <v>98</v>
      </c>
      <c r="R139" s="349"/>
      <c r="S139" s="247"/>
      <c r="T139" s="247"/>
      <c r="U139" s="247" t="s">
        <v>435</v>
      </c>
      <c r="V139" s="248">
        <v>1</v>
      </c>
      <c r="W139" s="249">
        <v>0.5</v>
      </c>
      <c r="X139" s="250">
        <f t="shared" si="70"/>
        <v>0.5</v>
      </c>
      <c r="Y139" s="249">
        <v>0.9</v>
      </c>
      <c r="Z139" s="250">
        <f t="shared" si="63"/>
        <v>0.9</v>
      </c>
      <c r="AA139" s="249">
        <v>0.85</v>
      </c>
      <c r="AB139" s="250">
        <f t="shared" si="71"/>
        <v>0.85</v>
      </c>
      <c r="AC139" s="249">
        <v>0</v>
      </c>
      <c r="AD139" s="250">
        <f t="shared" si="72"/>
        <v>0</v>
      </c>
      <c r="AE139" s="249">
        <v>0</v>
      </c>
      <c r="AF139" s="250">
        <f t="shared" si="73"/>
        <v>0</v>
      </c>
      <c r="AG139" s="249">
        <v>0</v>
      </c>
      <c r="AH139" s="250">
        <f t="shared" si="74"/>
        <v>0</v>
      </c>
      <c r="AI139" s="249">
        <v>1</v>
      </c>
      <c r="AJ139" s="250">
        <f t="shared" si="75"/>
        <v>1</v>
      </c>
      <c r="AK139" s="249">
        <v>0</v>
      </c>
      <c r="AL139" s="250">
        <f t="shared" si="76"/>
        <v>0</v>
      </c>
    </row>
    <row r="140" spans="1:38" s="315" customFormat="1" ht="15" customHeight="1">
      <c r="A140" s="312" t="s">
        <v>642</v>
      </c>
      <c r="B140" s="313" t="s">
        <v>94</v>
      </c>
      <c r="C140" s="312"/>
      <c r="D140" s="312"/>
      <c r="E140" s="314" t="s">
        <v>509</v>
      </c>
      <c r="F140" s="310" t="s">
        <v>97</v>
      </c>
      <c r="G140" s="310" t="s">
        <v>34</v>
      </c>
      <c r="H140" s="310" t="s">
        <v>31</v>
      </c>
      <c r="I140" s="310"/>
      <c r="J140" s="310"/>
      <c r="K140" s="310"/>
      <c r="L140" s="536"/>
      <c r="M140" s="432"/>
      <c r="N140" s="383"/>
      <c r="O140" s="383"/>
      <c r="P140" s="383"/>
      <c r="Q140" s="310" t="s">
        <v>98</v>
      </c>
      <c r="R140" s="349"/>
      <c r="S140" s="247"/>
      <c r="T140" s="247"/>
      <c r="U140" s="247" t="s">
        <v>435</v>
      </c>
      <c r="V140" s="248">
        <v>1</v>
      </c>
      <c r="W140" s="249">
        <v>0.5</v>
      </c>
      <c r="X140" s="250">
        <f t="shared" si="70"/>
        <v>0.5</v>
      </c>
      <c r="Y140" s="249">
        <v>0.9</v>
      </c>
      <c r="Z140" s="250">
        <f t="shared" si="63"/>
        <v>0.9</v>
      </c>
      <c r="AA140" s="249">
        <v>0.85</v>
      </c>
      <c r="AB140" s="250">
        <f t="shared" si="71"/>
        <v>0.85</v>
      </c>
      <c r="AC140" s="249">
        <v>0</v>
      </c>
      <c r="AD140" s="250">
        <f t="shared" si="72"/>
        <v>0</v>
      </c>
      <c r="AE140" s="249">
        <v>0</v>
      </c>
      <c r="AF140" s="250">
        <f t="shared" si="73"/>
        <v>0</v>
      </c>
      <c r="AG140" s="249">
        <v>0</v>
      </c>
      <c r="AH140" s="250">
        <f t="shared" si="74"/>
        <v>0</v>
      </c>
      <c r="AI140" s="249">
        <v>1</v>
      </c>
      <c r="AJ140" s="250">
        <f t="shared" si="75"/>
        <v>1</v>
      </c>
      <c r="AK140" s="249">
        <v>0</v>
      </c>
      <c r="AL140" s="250">
        <f t="shared" si="76"/>
        <v>0</v>
      </c>
    </row>
    <row r="141" spans="1:38" s="315" customFormat="1" ht="15" customHeight="1">
      <c r="A141" s="312" t="s">
        <v>643</v>
      </c>
      <c r="B141" s="313" t="s">
        <v>94</v>
      </c>
      <c r="C141" s="312"/>
      <c r="D141" s="312"/>
      <c r="E141" s="314" t="s">
        <v>511</v>
      </c>
      <c r="F141" s="310"/>
      <c r="G141" s="310"/>
      <c r="H141" s="310" t="s">
        <v>97</v>
      </c>
      <c r="I141" s="310" t="s">
        <v>34</v>
      </c>
      <c r="J141" s="310"/>
      <c r="K141" s="310"/>
      <c r="L141" s="536"/>
      <c r="M141" s="432"/>
      <c r="N141" s="383"/>
      <c r="O141" s="383"/>
      <c r="P141" s="383"/>
      <c r="Q141" s="310" t="s">
        <v>98</v>
      </c>
      <c r="R141" s="349"/>
      <c r="S141" s="247"/>
      <c r="T141" s="247"/>
      <c r="U141" s="247" t="s">
        <v>435</v>
      </c>
      <c r="V141" s="248">
        <v>1</v>
      </c>
      <c r="W141" s="249">
        <v>0.5</v>
      </c>
      <c r="X141" s="250">
        <f t="shared" si="70"/>
        <v>0.5</v>
      </c>
      <c r="Y141" s="249">
        <v>0.9</v>
      </c>
      <c r="Z141" s="250">
        <f t="shared" si="63"/>
        <v>0.9</v>
      </c>
      <c r="AA141" s="249">
        <v>0.85</v>
      </c>
      <c r="AB141" s="250">
        <f t="shared" si="71"/>
        <v>0.85</v>
      </c>
      <c r="AC141" s="249">
        <v>0</v>
      </c>
      <c r="AD141" s="250">
        <f t="shared" si="72"/>
        <v>0</v>
      </c>
      <c r="AE141" s="249">
        <v>0</v>
      </c>
      <c r="AF141" s="250">
        <f t="shared" si="73"/>
        <v>0</v>
      </c>
      <c r="AG141" s="249">
        <v>0</v>
      </c>
      <c r="AH141" s="250">
        <f t="shared" si="74"/>
        <v>0</v>
      </c>
      <c r="AI141" s="249">
        <v>1</v>
      </c>
      <c r="AJ141" s="250">
        <f t="shared" si="75"/>
        <v>1</v>
      </c>
      <c r="AK141" s="249">
        <v>0</v>
      </c>
      <c r="AL141" s="250">
        <f t="shared" si="76"/>
        <v>0</v>
      </c>
    </row>
    <row r="142" spans="1:38" s="315" customFormat="1" ht="15" customHeight="1">
      <c r="A142" s="312" t="s">
        <v>644</v>
      </c>
      <c r="B142" s="313" t="s">
        <v>94</v>
      </c>
      <c r="C142" s="312"/>
      <c r="D142" s="312"/>
      <c r="E142" s="314" t="s">
        <v>645</v>
      </c>
      <c r="F142" s="310"/>
      <c r="G142" s="310"/>
      <c r="H142" s="310" t="s">
        <v>97</v>
      </c>
      <c r="I142" s="310" t="s">
        <v>34</v>
      </c>
      <c r="J142" s="310"/>
      <c r="K142" s="310"/>
      <c r="L142" s="536"/>
      <c r="M142" s="432"/>
      <c r="N142" s="383"/>
      <c r="O142" s="383"/>
      <c r="P142" s="383"/>
      <c r="Q142" s="310" t="s">
        <v>98</v>
      </c>
      <c r="R142" s="349"/>
      <c r="S142" s="247"/>
      <c r="T142" s="247"/>
      <c r="U142" s="247" t="s">
        <v>435</v>
      </c>
      <c r="V142" s="248">
        <v>1</v>
      </c>
      <c r="W142" s="249">
        <v>0.5</v>
      </c>
      <c r="X142" s="250">
        <f t="shared" si="70"/>
        <v>0.5</v>
      </c>
      <c r="Y142" s="249">
        <v>0.9</v>
      </c>
      <c r="Z142" s="250">
        <f t="shared" si="63"/>
        <v>0.9</v>
      </c>
      <c r="AA142" s="249">
        <v>0.85</v>
      </c>
      <c r="AB142" s="250">
        <f t="shared" si="71"/>
        <v>0.85</v>
      </c>
      <c r="AC142" s="249">
        <v>0</v>
      </c>
      <c r="AD142" s="250">
        <f t="shared" si="72"/>
        <v>0</v>
      </c>
      <c r="AE142" s="249">
        <v>0</v>
      </c>
      <c r="AF142" s="250">
        <f t="shared" si="73"/>
        <v>0</v>
      </c>
      <c r="AG142" s="249">
        <v>0</v>
      </c>
      <c r="AH142" s="250">
        <f t="shared" si="74"/>
        <v>0</v>
      </c>
      <c r="AI142" s="249">
        <v>1</v>
      </c>
      <c r="AJ142" s="250">
        <f t="shared" si="75"/>
        <v>1</v>
      </c>
      <c r="AK142" s="249">
        <v>0</v>
      </c>
      <c r="AL142" s="250">
        <f t="shared" si="76"/>
        <v>0</v>
      </c>
    </row>
    <row r="143" spans="1:38" s="315" customFormat="1" ht="15" customHeight="1">
      <c r="A143" s="312" t="s">
        <v>646</v>
      </c>
      <c r="B143" s="313" t="s">
        <v>94</v>
      </c>
      <c r="C143" s="312"/>
      <c r="D143" s="312"/>
      <c r="E143" s="314" t="s">
        <v>647</v>
      </c>
      <c r="F143" s="310"/>
      <c r="G143" s="310"/>
      <c r="H143" s="310"/>
      <c r="I143" s="310" t="s">
        <v>97</v>
      </c>
      <c r="J143" s="310"/>
      <c r="K143" s="310"/>
      <c r="L143" s="536"/>
      <c r="M143" s="432"/>
      <c r="N143" s="383"/>
      <c r="O143" s="383"/>
      <c r="P143" s="383"/>
      <c r="Q143" s="310" t="s">
        <v>98</v>
      </c>
      <c r="R143" s="349"/>
      <c r="S143" s="247"/>
      <c r="T143" s="247"/>
      <c r="U143" s="247" t="s">
        <v>435</v>
      </c>
      <c r="V143" s="248">
        <v>1</v>
      </c>
      <c r="W143" s="249">
        <v>0.5</v>
      </c>
      <c r="X143" s="250">
        <f t="shared" si="70"/>
        <v>0.5</v>
      </c>
      <c r="Y143" s="249">
        <v>0.9</v>
      </c>
      <c r="Z143" s="250">
        <f t="shared" si="63"/>
        <v>0.9</v>
      </c>
      <c r="AA143" s="249">
        <v>0.85</v>
      </c>
      <c r="AB143" s="250">
        <f t="shared" si="71"/>
        <v>0.85</v>
      </c>
      <c r="AC143" s="249">
        <v>0</v>
      </c>
      <c r="AD143" s="250">
        <f t="shared" si="72"/>
        <v>0</v>
      </c>
      <c r="AE143" s="249">
        <v>0</v>
      </c>
      <c r="AF143" s="250">
        <f t="shared" si="73"/>
        <v>0</v>
      </c>
      <c r="AG143" s="249">
        <v>0</v>
      </c>
      <c r="AH143" s="250">
        <f t="shared" si="74"/>
        <v>0</v>
      </c>
      <c r="AI143" s="249">
        <v>1</v>
      </c>
      <c r="AJ143" s="250">
        <f t="shared" si="75"/>
        <v>1</v>
      </c>
      <c r="AK143" s="249">
        <v>0</v>
      </c>
      <c r="AL143" s="250">
        <f t="shared" si="76"/>
        <v>0</v>
      </c>
    </row>
    <row r="144" spans="1:38" s="315" customFormat="1" ht="15" customHeight="1">
      <c r="A144" s="312" t="s">
        <v>648</v>
      </c>
      <c r="B144" s="313" t="s">
        <v>94</v>
      </c>
      <c r="C144" s="312"/>
      <c r="D144" s="312"/>
      <c r="E144" s="314" t="s">
        <v>649</v>
      </c>
      <c r="F144" s="310"/>
      <c r="G144" s="310"/>
      <c r="H144" s="310"/>
      <c r="I144" s="310" t="s">
        <v>97</v>
      </c>
      <c r="J144" s="310"/>
      <c r="K144" s="310"/>
      <c r="L144" s="536"/>
      <c r="M144" s="432"/>
      <c r="N144" s="383"/>
      <c r="O144" s="383"/>
      <c r="P144" s="383"/>
      <c r="Q144" s="310" t="s">
        <v>98</v>
      </c>
      <c r="R144" s="349"/>
      <c r="S144" s="247"/>
      <c r="T144" s="247"/>
      <c r="U144" s="247" t="s">
        <v>435</v>
      </c>
      <c r="V144" s="248">
        <v>1</v>
      </c>
      <c r="W144" s="249">
        <v>0.5</v>
      </c>
      <c r="X144" s="250">
        <f t="shared" si="70"/>
        <v>0.5</v>
      </c>
      <c r="Y144" s="249">
        <v>0.9</v>
      </c>
      <c r="Z144" s="250">
        <f t="shared" si="63"/>
        <v>0.9</v>
      </c>
      <c r="AA144" s="249">
        <v>0.85</v>
      </c>
      <c r="AB144" s="250">
        <f t="shared" si="71"/>
        <v>0.85</v>
      </c>
      <c r="AC144" s="249">
        <v>0</v>
      </c>
      <c r="AD144" s="250">
        <f t="shared" si="72"/>
        <v>0</v>
      </c>
      <c r="AE144" s="249">
        <v>0</v>
      </c>
      <c r="AF144" s="250">
        <f t="shared" si="73"/>
        <v>0</v>
      </c>
      <c r="AG144" s="249">
        <v>0</v>
      </c>
      <c r="AH144" s="250">
        <f t="shared" si="74"/>
        <v>0</v>
      </c>
      <c r="AI144" s="249">
        <v>1</v>
      </c>
      <c r="AJ144" s="250">
        <f t="shared" si="75"/>
        <v>1</v>
      </c>
      <c r="AK144" s="249">
        <v>0</v>
      </c>
      <c r="AL144" s="250">
        <f t="shared" si="76"/>
        <v>0</v>
      </c>
    </row>
    <row r="145" spans="1:38" s="315" customFormat="1" ht="15" customHeight="1">
      <c r="A145" s="312"/>
      <c r="B145" s="313"/>
      <c r="C145" s="312"/>
      <c r="D145" s="312"/>
      <c r="E145" s="314"/>
      <c r="F145" s="310"/>
      <c r="G145" s="310"/>
      <c r="H145" s="310"/>
      <c r="I145" s="310"/>
      <c r="J145" s="310"/>
      <c r="K145" s="310"/>
      <c r="L145" s="536"/>
      <c r="M145" s="432"/>
      <c r="N145" s="383"/>
      <c r="O145" s="383"/>
      <c r="P145" s="383"/>
      <c r="Q145" s="310"/>
      <c r="R145" s="349"/>
      <c r="S145" s="349"/>
      <c r="T145" s="349"/>
      <c r="U145" s="349"/>
      <c r="V145" s="248"/>
      <c r="W145" s="249"/>
      <c r="X145" s="250"/>
      <c r="Y145" s="249"/>
      <c r="Z145" s="250">
        <f t="shared" si="63"/>
        <v>0</v>
      </c>
      <c r="AA145" s="249"/>
      <c r="AB145" s="250"/>
      <c r="AC145" s="249"/>
      <c r="AD145" s="250"/>
      <c r="AE145" s="249"/>
      <c r="AF145" s="250"/>
      <c r="AG145" s="249"/>
      <c r="AH145" s="250"/>
      <c r="AI145" s="249"/>
      <c r="AJ145" s="250"/>
      <c r="AK145" s="249"/>
      <c r="AL145" s="250"/>
    </row>
    <row r="146" spans="1:38" s="315" customFormat="1" ht="15" customHeight="1">
      <c r="A146" s="312" t="s">
        <v>650</v>
      </c>
      <c r="B146" s="313" t="s">
        <v>94</v>
      </c>
      <c r="C146" s="312"/>
      <c r="D146" s="312"/>
      <c r="E146" s="314" t="s">
        <v>651</v>
      </c>
      <c r="F146" s="310" t="s">
        <v>97</v>
      </c>
      <c r="G146" s="310" t="s">
        <v>34</v>
      </c>
      <c r="H146" s="310" t="s">
        <v>31</v>
      </c>
      <c r="I146" s="310"/>
      <c r="J146" s="310"/>
      <c r="K146" s="310"/>
      <c r="L146" s="536"/>
      <c r="M146" s="432"/>
      <c r="N146" s="383"/>
      <c r="O146" s="383"/>
      <c r="P146" s="383"/>
      <c r="Q146" s="310" t="s">
        <v>98</v>
      </c>
      <c r="R146" s="349"/>
      <c r="S146" s="247"/>
      <c r="T146" s="247"/>
      <c r="U146" s="247" t="s">
        <v>435</v>
      </c>
      <c r="V146" s="248">
        <v>1</v>
      </c>
      <c r="W146" s="249">
        <v>0.5</v>
      </c>
      <c r="X146" s="250">
        <f>$V146*W146</f>
        <v>0.5</v>
      </c>
      <c r="Y146" s="249">
        <v>0.9</v>
      </c>
      <c r="Z146" s="250">
        <f t="shared" si="63"/>
        <v>0.9</v>
      </c>
      <c r="AA146" s="249">
        <v>0.85</v>
      </c>
      <c r="AB146" s="250">
        <f>$V146*AA146</f>
        <v>0.85</v>
      </c>
      <c r="AC146" s="249">
        <v>0</v>
      </c>
      <c r="AD146" s="250">
        <f>$V$10*AC146</f>
        <v>0</v>
      </c>
      <c r="AE146" s="249">
        <v>0</v>
      </c>
      <c r="AF146" s="250">
        <f>$V146*AE146</f>
        <v>0</v>
      </c>
      <c r="AG146" s="249">
        <v>0</v>
      </c>
      <c r="AH146" s="250">
        <f>$V$10*AG146</f>
        <v>0</v>
      </c>
      <c r="AI146" s="249">
        <v>1</v>
      </c>
      <c r="AJ146" s="250">
        <f>$V146*AI146</f>
        <v>1</v>
      </c>
      <c r="AK146" s="249">
        <v>0</v>
      </c>
      <c r="AL146" s="250">
        <f>$V$10*AK146</f>
        <v>0</v>
      </c>
    </row>
    <row r="147" spans="1:38" s="315" customFormat="1" ht="15" customHeight="1">
      <c r="A147" s="312" t="s">
        <v>652</v>
      </c>
      <c r="B147" s="313" t="s">
        <v>94</v>
      </c>
      <c r="C147" s="312"/>
      <c r="D147" s="312"/>
      <c r="E147" s="314" t="s">
        <v>653</v>
      </c>
      <c r="F147" s="310" t="s">
        <v>97</v>
      </c>
      <c r="G147" s="310" t="s">
        <v>34</v>
      </c>
      <c r="H147" s="310"/>
      <c r="I147" s="310" t="s">
        <v>31</v>
      </c>
      <c r="J147" s="310"/>
      <c r="K147" s="310"/>
      <c r="L147" s="536"/>
      <c r="M147" s="432"/>
      <c r="N147" s="383"/>
      <c r="O147" s="383"/>
      <c r="P147" s="383"/>
      <c r="Q147" s="310" t="s">
        <v>98</v>
      </c>
      <c r="R147" s="349"/>
      <c r="S147" s="247"/>
      <c r="T147" s="247"/>
      <c r="U147" s="247" t="s">
        <v>614</v>
      </c>
      <c r="V147" s="248">
        <v>1</v>
      </c>
      <c r="W147" s="249">
        <v>0.5</v>
      </c>
      <c r="X147" s="250">
        <f>$V147*W147</f>
        <v>0.5</v>
      </c>
      <c r="Y147" s="249">
        <v>0.9</v>
      </c>
      <c r="Z147" s="250">
        <f t="shared" si="63"/>
        <v>0.9</v>
      </c>
      <c r="AA147" s="249">
        <v>0.85</v>
      </c>
      <c r="AB147" s="250">
        <f>$V147*AA147</f>
        <v>0.85</v>
      </c>
      <c r="AC147" s="249">
        <v>0</v>
      </c>
      <c r="AD147" s="250">
        <f>$V$10*AC147</f>
        <v>0</v>
      </c>
      <c r="AE147" s="249">
        <v>0</v>
      </c>
      <c r="AF147" s="250">
        <f>$V147*AE147</f>
        <v>0</v>
      </c>
      <c r="AG147" s="249">
        <v>0</v>
      </c>
      <c r="AH147" s="250">
        <f>$V$10*AG147</f>
        <v>0</v>
      </c>
      <c r="AI147" s="249">
        <v>1</v>
      </c>
      <c r="AJ147" s="250">
        <f>$V147*AI147</f>
        <v>1</v>
      </c>
      <c r="AK147" s="249">
        <v>0</v>
      </c>
      <c r="AL147" s="250">
        <f>$V$10*AK147</f>
        <v>0</v>
      </c>
    </row>
    <row r="148" spans="1:38" s="315" customFormat="1" ht="15" customHeight="1">
      <c r="A148" s="312" t="s">
        <v>654</v>
      </c>
      <c r="B148" s="313" t="s">
        <v>94</v>
      </c>
      <c r="C148" s="312"/>
      <c r="D148" s="312"/>
      <c r="E148" s="314" t="s">
        <v>519</v>
      </c>
      <c r="F148" s="310" t="s">
        <v>97</v>
      </c>
      <c r="G148" s="310" t="s">
        <v>34</v>
      </c>
      <c r="H148" s="310" t="s">
        <v>31</v>
      </c>
      <c r="I148" s="310" t="s">
        <v>116</v>
      </c>
      <c r="J148" s="310"/>
      <c r="L148" s="536"/>
      <c r="M148" s="432"/>
      <c r="N148" s="383"/>
      <c r="O148" s="383"/>
      <c r="P148" s="383"/>
      <c r="Q148" s="310" t="s">
        <v>98</v>
      </c>
      <c r="R148" s="349"/>
      <c r="S148" s="247"/>
      <c r="T148" s="247"/>
      <c r="U148" s="247" t="s">
        <v>614</v>
      </c>
      <c r="V148" s="248">
        <v>0.5</v>
      </c>
      <c r="W148" s="249">
        <v>0</v>
      </c>
      <c r="X148" s="250">
        <f>$V148*W148</f>
        <v>0</v>
      </c>
      <c r="Y148" s="249">
        <v>0.9</v>
      </c>
      <c r="Z148" s="250">
        <f t="shared" si="63"/>
        <v>0.45</v>
      </c>
      <c r="AA148" s="249">
        <v>0</v>
      </c>
      <c r="AB148" s="250">
        <f>$V148*AA148</f>
        <v>0</v>
      </c>
      <c r="AC148" s="249">
        <v>0</v>
      </c>
      <c r="AD148" s="250">
        <f>$V$10*AC148</f>
        <v>0</v>
      </c>
      <c r="AE148" s="249">
        <v>0</v>
      </c>
      <c r="AF148" s="250">
        <f>$V148*AE148</f>
        <v>0</v>
      </c>
      <c r="AG148" s="249">
        <v>0</v>
      </c>
      <c r="AH148" s="250">
        <f>$V$10*AG148</f>
        <v>0</v>
      </c>
      <c r="AI148" s="249">
        <v>1</v>
      </c>
      <c r="AJ148" s="250">
        <f>$V148*AI148</f>
        <v>0.5</v>
      </c>
      <c r="AK148" s="249">
        <v>0</v>
      </c>
      <c r="AL148" s="250">
        <f>$V$10*AK148</f>
        <v>0</v>
      </c>
    </row>
    <row r="149" spans="1:38" s="315" customFormat="1" ht="15" customHeight="1">
      <c r="A149" s="312"/>
      <c r="B149" s="313"/>
      <c r="C149" s="312"/>
      <c r="D149" s="312"/>
      <c r="E149" s="314"/>
      <c r="F149" s="310"/>
      <c r="G149" s="310"/>
      <c r="H149" s="310"/>
      <c r="I149" s="310"/>
      <c r="J149" s="310"/>
      <c r="K149" s="310"/>
      <c r="L149" s="536"/>
      <c r="M149" s="432"/>
      <c r="N149" s="383"/>
      <c r="O149" s="383"/>
      <c r="P149" s="383"/>
      <c r="Q149" s="310"/>
      <c r="R149" s="349"/>
      <c r="S149" s="349"/>
      <c r="T149" s="349"/>
      <c r="U149" s="349"/>
      <c r="V149" s="248"/>
      <c r="W149" s="249"/>
      <c r="X149" s="250"/>
      <c r="Y149" s="249"/>
      <c r="Z149" s="250">
        <f t="shared" si="63"/>
        <v>0</v>
      </c>
      <c r="AA149" s="249"/>
      <c r="AB149" s="250"/>
      <c r="AC149" s="249"/>
      <c r="AD149" s="250"/>
      <c r="AE149" s="249"/>
      <c r="AF149" s="250"/>
      <c r="AG149" s="249"/>
      <c r="AH149" s="250"/>
      <c r="AI149" s="249"/>
      <c r="AJ149" s="250"/>
      <c r="AK149" s="249"/>
      <c r="AL149" s="250"/>
    </row>
    <row r="150" spans="1:38" s="315" customFormat="1" ht="15" customHeight="1">
      <c r="A150" s="312" t="s">
        <v>354</v>
      </c>
      <c r="B150" s="313" t="s">
        <v>94</v>
      </c>
      <c r="C150" s="312"/>
      <c r="D150" s="312"/>
      <c r="E150" s="314" t="s">
        <v>655</v>
      </c>
      <c r="F150" s="310" t="s">
        <v>97</v>
      </c>
      <c r="G150" s="350" t="s">
        <v>34</v>
      </c>
      <c r="H150" s="350" t="s">
        <v>31</v>
      </c>
      <c r="I150" s="350"/>
      <c r="J150" s="350"/>
      <c r="K150" s="310"/>
      <c r="L150" s="536"/>
      <c r="M150" s="432"/>
      <c r="N150" s="383"/>
      <c r="O150" s="383"/>
      <c r="P150" s="383"/>
      <c r="Q150" s="310" t="s">
        <v>98</v>
      </c>
      <c r="R150" s="349"/>
      <c r="S150" s="247"/>
      <c r="T150" s="247"/>
      <c r="U150" s="247" t="s">
        <v>614</v>
      </c>
      <c r="V150" s="248">
        <v>1</v>
      </c>
      <c r="W150" s="249">
        <v>0.5</v>
      </c>
      <c r="X150" s="250">
        <f t="shared" ref="X150:X158" si="77">$V150*W150</f>
        <v>0.5</v>
      </c>
      <c r="Y150" s="249">
        <v>0.7</v>
      </c>
      <c r="Z150" s="250">
        <f t="shared" si="63"/>
        <v>0.7</v>
      </c>
      <c r="AA150" s="249">
        <v>0.85</v>
      </c>
      <c r="AB150" s="250">
        <f t="shared" ref="AB150:AB158" si="78">$V150*AA150</f>
        <v>0.85</v>
      </c>
      <c r="AC150" s="249">
        <v>0</v>
      </c>
      <c r="AD150" s="250">
        <f t="shared" ref="AD150:AD158" si="79">$V$10*AC150</f>
        <v>0</v>
      </c>
      <c r="AE150" s="249">
        <v>0</v>
      </c>
      <c r="AF150" s="250">
        <f t="shared" ref="AF150:AF158" si="80">$V150*AE150</f>
        <v>0</v>
      </c>
      <c r="AG150" s="249">
        <v>0</v>
      </c>
      <c r="AH150" s="250">
        <f t="shared" ref="AH150:AH158" si="81">$V$10*AG150</f>
        <v>0</v>
      </c>
      <c r="AI150" s="249">
        <v>1</v>
      </c>
      <c r="AJ150" s="250">
        <f t="shared" ref="AJ150:AJ158" si="82">$V150*AI150</f>
        <v>1</v>
      </c>
      <c r="AK150" s="249">
        <v>0</v>
      </c>
      <c r="AL150" s="250">
        <f t="shared" ref="AL150:AL158" si="83">$V$10*AK150</f>
        <v>0</v>
      </c>
    </row>
    <row r="151" spans="1:38" s="315" customFormat="1" ht="15" customHeight="1">
      <c r="A151" s="312" t="s">
        <v>656</v>
      </c>
      <c r="B151" s="313" t="s">
        <v>94</v>
      </c>
      <c r="C151" s="312"/>
      <c r="D151" s="312"/>
      <c r="E151" s="314" t="s">
        <v>657</v>
      </c>
      <c r="F151" s="310" t="s">
        <v>97</v>
      </c>
      <c r="G151" s="350" t="s">
        <v>34</v>
      </c>
      <c r="H151" s="350" t="s">
        <v>31</v>
      </c>
      <c r="I151" s="350"/>
      <c r="J151" s="350"/>
      <c r="K151" s="310"/>
      <c r="L151" s="536"/>
      <c r="M151" s="432"/>
      <c r="N151" s="383"/>
      <c r="O151" s="383"/>
      <c r="P151" s="383"/>
      <c r="Q151" s="310" t="s">
        <v>98</v>
      </c>
      <c r="R151" s="349"/>
      <c r="S151" s="247"/>
      <c r="T151" s="247"/>
      <c r="U151" s="247" t="s">
        <v>614</v>
      </c>
      <c r="V151" s="248">
        <v>1</v>
      </c>
      <c r="W151" s="249">
        <v>0.5</v>
      </c>
      <c r="X151" s="250">
        <f t="shared" si="77"/>
        <v>0.5</v>
      </c>
      <c r="Y151" s="249">
        <v>0.7</v>
      </c>
      <c r="Z151" s="250">
        <f t="shared" si="63"/>
        <v>0.7</v>
      </c>
      <c r="AA151" s="249">
        <v>0.85</v>
      </c>
      <c r="AB151" s="250">
        <f t="shared" si="78"/>
        <v>0.85</v>
      </c>
      <c r="AC151" s="249">
        <v>0</v>
      </c>
      <c r="AD151" s="250">
        <f t="shared" si="79"/>
        <v>0</v>
      </c>
      <c r="AE151" s="249">
        <v>0</v>
      </c>
      <c r="AF151" s="250">
        <f t="shared" si="80"/>
        <v>0</v>
      </c>
      <c r="AG151" s="249">
        <v>0</v>
      </c>
      <c r="AH151" s="250">
        <f t="shared" si="81"/>
        <v>0</v>
      </c>
      <c r="AI151" s="249">
        <v>1</v>
      </c>
      <c r="AJ151" s="250">
        <f t="shared" si="82"/>
        <v>1</v>
      </c>
      <c r="AK151" s="249">
        <v>0</v>
      </c>
      <c r="AL151" s="250">
        <f t="shared" si="83"/>
        <v>0</v>
      </c>
    </row>
    <row r="152" spans="1:38" s="315" customFormat="1" ht="15" customHeight="1">
      <c r="A152" s="312" t="s">
        <v>658</v>
      </c>
      <c r="B152" s="313" t="s">
        <v>94</v>
      </c>
      <c r="C152" s="312"/>
      <c r="D152" s="312"/>
      <c r="E152" s="314" t="s">
        <v>659</v>
      </c>
      <c r="F152" s="310" t="s">
        <v>97</v>
      </c>
      <c r="G152" s="350"/>
      <c r="H152" s="350" t="s">
        <v>34</v>
      </c>
      <c r="I152" s="350"/>
      <c r="J152" s="350"/>
      <c r="K152" s="310"/>
      <c r="L152" s="536"/>
      <c r="M152" s="432"/>
      <c r="N152" s="383"/>
      <c r="O152" s="383"/>
      <c r="P152" s="383"/>
      <c r="Q152" s="310" t="s">
        <v>98</v>
      </c>
      <c r="R152" s="349"/>
      <c r="S152" s="247"/>
      <c r="T152" s="247"/>
      <c r="U152" s="247" t="s">
        <v>614</v>
      </c>
      <c r="V152" s="248">
        <v>1</v>
      </c>
      <c r="W152" s="249">
        <v>0.5</v>
      </c>
      <c r="X152" s="250">
        <f t="shared" si="77"/>
        <v>0.5</v>
      </c>
      <c r="Y152" s="249">
        <v>0.7</v>
      </c>
      <c r="Z152" s="250">
        <f t="shared" si="63"/>
        <v>0.7</v>
      </c>
      <c r="AA152" s="249">
        <v>0.85</v>
      </c>
      <c r="AB152" s="250">
        <f t="shared" si="78"/>
        <v>0.85</v>
      </c>
      <c r="AC152" s="249">
        <v>0</v>
      </c>
      <c r="AD152" s="250">
        <f t="shared" si="79"/>
        <v>0</v>
      </c>
      <c r="AE152" s="249">
        <v>0</v>
      </c>
      <c r="AF152" s="250">
        <f t="shared" si="80"/>
        <v>0</v>
      </c>
      <c r="AG152" s="249">
        <v>0</v>
      </c>
      <c r="AH152" s="250">
        <f t="shared" si="81"/>
        <v>0</v>
      </c>
      <c r="AI152" s="249">
        <v>1</v>
      </c>
      <c r="AJ152" s="250">
        <f t="shared" si="82"/>
        <v>1</v>
      </c>
      <c r="AK152" s="249">
        <v>0</v>
      </c>
      <c r="AL152" s="250">
        <f t="shared" si="83"/>
        <v>0</v>
      </c>
    </row>
    <row r="153" spans="1:38" s="315" customFormat="1" ht="15" customHeight="1">
      <c r="A153" s="312" t="s">
        <v>660</v>
      </c>
      <c r="B153" s="313" t="s">
        <v>94</v>
      </c>
      <c r="C153" s="312"/>
      <c r="D153" s="312"/>
      <c r="E153" s="314" t="s">
        <v>661</v>
      </c>
      <c r="F153" s="310" t="s">
        <v>97</v>
      </c>
      <c r="G153" s="350"/>
      <c r="H153" s="350" t="s">
        <v>34</v>
      </c>
      <c r="I153" s="350"/>
      <c r="J153" s="350"/>
      <c r="K153" s="310"/>
      <c r="L153" s="536"/>
      <c r="M153" s="432"/>
      <c r="N153" s="383"/>
      <c r="O153" s="383"/>
      <c r="P153" s="383"/>
      <c r="Q153" s="310" t="s">
        <v>98</v>
      </c>
      <c r="R153" s="349"/>
      <c r="S153" s="247"/>
      <c r="T153" s="247"/>
      <c r="U153" s="247" t="s">
        <v>614</v>
      </c>
      <c r="V153" s="248">
        <v>1</v>
      </c>
      <c r="W153" s="249">
        <v>0.5</v>
      </c>
      <c r="X153" s="250">
        <f t="shared" si="77"/>
        <v>0.5</v>
      </c>
      <c r="Y153" s="249">
        <v>0.7</v>
      </c>
      <c r="Z153" s="250">
        <f t="shared" si="63"/>
        <v>0.7</v>
      </c>
      <c r="AA153" s="249">
        <v>0.85</v>
      </c>
      <c r="AB153" s="250">
        <f t="shared" si="78"/>
        <v>0.85</v>
      </c>
      <c r="AC153" s="249">
        <v>0</v>
      </c>
      <c r="AD153" s="250">
        <f t="shared" si="79"/>
        <v>0</v>
      </c>
      <c r="AE153" s="249">
        <v>0</v>
      </c>
      <c r="AF153" s="250">
        <f t="shared" si="80"/>
        <v>0</v>
      </c>
      <c r="AG153" s="249">
        <v>0</v>
      </c>
      <c r="AH153" s="250">
        <f t="shared" si="81"/>
        <v>0</v>
      </c>
      <c r="AI153" s="249">
        <v>1</v>
      </c>
      <c r="AJ153" s="250">
        <f t="shared" si="82"/>
        <v>1</v>
      </c>
      <c r="AK153" s="249">
        <v>0</v>
      </c>
      <c r="AL153" s="250">
        <f t="shared" si="83"/>
        <v>0</v>
      </c>
    </row>
    <row r="154" spans="1:38" s="315" customFormat="1" ht="15" customHeight="1">
      <c r="A154" s="312" t="s">
        <v>662</v>
      </c>
      <c r="B154" s="313" t="s">
        <v>94</v>
      </c>
      <c r="C154" s="312"/>
      <c r="D154" s="312"/>
      <c r="E154" s="314" t="s">
        <v>663</v>
      </c>
      <c r="F154" s="310" t="s">
        <v>97</v>
      </c>
      <c r="G154" s="350"/>
      <c r="H154" s="350"/>
      <c r="I154" s="350"/>
      <c r="J154" s="350"/>
      <c r="K154" s="310"/>
      <c r="L154" s="536"/>
      <c r="M154" s="432"/>
      <c r="N154" s="383"/>
      <c r="O154" s="383"/>
      <c r="P154" s="383"/>
      <c r="Q154" s="310" t="s">
        <v>98</v>
      </c>
      <c r="R154" s="349"/>
      <c r="S154" s="247"/>
      <c r="T154" s="247"/>
      <c r="U154" s="247" t="s">
        <v>614</v>
      </c>
      <c r="V154" s="248">
        <v>1</v>
      </c>
      <c r="W154" s="249">
        <v>0.5</v>
      </c>
      <c r="X154" s="250">
        <f t="shared" si="77"/>
        <v>0.5</v>
      </c>
      <c r="Y154" s="249">
        <v>0.7</v>
      </c>
      <c r="Z154" s="250">
        <f t="shared" si="63"/>
        <v>0.7</v>
      </c>
      <c r="AA154" s="249">
        <v>0.85</v>
      </c>
      <c r="AB154" s="250">
        <f t="shared" si="78"/>
        <v>0.85</v>
      </c>
      <c r="AC154" s="249">
        <v>0</v>
      </c>
      <c r="AD154" s="250">
        <f t="shared" si="79"/>
        <v>0</v>
      </c>
      <c r="AE154" s="249">
        <v>0</v>
      </c>
      <c r="AF154" s="250">
        <f t="shared" si="80"/>
        <v>0</v>
      </c>
      <c r="AG154" s="249">
        <v>0</v>
      </c>
      <c r="AH154" s="250">
        <f t="shared" si="81"/>
        <v>0</v>
      </c>
      <c r="AI154" s="249">
        <v>1</v>
      </c>
      <c r="AJ154" s="250">
        <f t="shared" si="82"/>
        <v>1</v>
      </c>
      <c r="AK154" s="249">
        <v>0</v>
      </c>
      <c r="AL154" s="250">
        <f t="shared" si="83"/>
        <v>0</v>
      </c>
    </row>
    <row r="155" spans="1:38" s="315" customFormat="1" ht="15" customHeight="1">
      <c r="A155" s="312" t="s">
        <v>664</v>
      </c>
      <c r="B155" s="313" t="s">
        <v>94</v>
      </c>
      <c r="C155" s="312"/>
      <c r="D155" s="312"/>
      <c r="E155" s="314" t="s">
        <v>665</v>
      </c>
      <c r="F155" s="310" t="s">
        <v>97</v>
      </c>
      <c r="G155" s="350"/>
      <c r="H155" s="350" t="s">
        <v>34</v>
      </c>
      <c r="I155" s="350"/>
      <c r="J155" s="350"/>
      <c r="K155" s="310"/>
      <c r="L155" s="536"/>
      <c r="M155" s="432"/>
      <c r="N155" s="383"/>
      <c r="O155" s="383"/>
      <c r="P155" s="383"/>
      <c r="Q155" s="310" t="s">
        <v>98</v>
      </c>
      <c r="R155" s="349"/>
      <c r="S155" s="247"/>
      <c r="T155" s="247"/>
      <c r="U155" s="247" t="s">
        <v>614</v>
      </c>
      <c r="V155" s="248">
        <v>1</v>
      </c>
      <c r="W155" s="249">
        <v>0.5</v>
      </c>
      <c r="X155" s="250">
        <f t="shared" si="77"/>
        <v>0.5</v>
      </c>
      <c r="Y155" s="249">
        <v>0.7</v>
      </c>
      <c r="Z155" s="250">
        <f t="shared" si="63"/>
        <v>0.7</v>
      </c>
      <c r="AA155" s="249">
        <v>0.85</v>
      </c>
      <c r="AB155" s="250">
        <f t="shared" si="78"/>
        <v>0.85</v>
      </c>
      <c r="AC155" s="249">
        <v>0</v>
      </c>
      <c r="AD155" s="250">
        <f t="shared" si="79"/>
        <v>0</v>
      </c>
      <c r="AE155" s="249">
        <v>0</v>
      </c>
      <c r="AF155" s="250">
        <f t="shared" si="80"/>
        <v>0</v>
      </c>
      <c r="AG155" s="249">
        <v>0</v>
      </c>
      <c r="AH155" s="250">
        <f t="shared" si="81"/>
        <v>0</v>
      </c>
      <c r="AI155" s="249">
        <v>1</v>
      </c>
      <c r="AJ155" s="250">
        <f t="shared" si="82"/>
        <v>1</v>
      </c>
      <c r="AK155" s="249">
        <v>0</v>
      </c>
      <c r="AL155" s="250">
        <f t="shared" si="83"/>
        <v>0</v>
      </c>
    </row>
    <row r="156" spans="1:38" s="315" customFormat="1" ht="15" customHeight="1">
      <c r="A156" s="312" t="s">
        <v>666</v>
      </c>
      <c r="B156" s="313" t="s">
        <v>94</v>
      </c>
      <c r="C156" s="312"/>
      <c r="D156" s="312"/>
      <c r="E156" s="314" t="s">
        <v>667</v>
      </c>
      <c r="F156" s="310" t="s">
        <v>97</v>
      </c>
      <c r="G156" s="350" t="s">
        <v>34</v>
      </c>
      <c r="H156" s="310" t="s">
        <v>31</v>
      </c>
      <c r="I156" s="310" t="s">
        <v>116</v>
      </c>
      <c r="J156" s="310" t="s">
        <v>38</v>
      </c>
      <c r="K156" s="310"/>
      <c r="L156" s="536"/>
      <c r="M156" s="432"/>
      <c r="N156" s="383"/>
      <c r="O156" s="383"/>
      <c r="P156" s="383"/>
      <c r="Q156" s="310" t="s">
        <v>98</v>
      </c>
      <c r="R156" s="349"/>
      <c r="S156" s="247"/>
      <c r="T156" s="247"/>
      <c r="U156" s="247" t="s">
        <v>474</v>
      </c>
      <c r="V156" s="248">
        <v>1</v>
      </c>
      <c r="W156" s="249">
        <v>0.5</v>
      </c>
      <c r="X156" s="250">
        <f t="shared" si="77"/>
        <v>0.5</v>
      </c>
      <c r="Y156" s="249">
        <v>0.7</v>
      </c>
      <c r="Z156" s="250">
        <f t="shared" si="63"/>
        <v>0.7</v>
      </c>
      <c r="AA156" s="249">
        <v>0.85</v>
      </c>
      <c r="AB156" s="250">
        <f t="shared" si="78"/>
        <v>0.85</v>
      </c>
      <c r="AC156" s="249">
        <v>0</v>
      </c>
      <c r="AD156" s="250">
        <f t="shared" si="79"/>
        <v>0</v>
      </c>
      <c r="AE156" s="249">
        <v>0</v>
      </c>
      <c r="AF156" s="250">
        <f t="shared" si="80"/>
        <v>0</v>
      </c>
      <c r="AG156" s="249">
        <v>0</v>
      </c>
      <c r="AH156" s="250">
        <f t="shared" si="81"/>
        <v>0</v>
      </c>
      <c r="AI156" s="249">
        <v>1</v>
      </c>
      <c r="AJ156" s="250">
        <f t="shared" si="82"/>
        <v>1</v>
      </c>
      <c r="AK156" s="249">
        <v>0</v>
      </c>
      <c r="AL156" s="250">
        <f t="shared" si="83"/>
        <v>0</v>
      </c>
    </row>
    <row r="157" spans="1:38" s="315" customFormat="1" ht="15" customHeight="1">
      <c r="A157" s="312" t="s">
        <v>29</v>
      </c>
      <c r="B157" s="313" t="s">
        <v>94</v>
      </c>
      <c r="C157" s="312"/>
      <c r="D157" s="312"/>
      <c r="E157" s="314" t="s">
        <v>30</v>
      </c>
      <c r="F157" s="310"/>
      <c r="G157" s="310" t="s">
        <v>97</v>
      </c>
      <c r="H157" s="310" t="s">
        <v>34</v>
      </c>
      <c r="I157" s="310"/>
      <c r="J157" s="310"/>
      <c r="K157" s="310"/>
      <c r="L157" s="536"/>
      <c r="M157" s="432"/>
      <c r="N157" s="383"/>
      <c r="O157" s="383"/>
      <c r="P157" s="383"/>
      <c r="Q157" s="310" t="s">
        <v>98</v>
      </c>
      <c r="R157" s="349"/>
      <c r="S157" s="247"/>
      <c r="T157" s="247"/>
      <c r="U157" s="247" t="s">
        <v>474</v>
      </c>
      <c r="V157" s="248">
        <v>1</v>
      </c>
      <c r="W157" s="249">
        <v>0.5</v>
      </c>
      <c r="X157" s="250">
        <f t="shared" si="77"/>
        <v>0.5</v>
      </c>
      <c r="Y157" s="249">
        <v>0.7</v>
      </c>
      <c r="Z157" s="250">
        <f t="shared" si="63"/>
        <v>0.7</v>
      </c>
      <c r="AA157" s="249">
        <v>0.85</v>
      </c>
      <c r="AB157" s="250">
        <f t="shared" si="78"/>
        <v>0.85</v>
      </c>
      <c r="AC157" s="249">
        <v>0</v>
      </c>
      <c r="AD157" s="250">
        <f t="shared" si="79"/>
        <v>0</v>
      </c>
      <c r="AE157" s="249">
        <v>0</v>
      </c>
      <c r="AF157" s="250">
        <f t="shared" si="80"/>
        <v>0</v>
      </c>
      <c r="AG157" s="249">
        <v>0</v>
      </c>
      <c r="AH157" s="250">
        <f t="shared" si="81"/>
        <v>0</v>
      </c>
      <c r="AI157" s="249">
        <v>1</v>
      </c>
      <c r="AJ157" s="250">
        <f t="shared" si="82"/>
        <v>1</v>
      </c>
      <c r="AK157" s="249">
        <v>0</v>
      </c>
      <c r="AL157" s="250">
        <f t="shared" si="83"/>
        <v>0</v>
      </c>
    </row>
    <row r="158" spans="1:38" s="315" customFormat="1" ht="15" customHeight="1">
      <c r="A158" s="312" t="s">
        <v>32</v>
      </c>
      <c r="B158" s="313" t="s">
        <v>94</v>
      </c>
      <c r="C158" s="312"/>
      <c r="D158" s="312"/>
      <c r="E158" s="314" t="s">
        <v>33</v>
      </c>
      <c r="F158" s="310"/>
      <c r="G158" s="310" t="s">
        <v>97</v>
      </c>
      <c r="H158" s="310" t="s">
        <v>34</v>
      </c>
      <c r="I158" s="310"/>
      <c r="J158" s="310"/>
      <c r="K158" s="310"/>
      <c r="L158" s="536"/>
      <c r="M158" s="432"/>
      <c r="N158" s="383"/>
      <c r="O158" s="383"/>
      <c r="P158" s="383"/>
      <c r="Q158" s="310" t="s">
        <v>98</v>
      </c>
      <c r="R158" s="349"/>
      <c r="S158" s="247"/>
      <c r="T158" s="247"/>
      <c r="U158" s="247" t="s">
        <v>474</v>
      </c>
      <c r="V158" s="248">
        <v>1</v>
      </c>
      <c r="W158" s="249">
        <v>0.5</v>
      </c>
      <c r="X158" s="250">
        <f t="shared" si="77"/>
        <v>0.5</v>
      </c>
      <c r="Y158" s="249">
        <v>0.7</v>
      </c>
      <c r="Z158" s="250">
        <f t="shared" si="63"/>
        <v>0.7</v>
      </c>
      <c r="AA158" s="249">
        <v>0.85</v>
      </c>
      <c r="AB158" s="250">
        <f t="shared" si="78"/>
        <v>0.85</v>
      </c>
      <c r="AC158" s="249">
        <v>0</v>
      </c>
      <c r="AD158" s="250">
        <f t="shared" si="79"/>
        <v>0</v>
      </c>
      <c r="AE158" s="249">
        <v>0</v>
      </c>
      <c r="AF158" s="250">
        <f t="shared" si="80"/>
        <v>0</v>
      </c>
      <c r="AG158" s="249">
        <v>0</v>
      </c>
      <c r="AH158" s="250">
        <f t="shared" si="81"/>
        <v>0</v>
      </c>
      <c r="AI158" s="249">
        <v>1</v>
      </c>
      <c r="AJ158" s="250">
        <f t="shared" si="82"/>
        <v>1</v>
      </c>
      <c r="AK158" s="249">
        <v>0</v>
      </c>
      <c r="AL158" s="250">
        <f t="shared" si="83"/>
        <v>0</v>
      </c>
    </row>
    <row r="159" spans="1:38" s="315" customFormat="1" ht="15" customHeight="1">
      <c r="A159" s="312"/>
      <c r="B159" s="313"/>
      <c r="C159" s="312"/>
      <c r="D159" s="312"/>
      <c r="E159" s="314"/>
      <c r="F159" s="310"/>
      <c r="G159" s="310"/>
      <c r="H159" s="310"/>
      <c r="I159" s="310"/>
      <c r="J159" s="310"/>
      <c r="K159" s="310"/>
      <c r="L159" s="536"/>
      <c r="M159" s="432"/>
      <c r="N159" s="383"/>
      <c r="O159" s="383"/>
      <c r="P159" s="383"/>
      <c r="Q159" s="310"/>
      <c r="R159" s="349"/>
      <c r="S159" s="349"/>
      <c r="T159" s="349"/>
      <c r="U159" s="349"/>
      <c r="V159" s="248"/>
      <c r="W159" s="249"/>
      <c r="X159" s="250"/>
      <c r="Y159" s="249"/>
      <c r="Z159" s="250"/>
      <c r="AA159" s="249"/>
      <c r="AB159" s="250"/>
      <c r="AC159" s="249"/>
      <c r="AD159" s="250"/>
      <c r="AE159" s="249"/>
      <c r="AF159" s="250"/>
      <c r="AG159" s="249"/>
      <c r="AH159" s="250"/>
      <c r="AI159" s="249"/>
      <c r="AJ159" s="250"/>
      <c r="AK159" s="249"/>
      <c r="AL159" s="250"/>
    </row>
    <row r="160" spans="1:38" s="315" customFormat="1" ht="15" customHeight="1">
      <c r="A160" s="312" t="s">
        <v>668</v>
      </c>
      <c r="B160" s="313" t="s">
        <v>94</v>
      </c>
      <c r="C160" s="312"/>
      <c r="D160" s="312"/>
      <c r="E160" s="314" t="s">
        <v>669</v>
      </c>
      <c r="F160" s="310"/>
      <c r="G160" s="310"/>
      <c r="H160" s="310" t="s">
        <v>97</v>
      </c>
      <c r="I160" s="310"/>
      <c r="J160" s="310"/>
      <c r="K160" s="310"/>
      <c r="L160" s="536"/>
      <c r="M160" s="432"/>
      <c r="N160" s="383"/>
      <c r="O160" s="383"/>
      <c r="P160" s="383"/>
      <c r="Q160" s="310" t="s">
        <v>98</v>
      </c>
      <c r="R160" s="349"/>
      <c r="S160" s="247"/>
      <c r="T160" s="247"/>
      <c r="U160" s="247" t="s">
        <v>614</v>
      </c>
      <c r="V160" s="248">
        <v>0.5</v>
      </c>
      <c r="W160" s="249">
        <v>0</v>
      </c>
      <c r="X160" s="250">
        <f>$V160*W160</f>
        <v>0</v>
      </c>
      <c r="Y160" s="249">
        <v>0</v>
      </c>
      <c r="Z160" s="250">
        <f t="shared" ref="Z160:Z177" si="84">V160*Y160</f>
        <v>0</v>
      </c>
      <c r="AA160" s="249">
        <v>0</v>
      </c>
      <c r="AB160" s="250">
        <f>$V160*AA160</f>
        <v>0</v>
      </c>
      <c r="AC160" s="249">
        <v>0</v>
      </c>
      <c r="AD160" s="250">
        <f>$V$10*AC160</f>
        <v>0</v>
      </c>
      <c r="AE160" s="249">
        <v>0</v>
      </c>
      <c r="AF160" s="250">
        <f>$V160*AE160</f>
        <v>0</v>
      </c>
      <c r="AG160" s="249">
        <v>0</v>
      </c>
      <c r="AH160" s="250">
        <f>$V$10*AG160</f>
        <v>0</v>
      </c>
      <c r="AI160" s="249">
        <v>1</v>
      </c>
      <c r="AJ160" s="250">
        <f>$V160*AI160</f>
        <v>0.5</v>
      </c>
      <c r="AK160" s="249">
        <v>0</v>
      </c>
      <c r="AL160" s="250">
        <f>$V$10*AK160</f>
        <v>0</v>
      </c>
    </row>
    <row r="161" spans="1:38" s="315" customFormat="1" ht="15" customHeight="1">
      <c r="A161" s="312" t="s">
        <v>670</v>
      </c>
      <c r="B161" s="313" t="s">
        <v>94</v>
      </c>
      <c r="C161" s="312"/>
      <c r="D161" s="312"/>
      <c r="E161" s="314" t="s">
        <v>671</v>
      </c>
      <c r="F161" s="310"/>
      <c r="G161" s="310"/>
      <c r="H161" s="310" t="s">
        <v>97</v>
      </c>
      <c r="I161" s="310"/>
      <c r="J161" s="310"/>
      <c r="K161" s="310"/>
      <c r="L161" s="536"/>
      <c r="M161" s="432"/>
      <c r="N161" s="383"/>
      <c r="O161" s="383"/>
      <c r="P161" s="383"/>
      <c r="Q161" s="310" t="s">
        <v>98</v>
      </c>
      <c r="R161" s="349"/>
      <c r="S161" s="247"/>
      <c r="T161" s="247"/>
      <c r="U161" s="247" t="s">
        <v>614</v>
      </c>
      <c r="V161" s="248">
        <v>0.5</v>
      </c>
      <c r="W161" s="249">
        <v>0</v>
      </c>
      <c r="X161" s="250">
        <f>$V161*W161</f>
        <v>0</v>
      </c>
      <c r="Y161" s="249">
        <v>0</v>
      </c>
      <c r="Z161" s="250">
        <f t="shared" si="84"/>
        <v>0</v>
      </c>
      <c r="AA161" s="249">
        <v>0</v>
      </c>
      <c r="AB161" s="250">
        <f>$V161*AA161</f>
        <v>0</v>
      </c>
      <c r="AC161" s="249">
        <v>0</v>
      </c>
      <c r="AD161" s="250">
        <f>$V$10*AC161</f>
        <v>0</v>
      </c>
      <c r="AE161" s="249">
        <v>0</v>
      </c>
      <c r="AF161" s="250">
        <f>$V161*AE161</f>
        <v>0</v>
      </c>
      <c r="AG161" s="249">
        <v>0</v>
      </c>
      <c r="AH161" s="250">
        <f>$V$10*AG161</f>
        <v>0</v>
      </c>
      <c r="AI161" s="249">
        <v>1</v>
      </c>
      <c r="AJ161" s="250">
        <f>$V161*AI161</f>
        <v>0.5</v>
      </c>
      <c r="AK161" s="249">
        <v>0</v>
      </c>
      <c r="AL161" s="250">
        <f>$V$10*AK161</f>
        <v>0</v>
      </c>
    </row>
    <row r="162" spans="1:38" s="315" customFormat="1" ht="15" customHeight="1">
      <c r="A162" s="312" t="s">
        <v>672</v>
      </c>
      <c r="B162" s="313" t="s">
        <v>94</v>
      </c>
      <c r="C162" s="312"/>
      <c r="D162" s="312"/>
      <c r="E162" s="314" t="s">
        <v>673</v>
      </c>
      <c r="F162" s="310"/>
      <c r="G162" s="310"/>
      <c r="H162" s="310" t="s">
        <v>97</v>
      </c>
      <c r="I162" s="310"/>
      <c r="J162" s="310"/>
      <c r="K162" s="310"/>
      <c r="L162" s="536"/>
      <c r="M162" s="432"/>
      <c r="N162" s="383"/>
      <c r="O162" s="383"/>
      <c r="P162" s="383"/>
      <c r="Q162" s="310" t="s">
        <v>98</v>
      </c>
      <c r="R162" s="349"/>
      <c r="S162" s="247"/>
      <c r="T162" s="247"/>
      <c r="U162" s="247" t="s">
        <v>614</v>
      </c>
      <c r="V162" s="248">
        <v>0.5</v>
      </c>
      <c r="W162" s="249">
        <v>0</v>
      </c>
      <c r="X162" s="250">
        <f>$V162*W162</f>
        <v>0</v>
      </c>
      <c r="Y162" s="249">
        <v>0</v>
      </c>
      <c r="Z162" s="250">
        <f t="shared" si="84"/>
        <v>0</v>
      </c>
      <c r="AA162" s="249">
        <v>0</v>
      </c>
      <c r="AB162" s="250">
        <f>$V162*AA162</f>
        <v>0</v>
      </c>
      <c r="AC162" s="249">
        <v>0</v>
      </c>
      <c r="AD162" s="250">
        <f>$V$10*AC162</f>
        <v>0</v>
      </c>
      <c r="AE162" s="249">
        <v>0</v>
      </c>
      <c r="AF162" s="250">
        <f>$V162*AE162</f>
        <v>0</v>
      </c>
      <c r="AG162" s="249">
        <v>0</v>
      </c>
      <c r="AH162" s="250">
        <f>$V$10*AG162</f>
        <v>0</v>
      </c>
      <c r="AI162" s="249">
        <v>1</v>
      </c>
      <c r="AJ162" s="250">
        <f>$V162*AI162</f>
        <v>0.5</v>
      </c>
      <c r="AK162" s="249">
        <v>0</v>
      </c>
      <c r="AL162" s="250">
        <f>$V$10*AK162</f>
        <v>0</v>
      </c>
    </row>
    <row r="163" spans="1:38" s="315" customFormat="1" ht="15" customHeight="1">
      <c r="B163" s="283"/>
      <c r="F163" s="310"/>
      <c r="G163" s="310"/>
      <c r="H163" s="310"/>
      <c r="I163" s="310"/>
      <c r="J163" s="310"/>
      <c r="K163" s="310"/>
      <c r="L163" s="536"/>
      <c r="M163" s="432"/>
      <c r="N163" s="383"/>
      <c r="O163" s="383"/>
      <c r="P163" s="383"/>
      <c r="Q163" s="310"/>
      <c r="R163" s="349"/>
      <c r="S163" s="349"/>
      <c r="T163" s="349"/>
      <c r="U163" s="349"/>
      <c r="V163" s="248"/>
      <c r="W163" s="249"/>
      <c r="X163" s="250"/>
      <c r="Y163" s="249"/>
      <c r="Z163" s="250">
        <f t="shared" si="84"/>
        <v>0</v>
      </c>
      <c r="AA163" s="249"/>
      <c r="AB163" s="250"/>
      <c r="AC163" s="249"/>
      <c r="AD163" s="250"/>
      <c r="AE163" s="249"/>
      <c r="AF163" s="250"/>
      <c r="AG163" s="249"/>
      <c r="AH163" s="250"/>
      <c r="AI163" s="249"/>
      <c r="AJ163" s="250"/>
      <c r="AK163" s="249"/>
      <c r="AL163" s="250"/>
    </row>
    <row r="164" spans="1:38" s="315" customFormat="1" ht="15" customHeight="1">
      <c r="A164" s="312" t="s">
        <v>674</v>
      </c>
      <c r="B164" s="313" t="s">
        <v>94</v>
      </c>
      <c r="C164" s="312"/>
      <c r="D164" s="312"/>
      <c r="E164" s="314" t="s">
        <v>675</v>
      </c>
      <c r="F164" s="310"/>
      <c r="G164" s="310" t="s">
        <v>97</v>
      </c>
      <c r="H164" s="310" t="s">
        <v>34</v>
      </c>
      <c r="I164" s="310"/>
      <c r="J164" s="310"/>
      <c r="K164" s="310"/>
      <c r="L164" s="536"/>
      <c r="M164" s="432"/>
      <c r="N164" s="383"/>
      <c r="O164" s="383"/>
      <c r="P164" s="383"/>
      <c r="Q164" s="310" t="s">
        <v>98</v>
      </c>
      <c r="R164" s="349"/>
      <c r="S164" s="247"/>
      <c r="T164" s="247"/>
      <c r="U164" s="247" t="s">
        <v>474</v>
      </c>
      <c r="V164" s="248">
        <v>1</v>
      </c>
      <c r="W164" s="249">
        <v>0.5</v>
      </c>
      <c r="X164" s="250">
        <f>$V164*W164</f>
        <v>0.5</v>
      </c>
      <c r="Y164" s="249">
        <v>0.3</v>
      </c>
      <c r="Z164" s="250">
        <f t="shared" si="84"/>
        <v>0.3</v>
      </c>
      <c r="AA164" s="249">
        <v>0.85</v>
      </c>
      <c r="AB164" s="250">
        <f>$V164*AA164</f>
        <v>0.85</v>
      </c>
      <c r="AC164" s="249">
        <v>0</v>
      </c>
      <c r="AD164" s="250">
        <f>$V$10*AC164</f>
        <v>0</v>
      </c>
      <c r="AE164" s="249">
        <v>0</v>
      </c>
      <c r="AF164" s="250">
        <f>$V164*AE164</f>
        <v>0</v>
      </c>
      <c r="AG164" s="249">
        <v>0</v>
      </c>
      <c r="AH164" s="250">
        <f>$V$10*AG164</f>
        <v>0</v>
      </c>
      <c r="AI164" s="249">
        <v>1</v>
      </c>
      <c r="AJ164" s="250">
        <f>$V164*AI164</f>
        <v>1</v>
      </c>
      <c r="AK164" s="249">
        <v>0</v>
      </c>
      <c r="AL164" s="250">
        <f>$V$10*AK164</f>
        <v>0</v>
      </c>
    </row>
    <row r="165" spans="1:38" s="315" customFormat="1" ht="15" customHeight="1">
      <c r="A165" s="312" t="s">
        <v>676</v>
      </c>
      <c r="B165" s="313" t="s">
        <v>94</v>
      </c>
      <c r="C165" s="312"/>
      <c r="D165" s="312"/>
      <c r="E165" s="314" t="s">
        <v>563</v>
      </c>
      <c r="F165" s="310"/>
      <c r="G165" s="310" t="s">
        <v>97</v>
      </c>
      <c r="H165" s="310" t="s">
        <v>34</v>
      </c>
      <c r="I165" s="310"/>
      <c r="J165" s="310"/>
      <c r="K165" s="310"/>
      <c r="L165" s="536"/>
      <c r="M165" s="432"/>
      <c r="N165" s="383"/>
      <c r="O165" s="383"/>
      <c r="P165" s="383"/>
      <c r="Q165" s="310" t="s">
        <v>98</v>
      </c>
      <c r="R165" s="349"/>
      <c r="S165" s="247"/>
      <c r="T165" s="247"/>
      <c r="U165" s="247" t="s">
        <v>474</v>
      </c>
      <c r="V165" s="248">
        <v>1</v>
      </c>
      <c r="W165" s="249">
        <v>0.5</v>
      </c>
      <c r="X165" s="250">
        <f>$V165*W165</f>
        <v>0.5</v>
      </c>
      <c r="Y165" s="249">
        <v>0.3</v>
      </c>
      <c r="Z165" s="250">
        <f t="shared" si="84"/>
        <v>0.3</v>
      </c>
      <c r="AA165" s="249">
        <v>0.85</v>
      </c>
      <c r="AB165" s="250">
        <f>$V165*AA165</f>
        <v>0.85</v>
      </c>
      <c r="AC165" s="249">
        <v>0</v>
      </c>
      <c r="AD165" s="250">
        <f>$V$10*AC165</f>
        <v>0</v>
      </c>
      <c r="AE165" s="249">
        <v>0</v>
      </c>
      <c r="AF165" s="250">
        <f>$V165*AE165</f>
        <v>0</v>
      </c>
      <c r="AG165" s="249">
        <v>0</v>
      </c>
      <c r="AH165" s="250">
        <f>$V$10*AG165</f>
        <v>0</v>
      </c>
      <c r="AI165" s="249">
        <v>1</v>
      </c>
      <c r="AJ165" s="250">
        <f>$V165*AI165</f>
        <v>1</v>
      </c>
      <c r="AK165" s="249">
        <v>0</v>
      </c>
      <c r="AL165" s="250">
        <f>$V$10*AK165</f>
        <v>0</v>
      </c>
    </row>
    <row r="166" spans="1:38" s="315" customFormat="1" ht="15" customHeight="1">
      <c r="A166" s="312"/>
      <c r="B166" s="313"/>
      <c r="C166" s="312"/>
      <c r="D166" s="312"/>
      <c r="E166" s="314"/>
      <c r="F166" s="310"/>
      <c r="G166" s="310"/>
      <c r="H166" s="310"/>
      <c r="I166" s="310"/>
      <c r="J166" s="310"/>
      <c r="K166" s="310"/>
      <c r="L166" s="536"/>
      <c r="M166" s="432"/>
      <c r="N166" s="383"/>
      <c r="O166" s="383"/>
      <c r="P166" s="383"/>
      <c r="Q166" s="310"/>
      <c r="R166" s="349"/>
      <c r="S166" s="349"/>
      <c r="T166" s="349"/>
      <c r="U166" s="349"/>
      <c r="V166" s="248"/>
      <c r="W166" s="249"/>
      <c r="X166" s="250"/>
      <c r="Y166" s="249"/>
      <c r="Z166" s="250">
        <f t="shared" si="84"/>
        <v>0</v>
      </c>
      <c r="AA166" s="249"/>
      <c r="AB166" s="250"/>
      <c r="AC166" s="249"/>
      <c r="AD166" s="250"/>
      <c r="AE166" s="249"/>
      <c r="AF166" s="250"/>
      <c r="AG166" s="249"/>
      <c r="AH166" s="250"/>
      <c r="AI166" s="249"/>
      <c r="AJ166" s="250"/>
      <c r="AK166" s="249"/>
      <c r="AL166" s="250"/>
    </row>
    <row r="167" spans="1:38" s="315" customFormat="1" ht="15" customHeight="1">
      <c r="A167" s="312" t="s">
        <v>677</v>
      </c>
      <c r="B167" s="313" t="s">
        <v>94</v>
      </c>
      <c r="C167" s="312"/>
      <c r="D167" s="312"/>
      <c r="E167" s="314" t="s">
        <v>678</v>
      </c>
      <c r="F167" s="310" t="s">
        <v>97</v>
      </c>
      <c r="G167" s="310"/>
      <c r="H167" s="310"/>
      <c r="I167" s="310"/>
      <c r="J167" s="310"/>
      <c r="K167" s="310"/>
      <c r="L167" s="536"/>
      <c r="M167" s="432"/>
      <c r="N167" s="383"/>
      <c r="O167" s="383"/>
      <c r="P167" s="383"/>
      <c r="Q167" s="310" t="s">
        <v>98</v>
      </c>
      <c r="R167" s="349"/>
      <c r="S167" s="247"/>
      <c r="T167" s="247"/>
      <c r="U167" s="247" t="s">
        <v>614</v>
      </c>
      <c r="V167" s="248">
        <v>0.5</v>
      </c>
      <c r="W167" s="249">
        <v>0</v>
      </c>
      <c r="X167" s="250">
        <f t="shared" ref="X167:X172" si="85">$V167*W167</f>
        <v>0</v>
      </c>
      <c r="Y167" s="249">
        <v>0.9</v>
      </c>
      <c r="Z167" s="250">
        <f t="shared" si="84"/>
        <v>0.45</v>
      </c>
      <c r="AA167" s="249">
        <v>0</v>
      </c>
      <c r="AB167" s="250">
        <f t="shared" ref="AB167:AB172" si="86">$V167*AA167</f>
        <v>0</v>
      </c>
      <c r="AC167" s="249">
        <v>0</v>
      </c>
      <c r="AD167" s="250">
        <f t="shared" ref="AD167:AD172" si="87">$V$10*AC167</f>
        <v>0</v>
      </c>
      <c r="AE167" s="249">
        <v>0</v>
      </c>
      <c r="AF167" s="250">
        <f t="shared" ref="AF167:AF172" si="88">$V167*AE167</f>
        <v>0</v>
      </c>
      <c r="AG167" s="249">
        <v>0</v>
      </c>
      <c r="AH167" s="250">
        <f t="shared" ref="AH167:AH172" si="89">$V$10*AG167</f>
        <v>0</v>
      </c>
      <c r="AI167" s="249">
        <v>1</v>
      </c>
      <c r="AJ167" s="250">
        <f t="shared" ref="AJ167:AJ172" si="90">$V167*AI167</f>
        <v>0.5</v>
      </c>
      <c r="AK167" s="249">
        <v>0</v>
      </c>
      <c r="AL167" s="250">
        <f t="shared" ref="AL167:AL172" si="91">$V$10*AK167</f>
        <v>0</v>
      </c>
    </row>
    <row r="168" spans="1:38" s="315" customFormat="1" ht="15" customHeight="1">
      <c r="A168" s="312" t="s">
        <v>679</v>
      </c>
      <c r="B168" s="313" t="s">
        <v>94</v>
      </c>
      <c r="C168" s="312"/>
      <c r="D168" s="312"/>
      <c r="E168" s="314" t="s">
        <v>680</v>
      </c>
      <c r="F168" s="310"/>
      <c r="G168" s="310"/>
      <c r="H168" s="310" t="s">
        <v>34</v>
      </c>
      <c r="I168" s="310"/>
      <c r="J168" s="334"/>
      <c r="K168" s="310"/>
      <c r="L168" s="536"/>
      <c r="M168" s="432"/>
      <c r="N168" s="383"/>
      <c r="O168" s="383"/>
      <c r="P168" s="383"/>
      <c r="Q168" s="310" t="s">
        <v>98</v>
      </c>
      <c r="R168" s="349"/>
      <c r="S168" s="247"/>
      <c r="T168" s="247"/>
      <c r="U168" s="247" t="s">
        <v>681</v>
      </c>
      <c r="V168" s="248">
        <v>0.5</v>
      </c>
      <c r="W168" s="249">
        <v>0</v>
      </c>
      <c r="X168" s="250">
        <f t="shared" si="85"/>
        <v>0</v>
      </c>
      <c r="Y168" s="249">
        <v>0.1</v>
      </c>
      <c r="Z168" s="250">
        <f t="shared" si="84"/>
        <v>0.05</v>
      </c>
      <c r="AA168" s="249">
        <v>0</v>
      </c>
      <c r="AB168" s="250">
        <f t="shared" si="86"/>
        <v>0</v>
      </c>
      <c r="AC168" s="249">
        <v>0</v>
      </c>
      <c r="AD168" s="250">
        <f t="shared" si="87"/>
        <v>0</v>
      </c>
      <c r="AE168" s="249">
        <v>0</v>
      </c>
      <c r="AF168" s="250">
        <f t="shared" si="88"/>
        <v>0</v>
      </c>
      <c r="AG168" s="249">
        <v>0</v>
      </c>
      <c r="AH168" s="250">
        <f t="shared" si="89"/>
        <v>0</v>
      </c>
      <c r="AI168" s="249">
        <v>1</v>
      </c>
      <c r="AJ168" s="250">
        <f t="shared" si="90"/>
        <v>0.5</v>
      </c>
      <c r="AK168" s="249">
        <v>0</v>
      </c>
      <c r="AL168" s="250">
        <f t="shared" si="91"/>
        <v>0</v>
      </c>
    </row>
    <row r="169" spans="1:38" s="315" customFormat="1" ht="15" customHeight="1">
      <c r="A169" s="312" t="s">
        <v>682</v>
      </c>
      <c r="B169" s="313" t="s">
        <v>94</v>
      </c>
      <c r="C169" s="312"/>
      <c r="D169" s="312"/>
      <c r="E169" s="314" t="s">
        <v>683</v>
      </c>
      <c r="F169" s="310"/>
      <c r="G169" s="310"/>
      <c r="H169" s="310" t="s">
        <v>97</v>
      </c>
      <c r="I169" s="310"/>
      <c r="J169" s="334"/>
      <c r="K169" s="310"/>
      <c r="L169" s="536"/>
      <c r="M169" s="432"/>
      <c r="N169" s="383"/>
      <c r="O169" s="383"/>
      <c r="P169" s="383"/>
      <c r="Q169" s="310" t="s">
        <v>98</v>
      </c>
      <c r="R169" s="349"/>
      <c r="S169" s="247"/>
      <c r="T169" s="247"/>
      <c r="U169" s="247" t="s">
        <v>681</v>
      </c>
      <c r="V169" s="248">
        <v>0.5</v>
      </c>
      <c r="W169" s="249">
        <v>0</v>
      </c>
      <c r="X169" s="250">
        <f t="shared" si="85"/>
        <v>0</v>
      </c>
      <c r="Y169" s="249">
        <v>0.1</v>
      </c>
      <c r="Z169" s="250">
        <f t="shared" si="84"/>
        <v>0.05</v>
      </c>
      <c r="AA169" s="249">
        <v>0</v>
      </c>
      <c r="AB169" s="250">
        <f t="shared" si="86"/>
        <v>0</v>
      </c>
      <c r="AC169" s="249">
        <v>0</v>
      </c>
      <c r="AD169" s="250">
        <f t="shared" si="87"/>
        <v>0</v>
      </c>
      <c r="AE169" s="249">
        <v>0</v>
      </c>
      <c r="AF169" s="250">
        <f t="shared" si="88"/>
        <v>0</v>
      </c>
      <c r="AG169" s="249">
        <v>0</v>
      </c>
      <c r="AH169" s="250">
        <f t="shared" si="89"/>
        <v>0</v>
      </c>
      <c r="AI169" s="249">
        <v>1</v>
      </c>
      <c r="AJ169" s="250">
        <f t="shared" si="90"/>
        <v>0.5</v>
      </c>
      <c r="AK169" s="249">
        <v>0</v>
      </c>
      <c r="AL169" s="250">
        <f t="shared" si="91"/>
        <v>0</v>
      </c>
    </row>
    <row r="170" spans="1:38" s="315" customFormat="1" ht="15" customHeight="1">
      <c r="A170" s="312" t="s">
        <v>684</v>
      </c>
      <c r="B170" s="313" t="s">
        <v>94</v>
      </c>
      <c r="C170" s="312"/>
      <c r="D170" s="312"/>
      <c r="E170" s="314" t="s">
        <v>565</v>
      </c>
      <c r="F170" s="310"/>
      <c r="G170" s="310" t="s">
        <v>97</v>
      </c>
      <c r="H170" s="310" t="s">
        <v>34</v>
      </c>
      <c r="I170" s="310" t="s">
        <v>31</v>
      </c>
      <c r="J170" s="310"/>
      <c r="K170" s="310"/>
      <c r="L170" s="536"/>
      <c r="M170" s="432"/>
      <c r="N170" s="383"/>
      <c r="O170" s="383"/>
      <c r="P170" s="383"/>
      <c r="Q170" s="310" t="s">
        <v>98</v>
      </c>
      <c r="R170" s="349"/>
      <c r="S170" s="247"/>
      <c r="T170" s="247"/>
      <c r="U170" s="247" t="s">
        <v>681</v>
      </c>
      <c r="V170" s="248">
        <v>0.5</v>
      </c>
      <c r="W170" s="249">
        <v>0</v>
      </c>
      <c r="X170" s="250">
        <f t="shared" si="85"/>
        <v>0</v>
      </c>
      <c r="Y170" s="249">
        <v>0.1</v>
      </c>
      <c r="Z170" s="250">
        <f t="shared" si="84"/>
        <v>0.05</v>
      </c>
      <c r="AA170" s="249">
        <v>0</v>
      </c>
      <c r="AB170" s="250">
        <f t="shared" si="86"/>
        <v>0</v>
      </c>
      <c r="AC170" s="249">
        <v>0</v>
      </c>
      <c r="AD170" s="250">
        <f t="shared" si="87"/>
        <v>0</v>
      </c>
      <c r="AE170" s="249">
        <v>0</v>
      </c>
      <c r="AF170" s="250">
        <f t="shared" si="88"/>
        <v>0</v>
      </c>
      <c r="AG170" s="249">
        <v>0</v>
      </c>
      <c r="AH170" s="250">
        <f t="shared" si="89"/>
        <v>0</v>
      </c>
      <c r="AI170" s="249">
        <v>1</v>
      </c>
      <c r="AJ170" s="250">
        <f t="shared" si="90"/>
        <v>0.5</v>
      </c>
      <c r="AK170" s="249">
        <v>0</v>
      </c>
      <c r="AL170" s="250">
        <f t="shared" si="91"/>
        <v>0</v>
      </c>
    </row>
    <row r="171" spans="1:38" s="315" customFormat="1" ht="15" customHeight="1">
      <c r="A171" s="312" t="s">
        <v>685</v>
      </c>
      <c r="B171" s="313" t="s">
        <v>94</v>
      </c>
      <c r="C171" s="312"/>
      <c r="D171" s="312"/>
      <c r="E171" s="314" t="s">
        <v>567</v>
      </c>
      <c r="F171" s="310"/>
      <c r="G171" s="310" t="s">
        <v>97</v>
      </c>
      <c r="H171" s="310" t="s">
        <v>34</v>
      </c>
      <c r="I171" s="310" t="s">
        <v>31</v>
      </c>
      <c r="J171" s="310"/>
      <c r="K171" s="310"/>
      <c r="L171" s="536"/>
      <c r="M171" s="432"/>
      <c r="N171" s="383"/>
      <c r="O171" s="383"/>
      <c r="P171" s="383"/>
      <c r="Q171" s="310" t="s">
        <v>98</v>
      </c>
      <c r="R171" s="349"/>
      <c r="S171" s="247"/>
      <c r="T171" s="247"/>
      <c r="U171" s="247" t="s">
        <v>681</v>
      </c>
      <c r="V171" s="248">
        <v>0.5</v>
      </c>
      <c r="W171" s="249">
        <v>0</v>
      </c>
      <c r="X171" s="250">
        <f t="shared" si="85"/>
        <v>0</v>
      </c>
      <c r="Y171" s="249">
        <v>0.1</v>
      </c>
      <c r="Z171" s="250">
        <f t="shared" si="84"/>
        <v>0.05</v>
      </c>
      <c r="AA171" s="249">
        <v>0</v>
      </c>
      <c r="AB171" s="250">
        <f t="shared" si="86"/>
        <v>0</v>
      </c>
      <c r="AC171" s="249">
        <v>0</v>
      </c>
      <c r="AD171" s="250">
        <f t="shared" si="87"/>
        <v>0</v>
      </c>
      <c r="AE171" s="249">
        <v>0</v>
      </c>
      <c r="AF171" s="250">
        <f t="shared" si="88"/>
        <v>0</v>
      </c>
      <c r="AG171" s="249">
        <v>0</v>
      </c>
      <c r="AH171" s="250">
        <f t="shared" si="89"/>
        <v>0</v>
      </c>
      <c r="AI171" s="249">
        <v>1</v>
      </c>
      <c r="AJ171" s="250">
        <f t="shared" si="90"/>
        <v>0.5</v>
      </c>
      <c r="AK171" s="249">
        <v>0</v>
      </c>
      <c r="AL171" s="250">
        <f t="shared" si="91"/>
        <v>0</v>
      </c>
    </row>
    <row r="172" spans="1:38" s="315" customFormat="1" ht="15" customHeight="1">
      <c r="A172" s="312" t="s">
        <v>686</v>
      </c>
      <c r="B172" s="313" t="s">
        <v>94</v>
      </c>
      <c r="C172" s="312"/>
      <c r="D172" s="312"/>
      <c r="E172" s="314" t="s">
        <v>571</v>
      </c>
      <c r="F172" s="310"/>
      <c r="G172" s="310"/>
      <c r="H172" s="310" t="s">
        <v>97</v>
      </c>
      <c r="I172" s="310"/>
      <c r="J172" s="310"/>
      <c r="K172" s="310"/>
      <c r="L172" s="536"/>
      <c r="M172" s="432"/>
      <c r="N172" s="383"/>
      <c r="O172" s="383"/>
      <c r="P172" s="383"/>
      <c r="Q172" s="310" t="s">
        <v>98</v>
      </c>
      <c r="R172" s="349"/>
      <c r="S172" s="247"/>
      <c r="T172" s="247"/>
      <c r="U172" s="247" t="s">
        <v>681</v>
      </c>
      <c r="V172" s="248">
        <v>0.5</v>
      </c>
      <c r="W172" s="249">
        <v>0</v>
      </c>
      <c r="X172" s="250">
        <f t="shared" si="85"/>
        <v>0</v>
      </c>
      <c r="Y172" s="249">
        <v>0.1</v>
      </c>
      <c r="Z172" s="250">
        <f t="shared" si="84"/>
        <v>0.05</v>
      </c>
      <c r="AA172" s="249">
        <v>0</v>
      </c>
      <c r="AB172" s="250">
        <f t="shared" si="86"/>
        <v>0</v>
      </c>
      <c r="AC172" s="249">
        <v>0</v>
      </c>
      <c r="AD172" s="250">
        <f t="shared" si="87"/>
        <v>0</v>
      </c>
      <c r="AE172" s="249">
        <v>0</v>
      </c>
      <c r="AF172" s="250">
        <f t="shared" si="88"/>
        <v>0</v>
      </c>
      <c r="AG172" s="249">
        <v>0</v>
      </c>
      <c r="AH172" s="250">
        <f t="shared" si="89"/>
        <v>0</v>
      </c>
      <c r="AI172" s="249">
        <v>1</v>
      </c>
      <c r="AJ172" s="250">
        <f t="shared" si="90"/>
        <v>0.5</v>
      </c>
      <c r="AK172" s="249">
        <v>0</v>
      </c>
      <c r="AL172" s="250">
        <f t="shared" si="91"/>
        <v>0</v>
      </c>
    </row>
    <row r="173" spans="1:38" s="315" customFormat="1" ht="15" customHeight="1">
      <c r="A173" s="312"/>
      <c r="B173" s="313"/>
      <c r="C173" s="312"/>
      <c r="D173" s="312"/>
      <c r="E173" s="314"/>
      <c r="F173" s="310"/>
      <c r="G173" s="310"/>
      <c r="H173" s="310"/>
      <c r="I173" s="310"/>
      <c r="J173" s="310"/>
      <c r="K173" s="310"/>
      <c r="L173" s="536"/>
      <c r="M173" s="432"/>
      <c r="N173" s="383"/>
      <c r="O173" s="383"/>
      <c r="P173" s="383"/>
      <c r="Q173" s="310"/>
      <c r="R173" s="349"/>
      <c r="S173" s="349"/>
      <c r="T173" s="349"/>
      <c r="U173" s="349"/>
      <c r="V173" s="248"/>
      <c r="W173" s="249"/>
      <c r="X173" s="250"/>
      <c r="Y173" s="249"/>
      <c r="Z173" s="250">
        <f t="shared" si="84"/>
        <v>0</v>
      </c>
      <c r="AA173" s="249"/>
      <c r="AB173" s="250"/>
      <c r="AC173" s="249"/>
      <c r="AD173" s="250"/>
      <c r="AE173" s="249"/>
      <c r="AF173" s="250"/>
      <c r="AG173" s="249"/>
      <c r="AH173" s="250"/>
      <c r="AI173" s="249"/>
      <c r="AJ173" s="250"/>
      <c r="AK173" s="249"/>
      <c r="AL173" s="250"/>
    </row>
    <row r="174" spans="1:38" s="315" customFormat="1" ht="15" customHeight="1">
      <c r="A174" s="312" t="s">
        <v>687</v>
      </c>
      <c r="B174" s="313" t="s">
        <v>94</v>
      </c>
      <c r="C174" s="312"/>
      <c r="D174" s="312"/>
      <c r="E174" s="314" t="s">
        <v>688</v>
      </c>
      <c r="G174" s="310" t="s">
        <v>97</v>
      </c>
      <c r="H174" s="310"/>
      <c r="I174" s="310" t="s">
        <v>34</v>
      </c>
      <c r="J174" s="310"/>
      <c r="K174" s="310"/>
      <c r="L174" s="536"/>
      <c r="M174" s="432"/>
      <c r="N174" s="383"/>
      <c r="O174" s="383"/>
      <c r="P174" s="383"/>
      <c r="Q174" s="310" t="s">
        <v>98</v>
      </c>
      <c r="R174" s="349"/>
      <c r="S174" s="247"/>
      <c r="T174" s="247"/>
      <c r="U174" s="247" t="s">
        <v>614</v>
      </c>
      <c r="V174" s="248">
        <v>1</v>
      </c>
      <c r="W174" s="249">
        <v>0.5</v>
      </c>
      <c r="X174" s="250">
        <f>$V174*W174</f>
        <v>0.5</v>
      </c>
      <c r="Y174" s="249">
        <v>0</v>
      </c>
      <c r="Z174" s="250">
        <f t="shared" si="84"/>
        <v>0</v>
      </c>
      <c r="AA174" s="249">
        <v>0.85</v>
      </c>
      <c r="AB174" s="250">
        <f>$V174*AA174</f>
        <v>0.85</v>
      </c>
      <c r="AC174" s="249">
        <v>0</v>
      </c>
      <c r="AD174" s="250">
        <f>$V$10*AC174</f>
        <v>0</v>
      </c>
      <c r="AE174" s="249">
        <v>0</v>
      </c>
      <c r="AF174" s="250">
        <f>$V174*AE174</f>
        <v>0</v>
      </c>
      <c r="AG174" s="249">
        <v>0</v>
      </c>
      <c r="AH174" s="250">
        <f>$V$10*AG174</f>
        <v>0</v>
      </c>
      <c r="AI174" s="249">
        <v>1</v>
      </c>
      <c r="AJ174" s="250">
        <f>$V174*AI174</f>
        <v>1</v>
      </c>
      <c r="AK174" s="249">
        <v>0</v>
      </c>
      <c r="AL174" s="250">
        <f>$V$10*AK174</f>
        <v>0</v>
      </c>
    </row>
    <row r="175" spans="1:38" s="315" customFormat="1" ht="15" customHeight="1">
      <c r="A175" s="312" t="s">
        <v>689</v>
      </c>
      <c r="B175" s="313" t="s">
        <v>94</v>
      </c>
      <c r="C175" s="312"/>
      <c r="D175" s="312"/>
      <c r="E175" s="314" t="s">
        <v>690</v>
      </c>
      <c r="G175" s="310" t="s">
        <v>97</v>
      </c>
      <c r="H175" s="310"/>
      <c r="I175" s="310" t="s">
        <v>34</v>
      </c>
      <c r="J175" s="310"/>
      <c r="K175" s="310"/>
      <c r="L175" s="536"/>
      <c r="M175" s="432"/>
      <c r="N175" s="383"/>
      <c r="O175" s="383"/>
      <c r="P175" s="383"/>
      <c r="Q175" s="310" t="s">
        <v>98</v>
      </c>
      <c r="R175" s="349"/>
      <c r="S175" s="247"/>
      <c r="T175" s="247"/>
      <c r="U175" s="247" t="s">
        <v>614</v>
      </c>
      <c r="V175" s="248">
        <v>1</v>
      </c>
      <c r="W175" s="249">
        <v>0.5</v>
      </c>
      <c r="X175" s="250">
        <f>$V175*W175</f>
        <v>0.5</v>
      </c>
      <c r="Y175" s="249">
        <v>0</v>
      </c>
      <c r="Z175" s="250">
        <f t="shared" si="84"/>
        <v>0</v>
      </c>
      <c r="AA175" s="249">
        <v>0.85</v>
      </c>
      <c r="AB175" s="250">
        <f>$V175*AA175</f>
        <v>0.85</v>
      </c>
      <c r="AC175" s="249">
        <v>0</v>
      </c>
      <c r="AD175" s="250">
        <f>$V$10*AC175</f>
        <v>0</v>
      </c>
      <c r="AE175" s="249">
        <v>0</v>
      </c>
      <c r="AF175" s="250">
        <f>$V175*AE175</f>
        <v>0</v>
      </c>
      <c r="AG175" s="249">
        <v>0</v>
      </c>
      <c r="AH175" s="250">
        <f>$V$10*AG175</f>
        <v>0</v>
      </c>
      <c r="AI175" s="249">
        <v>1</v>
      </c>
      <c r="AJ175" s="250">
        <f>$V175*AI175</f>
        <v>1</v>
      </c>
      <c r="AK175" s="249">
        <v>0</v>
      </c>
      <c r="AL175" s="250">
        <f>$V$10*AK175</f>
        <v>0</v>
      </c>
    </row>
    <row r="176" spans="1:38" s="315" customFormat="1" ht="15" customHeight="1">
      <c r="A176" s="312"/>
      <c r="B176" s="313"/>
      <c r="C176" s="312"/>
      <c r="D176" s="312"/>
      <c r="E176" s="314"/>
      <c r="F176" s="310"/>
      <c r="G176" s="310"/>
      <c r="H176" s="310"/>
      <c r="I176" s="310"/>
      <c r="J176" s="310"/>
      <c r="K176" s="310"/>
      <c r="L176" s="536"/>
      <c r="M176" s="432"/>
      <c r="N176" s="383"/>
      <c r="O176" s="383"/>
      <c r="P176" s="383"/>
      <c r="Q176" s="310"/>
      <c r="R176" s="349"/>
      <c r="S176" s="349"/>
      <c r="T176" s="349"/>
      <c r="U176" s="349"/>
      <c r="V176" s="248"/>
      <c r="W176" s="249"/>
      <c r="X176" s="250"/>
      <c r="Y176" s="249"/>
      <c r="Z176" s="250">
        <f t="shared" si="84"/>
        <v>0</v>
      </c>
      <c r="AA176" s="249"/>
      <c r="AB176" s="250"/>
      <c r="AC176" s="249"/>
      <c r="AD176" s="250"/>
      <c r="AE176" s="249"/>
      <c r="AF176" s="250"/>
      <c r="AG176" s="249"/>
      <c r="AH176" s="250"/>
      <c r="AI176" s="249"/>
      <c r="AJ176" s="250"/>
      <c r="AK176" s="249"/>
      <c r="AL176" s="250"/>
    </row>
    <row r="177" spans="1:40" s="315" customFormat="1" ht="15" customHeight="1">
      <c r="A177" s="312" t="s">
        <v>691</v>
      </c>
      <c r="B177" s="313" t="s">
        <v>94</v>
      </c>
      <c r="C177" s="312"/>
      <c r="D177" s="312"/>
      <c r="E177" s="314" t="s">
        <v>692</v>
      </c>
      <c r="F177" s="310" t="s">
        <v>34</v>
      </c>
      <c r="G177" s="310" t="s">
        <v>31</v>
      </c>
      <c r="H177" s="310"/>
      <c r="I177" s="310" t="s">
        <v>116</v>
      </c>
      <c r="J177" s="310"/>
      <c r="K177" s="310"/>
      <c r="L177" s="536"/>
      <c r="M177" s="432"/>
      <c r="N177" s="383"/>
      <c r="O177" s="383"/>
      <c r="P177" s="383"/>
      <c r="Q177" s="310" t="s">
        <v>98</v>
      </c>
      <c r="R177" s="349"/>
      <c r="S177" s="247"/>
      <c r="T177" s="247"/>
      <c r="U177" s="247" t="s">
        <v>614</v>
      </c>
      <c r="V177" s="248">
        <v>1</v>
      </c>
      <c r="W177" s="249">
        <v>0.75</v>
      </c>
      <c r="X177" s="250">
        <f>$V177*W177</f>
        <v>0.75</v>
      </c>
      <c r="Y177" s="249">
        <v>0.9</v>
      </c>
      <c r="Z177" s="250">
        <f t="shared" si="84"/>
        <v>0.9</v>
      </c>
      <c r="AA177" s="249">
        <v>0.85</v>
      </c>
      <c r="AB177" s="250">
        <f>$V177*AA177</f>
        <v>0.85</v>
      </c>
      <c r="AC177" s="249">
        <v>0</v>
      </c>
      <c r="AD177" s="250">
        <f>$V$10*AC177</f>
        <v>0</v>
      </c>
      <c r="AE177" s="249">
        <v>0</v>
      </c>
      <c r="AF177" s="250">
        <f>$V177*AE177</f>
        <v>0</v>
      </c>
      <c r="AG177" s="249">
        <v>0</v>
      </c>
      <c r="AH177" s="250">
        <f>$V$10*AG177</f>
        <v>0</v>
      </c>
      <c r="AI177" s="249">
        <v>1</v>
      </c>
      <c r="AJ177" s="250">
        <f>$V177*AI177</f>
        <v>1</v>
      </c>
      <c r="AK177" s="249">
        <v>0</v>
      </c>
      <c r="AL177" s="250">
        <f>$V$10*AK177</f>
        <v>0</v>
      </c>
    </row>
    <row r="178" spans="1:40" s="315" customFormat="1" ht="15" customHeight="1">
      <c r="A178" s="312"/>
      <c r="B178" s="313"/>
      <c r="C178" s="312"/>
      <c r="D178" s="312"/>
      <c r="E178" s="314"/>
      <c r="F178" s="310"/>
      <c r="G178" s="310"/>
      <c r="H178" s="310"/>
      <c r="I178" s="310"/>
      <c r="J178" s="310"/>
      <c r="K178" s="310"/>
      <c r="L178" s="536"/>
      <c r="M178" s="432"/>
      <c r="N178" s="383"/>
      <c r="O178" s="383"/>
      <c r="P178" s="383"/>
      <c r="Q178" s="310"/>
      <c r="R178" s="349"/>
      <c r="S178" s="349"/>
      <c r="T178" s="349"/>
      <c r="U178" s="349"/>
      <c r="V178" s="248"/>
      <c r="W178" s="249"/>
      <c r="X178" s="250"/>
      <c r="Y178" s="249"/>
      <c r="Z178" s="250"/>
      <c r="AA178" s="249"/>
      <c r="AB178" s="250"/>
      <c r="AC178" s="249"/>
      <c r="AD178" s="250"/>
      <c r="AE178" s="249"/>
      <c r="AF178" s="250"/>
      <c r="AG178" s="249"/>
      <c r="AH178" s="250"/>
      <c r="AI178" s="249"/>
      <c r="AJ178" s="250"/>
      <c r="AK178" s="249"/>
      <c r="AL178" s="250"/>
    </row>
    <row r="179" spans="1:40" s="315" customFormat="1" ht="15" customHeight="1">
      <c r="A179" s="312" t="s">
        <v>693</v>
      </c>
      <c r="B179" s="313" t="s">
        <v>94</v>
      </c>
      <c r="C179" s="312"/>
      <c r="D179" s="312"/>
      <c r="E179" s="314" t="s">
        <v>694</v>
      </c>
      <c r="F179" s="310"/>
      <c r="G179" s="310"/>
      <c r="H179" s="310" t="s">
        <v>97</v>
      </c>
      <c r="I179" s="310"/>
      <c r="J179" s="310"/>
      <c r="K179" s="310"/>
      <c r="L179" s="536"/>
      <c r="M179" s="432"/>
      <c r="N179" s="383"/>
      <c r="O179" s="383"/>
      <c r="P179" s="383"/>
      <c r="Q179" s="310" t="s">
        <v>98</v>
      </c>
      <c r="R179" s="349"/>
      <c r="S179" s="247"/>
      <c r="T179" s="247"/>
      <c r="U179" s="247" t="s">
        <v>614</v>
      </c>
      <c r="V179" s="248">
        <v>1</v>
      </c>
      <c r="W179" s="249">
        <v>0</v>
      </c>
      <c r="X179" s="250">
        <f t="shared" ref="X179:X201" si="92">$V179*W179</f>
        <v>0</v>
      </c>
      <c r="Y179" s="249">
        <v>0</v>
      </c>
      <c r="Z179" s="250">
        <f t="shared" ref="Z179:Z201" si="93">V179*Y179</f>
        <v>0</v>
      </c>
      <c r="AA179" s="249">
        <v>0</v>
      </c>
      <c r="AB179" s="250">
        <f t="shared" ref="AB179:AB201" si="94">$V179*AA179</f>
        <v>0</v>
      </c>
      <c r="AC179" s="249">
        <v>0</v>
      </c>
      <c r="AD179" s="250">
        <f t="shared" ref="AD179:AD201" si="95">$V$10*AC179</f>
        <v>0</v>
      </c>
      <c r="AE179" s="249">
        <v>0</v>
      </c>
      <c r="AF179" s="250">
        <f t="shared" ref="AF179:AF201" si="96">$V179*AE179</f>
        <v>0</v>
      </c>
      <c r="AG179" s="249">
        <v>0</v>
      </c>
      <c r="AH179" s="250">
        <f t="shared" ref="AH179:AH201" si="97">$V$10*AG179</f>
        <v>0</v>
      </c>
      <c r="AI179" s="249">
        <v>1</v>
      </c>
      <c r="AJ179" s="250">
        <f t="shared" ref="AJ179:AJ201" si="98">$V179*AI179</f>
        <v>1</v>
      </c>
      <c r="AK179" s="249">
        <v>0</v>
      </c>
      <c r="AL179" s="250">
        <f t="shared" ref="AL179:AL201" si="99">$V$10*AK179</f>
        <v>0</v>
      </c>
      <c r="AN179" s="314" t="e">
        <f>A179&amp;B179&amp;C179&amp;D179&amp;E179&amp;#REF!&amp;F179&amp;#REF!&amp;G179&amp;H179</f>
        <v>#REF!</v>
      </c>
    </row>
    <row r="180" spans="1:40" s="315" customFormat="1" ht="15" customHeight="1">
      <c r="A180" s="312" t="s">
        <v>695</v>
      </c>
      <c r="B180" s="313" t="s">
        <v>94</v>
      </c>
      <c r="C180" s="312"/>
      <c r="D180" s="312"/>
      <c r="E180" s="314" t="s">
        <v>696</v>
      </c>
      <c r="F180" s="310"/>
      <c r="G180" s="310"/>
      <c r="H180" s="310" t="s">
        <v>97</v>
      </c>
      <c r="I180" s="310"/>
      <c r="J180" s="310"/>
      <c r="K180" s="310"/>
      <c r="L180" s="536"/>
      <c r="M180" s="432"/>
      <c r="N180" s="383"/>
      <c r="O180" s="383"/>
      <c r="P180" s="383"/>
      <c r="Q180" s="310" t="s">
        <v>98</v>
      </c>
      <c r="R180" s="349"/>
      <c r="S180" s="247"/>
      <c r="T180" s="247"/>
      <c r="U180" s="247" t="s">
        <v>614</v>
      </c>
      <c r="V180" s="248">
        <v>1</v>
      </c>
      <c r="W180" s="249">
        <v>0</v>
      </c>
      <c r="X180" s="250">
        <f t="shared" si="92"/>
        <v>0</v>
      </c>
      <c r="Y180" s="249">
        <v>0</v>
      </c>
      <c r="Z180" s="250">
        <f t="shared" si="93"/>
        <v>0</v>
      </c>
      <c r="AA180" s="249">
        <v>0</v>
      </c>
      <c r="AB180" s="250">
        <f t="shared" si="94"/>
        <v>0</v>
      </c>
      <c r="AC180" s="249">
        <v>0</v>
      </c>
      <c r="AD180" s="250">
        <f t="shared" si="95"/>
        <v>0</v>
      </c>
      <c r="AE180" s="249">
        <v>0</v>
      </c>
      <c r="AF180" s="250">
        <f t="shared" si="96"/>
        <v>0</v>
      </c>
      <c r="AG180" s="249">
        <v>0</v>
      </c>
      <c r="AH180" s="250">
        <f t="shared" si="97"/>
        <v>0</v>
      </c>
      <c r="AI180" s="249">
        <v>1</v>
      </c>
      <c r="AJ180" s="250">
        <f t="shared" si="98"/>
        <v>1</v>
      </c>
      <c r="AK180" s="249">
        <v>0</v>
      </c>
      <c r="AL180" s="250">
        <f t="shared" si="99"/>
        <v>0</v>
      </c>
      <c r="AN180" s="314" t="e">
        <f>A180&amp;B180&amp;C180&amp;D180&amp;E180&amp;#REF!&amp;F180&amp;#REF!&amp;G180</f>
        <v>#REF!</v>
      </c>
    </row>
    <row r="181" spans="1:40" s="315" customFormat="1" ht="15" customHeight="1">
      <c r="A181" s="312" t="s">
        <v>697</v>
      </c>
      <c r="B181" s="313" t="s">
        <v>94</v>
      </c>
      <c r="C181" s="312"/>
      <c r="D181" s="312"/>
      <c r="E181" s="314" t="s">
        <v>698</v>
      </c>
      <c r="F181" s="310"/>
      <c r="G181" s="310"/>
      <c r="H181" s="310" t="s">
        <v>97</v>
      </c>
      <c r="I181" s="310"/>
      <c r="J181" s="310"/>
      <c r="K181" s="310"/>
      <c r="L181" s="536"/>
      <c r="M181" s="432"/>
      <c r="N181" s="383"/>
      <c r="O181" s="383"/>
      <c r="P181" s="383"/>
      <c r="Q181" s="310" t="s">
        <v>98</v>
      </c>
      <c r="R181" s="349"/>
      <c r="S181" s="247"/>
      <c r="T181" s="247"/>
      <c r="U181" s="247" t="s">
        <v>614</v>
      </c>
      <c r="V181" s="248">
        <v>1</v>
      </c>
      <c r="W181" s="249">
        <v>0</v>
      </c>
      <c r="X181" s="250">
        <f t="shared" si="92"/>
        <v>0</v>
      </c>
      <c r="Y181" s="249">
        <v>0</v>
      </c>
      <c r="Z181" s="250">
        <f t="shared" si="93"/>
        <v>0</v>
      </c>
      <c r="AA181" s="249">
        <v>0</v>
      </c>
      <c r="AB181" s="250">
        <f t="shared" si="94"/>
        <v>0</v>
      </c>
      <c r="AC181" s="249">
        <v>0</v>
      </c>
      <c r="AD181" s="250">
        <f t="shared" si="95"/>
        <v>0</v>
      </c>
      <c r="AE181" s="249">
        <v>0</v>
      </c>
      <c r="AF181" s="250">
        <f t="shared" si="96"/>
        <v>0</v>
      </c>
      <c r="AG181" s="249">
        <v>0</v>
      </c>
      <c r="AH181" s="250">
        <f t="shared" si="97"/>
        <v>0</v>
      </c>
      <c r="AI181" s="249">
        <v>1</v>
      </c>
      <c r="AJ181" s="250">
        <f t="shared" si="98"/>
        <v>1</v>
      </c>
      <c r="AK181" s="249">
        <v>0</v>
      </c>
      <c r="AL181" s="250">
        <f t="shared" si="99"/>
        <v>0</v>
      </c>
      <c r="AN181" s="314" t="e">
        <f>A181&amp;B181&amp;C181&amp;D181&amp;E181&amp;#REF!&amp;F181&amp;#REF!&amp;G181</f>
        <v>#REF!</v>
      </c>
    </row>
    <row r="182" spans="1:40" s="315" customFormat="1" ht="15" customHeight="1">
      <c r="A182" s="312" t="s">
        <v>699</v>
      </c>
      <c r="B182" s="313" t="s">
        <v>94</v>
      </c>
      <c r="C182" s="312"/>
      <c r="D182" s="312"/>
      <c r="E182" s="314" t="s">
        <v>700</v>
      </c>
      <c r="F182" s="310"/>
      <c r="G182" s="310"/>
      <c r="H182" s="310" t="s">
        <v>97</v>
      </c>
      <c r="I182" s="310"/>
      <c r="J182" s="310"/>
      <c r="K182" s="310"/>
      <c r="L182" s="536"/>
      <c r="M182" s="432"/>
      <c r="N182" s="383"/>
      <c r="O182" s="383"/>
      <c r="P182" s="383"/>
      <c r="Q182" s="310" t="s">
        <v>98</v>
      </c>
      <c r="R182" s="349"/>
      <c r="S182" s="247"/>
      <c r="T182" s="247"/>
      <c r="U182" s="247" t="s">
        <v>614</v>
      </c>
      <c r="V182" s="248">
        <v>1</v>
      </c>
      <c r="W182" s="249">
        <v>0</v>
      </c>
      <c r="X182" s="250">
        <f t="shared" si="92"/>
        <v>0</v>
      </c>
      <c r="Y182" s="249">
        <v>0</v>
      </c>
      <c r="Z182" s="250">
        <f t="shared" si="93"/>
        <v>0</v>
      </c>
      <c r="AA182" s="249">
        <v>0</v>
      </c>
      <c r="AB182" s="250">
        <f t="shared" si="94"/>
        <v>0</v>
      </c>
      <c r="AC182" s="249">
        <v>0</v>
      </c>
      <c r="AD182" s="250">
        <f t="shared" si="95"/>
        <v>0</v>
      </c>
      <c r="AE182" s="249">
        <v>0</v>
      </c>
      <c r="AF182" s="250">
        <f t="shared" si="96"/>
        <v>0</v>
      </c>
      <c r="AG182" s="249">
        <v>0</v>
      </c>
      <c r="AH182" s="250">
        <f t="shared" si="97"/>
        <v>0</v>
      </c>
      <c r="AI182" s="249">
        <v>1</v>
      </c>
      <c r="AJ182" s="250">
        <f t="shared" si="98"/>
        <v>1</v>
      </c>
      <c r="AK182" s="249">
        <v>0</v>
      </c>
      <c r="AL182" s="250">
        <f t="shared" si="99"/>
        <v>0</v>
      </c>
      <c r="AN182" s="314" t="e">
        <f>A182&amp;B182&amp;C182&amp;D182&amp;E182&amp;#REF!&amp;F182&amp;#REF!&amp;G182</f>
        <v>#REF!</v>
      </c>
    </row>
    <row r="183" spans="1:40" s="315" customFormat="1" ht="15" customHeight="1">
      <c r="A183" s="312" t="s">
        <v>701</v>
      </c>
      <c r="B183" s="313" t="s">
        <v>94</v>
      </c>
      <c r="C183" s="312"/>
      <c r="D183" s="310"/>
      <c r="E183" s="314" t="s">
        <v>702</v>
      </c>
      <c r="F183" s="310"/>
      <c r="G183" s="310" t="s">
        <v>97</v>
      </c>
      <c r="H183" s="310"/>
      <c r="I183" s="310"/>
      <c r="J183" s="310"/>
      <c r="K183" s="310"/>
      <c r="L183" s="536"/>
      <c r="M183" s="432"/>
      <c r="N183" s="383"/>
      <c r="O183" s="383"/>
      <c r="P183" s="383"/>
      <c r="Q183" s="310" t="s">
        <v>98</v>
      </c>
      <c r="R183" s="349"/>
      <c r="S183" s="247"/>
      <c r="T183" s="247"/>
      <c r="U183" s="247" t="s">
        <v>614</v>
      </c>
      <c r="V183" s="248">
        <v>1</v>
      </c>
      <c r="W183" s="249">
        <v>0</v>
      </c>
      <c r="X183" s="250">
        <f t="shared" si="92"/>
        <v>0</v>
      </c>
      <c r="Y183" s="249">
        <v>0</v>
      </c>
      <c r="Z183" s="250">
        <f t="shared" si="93"/>
        <v>0</v>
      </c>
      <c r="AA183" s="249">
        <v>0</v>
      </c>
      <c r="AB183" s="250">
        <f t="shared" si="94"/>
        <v>0</v>
      </c>
      <c r="AC183" s="249">
        <v>0</v>
      </c>
      <c r="AD183" s="250">
        <f t="shared" si="95"/>
        <v>0</v>
      </c>
      <c r="AE183" s="249">
        <v>0</v>
      </c>
      <c r="AF183" s="250">
        <f t="shared" si="96"/>
        <v>0</v>
      </c>
      <c r="AG183" s="249">
        <v>0</v>
      </c>
      <c r="AH183" s="250">
        <f t="shared" si="97"/>
        <v>0</v>
      </c>
      <c r="AI183" s="249">
        <v>1</v>
      </c>
      <c r="AJ183" s="250">
        <f t="shared" si="98"/>
        <v>1</v>
      </c>
      <c r="AK183" s="249">
        <v>0</v>
      </c>
      <c r="AL183" s="250">
        <f t="shared" si="99"/>
        <v>0</v>
      </c>
      <c r="AN183" s="314" t="e">
        <f>A183&amp;B183&amp;C183&amp;D183&amp;E183&amp;#REF!&amp;F183&amp;#REF!&amp;G183</f>
        <v>#REF!</v>
      </c>
    </row>
    <row r="184" spans="1:40" s="315" customFormat="1" ht="15" customHeight="1">
      <c r="A184" s="312" t="s">
        <v>703</v>
      </c>
      <c r="B184" s="313" t="s">
        <v>94</v>
      </c>
      <c r="C184" s="312"/>
      <c r="D184" s="312"/>
      <c r="E184" s="314" t="s">
        <v>704</v>
      </c>
      <c r="F184" s="310"/>
      <c r="G184" s="310" t="s">
        <v>97</v>
      </c>
      <c r="H184" s="310" t="s">
        <v>34</v>
      </c>
      <c r="I184" s="310"/>
      <c r="J184" s="310"/>
      <c r="K184" s="310"/>
      <c r="L184" s="536"/>
      <c r="M184" s="432"/>
      <c r="N184" s="383"/>
      <c r="O184" s="383"/>
      <c r="P184" s="383"/>
      <c r="Q184" s="310" t="s">
        <v>98</v>
      </c>
      <c r="R184" s="349"/>
      <c r="S184" s="247"/>
      <c r="T184" s="247"/>
      <c r="U184" s="247" t="s">
        <v>614</v>
      </c>
      <c r="V184" s="248">
        <v>1</v>
      </c>
      <c r="W184" s="249">
        <v>0</v>
      </c>
      <c r="X184" s="250">
        <f t="shared" si="92"/>
        <v>0</v>
      </c>
      <c r="Y184" s="249">
        <v>0</v>
      </c>
      <c r="Z184" s="250">
        <f t="shared" si="93"/>
        <v>0</v>
      </c>
      <c r="AA184" s="249">
        <v>0</v>
      </c>
      <c r="AB184" s="250">
        <f t="shared" si="94"/>
        <v>0</v>
      </c>
      <c r="AC184" s="249">
        <v>0</v>
      </c>
      <c r="AD184" s="250">
        <f t="shared" si="95"/>
        <v>0</v>
      </c>
      <c r="AE184" s="249">
        <v>0</v>
      </c>
      <c r="AF184" s="250">
        <f t="shared" si="96"/>
        <v>0</v>
      </c>
      <c r="AG184" s="249">
        <v>0</v>
      </c>
      <c r="AH184" s="250">
        <f t="shared" si="97"/>
        <v>0</v>
      </c>
      <c r="AI184" s="249">
        <v>1</v>
      </c>
      <c r="AJ184" s="250">
        <f t="shared" si="98"/>
        <v>1</v>
      </c>
      <c r="AK184" s="249">
        <v>0</v>
      </c>
      <c r="AL184" s="250">
        <f t="shared" si="99"/>
        <v>0</v>
      </c>
      <c r="AN184" s="314" t="e">
        <f>A184&amp;B184&amp;C184&amp;D184&amp;E184&amp;#REF!&amp;F184&amp;#REF!&amp;G184</f>
        <v>#REF!</v>
      </c>
    </row>
    <row r="185" spans="1:40" s="315" customFormat="1" ht="15" customHeight="1">
      <c r="A185" s="312" t="s">
        <v>705</v>
      </c>
      <c r="B185" s="313" t="s">
        <v>94</v>
      </c>
      <c r="C185" s="312"/>
      <c r="D185" s="312"/>
      <c r="E185" s="314" t="s">
        <v>706</v>
      </c>
      <c r="F185" s="310"/>
      <c r="G185" s="310"/>
      <c r="H185" s="310"/>
      <c r="I185" s="310" t="s">
        <v>97</v>
      </c>
      <c r="J185" s="310"/>
      <c r="K185" s="310"/>
      <c r="L185" s="536"/>
      <c r="M185" s="432"/>
      <c r="N185" s="383"/>
      <c r="O185" s="383"/>
      <c r="P185" s="383"/>
      <c r="Q185" s="310" t="s">
        <v>98</v>
      </c>
      <c r="R185" s="349"/>
      <c r="S185" s="247"/>
      <c r="T185" s="247"/>
      <c r="U185" s="247" t="s">
        <v>614</v>
      </c>
      <c r="V185" s="248">
        <v>1</v>
      </c>
      <c r="W185" s="249">
        <v>0</v>
      </c>
      <c r="X185" s="250">
        <f t="shared" si="92"/>
        <v>0</v>
      </c>
      <c r="Y185" s="249">
        <v>0</v>
      </c>
      <c r="Z185" s="250">
        <f t="shared" si="93"/>
        <v>0</v>
      </c>
      <c r="AA185" s="249">
        <v>0</v>
      </c>
      <c r="AB185" s="250">
        <f t="shared" si="94"/>
        <v>0</v>
      </c>
      <c r="AC185" s="249">
        <v>0</v>
      </c>
      <c r="AD185" s="250">
        <f t="shared" si="95"/>
        <v>0</v>
      </c>
      <c r="AE185" s="249">
        <v>0</v>
      </c>
      <c r="AF185" s="250">
        <f t="shared" si="96"/>
        <v>0</v>
      </c>
      <c r="AG185" s="249">
        <v>0</v>
      </c>
      <c r="AH185" s="250">
        <f t="shared" si="97"/>
        <v>0</v>
      </c>
      <c r="AI185" s="249">
        <v>1</v>
      </c>
      <c r="AJ185" s="250">
        <f t="shared" si="98"/>
        <v>1</v>
      </c>
      <c r="AK185" s="249">
        <v>0</v>
      </c>
      <c r="AL185" s="250">
        <f t="shared" si="99"/>
        <v>0</v>
      </c>
      <c r="AN185" s="314" t="e">
        <f>A185&amp;B185&amp;C185&amp;D185&amp;E185&amp;#REF!&amp;F185&amp;#REF!&amp;G185</f>
        <v>#REF!</v>
      </c>
    </row>
    <row r="186" spans="1:40" s="315" customFormat="1" ht="15" customHeight="1">
      <c r="A186" s="312" t="s">
        <v>707</v>
      </c>
      <c r="B186" s="313" t="s">
        <v>94</v>
      </c>
      <c r="C186" s="312"/>
      <c r="D186" s="312"/>
      <c r="E186" s="314" t="s">
        <v>708</v>
      </c>
      <c r="F186" s="310"/>
      <c r="G186" s="310" t="s">
        <v>97</v>
      </c>
      <c r="H186" s="310"/>
      <c r="I186" s="310"/>
      <c r="J186" s="310"/>
      <c r="K186" s="310"/>
      <c r="L186" s="536"/>
      <c r="M186" s="432"/>
      <c r="N186" s="383"/>
      <c r="O186" s="383"/>
      <c r="P186" s="383"/>
      <c r="Q186" s="310" t="s">
        <v>98</v>
      </c>
      <c r="R186" s="349"/>
      <c r="S186" s="247"/>
      <c r="T186" s="247"/>
      <c r="U186" s="247" t="s">
        <v>614</v>
      </c>
      <c r="V186" s="248">
        <v>1</v>
      </c>
      <c r="W186" s="249">
        <v>0</v>
      </c>
      <c r="X186" s="250">
        <f t="shared" si="92"/>
        <v>0</v>
      </c>
      <c r="Y186" s="249">
        <v>0</v>
      </c>
      <c r="Z186" s="250">
        <f t="shared" si="93"/>
        <v>0</v>
      </c>
      <c r="AA186" s="249">
        <v>0</v>
      </c>
      <c r="AB186" s="250">
        <f t="shared" si="94"/>
        <v>0</v>
      </c>
      <c r="AC186" s="249">
        <v>0</v>
      </c>
      <c r="AD186" s="250">
        <f t="shared" si="95"/>
        <v>0</v>
      </c>
      <c r="AE186" s="249">
        <v>0</v>
      </c>
      <c r="AF186" s="250">
        <f t="shared" si="96"/>
        <v>0</v>
      </c>
      <c r="AG186" s="249">
        <v>0</v>
      </c>
      <c r="AH186" s="250">
        <f t="shared" si="97"/>
        <v>0</v>
      </c>
      <c r="AI186" s="249">
        <v>1</v>
      </c>
      <c r="AJ186" s="250">
        <f t="shared" si="98"/>
        <v>1</v>
      </c>
      <c r="AK186" s="249">
        <v>0</v>
      </c>
      <c r="AL186" s="250">
        <f t="shared" si="99"/>
        <v>0</v>
      </c>
      <c r="AN186" s="314" t="e">
        <f>A186&amp;B186&amp;C186&amp;D186&amp;E186&amp;#REF!&amp;F186&amp;#REF!&amp;G186</f>
        <v>#REF!</v>
      </c>
    </row>
    <row r="187" spans="1:40" s="315" customFormat="1" ht="15" customHeight="1">
      <c r="A187" s="312" t="s">
        <v>709</v>
      </c>
      <c r="B187" s="313" t="s">
        <v>94</v>
      </c>
      <c r="C187" s="312"/>
      <c r="D187" s="312"/>
      <c r="E187" s="314" t="s">
        <v>710</v>
      </c>
      <c r="F187" s="310"/>
      <c r="G187" s="310" t="s">
        <v>97</v>
      </c>
      <c r="H187" s="310"/>
      <c r="I187" s="310"/>
      <c r="J187" s="310"/>
      <c r="K187" s="310"/>
      <c r="L187" s="536"/>
      <c r="M187" s="432"/>
      <c r="N187" s="383"/>
      <c r="O187" s="383"/>
      <c r="P187" s="383"/>
      <c r="Q187" s="310" t="s">
        <v>98</v>
      </c>
      <c r="R187" s="349"/>
      <c r="S187" s="247"/>
      <c r="T187" s="247"/>
      <c r="U187" s="247" t="s">
        <v>614</v>
      </c>
      <c r="V187" s="248">
        <v>1</v>
      </c>
      <c r="W187" s="249">
        <v>0</v>
      </c>
      <c r="X187" s="250">
        <f t="shared" si="92"/>
        <v>0</v>
      </c>
      <c r="Y187" s="249">
        <v>0</v>
      </c>
      <c r="Z187" s="250">
        <f t="shared" si="93"/>
        <v>0</v>
      </c>
      <c r="AA187" s="249">
        <v>0</v>
      </c>
      <c r="AB187" s="250">
        <f t="shared" si="94"/>
        <v>0</v>
      </c>
      <c r="AC187" s="249">
        <v>0</v>
      </c>
      <c r="AD187" s="250">
        <f t="shared" si="95"/>
        <v>0</v>
      </c>
      <c r="AE187" s="249">
        <v>0</v>
      </c>
      <c r="AF187" s="250">
        <f t="shared" si="96"/>
        <v>0</v>
      </c>
      <c r="AG187" s="249">
        <v>0</v>
      </c>
      <c r="AH187" s="250">
        <f t="shared" si="97"/>
        <v>0</v>
      </c>
      <c r="AI187" s="249">
        <v>1</v>
      </c>
      <c r="AJ187" s="250">
        <f t="shared" si="98"/>
        <v>1</v>
      </c>
      <c r="AK187" s="249">
        <v>0</v>
      </c>
      <c r="AL187" s="250">
        <f t="shared" si="99"/>
        <v>0</v>
      </c>
      <c r="AN187" s="314" t="e">
        <f>A187&amp;B187&amp;C187&amp;D187&amp;E187&amp;#REF!&amp;F187&amp;#REF!&amp;G187</f>
        <v>#REF!</v>
      </c>
    </row>
    <row r="188" spans="1:40" s="315" customFormat="1" ht="15" customHeight="1">
      <c r="A188" s="312" t="s">
        <v>711</v>
      </c>
      <c r="B188" s="313" t="s">
        <v>94</v>
      </c>
      <c r="C188" s="312"/>
      <c r="D188" s="310"/>
      <c r="E188" s="314" t="s">
        <v>712</v>
      </c>
      <c r="F188" s="310"/>
      <c r="G188" s="310" t="s">
        <v>97</v>
      </c>
      <c r="H188" s="310"/>
      <c r="I188" s="310"/>
      <c r="J188" s="310"/>
      <c r="K188" s="310"/>
      <c r="L188" s="536"/>
      <c r="M188" s="432"/>
      <c r="N188" s="383"/>
      <c r="O188" s="383"/>
      <c r="P188" s="383"/>
      <c r="Q188" s="310" t="s">
        <v>98</v>
      </c>
      <c r="R188" s="349"/>
      <c r="S188" s="247"/>
      <c r="T188" s="247"/>
      <c r="U188" s="247" t="s">
        <v>614</v>
      </c>
      <c r="V188" s="248">
        <v>1</v>
      </c>
      <c r="W188" s="249">
        <v>0</v>
      </c>
      <c r="X188" s="250">
        <f t="shared" si="92"/>
        <v>0</v>
      </c>
      <c r="Y188" s="249">
        <v>0</v>
      </c>
      <c r="Z188" s="250">
        <f t="shared" si="93"/>
        <v>0</v>
      </c>
      <c r="AA188" s="249">
        <v>0</v>
      </c>
      <c r="AB188" s="250">
        <f t="shared" si="94"/>
        <v>0</v>
      </c>
      <c r="AC188" s="249">
        <v>0</v>
      </c>
      <c r="AD188" s="250">
        <f t="shared" si="95"/>
        <v>0</v>
      </c>
      <c r="AE188" s="249">
        <v>0</v>
      </c>
      <c r="AF188" s="250">
        <f t="shared" si="96"/>
        <v>0</v>
      </c>
      <c r="AG188" s="249">
        <v>0</v>
      </c>
      <c r="AH188" s="250">
        <f t="shared" si="97"/>
        <v>0</v>
      </c>
      <c r="AI188" s="249">
        <v>1</v>
      </c>
      <c r="AJ188" s="250">
        <f t="shared" si="98"/>
        <v>1</v>
      </c>
      <c r="AK188" s="249">
        <v>0</v>
      </c>
      <c r="AL188" s="250">
        <f t="shared" si="99"/>
        <v>0</v>
      </c>
      <c r="AN188" s="314" t="e">
        <f>A188&amp;B188&amp;C188&amp;D188&amp;E188&amp;#REF!&amp;F188&amp;#REF!&amp;G188</f>
        <v>#REF!</v>
      </c>
    </row>
    <row r="189" spans="1:40" s="315" customFormat="1" ht="15" customHeight="1">
      <c r="A189" s="312" t="s">
        <v>713</v>
      </c>
      <c r="B189" s="313" t="s">
        <v>94</v>
      </c>
      <c r="C189" s="312"/>
      <c r="D189" s="310"/>
      <c r="E189" s="314" t="s">
        <v>714</v>
      </c>
      <c r="F189" s="310"/>
      <c r="G189" s="310" t="s">
        <v>97</v>
      </c>
      <c r="H189" s="310"/>
      <c r="I189" s="310"/>
      <c r="J189" s="310"/>
      <c r="K189" s="310"/>
      <c r="L189" s="536"/>
      <c r="M189" s="432"/>
      <c r="N189" s="383"/>
      <c r="O189" s="383"/>
      <c r="P189" s="383"/>
      <c r="Q189" s="310" t="s">
        <v>98</v>
      </c>
      <c r="R189" s="349"/>
      <c r="S189" s="247"/>
      <c r="T189" s="247"/>
      <c r="U189" s="247" t="s">
        <v>614</v>
      </c>
      <c r="V189" s="248">
        <v>1</v>
      </c>
      <c r="W189" s="249">
        <v>0</v>
      </c>
      <c r="X189" s="250">
        <f t="shared" si="92"/>
        <v>0</v>
      </c>
      <c r="Y189" s="249">
        <v>0</v>
      </c>
      <c r="Z189" s="250">
        <f t="shared" si="93"/>
        <v>0</v>
      </c>
      <c r="AA189" s="249">
        <v>0</v>
      </c>
      <c r="AB189" s="250">
        <f t="shared" si="94"/>
        <v>0</v>
      </c>
      <c r="AC189" s="249">
        <v>0</v>
      </c>
      <c r="AD189" s="250">
        <f t="shared" si="95"/>
        <v>0</v>
      </c>
      <c r="AE189" s="249">
        <v>0</v>
      </c>
      <c r="AF189" s="250">
        <f t="shared" si="96"/>
        <v>0</v>
      </c>
      <c r="AG189" s="249">
        <v>0</v>
      </c>
      <c r="AH189" s="250">
        <f t="shared" si="97"/>
        <v>0</v>
      </c>
      <c r="AI189" s="249">
        <v>1</v>
      </c>
      <c r="AJ189" s="250">
        <f t="shared" si="98"/>
        <v>1</v>
      </c>
      <c r="AK189" s="249">
        <v>0</v>
      </c>
      <c r="AL189" s="250">
        <f t="shared" si="99"/>
        <v>0</v>
      </c>
      <c r="AN189" s="314" t="e">
        <f>A189&amp;B189&amp;C189&amp;D189&amp;E189&amp;#REF!&amp;F189&amp;#REF!&amp;G189</f>
        <v>#REF!</v>
      </c>
    </row>
    <row r="190" spans="1:40" s="315" customFormat="1" ht="15" customHeight="1">
      <c r="A190" s="312" t="s">
        <v>715</v>
      </c>
      <c r="B190" s="313" t="s">
        <v>94</v>
      </c>
      <c r="C190" s="312"/>
      <c r="D190" s="310"/>
      <c r="E190" s="314" t="s">
        <v>716</v>
      </c>
      <c r="F190" s="310"/>
      <c r="G190" s="310"/>
      <c r="H190" s="310" t="s">
        <v>97</v>
      </c>
      <c r="I190" s="310"/>
      <c r="J190" s="310"/>
      <c r="K190" s="310"/>
      <c r="L190" s="536"/>
      <c r="M190" s="432"/>
      <c r="N190" s="383"/>
      <c r="O190" s="383"/>
      <c r="P190" s="383"/>
      <c r="Q190" s="310" t="s">
        <v>98</v>
      </c>
      <c r="R190" s="349"/>
      <c r="S190" s="247"/>
      <c r="T190" s="247"/>
      <c r="U190" s="247" t="s">
        <v>614</v>
      </c>
      <c r="V190" s="248">
        <v>1</v>
      </c>
      <c r="W190" s="249">
        <v>0</v>
      </c>
      <c r="X190" s="250">
        <f t="shared" si="92"/>
        <v>0</v>
      </c>
      <c r="Y190" s="249">
        <v>0</v>
      </c>
      <c r="Z190" s="250">
        <f t="shared" si="93"/>
        <v>0</v>
      </c>
      <c r="AA190" s="249">
        <v>0</v>
      </c>
      <c r="AB190" s="250">
        <f t="shared" si="94"/>
        <v>0</v>
      </c>
      <c r="AC190" s="249">
        <v>0</v>
      </c>
      <c r="AD190" s="250">
        <f t="shared" si="95"/>
        <v>0</v>
      </c>
      <c r="AE190" s="249">
        <v>0</v>
      </c>
      <c r="AF190" s="250">
        <f t="shared" si="96"/>
        <v>0</v>
      </c>
      <c r="AG190" s="249">
        <v>0</v>
      </c>
      <c r="AH190" s="250">
        <f t="shared" si="97"/>
        <v>0</v>
      </c>
      <c r="AI190" s="249">
        <v>1</v>
      </c>
      <c r="AJ190" s="250">
        <f t="shared" si="98"/>
        <v>1</v>
      </c>
      <c r="AK190" s="249">
        <v>0</v>
      </c>
      <c r="AL190" s="250">
        <f t="shared" si="99"/>
        <v>0</v>
      </c>
      <c r="AN190" s="314" t="e">
        <f>A190&amp;B190&amp;C190&amp;D190&amp;E190&amp;#REF!&amp;F190&amp;#REF!&amp;G190</f>
        <v>#REF!</v>
      </c>
    </row>
    <row r="191" spans="1:40" s="315" customFormat="1" ht="15" customHeight="1">
      <c r="A191" s="312" t="s">
        <v>717</v>
      </c>
      <c r="B191" s="313" t="s">
        <v>94</v>
      </c>
      <c r="C191" s="312"/>
      <c r="D191" s="310"/>
      <c r="E191" s="314" t="s">
        <v>718</v>
      </c>
      <c r="F191" s="310"/>
      <c r="G191" s="310" t="s">
        <v>97</v>
      </c>
      <c r="H191" s="310" t="s">
        <v>34</v>
      </c>
      <c r="I191" s="310"/>
      <c r="J191" s="310"/>
      <c r="K191" s="310"/>
      <c r="L191" s="536"/>
      <c r="M191" s="432"/>
      <c r="N191" s="383"/>
      <c r="O191" s="383"/>
      <c r="P191" s="383"/>
      <c r="Q191" s="310" t="s">
        <v>98</v>
      </c>
      <c r="R191" s="349"/>
      <c r="S191" s="247"/>
      <c r="T191" s="247"/>
      <c r="U191" s="247" t="s">
        <v>614</v>
      </c>
      <c r="V191" s="248">
        <v>1</v>
      </c>
      <c r="W191" s="249">
        <v>0</v>
      </c>
      <c r="X191" s="250">
        <f t="shared" si="92"/>
        <v>0</v>
      </c>
      <c r="Y191" s="249">
        <v>0</v>
      </c>
      <c r="Z191" s="250">
        <f t="shared" si="93"/>
        <v>0</v>
      </c>
      <c r="AA191" s="249">
        <v>0</v>
      </c>
      <c r="AB191" s="250">
        <f t="shared" si="94"/>
        <v>0</v>
      </c>
      <c r="AC191" s="249">
        <v>0</v>
      </c>
      <c r="AD191" s="250">
        <f t="shared" si="95"/>
        <v>0</v>
      </c>
      <c r="AE191" s="249">
        <v>0</v>
      </c>
      <c r="AF191" s="250">
        <f t="shared" si="96"/>
        <v>0</v>
      </c>
      <c r="AG191" s="249">
        <v>0</v>
      </c>
      <c r="AH191" s="250">
        <f t="shared" si="97"/>
        <v>0</v>
      </c>
      <c r="AI191" s="249">
        <v>1</v>
      </c>
      <c r="AJ191" s="250">
        <f t="shared" si="98"/>
        <v>1</v>
      </c>
      <c r="AK191" s="249">
        <v>0</v>
      </c>
      <c r="AL191" s="250">
        <f t="shared" si="99"/>
        <v>0</v>
      </c>
      <c r="AN191" s="314" t="e">
        <f>A191&amp;B191&amp;C191&amp;D191&amp;E191&amp;#REF!&amp;F191&amp;#REF!&amp;G191</f>
        <v>#REF!</v>
      </c>
    </row>
    <row r="192" spans="1:40" s="315" customFormat="1" ht="15" customHeight="1">
      <c r="A192" s="312" t="s">
        <v>719</v>
      </c>
      <c r="B192" s="313" t="s">
        <v>94</v>
      </c>
      <c r="C192" s="312"/>
      <c r="D192" s="310"/>
      <c r="E192" s="314" t="s">
        <v>720</v>
      </c>
      <c r="F192" s="310"/>
      <c r="G192" s="310" t="s">
        <v>97</v>
      </c>
      <c r="H192" s="310" t="s">
        <v>34</v>
      </c>
      <c r="I192" s="310"/>
      <c r="J192" s="310"/>
      <c r="K192" s="310"/>
      <c r="L192" s="536"/>
      <c r="M192" s="432"/>
      <c r="N192" s="383"/>
      <c r="O192" s="383"/>
      <c r="P192" s="383"/>
      <c r="Q192" s="310" t="s">
        <v>98</v>
      </c>
      <c r="R192" s="349"/>
      <c r="S192" s="247"/>
      <c r="T192" s="247"/>
      <c r="U192" s="247" t="s">
        <v>614</v>
      </c>
      <c r="V192" s="248">
        <v>1</v>
      </c>
      <c r="W192" s="249">
        <v>0</v>
      </c>
      <c r="X192" s="250">
        <f t="shared" si="92"/>
        <v>0</v>
      </c>
      <c r="Y192" s="249">
        <v>0</v>
      </c>
      <c r="Z192" s="250">
        <f t="shared" si="93"/>
        <v>0</v>
      </c>
      <c r="AA192" s="249">
        <v>0</v>
      </c>
      <c r="AB192" s="250">
        <f t="shared" si="94"/>
        <v>0</v>
      </c>
      <c r="AC192" s="249">
        <v>0</v>
      </c>
      <c r="AD192" s="250">
        <f t="shared" si="95"/>
        <v>0</v>
      </c>
      <c r="AE192" s="249">
        <v>0</v>
      </c>
      <c r="AF192" s="250">
        <f t="shared" si="96"/>
        <v>0</v>
      </c>
      <c r="AG192" s="249">
        <v>0</v>
      </c>
      <c r="AH192" s="250">
        <f t="shared" si="97"/>
        <v>0</v>
      </c>
      <c r="AI192" s="249">
        <v>1</v>
      </c>
      <c r="AJ192" s="250">
        <f t="shared" si="98"/>
        <v>1</v>
      </c>
      <c r="AK192" s="249">
        <v>0</v>
      </c>
      <c r="AL192" s="250">
        <f t="shared" si="99"/>
        <v>0</v>
      </c>
      <c r="AN192" s="314" t="e">
        <f>A192&amp;B192&amp;C192&amp;D192&amp;E192&amp;#REF!&amp;F192&amp;#REF!&amp;G192</f>
        <v>#REF!</v>
      </c>
    </row>
    <row r="193" spans="1:64" s="315" customFormat="1" ht="15" customHeight="1">
      <c r="A193" s="312" t="s">
        <v>721</v>
      </c>
      <c r="B193" s="313" t="s">
        <v>94</v>
      </c>
      <c r="C193" s="312"/>
      <c r="D193" s="310"/>
      <c r="E193" s="314" t="s">
        <v>722</v>
      </c>
      <c r="F193" s="310"/>
      <c r="G193" s="310"/>
      <c r="H193" s="310" t="s">
        <v>97</v>
      </c>
      <c r="I193" s="310"/>
      <c r="J193" s="310"/>
      <c r="K193" s="310"/>
      <c r="L193" s="536"/>
      <c r="M193" s="432"/>
      <c r="N193" s="383"/>
      <c r="O193" s="383"/>
      <c r="P193" s="383"/>
      <c r="Q193" s="310" t="s">
        <v>98</v>
      </c>
      <c r="R193" s="349"/>
      <c r="S193" s="247"/>
      <c r="T193" s="247"/>
      <c r="U193" s="247" t="s">
        <v>614</v>
      </c>
      <c r="V193" s="248">
        <v>1</v>
      </c>
      <c r="W193" s="249">
        <v>0</v>
      </c>
      <c r="X193" s="250">
        <f t="shared" si="92"/>
        <v>0</v>
      </c>
      <c r="Y193" s="249">
        <v>0</v>
      </c>
      <c r="Z193" s="250">
        <f t="shared" si="93"/>
        <v>0</v>
      </c>
      <c r="AA193" s="249">
        <v>0</v>
      </c>
      <c r="AB193" s="250">
        <f t="shared" si="94"/>
        <v>0</v>
      </c>
      <c r="AC193" s="249">
        <v>0</v>
      </c>
      <c r="AD193" s="250">
        <f t="shared" si="95"/>
        <v>0</v>
      </c>
      <c r="AE193" s="249">
        <v>0</v>
      </c>
      <c r="AF193" s="250">
        <f t="shared" si="96"/>
        <v>0</v>
      </c>
      <c r="AG193" s="249">
        <v>0</v>
      </c>
      <c r="AH193" s="250">
        <f t="shared" si="97"/>
        <v>0</v>
      </c>
      <c r="AI193" s="249">
        <v>1</v>
      </c>
      <c r="AJ193" s="250">
        <f t="shared" si="98"/>
        <v>1</v>
      </c>
      <c r="AK193" s="249">
        <v>0</v>
      </c>
      <c r="AL193" s="250">
        <f t="shared" si="99"/>
        <v>0</v>
      </c>
      <c r="AN193" s="314" t="e">
        <f>A193&amp;B193&amp;C193&amp;D193&amp;E193&amp;#REF!&amp;F193&amp;#REF!&amp;G193</f>
        <v>#REF!</v>
      </c>
    </row>
    <row r="194" spans="1:64" s="315" customFormat="1" ht="15" customHeight="1">
      <c r="A194" s="312" t="s">
        <v>723</v>
      </c>
      <c r="B194" s="313" t="s">
        <v>94</v>
      </c>
      <c r="C194" s="312"/>
      <c r="D194" s="310"/>
      <c r="E194" s="314" t="s">
        <v>724</v>
      </c>
      <c r="F194" s="310"/>
      <c r="G194" s="310"/>
      <c r="H194" s="310" t="s">
        <v>97</v>
      </c>
      <c r="I194" s="310"/>
      <c r="J194" s="310"/>
      <c r="K194" s="310"/>
      <c r="L194" s="536"/>
      <c r="M194" s="432"/>
      <c r="N194" s="383"/>
      <c r="O194" s="383"/>
      <c r="P194" s="383"/>
      <c r="Q194" s="310" t="s">
        <v>98</v>
      </c>
      <c r="R194" s="349"/>
      <c r="S194" s="247"/>
      <c r="T194" s="247"/>
      <c r="U194" s="247" t="s">
        <v>614</v>
      </c>
      <c r="V194" s="248">
        <v>1</v>
      </c>
      <c r="W194" s="249">
        <v>0</v>
      </c>
      <c r="X194" s="250">
        <f t="shared" si="92"/>
        <v>0</v>
      </c>
      <c r="Y194" s="249">
        <v>0</v>
      </c>
      <c r="Z194" s="250">
        <f t="shared" si="93"/>
        <v>0</v>
      </c>
      <c r="AA194" s="249">
        <v>0</v>
      </c>
      <c r="AB194" s="250">
        <f t="shared" si="94"/>
        <v>0</v>
      </c>
      <c r="AC194" s="249">
        <v>0</v>
      </c>
      <c r="AD194" s="250">
        <f t="shared" si="95"/>
        <v>0</v>
      </c>
      <c r="AE194" s="249">
        <v>0</v>
      </c>
      <c r="AF194" s="250">
        <f t="shared" si="96"/>
        <v>0</v>
      </c>
      <c r="AG194" s="249">
        <v>0</v>
      </c>
      <c r="AH194" s="250">
        <f t="shared" si="97"/>
        <v>0</v>
      </c>
      <c r="AI194" s="249">
        <v>1</v>
      </c>
      <c r="AJ194" s="250">
        <f t="shared" si="98"/>
        <v>1</v>
      </c>
      <c r="AK194" s="249">
        <v>0</v>
      </c>
      <c r="AL194" s="250">
        <f t="shared" si="99"/>
        <v>0</v>
      </c>
      <c r="AN194" s="314" t="e">
        <f>A194&amp;B194&amp;C194&amp;D194&amp;E194&amp;#REF!&amp;F194&amp;#REF!&amp;G194</f>
        <v>#REF!</v>
      </c>
    </row>
    <row r="195" spans="1:64" s="315" customFormat="1" ht="15" customHeight="1">
      <c r="A195" s="312" t="s">
        <v>725</v>
      </c>
      <c r="B195" s="313" t="s">
        <v>94</v>
      </c>
      <c r="C195" s="312"/>
      <c r="D195" s="310"/>
      <c r="E195" s="314" t="s">
        <v>726</v>
      </c>
      <c r="F195" s="310"/>
      <c r="G195" s="310"/>
      <c r="H195" s="310"/>
      <c r="I195" s="310" t="s">
        <v>97</v>
      </c>
      <c r="J195" s="310"/>
      <c r="K195" s="310"/>
      <c r="L195" s="536"/>
      <c r="M195" s="432"/>
      <c r="N195" s="383"/>
      <c r="O195" s="383"/>
      <c r="P195" s="383"/>
      <c r="Q195" s="310" t="s">
        <v>98</v>
      </c>
      <c r="R195" s="349"/>
      <c r="S195" s="247"/>
      <c r="T195" s="247"/>
      <c r="U195" s="247" t="s">
        <v>614</v>
      </c>
      <c r="V195" s="248">
        <v>1</v>
      </c>
      <c r="W195" s="249">
        <v>0</v>
      </c>
      <c r="X195" s="250">
        <f t="shared" si="92"/>
        <v>0</v>
      </c>
      <c r="Y195" s="249">
        <v>0</v>
      </c>
      <c r="Z195" s="250">
        <f t="shared" si="93"/>
        <v>0</v>
      </c>
      <c r="AA195" s="249">
        <v>0</v>
      </c>
      <c r="AB195" s="250">
        <f t="shared" si="94"/>
        <v>0</v>
      </c>
      <c r="AC195" s="249">
        <v>0</v>
      </c>
      <c r="AD195" s="250">
        <f t="shared" si="95"/>
        <v>0</v>
      </c>
      <c r="AE195" s="249">
        <v>0</v>
      </c>
      <c r="AF195" s="250">
        <f t="shared" si="96"/>
        <v>0</v>
      </c>
      <c r="AG195" s="249">
        <v>0</v>
      </c>
      <c r="AH195" s="250">
        <f t="shared" si="97"/>
        <v>0</v>
      </c>
      <c r="AI195" s="249">
        <v>1</v>
      </c>
      <c r="AJ195" s="250">
        <f t="shared" si="98"/>
        <v>1</v>
      </c>
      <c r="AK195" s="249">
        <v>0</v>
      </c>
      <c r="AL195" s="250">
        <f t="shared" si="99"/>
        <v>0</v>
      </c>
      <c r="AN195" s="314" t="e">
        <f>A195&amp;B195&amp;C195&amp;D195&amp;E195&amp;#REF!&amp;F195&amp;#REF!&amp;G195</f>
        <v>#REF!</v>
      </c>
    </row>
    <row r="196" spans="1:64" s="315" customFormat="1" ht="15" customHeight="1">
      <c r="A196" s="312" t="s">
        <v>727</v>
      </c>
      <c r="B196" s="313" t="s">
        <v>94</v>
      </c>
      <c r="C196" s="312"/>
      <c r="D196" s="310"/>
      <c r="E196" s="314" t="s">
        <v>728</v>
      </c>
      <c r="F196" s="310"/>
      <c r="G196" s="310"/>
      <c r="H196" s="310" t="s">
        <v>97</v>
      </c>
      <c r="I196" s="310"/>
      <c r="J196" s="310"/>
      <c r="K196" s="310"/>
      <c r="L196" s="536"/>
      <c r="M196" s="432"/>
      <c r="N196" s="383"/>
      <c r="O196" s="383"/>
      <c r="P196" s="383"/>
      <c r="Q196" s="310" t="s">
        <v>98</v>
      </c>
      <c r="R196" s="349"/>
      <c r="S196" s="247"/>
      <c r="T196" s="247"/>
      <c r="U196" s="247" t="s">
        <v>614</v>
      </c>
      <c r="V196" s="248">
        <v>1</v>
      </c>
      <c r="W196" s="249">
        <v>0</v>
      </c>
      <c r="X196" s="250">
        <f t="shared" si="92"/>
        <v>0</v>
      </c>
      <c r="Y196" s="249">
        <v>0</v>
      </c>
      <c r="Z196" s="250">
        <f t="shared" si="93"/>
        <v>0</v>
      </c>
      <c r="AA196" s="249">
        <v>0</v>
      </c>
      <c r="AB196" s="250">
        <f t="shared" si="94"/>
        <v>0</v>
      </c>
      <c r="AC196" s="249">
        <v>0</v>
      </c>
      <c r="AD196" s="250">
        <f t="shared" si="95"/>
        <v>0</v>
      </c>
      <c r="AE196" s="249">
        <v>0</v>
      </c>
      <c r="AF196" s="250">
        <f t="shared" si="96"/>
        <v>0</v>
      </c>
      <c r="AG196" s="249">
        <v>0</v>
      </c>
      <c r="AH196" s="250">
        <f t="shared" si="97"/>
        <v>0</v>
      </c>
      <c r="AI196" s="249">
        <v>1</v>
      </c>
      <c r="AJ196" s="250">
        <f t="shared" si="98"/>
        <v>1</v>
      </c>
      <c r="AK196" s="249">
        <v>0</v>
      </c>
      <c r="AL196" s="250">
        <f t="shared" si="99"/>
        <v>0</v>
      </c>
      <c r="AN196" s="314" t="e">
        <f>A196&amp;B196&amp;C196&amp;D196&amp;E196&amp;#REF!&amp;F196&amp;#REF!&amp;G196</f>
        <v>#REF!</v>
      </c>
    </row>
    <row r="197" spans="1:64" s="315" customFormat="1" ht="15" customHeight="1">
      <c r="A197" s="312" t="s">
        <v>729</v>
      </c>
      <c r="B197" s="313" t="s">
        <v>94</v>
      </c>
      <c r="C197" s="312"/>
      <c r="D197" s="310"/>
      <c r="E197" s="314" t="s">
        <v>730</v>
      </c>
      <c r="F197" s="310"/>
      <c r="G197" s="310"/>
      <c r="H197" s="310" t="s">
        <v>97</v>
      </c>
      <c r="I197" s="310"/>
      <c r="J197" s="310"/>
      <c r="K197" s="310"/>
      <c r="L197" s="536"/>
      <c r="M197" s="432"/>
      <c r="N197" s="383"/>
      <c r="O197" s="383"/>
      <c r="P197" s="383"/>
      <c r="Q197" s="310" t="s">
        <v>98</v>
      </c>
      <c r="R197" s="349"/>
      <c r="S197" s="247"/>
      <c r="T197" s="247"/>
      <c r="U197" s="247" t="s">
        <v>614</v>
      </c>
      <c r="V197" s="248">
        <v>1</v>
      </c>
      <c r="W197" s="249">
        <v>0</v>
      </c>
      <c r="X197" s="250">
        <f t="shared" si="92"/>
        <v>0</v>
      </c>
      <c r="Y197" s="249">
        <v>0</v>
      </c>
      <c r="Z197" s="250">
        <f t="shared" si="93"/>
        <v>0</v>
      </c>
      <c r="AA197" s="249">
        <v>0</v>
      </c>
      <c r="AB197" s="250">
        <f t="shared" si="94"/>
        <v>0</v>
      </c>
      <c r="AC197" s="249">
        <v>0</v>
      </c>
      <c r="AD197" s="250">
        <f t="shared" si="95"/>
        <v>0</v>
      </c>
      <c r="AE197" s="249">
        <v>0</v>
      </c>
      <c r="AF197" s="250">
        <f t="shared" si="96"/>
        <v>0</v>
      </c>
      <c r="AG197" s="249">
        <v>0</v>
      </c>
      <c r="AH197" s="250">
        <f t="shared" si="97"/>
        <v>0</v>
      </c>
      <c r="AI197" s="249">
        <v>1</v>
      </c>
      <c r="AJ197" s="250">
        <f t="shared" si="98"/>
        <v>1</v>
      </c>
      <c r="AK197" s="249">
        <v>0</v>
      </c>
      <c r="AL197" s="250">
        <f t="shared" si="99"/>
        <v>0</v>
      </c>
      <c r="AN197" s="314" t="e">
        <f>A197&amp;B197&amp;C197&amp;D197&amp;E197&amp;#REF!&amp;F197&amp;#REF!&amp;G197</f>
        <v>#REF!</v>
      </c>
    </row>
    <row r="198" spans="1:64" s="315" customFormat="1" ht="15" customHeight="1">
      <c r="A198" s="312" t="s">
        <v>731</v>
      </c>
      <c r="B198" s="313" t="s">
        <v>94</v>
      </c>
      <c r="C198" s="312"/>
      <c r="D198" s="310"/>
      <c r="E198" s="314" t="s">
        <v>732</v>
      </c>
      <c r="F198" s="310"/>
      <c r="G198" s="310"/>
      <c r="H198" s="310" t="s">
        <v>97</v>
      </c>
      <c r="I198" s="310"/>
      <c r="J198" s="310"/>
      <c r="K198" s="310"/>
      <c r="L198" s="536"/>
      <c r="M198" s="432"/>
      <c r="N198" s="383"/>
      <c r="O198" s="383"/>
      <c r="P198" s="383"/>
      <c r="Q198" s="310" t="s">
        <v>98</v>
      </c>
      <c r="R198" s="349"/>
      <c r="S198" s="247"/>
      <c r="T198" s="247"/>
      <c r="U198" s="247" t="s">
        <v>614</v>
      </c>
      <c r="V198" s="248">
        <v>1</v>
      </c>
      <c r="W198" s="249">
        <v>0</v>
      </c>
      <c r="X198" s="250">
        <f t="shared" si="92"/>
        <v>0</v>
      </c>
      <c r="Y198" s="249">
        <v>0</v>
      </c>
      <c r="Z198" s="250">
        <f t="shared" si="93"/>
        <v>0</v>
      </c>
      <c r="AA198" s="249">
        <v>0</v>
      </c>
      <c r="AB198" s="250">
        <f t="shared" si="94"/>
        <v>0</v>
      </c>
      <c r="AC198" s="249">
        <v>0</v>
      </c>
      <c r="AD198" s="250">
        <f t="shared" si="95"/>
        <v>0</v>
      </c>
      <c r="AE198" s="249">
        <v>0</v>
      </c>
      <c r="AF198" s="250">
        <f t="shared" si="96"/>
        <v>0</v>
      </c>
      <c r="AG198" s="249">
        <v>0</v>
      </c>
      <c r="AH198" s="250">
        <f t="shared" si="97"/>
        <v>0</v>
      </c>
      <c r="AI198" s="249">
        <v>1</v>
      </c>
      <c r="AJ198" s="250">
        <f t="shared" si="98"/>
        <v>1</v>
      </c>
      <c r="AK198" s="249">
        <v>0</v>
      </c>
      <c r="AL198" s="250">
        <f t="shared" si="99"/>
        <v>0</v>
      </c>
      <c r="AN198" s="314" t="e">
        <f>A198&amp;B198&amp;C198&amp;D198&amp;E198&amp;#REF!&amp;F198&amp;#REF!&amp;G198</f>
        <v>#REF!</v>
      </c>
    </row>
    <row r="199" spans="1:64" s="315" customFormat="1" ht="15" customHeight="1">
      <c r="A199" s="312" t="s">
        <v>733</v>
      </c>
      <c r="B199" s="313" t="s">
        <v>94</v>
      </c>
      <c r="C199" s="312"/>
      <c r="D199" s="310"/>
      <c r="E199" s="314" t="s">
        <v>734</v>
      </c>
      <c r="F199" s="310"/>
      <c r="G199" s="310"/>
      <c r="H199" s="310" t="s">
        <v>97</v>
      </c>
      <c r="I199" s="310"/>
      <c r="J199" s="310"/>
      <c r="K199" s="310"/>
      <c r="L199" s="536"/>
      <c r="M199" s="432"/>
      <c r="N199" s="383"/>
      <c r="O199" s="383"/>
      <c r="P199" s="383"/>
      <c r="Q199" s="310" t="s">
        <v>98</v>
      </c>
      <c r="R199" s="349"/>
      <c r="S199" s="247"/>
      <c r="T199" s="247"/>
      <c r="U199" s="247" t="s">
        <v>614</v>
      </c>
      <c r="V199" s="248">
        <v>1</v>
      </c>
      <c r="W199" s="249">
        <v>0</v>
      </c>
      <c r="X199" s="250">
        <f t="shared" si="92"/>
        <v>0</v>
      </c>
      <c r="Y199" s="249">
        <v>0</v>
      </c>
      <c r="Z199" s="250">
        <f t="shared" si="93"/>
        <v>0</v>
      </c>
      <c r="AA199" s="249">
        <v>0</v>
      </c>
      <c r="AB199" s="250">
        <f t="shared" si="94"/>
        <v>0</v>
      </c>
      <c r="AC199" s="249">
        <v>0</v>
      </c>
      <c r="AD199" s="250">
        <f t="shared" si="95"/>
        <v>0</v>
      </c>
      <c r="AE199" s="249">
        <v>0</v>
      </c>
      <c r="AF199" s="250">
        <f t="shared" si="96"/>
        <v>0</v>
      </c>
      <c r="AG199" s="249">
        <v>0</v>
      </c>
      <c r="AH199" s="250">
        <f t="shared" si="97"/>
        <v>0</v>
      </c>
      <c r="AI199" s="249">
        <v>1</v>
      </c>
      <c r="AJ199" s="250">
        <f t="shared" si="98"/>
        <v>1</v>
      </c>
      <c r="AK199" s="249">
        <v>0</v>
      </c>
      <c r="AL199" s="250">
        <f t="shared" si="99"/>
        <v>0</v>
      </c>
      <c r="AN199" s="314" t="e">
        <f>A199&amp;B199&amp;C199&amp;D199&amp;E199&amp;#REF!&amp;F199&amp;#REF!&amp;G199</f>
        <v>#REF!</v>
      </c>
    </row>
    <row r="200" spans="1:64" s="315" customFormat="1" ht="15" customHeight="1">
      <c r="A200" s="312" t="s">
        <v>735</v>
      </c>
      <c r="B200" s="313" t="s">
        <v>94</v>
      </c>
      <c r="C200" s="312"/>
      <c r="D200" s="310"/>
      <c r="E200" s="314" t="s">
        <v>736</v>
      </c>
      <c r="F200" s="310"/>
      <c r="G200" s="310"/>
      <c r="H200" s="310" t="s">
        <v>97</v>
      </c>
      <c r="I200" s="310" t="s">
        <v>34</v>
      </c>
      <c r="J200" s="310"/>
      <c r="K200" s="310"/>
      <c r="L200" s="536"/>
      <c r="M200" s="432"/>
      <c r="N200" s="383"/>
      <c r="O200" s="383"/>
      <c r="P200" s="383"/>
      <c r="Q200" s="310" t="s">
        <v>98</v>
      </c>
      <c r="R200" s="349"/>
      <c r="S200" s="247"/>
      <c r="T200" s="247"/>
      <c r="U200" s="247" t="s">
        <v>614</v>
      </c>
      <c r="V200" s="248">
        <v>1</v>
      </c>
      <c r="W200" s="249">
        <v>0</v>
      </c>
      <c r="X200" s="250">
        <f t="shared" si="92"/>
        <v>0</v>
      </c>
      <c r="Y200" s="249">
        <v>0</v>
      </c>
      <c r="Z200" s="250">
        <f t="shared" si="93"/>
        <v>0</v>
      </c>
      <c r="AA200" s="249">
        <v>0</v>
      </c>
      <c r="AB200" s="250">
        <f t="shared" si="94"/>
        <v>0</v>
      </c>
      <c r="AC200" s="249">
        <v>0</v>
      </c>
      <c r="AD200" s="250">
        <f t="shared" si="95"/>
        <v>0</v>
      </c>
      <c r="AE200" s="249">
        <v>0</v>
      </c>
      <c r="AF200" s="250">
        <f t="shared" si="96"/>
        <v>0</v>
      </c>
      <c r="AG200" s="249">
        <v>0</v>
      </c>
      <c r="AH200" s="250">
        <f t="shared" si="97"/>
        <v>0</v>
      </c>
      <c r="AI200" s="249">
        <v>1</v>
      </c>
      <c r="AJ200" s="250">
        <f t="shared" si="98"/>
        <v>1</v>
      </c>
      <c r="AK200" s="249">
        <v>0</v>
      </c>
      <c r="AL200" s="250">
        <f t="shared" si="99"/>
        <v>0</v>
      </c>
      <c r="AN200" s="314" t="e">
        <f>A200&amp;B200&amp;C200&amp;D200&amp;E200&amp;#REF!&amp;F200&amp;#REF!&amp;G200</f>
        <v>#REF!</v>
      </c>
    </row>
    <row r="201" spans="1:64" s="315" customFormat="1" ht="15" customHeight="1">
      <c r="A201" s="312" t="s">
        <v>737</v>
      </c>
      <c r="B201" s="313" t="s">
        <v>94</v>
      </c>
      <c r="C201" s="312"/>
      <c r="D201" s="310"/>
      <c r="E201" s="314" t="s">
        <v>35</v>
      </c>
      <c r="F201" s="310"/>
      <c r="G201" s="310"/>
      <c r="H201" s="310" t="s">
        <v>97</v>
      </c>
      <c r="I201" s="310" t="s">
        <v>34</v>
      </c>
      <c r="J201" s="310"/>
      <c r="K201" s="310"/>
      <c r="L201" s="536"/>
      <c r="M201" s="432"/>
      <c r="N201" s="383"/>
      <c r="O201" s="383"/>
      <c r="P201" s="383"/>
      <c r="Q201" s="310" t="s">
        <v>98</v>
      </c>
      <c r="R201" s="349"/>
      <c r="S201" s="247"/>
      <c r="T201" s="247"/>
      <c r="U201" s="247" t="s">
        <v>614</v>
      </c>
      <c r="V201" s="248">
        <v>1</v>
      </c>
      <c r="W201" s="249">
        <v>0</v>
      </c>
      <c r="X201" s="250">
        <f t="shared" si="92"/>
        <v>0</v>
      </c>
      <c r="Y201" s="249">
        <v>0</v>
      </c>
      <c r="Z201" s="250">
        <f t="shared" si="93"/>
        <v>0</v>
      </c>
      <c r="AA201" s="249">
        <v>0</v>
      </c>
      <c r="AB201" s="250">
        <f t="shared" si="94"/>
        <v>0</v>
      </c>
      <c r="AC201" s="249">
        <v>0</v>
      </c>
      <c r="AD201" s="250">
        <f t="shared" si="95"/>
        <v>0</v>
      </c>
      <c r="AE201" s="249">
        <v>0</v>
      </c>
      <c r="AF201" s="250">
        <f t="shared" si="96"/>
        <v>0</v>
      </c>
      <c r="AG201" s="249">
        <v>0</v>
      </c>
      <c r="AH201" s="250">
        <f t="shared" si="97"/>
        <v>0</v>
      </c>
      <c r="AI201" s="249">
        <v>1</v>
      </c>
      <c r="AJ201" s="250">
        <f t="shared" si="98"/>
        <v>1</v>
      </c>
      <c r="AK201" s="249">
        <v>0</v>
      </c>
      <c r="AL201" s="250">
        <f t="shared" si="99"/>
        <v>0</v>
      </c>
      <c r="AN201" s="314" t="e">
        <f>A201&amp;B201&amp;C201&amp;D201&amp;E201&amp;#REF!&amp;F201&amp;#REF!&amp;G201</f>
        <v>#REF!</v>
      </c>
    </row>
    <row r="202" spans="1:64" s="315" customFormat="1" ht="15" customHeight="1">
      <c r="B202" s="283"/>
      <c r="D202" s="310"/>
      <c r="E202" s="314"/>
      <c r="F202" s="310"/>
      <c r="G202" s="310"/>
      <c r="H202" s="310"/>
      <c r="I202" s="310"/>
      <c r="J202" s="310"/>
      <c r="K202" s="310"/>
      <c r="L202" s="536"/>
      <c r="M202" s="432"/>
      <c r="N202" s="383"/>
      <c r="O202" s="383"/>
      <c r="P202" s="383"/>
      <c r="Q202" s="310"/>
      <c r="R202" s="349"/>
      <c r="S202" s="349"/>
      <c r="T202" s="349"/>
      <c r="U202" s="349"/>
      <c r="V202" s="248"/>
      <c r="W202" s="249"/>
      <c r="X202" s="250"/>
      <c r="Y202" s="249"/>
      <c r="Z202" s="250"/>
      <c r="AA202" s="249"/>
      <c r="AB202" s="250"/>
      <c r="AC202" s="249"/>
      <c r="AD202" s="250"/>
      <c r="AE202" s="249"/>
      <c r="AF202" s="250"/>
      <c r="AG202" s="249"/>
      <c r="AH202" s="250"/>
      <c r="AI202" s="249"/>
      <c r="AJ202" s="250"/>
      <c r="AK202" s="249"/>
      <c r="AL202" s="250"/>
    </row>
    <row r="203" spans="1:64" s="315" customFormat="1" ht="15" customHeight="1">
      <c r="A203" s="312" t="s">
        <v>36</v>
      </c>
      <c r="B203" s="313" t="s">
        <v>94</v>
      </c>
      <c r="C203" s="312"/>
      <c r="D203" s="310"/>
      <c r="E203" s="314" t="s">
        <v>37</v>
      </c>
      <c r="F203" s="310" t="s">
        <v>97</v>
      </c>
      <c r="G203" s="310"/>
      <c r="H203" s="310" t="s">
        <v>34</v>
      </c>
      <c r="I203" s="310" t="s">
        <v>31</v>
      </c>
      <c r="J203" s="310" t="s">
        <v>116</v>
      </c>
      <c r="K203" s="310"/>
      <c r="L203" s="536"/>
      <c r="M203" s="432"/>
      <c r="N203" s="383"/>
      <c r="O203" s="383"/>
      <c r="P203" s="383"/>
      <c r="Q203" s="310" t="s">
        <v>98</v>
      </c>
      <c r="R203" s="349"/>
      <c r="S203" s="247"/>
      <c r="T203" s="247"/>
      <c r="U203" s="247" t="s">
        <v>614</v>
      </c>
      <c r="V203" s="248">
        <v>1</v>
      </c>
      <c r="W203" s="249">
        <v>0</v>
      </c>
      <c r="X203" s="250">
        <f>$V203*W203</f>
        <v>0</v>
      </c>
      <c r="Y203" s="249">
        <v>0</v>
      </c>
      <c r="Z203" s="250">
        <f>V203*Y203</f>
        <v>0</v>
      </c>
      <c r="AA203" s="249">
        <v>0</v>
      </c>
      <c r="AB203" s="250">
        <f>$V203*AA203</f>
        <v>0</v>
      </c>
      <c r="AC203" s="249">
        <v>0</v>
      </c>
      <c r="AD203" s="250">
        <f>$V$10*AC203</f>
        <v>0</v>
      </c>
      <c r="AE203" s="249">
        <v>0</v>
      </c>
      <c r="AF203" s="250">
        <f>$V203*AE203</f>
        <v>0</v>
      </c>
      <c r="AG203" s="249">
        <v>0</v>
      </c>
      <c r="AH203" s="250">
        <f>$V$10*AG203</f>
        <v>0</v>
      </c>
      <c r="AI203" s="249">
        <v>1</v>
      </c>
      <c r="AJ203" s="250">
        <f>$V203*AI203</f>
        <v>1</v>
      </c>
      <c r="AK203" s="249">
        <v>0</v>
      </c>
      <c r="AL203" s="250">
        <f>$V$10*AK203</f>
        <v>0</v>
      </c>
    </row>
    <row r="204" spans="1:64" s="50" customFormat="1" ht="15" customHeight="1">
      <c r="A204" s="37"/>
      <c r="B204" s="131"/>
      <c r="C204" s="37"/>
      <c r="D204" s="38"/>
      <c r="E204" s="57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132"/>
      <c r="S204" s="132"/>
      <c r="T204" s="132"/>
      <c r="U204" s="132"/>
      <c r="V204" s="52"/>
      <c r="W204" s="56"/>
      <c r="X204" s="51"/>
      <c r="Y204" s="56"/>
      <c r="Z204" s="51"/>
      <c r="AA204" s="56"/>
      <c r="AB204" s="51"/>
      <c r="AC204" s="56"/>
      <c r="AD204" s="51"/>
      <c r="AE204" s="56"/>
      <c r="AF204" s="51"/>
      <c r="AG204" s="56"/>
      <c r="AH204" s="51"/>
      <c r="AI204" s="56"/>
      <c r="AJ204" s="51"/>
      <c r="AK204" s="56"/>
      <c r="AL204" s="51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</row>
    <row r="205" spans="1:64" s="50" customFormat="1" ht="15" customHeight="1" thickBot="1">
      <c r="A205" s="41"/>
      <c r="B205" s="41"/>
      <c r="C205" s="41"/>
      <c r="D205" s="38"/>
      <c r="E205" s="43" t="str">
        <f>"SUB-TOTAL "&amp;UPPER(A24)&amp;" DRAWINGS"</f>
        <v>SUB-TOTAL ASRS BUILDING (B646) DRAWINGS</v>
      </c>
      <c r="F205" s="133">
        <f t="shared" ref="F205:K205" si="100">COUNTA(F25:F204)</f>
        <v>37</v>
      </c>
      <c r="G205" s="133">
        <f t="shared" si="100"/>
        <v>37</v>
      </c>
      <c r="H205" s="133">
        <f t="shared" si="100"/>
        <v>53</v>
      </c>
      <c r="I205" s="133">
        <f t="shared" si="100"/>
        <v>25</v>
      </c>
      <c r="J205" s="133">
        <f t="shared" si="100"/>
        <v>6</v>
      </c>
      <c r="K205" s="133">
        <f t="shared" si="100"/>
        <v>0</v>
      </c>
      <c r="L205" s="133">
        <f>COUNTA(L25:L204)-1</f>
        <v>42</v>
      </c>
      <c r="M205" s="133">
        <f>COUNTA(M25:M204)-1</f>
        <v>41</v>
      </c>
      <c r="N205" s="133">
        <f>COUNTA(N25:N114)</f>
        <v>41</v>
      </c>
      <c r="O205" s="133">
        <f>COUNTA(O25:O114)</f>
        <v>40</v>
      </c>
      <c r="P205" s="133">
        <f>COUNTA(P25:P114)</f>
        <v>76</v>
      </c>
      <c r="Q205" s="38"/>
      <c r="R205" s="36"/>
      <c r="S205" s="36"/>
      <c r="T205" s="36"/>
      <c r="U205" s="36"/>
      <c r="V205" s="55"/>
      <c r="W205" s="55"/>
      <c r="X205" s="55"/>
      <c r="Y205" s="52"/>
      <c r="Z205" s="56"/>
      <c r="AA205" s="51"/>
      <c r="AB205" s="56"/>
      <c r="AC205" s="51"/>
      <c r="AD205" s="56"/>
      <c r="AE205" s="51"/>
      <c r="AF205" s="56"/>
      <c r="AG205" s="51"/>
      <c r="AH205" s="56"/>
      <c r="AI205" s="51"/>
      <c r="AJ205" s="56"/>
      <c r="AK205" s="51"/>
      <c r="AL205" s="56"/>
      <c r="AM205" s="51"/>
      <c r="AN205" s="56"/>
      <c r="AO205" s="51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</row>
    <row r="206" spans="1:64" s="77" customFormat="1">
      <c r="A206" s="33"/>
      <c r="B206" s="33"/>
      <c r="C206" s="33"/>
      <c r="D206" s="36"/>
      <c r="E206" s="78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64"/>
      <c r="W206" s="65"/>
      <c r="X206" s="65"/>
      <c r="Y206" s="65"/>
      <c r="Z206" s="65"/>
      <c r="AA206" s="51"/>
      <c r="AB206" s="65"/>
      <c r="AC206" s="51"/>
      <c r="AD206" s="65"/>
      <c r="AE206" s="51"/>
      <c r="AF206" s="65"/>
      <c r="AG206" s="51"/>
      <c r="AH206" s="65"/>
      <c r="AI206" s="51"/>
      <c r="AJ206" s="65"/>
      <c r="AK206" s="51"/>
      <c r="AL206" s="65"/>
      <c r="AM206" s="51"/>
      <c r="AN206" s="65"/>
      <c r="AO206" s="51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</row>
    <row r="207" spans="1:64" s="50" customFormat="1" ht="18" customHeight="1">
      <c r="A207" s="32" t="s">
        <v>738</v>
      </c>
      <c r="B207" s="32"/>
      <c r="C207" s="32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53"/>
      <c r="W207" s="53"/>
      <c r="X207" s="53"/>
      <c r="Y207" s="54"/>
      <c r="Z207" s="79"/>
      <c r="AA207" s="51"/>
      <c r="AB207" s="79"/>
      <c r="AC207" s="51"/>
      <c r="AD207" s="79"/>
      <c r="AE207" s="51"/>
      <c r="AF207" s="79"/>
      <c r="AG207" s="51"/>
      <c r="AH207" s="79"/>
      <c r="AI207" s="51"/>
      <c r="AJ207" s="79"/>
      <c r="AK207" s="51"/>
      <c r="AL207" s="79"/>
      <c r="AM207" s="51"/>
      <c r="AN207" s="79"/>
      <c r="AO207" s="51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</row>
    <row r="208" spans="1:64" s="50" customFormat="1" ht="18" customHeight="1">
      <c r="A208" s="42" t="s">
        <v>395</v>
      </c>
      <c r="B208" s="241" t="s">
        <v>94</v>
      </c>
      <c r="C208" s="42"/>
      <c r="D208" s="42"/>
      <c r="E208" s="57" t="s">
        <v>739</v>
      </c>
      <c r="F208" s="38" t="s">
        <v>34</v>
      </c>
      <c r="G208" s="38" t="s">
        <v>31</v>
      </c>
      <c r="H208" s="38" t="s">
        <v>116</v>
      </c>
      <c r="I208" s="38"/>
      <c r="J208" s="38"/>
      <c r="K208" s="38"/>
      <c r="L208" s="38"/>
      <c r="M208" s="38"/>
      <c r="N208" s="38"/>
      <c r="O208" s="38"/>
      <c r="P208" s="38">
        <v>0</v>
      </c>
      <c r="Q208" s="38" t="s">
        <v>98</v>
      </c>
      <c r="R208" s="38"/>
      <c r="S208" s="38"/>
      <c r="T208" s="40" t="str" cm="1">
        <f t="array" ref="T208">IF(A208&lt;&gt;"",_xlfn.XLOOKUP(_xlfn.XLOOKUP(TRUE,F208:O208&lt;&gt;"",F208:O208,"-",-1,-1),F208:O208,$F$6:$O$6,,,-1),"")</f>
        <v>Add2</v>
      </c>
      <c r="U208" s="270"/>
      <c r="V208" s="55"/>
      <c r="W208" s="55" t="s">
        <v>435</v>
      </c>
      <c r="X208" s="55" t="s">
        <v>542</v>
      </c>
      <c r="Y208" s="52">
        <v>1</v>
      </c>
      <c r="Z208" s="56">
        <v>0.75</v>
      </c>
      <c r="AA208" s="51">
        <f t="shared" ref="AA208:AA214" si="101">$Y208*Z208</f>
        <v>0.75</v>
      </c>
      <c r="AB208" s="56">
        <v>1</v>
      </c>
      <c r="AC208" s="51">
        <f t="shared" ref="AC208:AC217" si="102">Y208*AB208</f>
        <v>1</v>
      </c>
      <c r="AD208" s="56">
        <v>0.85</v>
      </c>
      <c r="AE208" s="51">
        <f t="shared" ref="AE208:AE214" si="103">$Y208*AD208</f>
        <v>0.85</v>
      </c>
      <c r="AF208" s="56">
        <v>0</v>
      </c>
      <c r="AG208" s="51">
        <f t="shared" ref="AG208:AG214" si="104">$Y$10*AF208</f>
        <v>0</v>
      </c>
      <c r="AH208" s="56">
        <v>0</v>
      </c>
      <c r="AI208" s="51">
        <f t="shared" ref="AI208:AI214" si="105">$Y208*AH208</f>
        <v>0</v>
      </c>
      <c r="AJ208" s="56">
        <v>0</v>
      </c>
      <c r="AK208" s="51">
        <f t="shared" ref="AK208:AK214" si="106">$Y$10*AJ208</f>
        <v>0</v>
      </c>
      <c r="AL208" s="56">
        <v>1</v>
      </c>
      <c r="AM208" s="51">
        <f t="shared" ref="AM208:AM214" si="107">$Y208*AL208</f>
        <v>1</v>
      </c>
      <c r="AN208" s="56">
        <v>0</v>
      </c>
      <c r="AO208" s="51">
        <f t="shared" ref="AO208:AO214" si="108">$Y$10*AN208</f>
        <v>0</v>
      </c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</row>
    <row r="209" spans="1:64" s="50" customFormat="1" ht="15" customHeight="1">
      <c r="A209" s="42" t="s">
        <v>397</v>
      </c>
      <c r="B209" s="241" t="s">
        <v>94</v>
      </c>
      <c r="C209" s="42"/>
      <c r="D209" s="42"/>
      <c r="E209" s="57" t="s">
        <v>740</v>
      </c>
      <c r="F209" s="38" t="s">
        <v>34</v>
      </c>
      <c r="G209" s="38" t="s">
        <v>31</v>
      </c>
      <c r="H209" s="38" t="s">
        <v>116</v>
      </c>
      <c r="I209" s="38"/>
      <c r="J209" s="38"/>
      <c r="K209" s="38"/>
      <c r="L209" s="38"/>
      <c r="M209" s="38"/>
      <c r="N209" s="38"/>
      <c r="O209" s="38"/>
      <c r="P209" s="38">
        <v>0</v>
      </c>
      <c r="Q209" s="38" t="s">
        <v>98</v>
      </c>
      <c r="R209" s="40"/>
      <c r="S209" s="40"/>
      <c r="T209" s="40" t="str" cm="1">
        <f t="array" ref="T209">IF(A209&lt;&gt;"",_xlfn.XLOOKUP(_xlfn.XLOOKUP(TRUE,F209:O209&lt;&gt;"",F209:O209,"-",-1,-1),F209:O209,$F$6:$O$6,,,-1),"")</f>
        <v>Add2</v>
      </c>
      <c r="U209" s="270"/>
      <c r="V209" s="55"/>
      <c r="W209" s="55" t="s">
        <v>435</v>
      </c>
      <c r="X209" s="55" t="s">
        <v>542</v>
      </c>
      <c r="Y209" s="52">
        <v>2</v>
      </c>
      <c r="Z209" s="56">
        <v>0.75</v>
      </c>
      <c r="AA209" s="51">
        <f t="shared" si="101"/>
        <v>1.5</v>
      </c>
      <c r="AB209" s="56">
        <v>1</v>
      </c>
      <c r="AC209" s="51">
        <f t="shared" si="102"/>
        <v>2</v>
      </c>
      <c r="AD209" s="56">
        <v>0.85</v>
      </c>
      <c r="AE209" s="51">
        <f t="shared" si="103"/>
        <v>1.7</v>
      </c>
      <c r="AF209" s="56">
        <v>0</v>
      </c>
      <c r="AG209" s="51">
        <f t="shared" si="104"/>
        <v>0</v>
      </c>
      <c r="AH209" s="56">
        <v>0</v>
      </c>
      <c r="AI209" s="51">
        <f t="shared" si="105"/>
        <v>0</v>
      </c>
      <c r="AJ209" s="56">
        <v>0</v>
      </c>
      <c r="AK209" s="51">
        <f t="shared" si="106"/>
        <v>0</v>
      </c>
      <c r="AL209" s="56">
        <v>1</v>
      </c>
      <c r="AM209" s="51">
        <f t="shared" si="107"/>
        <v>2</v>
      </c>
      <c r="AN209" s="56">
        <v>0</v>
      </c>
      <c r="AO209" s="51">
        <f t="shared" si="108"/>
        <v>0</v>
      </c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</row>
    <row r="210" spans="1:64" s="50" customFormat="1" ht="15" customHeight="1">
      <c r="A210" s="42" t="s">
        <v>399</v>
      </c>
      <c r="B210" s="241" t="s">
        <v>94</v>
      </c>
      <c r="C210" s="42"/>
      <c r="D210" s="42"/>
      <c r="E210" s="57" t="s">
        <v>741</v>
      </c>
      <c r="F210" s="38" t="s">
        <v>34</v>
      </c>
      <c r="G210" s="38" t="s">
        <v>31</v>
      </c>
      <c r="H210" s="38" t="s">
        <v>116</v>
      </c>
      <c r="I210" s="38" t="s">
        <v>38</v>
      </c>
      <c r="J210" s="38"/>
      <c r="K210" s="38"/>
      <c r="L210" s="38"/>
      <c r="M210" s="38"/>
      <c r="N210" s="38"/>
      <c r="O210" s="38"/>
      <c r="P210" s="38">
        <v>0</v>
      </c>
      <c r="Q210" s="38" t="s">
        <v>98</v>
      </c>
      <c r="R210" s="40"/>
      <c r="S210" s="40"/>
      <c r="T210" s="40" t="str" cm="1">
        <f t="array" ref="T210">IF(A210&lt;&gt;"",_xlfn.XLOOKUP(_xlfn.XLOOKUP(TRUE,F210:O210&lt;&gt;"",F210:O210,"-",-1,-1),F210:O210,$F$6:$O$6,,,-1),"")</f>
        <v>Add3</v>
      </c>
      <c r="U210" s="233"/>
      <c r="V210" s="55"/>
      <c r="W210" s="55" t="s">
        <v>435</v>
      </c>
      <c r="X210" s="55" t="s">
        <v>542</v>
      </c>
      <c r="Y210" s="52">
        <v>2</v>
      </c>
      <c r="Z210" s="56">
        <v>0.75</v>
      </c>
      <c r="AA210" s="51">
        <f t="shared" si="101"/>
        <v>1.5</v>
      </c>
      <c r="AB210" s="56">
        <v>1</v>
      </c>
      <c r="AC210" s="51">
        <f t="shared" si="102"/>
        <v>2</v>
      </c>
      <c r="AD210" s="56">
        <v>0.85</v>
      </c>
      <c r="AE210" s="51">
        <f t="shared" si="103"/>
        <v>1.7</v>
      </c>
      <c r="AF210" s="56">
        <v>0</v>
      </c>
      <c r="AG210" s="51">
        <f t="shared" si="104"/>
        <v>0</v>
      </c>
      <c r="AH210" s="56">
        <v>0</v>
      </c>
      <c r="AI210" s="51">
        <f t="shared" si="105"/>
        <v>0</v>
      </c>
      <c r="AJ210" s="56">
        <v>0</v>
      </c>
      <c r="AK210" s="51">
        <f t="shared" si="106"/>
        <v>0</v>
      </c>
      <c r="AL210" s="56">
        <v>1</v>
      </c>
      <c r="AM210" s="51">
        <f t="shared" si="107"/>
        <v>2</v>
      </c>
      <c r="AN210" s="56">
        <v>0</v>
      </c>
      <c r="AO210" s="51">
        <f t="shared" si="108"/>
        <v>0</v>
      </c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</row>
    <row r="211" spans="1:64" s="50" customFormat="1" ht="15" customHeight="1">
      <c r="A211" s="42" t="s">
        <v>742</v>
      </c>
      <c r="B211" s="241" t="s">
        <v>94</v>
      </c>
      <c r="C211" s="42"/>
      <c r="D211" s="42"/>
      <c r="E211" s="57" t="s">
        <v>743</v>
      </c>
      <c r="F211" s="38" t="s">
        <v>34</v>
      </c>
      <c r="G211" s="38" t="s">
        <v>116</v>
      </c>
      <c r="H211" s="38"/>
      <c r="I211" s="38"/>
      <c r="J211" s="38"/>
      <c r="K211" s="38"/>
      <c r="L211" s="38"/>
      <c r="M211" s="38"/>
      <c r="N211" s="38"/>
      <c r="O211" s="38"/>
      <c r="P211" s="38">
        <v>0</v>
      </c>
      <c r="Q211" s="38" t="s">
        <v>98</v>
      </c>
      <c r="R211" s="40"/>
      <c r="S211" s="40"/>
      <c r="T211" s="40" t="str" cm="1">
        <f t="array" ref="T211">IF(A211&lt;&gt;"",_xlfn.XLOOKUP(_xlfn.XLOOKUP(TRUE,F211:O211&lt;&gt;"",F211:O211,"-",-1,-1),F211:O211,$F$6:$O$6,,,-1),"")</f>
        <v>Add1</v>
      </c>
      <c r="U211" s="270"/>
      <c r="V211" s="55"/>
      <c r="W211" s="55" t="s">
        <v>435</v>
      </c>
      <c r="X211" s="55" t="s">
        <v>542</v>
      </c>
      <c r="Y211" s="52">
        <v>2</v>
      </c>
      <c r="Z211" s="56">
        <v>0.75</v>
      </c>
      <c r="AA211" s="51">
        <f t="shared" si="101"/>
        <v>1.5</v>
      </c>
      <c r="AB211" s="56">
        <v>1</v>
      </c>
      <c r="AC211" s="51">
        <f t="shared" si="102"/>
        <v>2</v>
      </c>
      <c r="AD211" s="56">
        <v>0.85</v>
      </c>
      <c r="AE211" s="51">
        <f t="shared" si="103"/>
        <v>1.7</v>
      </c>
      <c r="AF211" s="56">
        <v>0</v>
      </c>
      <c r="AG211" s="51">
        <f t="shared" si="104"/>
        <v>0</v>
      </c>
      <c r="AH211" s="56">
        <v>0</v>
      </c>
      <c r="AI211" s="51">
        <f t="shared" si="105"/>
        <v>0</v>
      </c>
      <c r="AJ211" s="56">
        <v>0</v>
      </c>
      <c r="AK211" s="51">
        <f t="shared" si="106"/>
        <v>0</v>
      </c>
      <c r="AL211" s="56">
        <v>1</v>
      </c>
      <c r="AM211" s="51">
        <f t="shared" si="107"/>
        <v>2</v>
      </c>
      <c r="AN211" s="56">
        <v>0</v>
      </c>
      <c r="AO211" s="51">
        <f t="shared" si="108"/>
        <v>0</v>
      </c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</row>
    <row r="212" spans="1:64" s="50" customFormat="1" ht="15" customHeight="1">
      <c r="A212" s="42" t="s">
        <v>744</v>
      </c>
      <c r="B212" s="241" t="s">
        <v>94</v>
      </c>
      <c r="C212" s="42"/>
      <c r="D212" s="42"/>
      <c r="E212" s="57" t="s">
        <v>745</v>
      </c>
      <c r="F212" s="38" t="s">
        <v>34</v>
      </c>
      <c r="G212" s="38" t="s">
        <v>116</v>
      </c>
      <c r="H212" s="38" t="s">
        <v>38</v>
      </c>
      <c r="I212" s="38" t="s">
        <v>28</v>
      </c>
      <c r="J212" s="38"/>
      <c r="K212" s="38"/>
      <c r="L212" s="38" t="s">
        <v>289</v>
      </c>
      <c r="M212" s="38" t="s">
        <v>289</v>
      </c>
      <c r="N212" s="38"/>
      <c r="O212" s="38"/>
      <c r="P212" s="38">
        <v>0</v>
      </c>
      <c r="Q212" s="38" t="s">
        <v>98</v>
      </c>
      <c r="R212" s="40"/>
      <c r="S212" s="40"/>
      <c r="T212" s="40" t="str" cm="1">
        <f t="array" ref="T212">IF(A212&lt;&gt;"",_xlfn.XLOOKUP(_xlfn.XLOOKUP(TRUE,F212:O212&lt;&gt;"",F212:O212,"-",-1,-1),F212:O212,$F$6:$O$6,,,-1),"")</f>
        <v>Permit</v>
      </c>
      <c r="U212" s="270"/>
      <c r="V212" s="55"/>
      <c r="W212" s="55" t="s">
        <v>435</v>
      </c>
      <c r="X212" s="55" t="s">
        <v>542</v>
      </c>
      <c r="Y212" s="52">
        <v>2</v>
      </c>
      <c r="Z212" s="56">
        <v>0.75</v>
      </c>
      <c r="AA212" s="51">
        <f t="shared" si="101"/>
        <v>1.5</v>
      </c>
      <c r="AB212" s="56">
        <v>1</v>
      </c>
      <c r="AC212" s="51">
        <f t="shared" si="102"/>
        <v>2</v>
      </c>
      <c r="AD212" s="56">
        <v>0.85</v>
      </c>
      <c r="AE212" s="51">
        <f t="shared" si="103"/>
        <v>1.7</v>
      </c>
      <c r="AF212" s="56">
        <v>0</v>
      </c>
      <c r="AG212" s="51">
        <f t="shared" si="104"/>
        <v>0</v>
      </c>
      <c r="AH212" s="56">
        <v>0</v>
      </c>
      <c r="AI212" s="51">
        <f t="shared" si="105"/>
        <v>0</v>
      </c>
      <c r="AJ212" s="56">
        <v>0</v>
      </c>
      <c r="AK212" s="51">
        <f t="shared" si="106"/>
        <v>0</v>
      </c>
      <c r="AL212" s="56">
        <v>1</v>
      </c>
      <c r="AM212" s="51">
        <f t="shared" si="107"/>
        <v>2</v>
      </c>
      <c r="AN212" s="56">
        <v>0</v>
      </c>
      <c r="AO212" s="51">
        <f t="shared" si="108"/>
        <v>0</v>
      </c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</row>
    <row r="213" spans="1:64" s="50" customFormat="1" ht="15" customHeight="1">
      <c r="A213" s="42" t="s">
        <v>746</v>
      </c>
      <c r="B213" s="241" t="s">
        <v>94</v>
      </c>
      <c r="C213" s="42"/>
      <c r="D213" s="38"/>
      <c r="E213" s="57" t="s">
        <v>747</v>
      </c>
      <c r="F213" s="38" t="s">
        <v>34</v>
      </c>
      <c r="G213" s="38" t="s">
        <v>116</v>
      </c>
      <c r="H213" s="38" t="s">
        <v>38</v>
      </c>
      <c r="I213" s="38"/>
      <c r="J213" s="38"/>
      <c r="K213" s="38"/>
      <c r="L213" s="38"/>
      <c r="M213" s="38" t="s">
        <v>28</v>
      </c>
      <c r="N213" s="446" t="s">
        <v>28</v>
      </c>
      <c r="O213" s="38"/>
      <c r="P213" s="38">
        <v>0</v>
      </c>
      <c r="Q213" s="38" t="s">
        <v>98</v>
      </c>
      <c r="R213" s="40"/>
      <c r="S213" s="40"/>
      <c r="T213" s="40" t="str" cm="1">
        <f t="array" ref="T213">IF(A213&lt;&gt;"",_xlfn.XLOOKUP(_xlfn.XLOOKUP(TRUE,F213:O213&lt;&gt;"",F213:O213,"-",-1,-1),F213:O213,$F$6:$O$6,,,-1),"")</f>
        <v>Add8</v>
      </c>
      <c r="U213" s="270"/>
      <c r="V213" s="55"/>
      <c r="W213" s="55" t="s">
        <v>435</v>
      </c>
      <c r="X213" s="55" t="s">
        <v>542</v>
      </c>
      <c r="Y213" s="52">
        <v>1</v>
      </c>
      <c r="Z213" s="56">
        <v>0.75</v>
      </c>
      <c r="AA213" s="51">
        <f t="shared" si="101"/>
        <v>0.75</v>
      </c>
      <c r="AB213" s="56">
        <v>1</v>
      </c>
      <c r="AC213" s="51">
        <f t="shared" si="102"/>
        <v>1</v>
      </c>
      <c r="AD213" s="56">
        <v>0.85</v>
      </c>
      <c r="AE213" s="51">
        <f t="shared" si="103"/>
        <v>0.85</v>
      </c>
      <c r="AF213" s="56">
        <v>0</v>
      </c>
      <c r="AG213" s="51">
        <f t="shared" si="104"/>
        <v>0</v>
      </c>
      <c r="AH213" s="56">
        <v>0</v>
      </c>
      <c r="AI213" s="51">
        <f t="shared" si="105"/>
        <v>0</v>
      </c>
      <c r="AJ213" s="56">
        <v>0</v>
      </c>
      <c r="AK213" s="51">
        <f t="shared" si="106"/>
        <v>0</v>
      </c>
      <c r="AL213" s="56">
        <v>1</v>
      </c>
      <c r="AM213" s="51">
        <f t="shared" si="107"/>
        <v>1</v>
      </c>
      <c r="AN213" s="56">
        <v>0</v>
      </c>
      <c r="AO213" s="51">
        <f t="shared" si="108"/>
        <v>0</v>
      </c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</row>
    <row r="214" spans="1:64" s="50" customFormat="1" ht="15" customHeight="1">
      <c r="A214" s="42" t="s">
        <v>748</v>
      </c>
      <c r="B214" s="241" t="s">
        <v>94</v>
      </c>
      <c r="C214" s="42"/>
      <c r="D214" s="38"/>
      <c r="E214" s="57" t="s">
        <v>749</v>
      </c>
      <c r="F214" s="38" t="s">
        <v>34</v>
      </c>
      <c r="G214" s="38" t="s">
        <v>116</v>
      </c>
      <c r="H214" s="38" t="s">
        <v>38</v>
      </c>
      <c r="I214" s="38"/>
      <c r="J214" s="38"/>
      <c r="K214" s="38"/>
      <c r="L214" s="38"/>
      <c r="M214" s="38" t="s">
        <v>28</v>
      </c>
      <c r="N214" s="446" t="s">
        <v>28</v>
      </c>
      <c r="O214" s="38"/>
      <c r="P214" s="38">
        <v>0</v>
      </c>
      <c r="Q214" s="38" t="s">
        <v>98</v>
      </c>
      <c r="R214" s="40"/>
      <c r="S214" s="40"/>
      <c r="T214" s="40" t="str" cm="1">
        <f t="array" ref="T214">IF(A214&lt;&gt;"",_xlfn.XLOOKUP(_xlfn.XLOOKUP(TRUE,F214:O214&lt;&gt;"",F214:O214,"-",-1,-1),F214:O214,$F$6:$O$6,,,-1),"")</f>
        <v>Add8</v>
      </c>
      <c r="U214" s="270"/>
      <c r="V214" s="55"/>
      <c r="W214" s="55" t="s">
        <v>435</v>
      </c>
      <c r="X214" s="55" t="s">
        <v>542</v>
      </c>
      <c r="Y214" s="52">
        <v>1</v>
      </c>
      <c r="Z214" s="56">
        <v>0.75</v>
      </c>
      <c r="AA214" s="51">
        <f t="shared" si="101"/>
        <v>0.75</v>
      </c>
      <c r="AB214" s="56">
        <v>1</v>
      </c>
      <c r="AC214" s="51">
        <f t="shared" si="102"/>
        <v>1</v>
      </c>
      <c r="AD214" s="56">
        <v>0.85</v>
      </c>
      <c r="AE214" s="51">
        <f t="shared" si="103"/>
        <v>0.85</v>
      </c>
      <c r="AF214" s="56">
        <v>0</v>
      </c>
      <c r="AG214" s="51">
        <f t="shared" si="104"/>
        <v>0</v>
      </c>
      <c r="AH214" s="56">
        <v>0</v>
      </c>
      <c r="AI214" s="51">
        <f t="shared" si="105"/>
        <v>0</v>
      </c>
      <c r="AJ214" s="56">
        <v>0</v>
      </c>
      <c r="AK214" s="51">
        <f t="shared" si="106"/>
        <v>0</v>
      </c>
      <c r="AL214" s="56">
        <v>1</v>
      </c>
      <c r="AM214" s="51">
        <f t="shared" si="107"/>
        <v>1</v>
      </c>
      <c r="AN214" s="56">
        <v>0</v>
      </c>
      <c r="AO214" s="51">
        <f t="shared" si="108"/>
        <v>0</v>
      </c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</row>
    <row r="215" spans="1:64" s="50" customFormat="1" ht="15" customHeight="1">
      <c r="A215" s="37"/>
      <c r="B215" s="37"/>
      <c r="C215" s="37"/>
      <c r="D215" s="38"/>
      <c r="E215" s="39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40"/>
      <c r="S215" s="40"/>
      <c r="T215" s="40" t="str" cm="1">
        <f t="array" ref="T215">IF(A215&lt;&gt;"",_xlfn.XLOOKUP(_xlfn.XLOOKUP(TRUE,F215:O215&lt;&gt;"",F215:O215,"-",-1,-1),F215:O215,$F$6:$O$6,,,-1),"")</f>
        <v/>
      </c>
      <c r="U215" s="40"/>
      <c r="V215" s="55"/>
      <c r="W215" s="55"/>
      <c r="X215" s="55"/>
      <c r="Y215" s="52"/>
      <c r="Z215" s="56"/>
      <c r="AA215" s="51"/>
      <c r="AB215" s="56"/>
      <c r="AC215" s="51">
        <f t="shared" si="102"/>
        <v>0</v>
      </c>
      <c r="AD215" s="56"/>
      <c r="AE215" s="51"/>
      <c r="AF215" s="56"/>
      <c r="AG215" s="51"/>
      <c r="AH215" s="56"/>
      <c r="AI215" s="51"/>
      <c r="AJ215" s="56"/>
      <c r="AK215" s="51"/>
      <c r="AL215" s="56"/>
      <c r="AM215" s="51"/>
      <c r="AN215" s="56"/>
      <c r="AO215" s="51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</row>
    <row r="216" spans="1:64" s="50" customFormat="1" ht="15" customHeight="1">
      <c r="A216" s="42" t="s">
        <v>750</v>
      </c>
      <c r="B216" s="241" t="s">
        <v>94</v>
      </c>
      <c r="C216" s="42"/>
      <c r="D216" s="38"/>
      <c r="E216" s="57" t="s">
        <v>751</v>
      </c>
      <c r="F216" s="38" t="s">
        <v>97</v>
      </c>
      <c r="G216" s="38" t="s">
        <v>34</v>
      </c>
      <c r="H216" s="38"/>
      <c r="I216" s="38" t="s">
        <v>31</v>
      </c>
      <c r="J216" s="38"/>
      <c r="K216" s="38"/>
      <c r="L216" s="38"/>
      <c r="M216" s="38"/>
      <c r="N216" s="38"/>
      <c r="O216" s="38"/>
      <c r="P216" s="38">
        <v>0</v>
      </c>
      <c r="Q216" s="38" t="s">
        <v>98</v>
      </c>
      <c r="R216" s="40"/>
      <c r="S216" s="40"/>
      <c r="T216" s="40" t="str" cm="1">
        <f t="array" ref="T216">IF(A216&lt;&gt;"",_xlfn.XLOOKUP(_xlfn.XLOOKUP(TRUE,F216:O216&lt;&gt;"",F216:O216,"-",-1,-1),F216:O216,$F$6:$O$6,,,-1),"")</f>
        <v>Add3</v>
      </c>
      <c r="U216" s="40"/>
      <c r="V216" s="55"/>
      <c r="W216" s="55" t="s">
        <v>435</v>
      </c>
      <c r="X216" s="55" t="s">
        <v>542</v>
      </c>
      <c r="Y216" s="52">
        <v>1</v>
      </c>
      <c r="Z216" s="56">
        <v>0.5</v>
      </c>
      <c r="AA216" s="51">
        <f>$Y216*Z216</f>
        <v>0.5</v>
      </c>
      <c r="AB216" s="56">
        <v>0.6</v>
      </c>
      <c r="AC216" s="51">
        <f t="shared" si="102"/>
        <v>0.6</v>
      </c>
      <c r="AD216" s="56">
        <v>0.85</v>
      </c>
      <c r="AE216" s="51">
        <f>$Y216*AD216</f>
        <v>0.85</v>
      </c>
      <c r="AF216" s="56">
        <v>0</v>
      </c>
      <c r="AG216" s="51">
        <f>$Y$10*AF216</f>
        <v>0</v>
      </c>
      <c r="AH216" s="56">
        <v>0</v>
      </c>
      <c r="AI216" s="51">
        <f>$Y216*AH216</f>
        <v>0</v>
      </c>
      <c r="AJ216" s="56">
        <v>0</v>
      </c>
      <c r="AK216" s="51">
        <f>$Y$10*AJ216</f>
        <v>0</v>
      </c>
      <c r="AL216" s="56">
        <v>1</v>
      </c>
      <c r="AM216" s="51">
        <f>$Y216*AL216</f>
        <v>1</v>
      </c>
      <c r="AN216" s="56">
        <v>0</v>
      </c>
      <c r="AO216" s="51">
        <f>$Y$10*AN216</f>
        <v>0</v>
      </c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</row>
    <row r="217" spans="1:64" s="50" customFormat="1" ht="15" customHeight="1">
      <c r="A217" s="42" t="s">
        <v>752</v>
      </c>
      <c r="B217" s="241" t="s">
        <v>94</v>
      </c>
      <c r="C217" s="42"/>
      <c r="D217" s="38"/>
      <c r="E217" s="57" t="s">
        <v>753</v>
      </c>
      <c r="F217" s="38" t="s">
        <v>97</v>
      </c>
      <c r="G217" s="38" t="s">
        <v>34</v>
      </c>
      <c r="H217" s="38" t="s">
        <v>31</v>
      </c>
      <c r="I217" s="38"/>
      <c r="J217" s="38"/>
      <c r="K217" s="38"/>
      <c r="L217" s="38"/>
      <c r="M217" s="38"/>
      <c r="N217" s="38"/>
      <c r="O217" s="38"/>
      <c r="P217" s="38">
        <v>0</v>
      </c>
      <c r="Q217" s="38" t="s">
        <v>98</v>
      </c>
      <c r="R217" s="40"/>
      <c r="S217" s="40"/>
      <c r="T217" s="40" t="str" cm="1">
        <f t="array" ref="T217">IF(A217&lt;&gt;"",_xlfn.XLOOKUP(_xlfn.XLOOKUP(TRUE,F217:O217&lt;&gt;"",F217:O217,"-",-1,-1),F217:O217,$F$6:$O$6,,,-1),"")</f>
        <v>Add2</v>
      </c>
      <c r="U217" s="40"/>
      <c r="V217" s="55"/>
      <c r="W217" s="55" t="s">
        <v>435</v>
      </c>
      <c r="X217" s="55" t="s">
        <v>542</v>
      </c>
      <c r="Y217" s="52">
        <v>1</v>
      </c>
      <c r="Z217" s="56">
        <v>0.5</v>
      </c>
      <c r="AA217" s="51">
        <f>$Y217*Z217</f>
        <v>0.5</v>
      </c>
      <c r="AB217" s="56">
        <v>0.15</v>
      </c>
      <c r="AC217" s="51">
        <f t="shared" si="102"/>
        <v>0.15</v>
      </c>
      <c r="AD217" s="56">
        <v>0.85</v>
      </c>
      <c r="AE217" s="51">
        <f>$Y217*AD217</f>
        <v>0.85</v>
      </c>
      <c r="AF217" s="56">
        <v>0</v>
      </c>
      <c r="AG217" s="51">
        <f>$Y$10*AF217</f>
        <v>0</v>
      </c>
      <c r="AH217" s="56">
        <v>0</v>
      </c>
      <c r="AI217" s="51">
        <f>$Y217*AH217</f>
        <v>0</v>
      </c>
      <c r="AJ217" s="56">
        <v>0</v>
      </c>
      <c r="AK217" s="51">
        <f>$Y$10*AJ217</f>
        <v>0</v>
      </c>
      <c r="AL217" s="56">
        <v>1</v>
      </c>
      <c r="AM217" s="51">
        <f>$Y217*AL217</f>
        <v>1</v>
      </c>
      <c r="AN217" s="56">
        <v>0</v>
      </c>
      <c r="AO217" s="51">
        <f>$Y$10*AN217</f>
        <v>0</v>
      </c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</row>
    <row r="218" spans="1:64" s="50" customFormat="1" ht="15" customHeight="1">
      <c r="A218" s="42"/>
      <c r="B218" s="37"/>
      <c r="C218" s="37"/>
      <c r="D218" s="38"/>
      <c r="E218" s="57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40"/>
      <c r="S218" s="40"/>
      <c r="T218" s="40" t="str" cm="1">
        <f t="array" ref="T218">IF(A218&lt;&gt;"",_xlfn.XLOOKUP(_xlfn.XLOOKUP(TRUE,F218:O218&lt;&gt;"",F218:O218,"-",-1,-1),F218:O218,$F$6:$O$6,,,-1),"")</f>
        <v/>
      </c>
      <c r="U218" s="40"/>
      <c r="V218" s="55"/>
      <c r="W218" s="55"/>
      <c r="X218" s="55"/>
      <c r="Y218" s="52"/>
      <c r="Z218" s="56"/>
      <c r="AA218" s="51"/>
      <c r="AB218" s="56"/>
      <c r="AC218" s="51"/>
      <c r="AD218" s="56"/>
      <c r="AE218" s="51"/>
      <c r="AF218" s="56"/>
      <c r="AG218" s="51"/>
      <c r="AH218" s="56"/>
      <c r="AI218" s="51"/>
      <c r="AJ218" s="56"/>
      <c r="AK218" s="51"/>
      <c r="AL218" s="56"/>
      <c r="AM218" s="51"/>
      <c r="AN218" s="56"/>
      <c r="AO218" s="51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</row>
    <row r="219" spans="1:64" s="50" customFormat="1" ht="15" customHeight="1">
      <c r="A219" s="42" t="s">
        <v>401</v>
      </c>
      <c r="B219" s="241" t="s">
        <v>94</v>
      </c>
      <c r="C219" s="37"/>
      <c r="D219" s="38"/>
      <c r="E219" s="57" t="s">
        <v>754</v>
      </c>
      <c r="F219" s="38"/>
      <c r="G219" s="38"/>
      <c r="H219" s="38" t="s">
        <v>34</v>
      </c>
      <c r="I219" s="38" t="s">
        <v>31</v>
      </c>
      <c r="J219" s="38"/>
      <c r="K219" s="38"/>
      <c r="L219" s="38"/>
      <c r="M219" s="38"/>
      <c r="N219" s="38"/>
      <c r="O219" s="38"/>
      <c r="P219" s="38">
        <v>0</v>
      </c>
      <c r="Q219" s="38" t="s">
        <v>98</v>
      </c>
      <c r="R219" s="40"/>
      <c r="S219" s="40"/>
      <c r="T219" s="40" t="str" cm="1">
        <f t="array" ref="T219">IF(A219&lt;&gt;"",_xlfn.XLOOKUP(_xlfn.XLOOKUP(TRUE,F219:O219&lt;&gt;"",F219:O219,"-",-1,-1),F219:O219,$F$6:$O$6,,,-1),"")</f>
        <v>Add3</v>
      </c>
      <c r="U219" s="40"/>
      <c r="V219" s="55"/>
      <c r="W219" s="55"/>
      <c r="X219" s="55"/>
      <c r="Y219" s="52"/>
      <c r="Z219" s="56"/>
      <c r="AA219" s="51"/>
      <c r="AB219" s="56"/>
      <c r="AC219" s="51"/>
      <c r="AD219" s="56"/>
      <c r="AE219" s="51"/>
      <c r="AF219" s="56"/>
      <c r="AG219" s="51"/>
      <c r="AH219" s="56"/>
      <c r="AI219" s="51"/>
      <c r="AJ219" s="56"/>
      <c r="AK219" s="51"/>
      <c r="AL219" s="56"/>
      <c r="AM219" s="51"/>
      <c r="AN219" s="56"/>
      <c r="AO219" s="51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</row>
    <row r="220" spans="1:64" s="50" customFormat="1" ht="15" customHeight="1">
      <c r="A220" s="42" t="s">
        <v>403</v>
      </c>
      <c r="B220" s="241" t="s">
        <v>94</v>
      </c>
      <c r="C220" s="37"/>
      <c r="D220" s="38"/>
      <c r="E220" s="57" t="s">
        <v>755</v>
      </c>
      <c r="F220" s="38"/>
      <c r="G220" s="38"/>
      <c r="H220" s="38" t="s">
        <v>34</v>
      </c>
      <c r="I220" s="38" t="s">
        <v>31</v>
      </c>
      <c r="J220" s="38"/>
      <c r="K220" s="38"/>
      <c r="L220" s="38"/>
      <c r="M220" s="38"/>
      <c r="N220" s="38"/>
      <c r="O220" s="38"/>
      <c r="P220" s="38">
        <v>0</v>
      </c>
      <c r="Q220" s="38" t="s">
        <v>98</v>
      </c>
      <c r="R220" s="40"/>
      <c r="S220" s="40"/>
      <c r="T220" s="40" t="str" cm="1">
        <f t="array" ref="T220">IF(A220&lt;&gt;"",_xlfn.XLOOKUP(_xlfn.XLOOKUP(TRUE,F220:O220&lt;&gt;"",F220:O220,"-",-1,-1),F220:O220,$F$6:$O$6,,,-1),"")</f>
        <v>Add3</v>
      </c>
      <c r="U220" s="40"/>
      <c r="V220" s="55"/>
      <c r="W220" s="55"/>
      <c r="X220" s="55"/>
      <c r="Y220" s="52"/>
      <c r="Z220" s="56"/>
      <c r="AA220" s="51"/>
      <c r="AB220" s="56"/>
      <c r="AC220" s="51"/>
      <c r="AD220" s="56"/>
      <c r="AE220" s="51"/>
      <c r="AF220" s="56"/>
      <c r="AG220" s="51"/>
      <c r="AH220" s="56"/>
      <c r="AI220" s="51"/>
      <c r="AJ220" s="56"/>
      <c r="AK220" s="51"/>
      <c r="AL220" s="56"/>
      <c r="AM220" s="51"/>
      <c r="AN220" s="56"/>
      <c r="AO220" s="51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</row>
    <row r="221" spans="1:64" s="50" customFormat="1" ht="15" customHeight="1">
      <c r="A221" s="42"/>
      <c r="B221" s="37"/>
      <c r="C221" s="37"/>
      <c r="D221" s="38"/>
      <c r="E221" s="57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40"/>
      <c r="S221" s="40"/>
      <c r="T221" s="40" t="str" cm="1">
        <f t="array" ref="T221">IF(A221&lt;&gt;"",_xlfn.XLOOKUP(_xlfn.XLOOKUP(TRUE,F221:O221&lt;&gt;"",F221:O221,"-",-1,-1),F221:O221,$F$6:$O$6,,,-1),"")</f>
        <v/>
      </c>
      <c r="U221" s="40"/>
      <c r="V221" s="55"/>
      <c r="W221" s="55"/>
      <c r="X221" s="55"/>
      <c r="Y221" s="52"/>
      <c r="Z221" s="56"/>
      <c r="AA221" s="51"/>
      <c r="AB221" s="56"/>
      <c r="AC221" s="51"/>
      <c r="AD221" s="56"/>
      <c r="AE221" s="51"/>
      <c r="AF221" s="56"/>
      <c r="AG221" s="51"/>
      <c r="AH221" s="56"/>
      <c r="AI221" s="51"/>
      <c r="AJ221" s="56"/>
      <c r="AK221" s="51"/>
      <c r="AL221" s="56"/>
      <c r="AM221" s="51"/>
      <c r="AN221" s="56"/>
      <c r="AO221" s="51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</row>
    <row r="222" spans="1:64" s="50" customFormat="1" ht="15" customHeight="1" outlineLevel="1">
      <c r="A222" s="42" t="s">
        <v>406</v>
      </c>
      <c r="B222" s="241" t="s">
        <v>94</v>
      </c>
      <c r="C222" s="42"/>
      <c r="D222" s="42"/>
      <c r="E222" s="57" t="s">
        <v>756</v>
      </c>
      <c r="F222" s="38" t="s">
        <v>97</v>
      </c>
      <c r="G222" s="38" t="s">
        <v>31</v>
      </c>
      <c r="H222" s="38" t="s">
        <v>116</v>
      </c>
      <c r="I222" s="38"/>
      <c r="J222" s="38"/>
      <c r="K222" s="38"/>
      <c r="L222" s="38" t="s">
        <v>38</v>
      </c>
      <c r="M222" s="38" t="s">
        <v>38</v>
      </c>
      <c r="N222" s="38" t="s">
        <v>28</v>
      </c>
      <c r="O222" s="38"/>
      <c r="P222" s="38">
        <v>0</v>
      </c>
      <c r="Q222" s="38" t="s">
        <v>98</v>
      </c>
      <c r="R222" s="40"/>
      <c r="S222" s="40"/>
      <c r="T222" s="40" t="str" cm="1">
        <f t="array" ref="T222">IF(A222&lt;&gt;"",_xlfn.XLOOKUP(_xlfn.XLOOKUP(TRUE,F222:O222&lt;&gt;"",F222:O222,"-",-1,-1),F222:O222,$F$6:$O$6,,,-1),"")</f>
        <v>Add8</v>
      </c>
      <c r="U222" s="40"/>
      <c r="V222" s="132"/>
      <c r="W222" s="55" t="s">
        <v>435</v>
      </c>
      <c r="X222" s="55" t="s">
        <v>542</v>
      </c>
      <c r="Y222" s="52">
        <v>1</v>
      </c>
      <c r="Z222" s="56">
        <v>0.5</v>
      </c>
      <c r="AA222" s="51">
        <f>$Y222*Z222</f>
        <v>0.5</v>
      </c>
      <c r="AB222" s="56">
        <v>0.5</v>
      </c>
      <c r="AC222" s="51">
        <f t="shared" ref="AC222:AC236" si="109">Y222*AB222</f>
        <v>0.5</v>
      </c>
      <c r="AD222" s="56">
        <v>0.85</v>
      </c>
      <c r="AE222" s="51">
        <f>$Y222*AD222</f>
        <v>0.85</v>
      </c>
      <c r="AF222" s="56">
        <v>0</v>
      </c>
      <c r="AG222" s="51">
        <f>$Y$10*AF222</f>
        <v>0</v>
      </c>
      <c r="AH222" s="56">
        <v>0</v>
      </c>
      <c r="AI222" s="51">
        <f>$Y222*AH222</f>
        <v>0</v>
      </c>
      <c r="AJ222" s="56">
        <v>0</v>
      </c>
      <c r="AK222" s="51">
        <f>$Y$10*AJ222</f>
        <v>0</v>
      </c>
      <c r="AL222" s="56">
        <v>1</v>
      </c>
      <c r="AM222" s="51">
        <f>$Y222*AL222</f>
        <v>1</v>
      </c>
      <c r="AN222" s="56">
        <v>0</v>
      </c>
      <c r="AO222" s="51">
        <f>$Y$10*AN222</f>
        <v>0</v>
      </c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</row>
    <row r="223" spans="1:64" s="50" customFormat="1" ht="15" customHeight="1" outlineLevel="1">
      <c r="A223" s="42"/>
      <c r="B223" s="241"/>
      <c r="C223" s="42"/>
      <c r="D223" s="42"/>
      <c r="E223" s="57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40"/>
      <c r="S223" s="40"/>
      <c r="T223" s="40" t="str" cm="1">
        <f t="array" ref="T223">IF(A223&lt;&gt;"",_xlfn.XLOOKUP(_xlfn.XLOOKUP(TRUE,F223:O223&lt;&gt;"",F223:O223,"-",-1,-1),F223:O223,$F$6:$O$6,,,-1),"")</f>
        <v/>
      </c>
      <c r="U223" s="40"/>
      <c r="V223" s="132"/>
      <c r="W223" s="55"/>
      <c r="X223" s="55"/>
      <c r="Y223" s="52"/>
      <c r="Z223" s="56"/>
      <c r="AA223" s="51"/>
      <c r="AB223" s="56"/>
      <c r="AC223" s="51">
        <f t="shared" si="109"/>
        <v>0</v>
      </c>
      <c r="AD223" s="56"/>
      <c r="AE223" s="51"/>
      <c r="AF223" s="56"/>
      <c r="AG223" s="51"/>
      <c r="AH223" s="56"/>
      <c r="AI223" s="51"/>
      <c r="AJ223" s="56"/>
      <c r="AK223" s="51"/>
      <c r="AL223" s="56"/>
      <c r="AM223" s="51"/>
      <c r="AN223" s="56"/>
      <c r="AO223" s="51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</row>
    <row r="224" spans="1:64" s="50" customFormat="1" ht="15" customHeight="1" outlineLevel="1">
      <c r="A224" s="42" t="s">
        <v>757</v>
      </c>
      <c r="B224" s="241" t="s">
        <v>94</v>
      </c>
      <c r="C224" s="42"/>
      <c r="D224" s="42"/>
      <c r="E224" s="57" t="s">
        <v>758</v>
      </c>
      <c r="F224" s="38" t="s">
        <v>97</v>
      </c>
      <c r="G224" s="38" t="s">
        <v>34</v>
      </c>
      <c r="H224" s="38"/>
      <c r="I224" s="38"/>
      <c r="J224" s="38"/>
      <c r="K224" s="38"/>
      <c r="L224" s="38"/>
      <c r="M224" s="38"/>
      <c r="N224" s="38"/>
      <c r="O224" s="38"/>
      <c r="P224" s="38">
        <v>0</v>
      </c>
      <c r="Q224" s="38" t="s">
        <v>98</v>
      </c>
      <c r="R224" s="40"/>
      <c r="S224" s="40"/>
      <c r="T224" s="40" t="str" cm="1">
        <f t="array" ref="T224">IF(A224&lt;&gt;"",_xlfn.XLOOKUP(_xlfn.XLOOKUP(TRUE,F224:O224&lt;&gt;"",F224:O224,"-",-1,-1),F224:O224,$F$6:$O$6,,,-1),"")</f>
        <v>Add1</v>
      </c>
      <c r="U224" s="40"/>
      <c r="V224" s="132"/>
      <c r="W224" s="55" t="s">
        <v>435</v>
      </c>
      <c r="X224" s="55" t="s">
        <v>542</v>
      </c>
      <c r="Y224" s="52">
        <v>1</v>
      </c>
      <c r="Z224" s="56">
        <v>0.5</v>
      </c>
      <c r="AA224" s="51">
        <f>$Y224*Z224</f>
        <v>0.5</v>
      </c>
      <c r="AB224" s="56">
        <v>0.5</v>
      </c>
      <c r="AC224" s="51">
        <f t="shared" si="109"/>
        <v>0.5</v>
      </c>
      <c r="AD224" s="56">
        <v>0.85</v>
      </c>
      <c r="AE224" s="51">
        <f>$Y224*AD224</f>
        <v>0.85</v>
      </c>
      <c r="AF224" s="56">
        <v>0</v>
      </c>
      <c r="AG224" s="51">
        <f>$Y$10*AF224</f>
        <v>0</v>
      </c>
      <c r="AH224" s="56">
        <v>0</v>
      </c>
      <c r="AI224" s="51">
        <f>$Y224*AH224</f>
        <v>0</v>
      </c>
      <c r="AJ224" s="56">
        <v>0</v>
      </c>
      <c r="AK224" s="51">
        <f>$Y$10*AJ224</f>
        <v>0</v>
      </c>
      <c r="AL224" s="56">
        <v>1</v>
      </c>
      <c r="AM224" s="51">
        <f>$Y224*AL224</f>
        <v>1</v>
      </c>
      <c r="AN224" s="56">
        <v>0</v>
      </c>
      <c r="AO224" s="51">
        <f>$Y$10*AN224</f>
        <v>0</v>
      </c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</row>
    <row r="225" spans="1:64" s="50" customFormat="1" ht="15" customHeight="1" outlineLevel="1">
      <c r="A225" s="42"/>
      <c r="B225" s="241"/>
      <c r="C225" s="42"/>
      <c r="D225" s="42"/>
      <c r="E225" s="57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40"/>
      <c r="S225" s="40"/>
      <c r="T225" s="40" t="str" cm="1">
        <f t="array" ref="T225">IF(A225&lt;&gt;"",_xlfn.XLOOKUP(_xlfn.XLOOKUP(TRUE,F225:O225&lt;&gt;"",F225:O225,"-",-1,-1),F225:O225,$F$6:$O$6,,,-1),"")</f>
        <v/>
      </c>
      <c r="U225" s="40"/>
      <c r="V225" s="132"/>
      <c r="W225" s="55"/>
      <c r="X225" s="55"/>
      <c r="Y225" s="52"/>
      <c r="Z225" s="56"/>
      <c r="AA225" s="51"/>
      <c r="AB225" s="56"/>
      <c r="AC225" s="51">
        <f t="shared" si="109"/>
        <v>0</v>
      </c>
      <c r="AD225" s="56"/>
      <c r="AE225" s="51"/>
      <c r="AF225" s="56"/>
      <c r="AG225" s="51"/>
      <c r="AH225" s="56"/>
      <c r="AI225" s="51"/>
      <c r="AJ225" s="56"/>
      <c r="AK225" s="51"/>
      <c r="AL225" s="56"/>
      <c r="AM225" s="51"/>
      <c r="AN225" s="56"/>
      <c r="AO225" s="51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</row>
    <row r="226" spans="1:64" s="50" customFormat="1" ht="15" customHeight="1" outlineLevel="1">
      <c r="A226" s="42" t="s">
        <v>759</v>
      </c>
      <c r="B226" s="241" t="s">
        <v>94</v>
      </c>
      <c r="C226" s="42"/>
      <c r="D226" s="42"/>
      <c r="E226" s="57" t="s">
        <v>760</v>
      </c>
      <c r="F226" s="38" t="s">
        <v>97</v>
      </c>
      <c r="G226" s="38"/>
      <c r="H226" s="38"/>
      <c r="I226" s="38"/>
      <c r="J226" s="38"/>
      <c r="K226" s="38"/>
      <c r="L226" s="38"/>
      <c r="M226" s="38"/>
      <c r="N226" s="38"/>
      <c r="O226" s="38"/>
      <c r="P226" s="38">
        <v>0</v>
      </c>
      <c r="Q226" s="38" t="s">
        <v>98</v>
      </c>
      <c r="R226" s="40"/>
      <c r="S226" s="40"/>
      <c r="T226" s="40" t="str" cm="1">
        <f t="array" ref="T226">IF(A226&lt;&gt;"",_xlfn.XLOOKUP(_xlfn.XLOOKUP(TRUE,F226:O226&lt;&gt;"",F226:O226,"-",-1,-1),F226:O226,$F$6:$O$6,,,-1),"")</f>
        <v>For Bid</v>
      </c>
      <c r="U226" s="40"/>
      <c r="V226" s="132"/>
      <c r="W226" s="55" t="s">
        <v>435</v>
      </c>
      <c r="X226" s="55" t="s">
        <v>542</v>
      </c>
      <c r="Y226" s="52">
        <v>0.5</v>
      </c>
      <c r="Z226" s="56">
        <v>0</v>
      </c>
      <c r="AA226" s="51">
        <f>$Y226*Z226</f>
        <v>0</v>
      </c>
      <c r="AB226" s="56">
        <v>0.4</v>
      </c>
      <c r="AC226" s="51">
        <f t="shared" si="109"/>
        <v>0.2</v>
      </c>
      <c r="AD226" s="56">
        <v>0</v>
      </c>
      <c r="AE226" s="51">
        <f>$Y226*AD226</f>
        <v>0</v>
      </c>
      <c r="AF226" s="56">
        <v>0</v>
      </c>
      <c r="AG226" s="51">
        <f>$Y$10*AF226</f>
        <v>0</v>
      </c>
      <c r="AH226" s="56">
        <v>0</v>
      </c>
      <c r="AI226" s="51">
        <f>$Y226*AH226</f>
        <v>0</v>
      </c>
      <c r="AJ226" s="56">
        <v>0</v>
      </c>
      <c r="AK226" s="51">
        <f>$Y$10*AJ226</f>
        <v>0</v>
      </c>
      <c r="AL226" s="56">
        <v>1</v>
      </c>
      <c r="AM226" s="51">
        <f>$Y226*AL226</f>
        <v>0.5</v>
      </c>
      <c r="AN226" s="56">
        <v>0</v>
      </c>
      <c r="AO226" s="51">
        <f>$Y$10*AN226</f>
        <v>0</v>
      </c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</row>
    <row r="227" spans="1:64" s="50" customFormat="1" ht="15" customHeight="1" outlineLevel="1">
      <c r="A227" s="42" t="s">
        <v>761</v>
      </c>
      <c r="B227" s="241" t="s">
        <v>94</v>
      </c>
      <c r="C227" s="42"/>
      <c r="D227" s="42"/>
      <c r="E227" s="57" t="s">
        <v>762</v>
      </c>
      <c r="F227" s="38"/>
      <c r="G227" s="38" t="s">
        <v>97</v>
      </c>
      <c r="H227" s="38" t="s">
        <v>34</v>
      </c>
      <c r="I227" s="38" t="s">
        <v>31</v>
      </c>
      <c r="J227" s="38"/>
      <c r="K227" s="38"/>
      <c r="L227" s="38"/>
      <c r="M227" s="38"/>
      <c r="N227" s="38"/>
      <c r="O227" s="38"/>
      <c r="P227" s="38">
        <v>0</v>
      </c>
      <c r="Q227" s="38" t="s">
        <v>98</v>
      </c>
      <c r="R227" s="40"/>
      <c r="S227" s="40"/>
      <c r="T227" s="40" t="str" cm="1">
        <f t="array" ref="T227">IF(A227&lt;&gt;"",_xlfn.XLOOKUP(_xlfn.XLOOKUP(TRUE,F227:O227&lt;&gt;"",F227:O227,"-",-1,-1),F227:O227,$F$6:$O$6,,,-1),"")</f>
        <v>Add3</v>
      </c>
      <c r="U227" s="40"/>
      <c r="V227" s="132"/>
      <c r="W227" s="55" t="s">
        <v>435</v>
      </c>
      <c r="X227" s="55" t="s">
        <v>542</v>
      </c>
      <c r="Y227" s="52">
        <v>0.5</v>
      </c>
      <c r="Z227" s="56">
        <v>0</v>
      </c>
      <c r="AA227" s="51">
        <f>$Y227*Z227</f>
        <v>0</v>
      </c>
      <c r="AB227" s="56">
        <v>0.4</v>
      </c>
      <c r="AC227" s="51">
        <f t="shared" si="109"/>
        <v>0.2</v>
      </c>
      <c r="AD227" s="56">
        <v>0</v>
      </c>
      <c r="AE227" s="51">
        <f>$Y227*AD227</f>
        <v>0</v>
      </c>
      <c r="AF227" s="56">
        <v>0</v>
      </c>
      <c r="AG227" s="51">
        <f>$Y$10*AF227</f>
        <v>0</v>
      </c>
      <c r="AH227" s="56">
        <v>0</v>
      </c>
      <c r="AI227" s="51">
        <f>$Y227*AH227</f>
        <v>0</v>
      </c>
      <c r="AJ227" s="56">
        <v>0</v>
      </c>
      <c r="AK227" s="51">
        <f>$Y$10*AJ227</f>
        <v>0</v>
      </c>
      <c r="AL227" s="56">
        <v>1</v>
      </c>
      <c r="AM227" s="51">
        <f>$Y227*AL227</f>
        <v>0.5</v>
      </c>
      <c r="AN227" s="56">
        <v>0</v>
      </c>
      <c r="AO227" s="51">
        <f>$Y$10*AN227</f>
        <v>0</v>
      </c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</row>
    <row r="228" spans="1:64" s="50" customFormat="1" ht="15" customHeight="1" outlineLevel="1">
      <c r="A228" s="42" t="s">
        <v>763</v>
      </c>
      <c r="B228" s="241" t="s">
        <v>94</v>
      </c>
      <c r="C228" s="42"/>
      <c r="D228" s="42"/>
      <c r="E228" s="57" t="s">
        <v>764</v>
      </c>
      <c r="F228" s="38"/>
      <c r="G228" s="38" t="s">
        <v>97</v>
      </c>
      <c r="H228" s="38"/>
      <c r="I228" s="38" t="s">
        <v>34</v>
      </c>
      <c r="J228" s="38"/>
      <c r="K228" s="38"/>
      <c r="L228" s="38"/>
      <c r="M228" s="38"/>
      <c r="N228" s="38"/>
      <c r="O228" s="38"/>
      <c r="P228" s="38">
        <v>0</v>
      </c>
      <c r="Q228" s="38" t="s">
        <v>98</v>
      </c>
      <c r="R228" s="40"/>
      <c r="S228" s="40"/>
      <c r="T228" s="40" t="str" cm="1">
        <f t="array" ref="T228">IF(A228&lt;&gt;"",_xlfn.XLOOKUP(_xlfn.XLOOKUP(TRUE,F228:O228&lt;&gt;"",F228:O228,"-",-1,-1),F228:O228,$F$6:$O$6,,,-1),"")</f>
        <v>Add3</v>
      </c>
      <c r="U228" s="40"/>
      <c r="V228" s="132"/>
      <c r="W228" s="55" t="s">
        <v>435</v>
      </c>
      <c r="X228" s="55" t="s">
        <v>542</v>
      </c>
      <c r="Y228" s="52">
        <v>0.5</v>
      </c>
      <c r="Z228" s="56">
        <v>0</v>
      </c>
      <c r="AA228" s="51">
        <f>$Y228*Z228</f>
        <v>0</v>
      </c>
      <c r="AB228" s="56">
        <v>0</v>
      </c>
      <c r="AC228" s="51">
        <f t="shared" si="109"/>
        <v>0</v>
      </c>
      <c r="AD228" s="56">
        <v>0</v>
      </c>
      <c r="AE228" s="51">
        <f>$Y228*AD228</f>
        <v>0</v>
      </c>
      <c r="AF228" s="56">
        <v>0</v>
      </c>
      <c r="AG228" s="51">
        <f>$Y$10*AF228</f>
        <v>0</v>
      </c>
      <c r="AH228" s="56">
        <v>0</v>
      </c>
      <c r="AI228" s="51">
        <f>$Y228*AH228</f>
        <v>0</v>
      </c>
      <c r="AJ228" s="56">
        <v>0</v>
      </c>
      <c r="AK228" s="51">
        <f>$Y$10*AJ228</f>
        <v>0</v>
      </c>
      <c r="AL228" s="56">
        <v>1</v>
      </c>
      <c r="AM228" s="51">
        <f>$Y228*AL228</f>
        <v>0.5</v>
      </c>
      <c r="AN228" s="56">
        <v>0</v>
      </c>
      <c r="AO228" s="51">
        <f>$Y$10*AN228</f>
        <v>0</v>
      </c>
      <c r="AP228" s="37"/>
      <c r="AQ228" s="57" t="e">
        <f>A228&amp;B228&amp;C228&amp;D228&amp;E228&amp;#REF!&amp;F228&amp;#REF!&amp;G228</f>
        <v>#REF!</v>
      </c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</row>
    <row r="229" spans="1:64" s="50" customFormat="1" ht="15" customHeight="1" outlineLevel="1">
      <c r="A229" s="42" t="s">
        <v>765</v>
      </c>
      <c r="B229" s="241" t="s">
        <v>94</v>
      </c>
      <c r="C229" s="42"/>
      <c r="D229" s="42"/>
      <c r="E229" s="57" t="s">
        <v>766</v>
      </c>
      <c r="F229" s="38"/>
      <c r="G229" s="38"/>
      <c r="H229" s="38" t="s">
        <v>97</v>
      </c>
      <c r="I229" s="38" t="s">
        <v>34</v>
      </c>
      <c r="J229" s="38"/>
      <c r="K229" s="38"/>
      <c r="L229" s="38" t="s">
        <v>31</v>
      </c>
      <c r="M229" s="38" t="s">
        <v>31</v>
      </c>
      <c r="N229" s="38" t="s">
        <v>116</v>
      </c>
      <c r="O229" s="38"/>
      <c r="P229" s="38">
        <v>0</v>
      </c>
      <c r="Q229" s="38" t="s">
        <v>98</v>
      </c>
      <c r="R229" s="40"/>
      <c r="S229" s="40"/>
      <c r="T229" s="40" t="str" cm="1">
        <f t="array" ref="T229">IF(A229&lt;&gt;"",_xlfn.XLOOKUP(_xlfn.XLOOKUP(TRUE,F229:O229&lt;&gt;"",F229:O229,"-",-1,-1),F229:O229,$F$6:$O$6,,,-1),"")</f>
        <v>Add8</v>
      </c>
      <c r="U229" s="40"/>
      <c r="V229" s="132"/>
      <c r="W229" s="55" t="s">
        <v>435</v>
      </c>
      <c r="X229" s="55" t="s">
        <v>542</v>
      </c>
      <c r="Y229" s="52">
        <v>0.5</v>
      </c>
      <c r="Z229" s="56">
        <v>0</v>
      </c>
      <c r="AA229" s="51">
        <f>$Y229*Z229</f>
        <v>0</v>
      </c>
      <c r="AB229" s="56">
        <v>0</v>
      </c>
      <c r="AC229" s="51">
        <f t="shared" si="109"/>
        <v>0</v>
      </c>
      <c r="AD229" s="56">
        <v>0</v>
      </c>
      <c r="AE229" s="51">
        <f>$Y229*AD229</f>
        <v>0</v>
      </c>
      <c r="AF229" s="56">
        <v>0</v>
      </c>
      <c r="AG229" s="51">
        <f>$Y$10*AF229</f>
        <v>0</v>
      </c>
      <c r="AH229" s="56">
        <v>0</v>
      </c>
      <c r="AI229" s="51">
        <f>$Y229*AH229</f>
        <v>0</v>
      </c>
      <c r="AJ229" s="56">
        <v>0</v>
      </c>
      <c r="AK229" s="51">
        <f>$Y$10*AJ229</f>
        <v>0</v>
      </c>
      <c r="AL229" s="56">
        <v>1</v>
      </c>
      <c r="AM229" s="51">
        <f>$Y229*AL229</f>
        <v>0.5</v>
      </c>
      <c r="AN229" s="56">
        <v>0</v>
      </c>
      <c r="AO229" s="51">
        <f>$Y$10*AN229</f>
        <v>0</v>
      </c>
      <c r="AP229" s="37"/>
      <c r="AQ229" s="57" t="e">
        <f>A229&amp;B229&amp;C229&amp;D229&amp;E229&amp;#REF!&amp;F229&amp;#REF!&amp;G229</f>
        <v>#REF!</v>
      </c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</row>
    <row r="230" spans="1:64" s="50" customFormat="1" ht="15" customHeight="1" outlineLevel="1">
      <c r="A230" s="42"/>
      <c r="B230" s="241"/>
      <c r="C230" s="42"/>
      <c r="D230" s="42"/>
      <c r="E230" s="57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40"/>
      <c r="S230" s="40"/>
      <c r="T230" s="40" t="str" cm="1">
        <f t="array" ref="T230">IF(A230&lt;&gt;"",_xlfn.XLOOKUP(_xlfn.XLOOKUP(TRUE,F230:O230&lt;&gt;"",F230:O230,"-",-1,-1),F230:O230,$F$6:$O$6,,,-1),"")</f>
        <v/>
      </c>
      <c r="U230" s="40"/>
      <c r="V230" s="132"/>
      <c r="W230" s="55"/>
      <c r="X230" s="55"/>
      <c r="Y230" s="52"/>
      <c r="Z230" s="56"/>
      <c r="AA230" s="51"/>
      <c r="AB230" s="56"/>
      <c r="AC230" s="51">
        <f t="shared" si="109"/>
        <v>0</v>
      </c>
      <c r="AD230" s="56"/>
      <c r="AE230" s="51"/>
      <c r="AF230" s="56"/>
      <c r="AG230" s="51"/>
      <c r="AH230" s="56"/>
      <c r="AI230" s="51"/>
      <c r="AJ230" s="56"/>
      <c r="AK230" s="51"/>
      <c r="AL230" s="56"/>
      <c r="AM230" s="51"/>
      <c r="AN230" s="56"/>
      <c r="AO230" s="51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</row>
    <row r="231" spans="1:64" s="50" customFormat="1" ht="15" customHeight="1" outlineLevel="1">
      <c r="A231" s="42" t="s">
        <v>767</v>
      </c>
      <c r="B231" s="241" t="s">
        <v>94</v>
      </c>
      <c r="C231" s="42"/>
      <c r="D231" s="42"/>
      <c r="E231" s="57" t="s">
        <v>768</v>
      </c>
      <c r="F231" s="38"/>
      <c r="G231" s="38" t="s">
        <v>97</v>
      </c>
      <c r="H231" s="38"/>
      <c r="I231" s="38" t="s">
        <v>34</v>
      </c>
      <c r="J231" s="38"/>
      <c r="K231" s="38"/>
      <c r="L231" s="38"/>
      <c r="M231" s="38"/>
      <c r="N231" s="38"/>
      <c r="O231" s="38"/>
      <c r="P231" s="38">
        <v>0</v>
      </c>
      <c r="Q231" s="38" t="s">
        <v>98</v>
      </c>
      <c r="R231" s="40"/>
      <c r="S231" s="40"/>
      <c r="T231" s="40" t="str" cm="1">
        <f t="array" ref="T231">IF(A231&lt;&gt;"",_xlfn.XLOOKUP(_xlfn.XLOOKUP(TRUE,F231:O231&lt;&gt;"",F231:O231,"-",-1,-1),F231:O231,$F$6:$O$6,,,-1),"")</f>
        <v>Add3</v>
      </c>
      <c r="U231" s="40"/>
      <c r="V231" s="132"/>
      <c r="W231" s="55" t="s">
        <v>435</v>
      </c>
      <c r="X231" s="55" t="s">
        <v>542</v>
      </c>
      <c r="Y231" s="52">
        <v>1</v>
      </c>
      <c r="Z231" s="56">
        <v>0</v>
      </c>
      <c r="AA231" s="51">
        <f t="shared" ref="AA231:AA236" si="110">$Y231*Z231</f>
        <v>0</v>
      </c>
      <c r="AB231" s="56">
        <v>0</v>
      </c>
      <c r="AC231" s="51">
        <f t="shared" si="109"/>
        <v>0</v>
      </c>
      <c r="AD231" s="56">
        <v>0</v>
      </c>
      <c r="AE231" s="51">
        <f t="shared" ref="AE231:AE236" si="111">$Y231*AD231</f>
        <v>0</v>
      </c>
      <c r="AF231" s="56">
        <v>0</v>
      </c>
      <c r="AG231" s="51">
        <f t="shared" ref="AG231:AG236" si="112">$Y$10*AF231</f>
        <v>0</v>
      </c>
      <c r="AH231" s="56">
        <v>0</v>
      </c>
      <c r="AI231" s="51">
        <f t="shared" ref="AI231:AI236" si="113">$Y231*AH231</f>
        <v>0</v>
      </c>
      <c r="AJ231" s="56">
        <v>0</v>
      </c>
      <c r="AK231" s="51">
        <f t="shared" ref="AK231:AK236" si="114">$Y$10*AJ231</f>
        <v>0</v>
      </c>
      <c r="AL231" s="56">
        <v>1</v>
      </c>
      <c r="AM231" s="51">
        <f t="shared" ref="AM231:AM236" si="115">$Y231*AL231</f>
        <v>1</v>
      </c>
      <c r="AN231" s="56">
        <v>0</v>
      </c>
      <c r="AO231" s="51">
        <f t="shared" ref="AO231:AO236" si="116">$Y$10*AN231</f>
        <v>0</v>
      </c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</row>
    <row r="232" spans="1:64" s="50" customFormat="1" ht="15" customHeight="1" outlineLevel="1">
      <c r="A232" s="42" t="s">
        <v>769</v>
      </c>
      <c r="B232" s="241" t="s">
        <v>94</v>
      </c>
      <c r="C232" s="42"/>
      <c r="D232" s="42"/>
      <c r="E232" s="57" t="s">
        <v>770</v>
      </c>
      <c r="F232" s="38"/>
      <c r="G232" s="38" t="s">
        <v>97</v>
      </c>
      <c r="H232" s="38"/>
      <c r="I232" s="38" t="s">
        <v>34</v>
      </c>
      <c r="J232" s="38"/>
      <c r="K232" s="38"/>
      <c r="L232" s="38"/>
      <c r="M232" s="38"/>
      <c r="N232" s="38"/>
      <c r="O232" s="38"/>
      <c r="P232" s="38">
        <v>0</v>
      </c>
      <c r="Q232" s="38" t="s">
        <v>98</v>
      </c>
      <c r="R232" s="40"/>
      <c r="S232" s="40"/>
      <c r="T232" s="40" t="str" cm="1">
        <f t="array" ref="T232">IF(A232&lt;&gt;"",_xlfn.XLOOKUP(_xlfn.XLOOKUP(TRUE,F232:O232&lt;&gt;"",F232:O232,"-",-1,-1),F232:O232,$F$6:$O$6,,,-1),"")</f>
        <v>Add3</v>
      </c>
      <c r="U232" s="40"/>
      <c r="V232" s="132"/>
      <c r="W232" s="55" t="s">
        <v>435</v>
      </c>
      <c r="X232" s="55" t="s">
        <v>542</v>
      </c>
      <c r="Y232" s="52">
        <v>1</v>
      </c>
      <c r="Z232" s="56">
        <v>0</v>
      </c>
      <c r="AA232" s="51">
        <f t="shared" si="110"/>
        <v>0</v>
      </c>
      <c r="AB232" s="56">
        <v>0</v>
      </c>
      <c r="AC232" s="51">
        <f t="shared" si="109"/>
        <v>0</v>
      </c>
      <c r="AD232" s="56">
        <v>0</v>
      </c>
      <c r="AE232" s="51">
        <f t="shared" si="111"/>
        <v>0</v>
      </c>
      <c r="AF232" s="56">
        <v>0</v>
      </c>
      <c r="AG232" s="51">
        <f t="shared" si="112"/>
        <v>0</v>
      </c>
      <c r="AH232" s="56">
        <v>0</v>
      </c>
      <c r="AI232" s="51">
        <f t="shared" si="113"/>
        <v>0</v>
      </c>
      <c r="AJ232" s="56">
        <v>0</v>
      </c>
      <c r="AK232" s="51">
        <f t="shared" si="114"/>
        <v>0</v>
      </c>
      <c r="AL232" s="56">
        <v>1</v>
      </c>
      <c r="AM232" s="51">
        <f t="shared" si="115"/>
        <v>1</v>
      </c>
      <c r="AN232" s="56">
        <v>0</v>
      </c>
      <c r="AO232" s="51">
        <f t="shared" si="116"/>
        <v>0</v>
      </c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</row>
    <row r="233" spans="1:64" s="50" customFormat="1" ht="15" customHeight="1" outlineLevel="1">
      <c r="A233" s="42" t="s">
        <v>771</v>
      </c>
      <c r="B233" s="241" t="s">
        <v>94</v>
      </c>
      <c r="C233" s="42"/>
      <c r="D233" s="42"/>
      <c r="E233" s="57" t="s">
        <v>772</v>
      </c>
      <c r="F233" s="38"/>
      <c r="G233" s="38" t="s">
        <v>97</v>
      </c>
      <c r="H233" s="38"/>
      <c r="I233" s="38"/>
      <c r="J233" s="38"/>
      <c r="K233" s="38"/>
      <c r="L233" s="38"/>
      <c r="M233" s="38"/>
      <c r="N233" s="38"/>
      <c r="O233" s="38"/>
      <c r="P233" s="38">
        <v>0</v>
      </c>
      <c r="Q233" s="38" t="s">
        <v>98</v>
      </c>
      <c r="R233" s="40"/>
      <c r="S233" s="40"/>
      <c r="T233" s="40" t="str" cm="1">
        <f t="array" ref="T233">IF(A233&lt;&gt;"",_xlfn.XLOOKUP(_xlfn.XLOOKUP(TRUE,F233:O233&lt;&gt;"",F233:O233,"-",-1,-1),F233:O233,$F$6:$O$6,,,-1),"")</f>
        <v>Add1</v>
      </c>
      <c r="U233" s="40"/>
      <c r="V233" s="132"/>
      <c r="W233" s="55" t="s">
        <v>435</v>
      </c>
      <c r="X233" s="55" t="s">
        <v>542</v>
      </c>
      <c r="Y233" s="52">
        <v>1</v>
      </c>
      <c r="Z233" s="56">
        <v>0</v>
      </c>
      <c r="AA233" s="51">
        <f t="shared" si="110"/>
        <v>0</v>
      </c>
      <c r="AB233" s="56">
        <v>0</v>
      </c>
      <c r="AC233" s="51">
        <f t="shared" si="109"/>
        <v>0</v>
      </c>
      <c r="AD233" s="56">
        <v>0</v>
      </c>
      <c r="AE233" s="51">
        <f t="shared" si="111"/>
        <v>0</v>
      </c>
      <c r="AF233" s="56">
        <v>0</v>
      </c>
      <c r="AG233" s="51">
        <f t="shared" si="112"/>
        <v>0</v>
      </c>
      <c r="AH233" s="56">
        <v>0</v>
      </c>
      <c r="AI233" s="51">
        <f t="shared" si="113"/>
        <v>0</v>
      </c>
      <c r="AJ233" s="56">
        <v>0</v>
      </c>
      <c r="AK233" s="51">
        <f t="shared" si="114"/>
        <v>0</v>
      </c>
      <c r="AL233" s="56">
        <v>1</v>
      </c>
      <c r="AM233" s="51">
        <f t="shared" si="115"/>
        <v>1</v>
      </c>
      <c r="AN233" s="56">
        <v>0</v>
      </c>
      <c r="AO233" s="51">
        <f t="shared" si="116"/>
        <v>0</v>
      </c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</row>
    <row r="234" spans="1:64" s="50" customFormat="1" ht="15" customHeight="1" outlineLevel="1">
      <c r="A234" s="42" t="s">
        <v>773</v>
      </c>
      <c r="B234" s="241" t="s">
        <v>94</v>
      </c>
      <c r="C234" s="42"/>
      <c r="D234" s="42"/>
      <c r="E234" s="57" t="s">
        <v>774</v>
      </c>
      <c r="F234" s="38"/>
      <c r="G234" s="38" t="s">
        <v>97</v>
      </c>
      <c r="H234" s="38" t="s">
        <v>34</v>
      </c>
      <c r="I234" s="38"/>
      <c r="J234" s="38"/>
      <c r="K234" s="38"/>
      <c r="L234" s="38"/>
      <c r="M234" s="38"/>
      <c r="N234" s="38"/>
      <c r="O234" s="38"/>
      <c r="P234" s="38">
        <v>0</v>
      </c>
      <c r="Q234" s="38" t="s">
        <v>98</v>
      </c>
      <c r="R234" s="40"/>
      <c r="S234" s="40"/>
      <c r="T234" s="40" t="str" cm="1">
        <f t="array" ref="T234">IF(A234&lt;&gt;"",_xlfn.XLOOKUP(_xlfn.XLOOKUP(TRUE,F234:O234&lt;&gt;"",F234:O234,"-",-1,-1),F234:O234,$F$6:$O$6,,,-1),"")</f>
        <v>Add2</v>
      </c>
      <c r="U234" s="40"/>
      <c r="V234" s="132"/>
      <c r="W234" s="55" t="s">
        <v>435</v>
      </c>
      <c r="X234" s="55" t="s">
        <v>542</v>
      </c>
      <c r="Y234" s="52">
        <v>1</v>
      </c>
      <c r="Z234" s="56">
        <v>0</v>
      </c>
      <c r="AA234" s="51">
        <f t="shared" si="110"/>
        <v>0</v>
      </c>
      <c r="AB234" s="56">
        <v>0</v>
      </c>
      <c r="AC234" s="51">
        <f t="shared" si="109"/>
        <v>0</v>
      </c>
      <c r="AD234" s="56">
        <v>0</v>
      </c>
      <c r="AE234" s="51">
        <f t="shared" si="111"/>
        <v>0</v>
      </c>
      <c r="AF234" s="56">
        <v>0</v>
      </c>
      <c r="AG234" s="51">
        <f t="shared" si="112"/>
        <v>0</v>
      </c>
      <c r="AH234" s="56">
        <v>0</v>
      </c>
      <c r="AI234" s="51">
        <f t="shared" si="113"/>
        <v>0</v>
      </c>
      <c r="AJ234" s="56">
        <v>0</v>
      </c>
      <c r="AK234" s="51">
        <f t="shared" si="114"/>
        <v>0</v>
      </c>
      <c r="AL234" s="56">
        <v>1</v>
      </c>
      <c r="AM234" s="51">
        <f t="shared" si="115"/>
        <v>1</v>
      </c>
      <c r="AN234" s="56">
        <v>0</v>
      </c>
      <c r="AO234" s="51">
        <f t="shared" si="116"/>
        <v>0</v>
      </c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</row>
    <row r="235" spans="1:64" s="50" customFormat="1" ht="15" customHeight="1" outlineLevel="1">
      <c r="A235" s="42" t="s">
        <v>775</v>
      </c>
      <c r="B235" s="241" t="s">
        <v>94</v>
      </c>
      <c r="C235" s="42"/>
      <c r="D235" s="42"/>
      <c r="E235" s="57" t="s">
        <v>776</v>
      </c>
      <c r="F235" s="38"/>
      <c r="G235" s="38" t="s">
        <v>97</v>
      </c>
      <c r="H235" s="38" t="s">
        <v>34</v>
      </c>
      <c r="I235" s="38" t="s">
        <v>31</v>
      </c>
      <c r="J235" s="38"/>
      <c r="K235" s="38"/>
      <c r="L235" s="38"/>
      <c r="M235" s="38"/>
      <c r="N235" s="38" t="s">
        <v>116</v>
      </c>
      <c r="O235" s="38"/>
      <c r="P235" s="38">
        <v>0</v>
      </c>
      <c r="Q235" s="38" t="s">
        <v>98</v>
      </c>
      <c r="R235" s="40"/>
      <c r="S235" s="40"/>
      <c r="T235" s="40" t="str" cm="1">
        <f t="array" ref="T235">IF(A235&lt;&gt;"",_xlfn.XLOOKUP(_xlfn.XLOOKUP(TRUE,F235:O235&lt;&gt;"",F235:O235,"-",-1,-1),F235:O235,$F$6:$O$6,,,-1),"")</f>
        <v>Add8</v>
      </c>
      <c r="U235" s="40"/>
      <c r="V235" s="132"/>
      <c r="W235" s="55" t="s">
        <v>435</v>
      </c>
      <c r="X235" s="55" t="s">
        <v>542</v>
      </c>
      <c r="Y235" s="52">
        <v>1</v>
      </c>
      <c r="Z235" s="56">
        <v>0</v>
      </c>
      <c r="AA235" s="51">
        <f t="shared" si="110"/>
        <v>0</v>
      </c>
      <c r="AB235" s="56">
        <v>0</v>
      </c>
      <c r="AC235" s="51">
        <f t="shared" si="109"/>
        <v>0</v>
      </c>
      <c r="AD235" s="56">
        <v>0</v>
      </c>
      <c r="AE235" s="51">
        <f t="shared" si="111"/>
        <v>0</v>
      </c>
      <c r="AF235" s="56">
        <v>0</v>
      </c>
      <c r="AG235" s="51">
        <f t="shared" si="112"/>
        <v>0</v>
      </c>
      <c r="AH235" s="56">
        <v>0</v>
      </c>
      <c r="AI235" s="51">
        <f t="shared" si="113"/>
        <v>0</v>
      </c>
      <c r="AJ235" s="56">
        <v>0</v>
      </c>
      <c r="AK235" s="51">
        <f t="shared" si="114"/>
        <v>0</v>
      </c>
      <c r="AL235" s="56">
        <v>1</v>
      </c>
      <c r="AM235" s="51">
        <f t="shared" si="115"/>
        <v>1</v>
      </c>
      <c r="AN235" s="56">
        <v>0</v>
      </c>
      <c r="AO235" s="51">
        <f t="shared" si="116"/>
        <v>0</v>
      </c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</row>
    <row r="236" spans="1:64" s="50" customFormat="1" ht="15" customHeight="1" outlineLevel="1">
      <c r="A236" s="42" t="s">
        <v>777</v>
      </c>
      <c r="B236" s="241" t="s">
        <v>94</v>
      </c>
      <c r="C236" s="42"/>
      <c r="D236" s="42"/>
      <c r="E236" s="57" t="s">
        <v>778</v>
      </c>
      <c r="F236" s="38"/>
      <c r="G236" s="38"/>
      <c r="H236" s="38" t="s">
        <v>97</v>
      </c>
      <c r="I236" s="38" t="s">
        <v>34</v>
      </c>
      <c r="J236" s="38"/>
      <c r="K236" s="38"/>
      <c r="L236" s="38"/>
      <c r="M236" s="38"/>
      <c r="N236" s="38" t="s">
        <v>31</v>
      </c>
      <c r="O236" s="38"/>
      <c r="P236" s="38">
        <v>0</v>
      </c>
      <c r="Q236" s="38" t="s">
        <v>98</v>
      </c>
      <c r="R236" s="40"/>
      <c r="S236" s="40"/>
      <c r="T236" s="40" t="str" cm="1">
        <f t="array" ref="T236">IF(A236&lt;&gt;"",_xlfn.XLOOKUP(_xlfn.XLOOKUP(TRUE,F236:O236&lt;&gt;"",F236:O236,"-",-1,-1),F236:O236,$F$6:$O$6,,,-1),"")</f>
        <v>Add8</v>
      </c>
      <c r="U236" s="40"/>
      <c r="V236" s="132"/>
      <c r="W236" s="55" t="s">
        <v>435</v>
      </c>
      <c r="X236" s="55" t="s">
        <v>542</v>
      </c>
      <c r="Y236" s="52">
        <v>1</v>
      </c>
      <c r="Z236" s="56">
        <v>0</v>
      </c>
      <c r="AA236" s="51">
        <f t="shared" si="110"/>
        <v>0</v>
      </c>
      <c r="AB236" s="56">
        <v>0</v>
      </c>
      <c r="AC236" s="51">
        <f t="shared" si="109"/>
        <v>0</v>
      </c>
      <c r="AD236" s="56">
        <v>0</v>
      </c>
      <c r="AE236" s="51">
        <f t="shared" si="111"/>
        <v>0</v>
      </c>
      <c r="AF236" s="56">
        <v>0</v>
      </c>
      <c r="AG236" s="51">
        <f t="shared" si="112"/>
        <v>0</v>
      </c>
      <c r="AH236" s="56">
        <v>0</v>
      </c>
      <c r="AI236" s="51">
        <f t="shared" si="113"/>
        <v>0</v>
      </c>
      <c r="AJ236" s="56">
        <v>0</v>
      </c>
      <c r="AK236" s="51">
        <f t="shared" si="114"/>
        <v>0</v>
      </c>
      <c r="AL236" s="56">
        <v>1</v>
      </c>
      <c r="AM236" s="51">
        <f t="shared" si="115"/>
        <v>1</v>
      </c>
      <c r="AN236" s="56">
        <v>0</v>
      </c>
      <c r="AO236" s="51">
        <f t="shared" si="116"/>
        <v>0</v>
      </c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</row>
    <row r="237" spans="1:64" s="50" customFormat="1" ht="15" customHeight="1" outlineLevel="1">
      <c r="A237" s="43"/>
      <c r="B237" s="43"/>
      <c r="C237" s="43"/>
      <c r="D237" s="38"/>
      <c r="E237" s="42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40"/>
      <c r="S237" s="40"/>
      <c r="T237" s="40"/>
      <c r="U237" s="40"/>
      <c r="V237" s="132"/>
      <c r="W237" s="55"/>
      <c r="X237" s="55"/>
      <c r="Y237" s="52"/>
      <c r="Z237" s="56"/>
      <c r="AA237" s="51"/>
      <c r="AB237" s="56"/>
      <c r="AC237" s="51"/>
      <c r="AD237" s="56"/>
      <c r="AE237" s="51"/>
      <c r="AF237" s="56"/>
      <c r="AG237" s="51"/>
      <c r="AH237" s="56"/>
      <c r="AI237" s="51"/>
      <c r="AJ237" s="56"/>
      <c r="AK237" s="51"/>
      <c r="AL237" s="56"/>
      <c r="AM237" s="51"/>
      <c r="AN237" s="56"/>
      <c r="AO237" s="51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</row>
    <row r="238" spans="1:64" s="50" customFormat="1" ht="15" customHeight="1" thickBot="1">
      <c r="A238" s="41"/>
      <c r="B238" s="41"/>
      <c r="C238" s="41"/>
      <c r="D238" s="38"/>
      <c r="E238" s="43" t="str">
        <f>"SUB-TOTAL "&amp;UPPER(A73)&amp;" DRAWINGS"</f>
        <v>SUB-TOTAL 18043-LM646 12701 DRAWINGS</v>
      </c>
      <c r="F238" s="133">
        <f t="shared" ref="F238:M238" si="117">COUNTA(F208:F237)</f>
        <v>12</v>
      </c>
      <c r="G238" s="133">
        <f t="shared" si="117"/>
        <v>18</v>
      </c>
      <c r="H238" s="133">
        <f t="shared" si="117"/>
        <v>15</v>
      </c>
      <c r="I238" s="133">
        <f t="shared" si="117"/>
        <v>12</v>
      </c>
      <c r="J238" s="133">
        <f t="shared" si="117"/>
        <v>0</v>
      </c>
      <c r="K238" s="133">
        <f t="shared" si="117"/>
        <v>0</v>
      </c>
      <c r="L238" s="133">
        <f t="shared" si="117"/>
        <v>3</v>
      </c>
      <c r="M238" s="133">
        <f t="shared" si="117"/>
        <v>5</v>
      </c>
      <c r="N238" s="133">
        <f>COUNTA(N208:N237)</f>
        <v>6</v>
      </c>
      <c r="O238" s="133">
        <f>COUNTA(O208:O237)</f>
        <v>0</v>
      </c>
      <c r="P238" s="133">
        <f>COUNTA(P208:P237)</f>
        <v>23</v>
      </c>
      <c r="Q238" s="38"/>
      <c r="R238" s="36"/>
      <c r="S238" s="36"/>
      <c r="T238" s="36"/>
      <c r="U238" s="36"/>
      <c r="V238" s="55"/>
      <c r="W238" s="55"/>
      <c r="X238" s="55"/>
      <c r="Y238" s="52"/>
      <c r="Z238" s="56"/>
      <c r="AA238" s="51"/>
      <c r="AB238" s="56"/>
      <c r="AC238" s="51"/>
      <c r="AD238" s="56"/>
      <c r="AE238" s="51"/>
      <c r="AF238" s="56"/>
      <c r="AG238" s="51"/>
      <c r="AH238" s="56"/>
      <c r="AI238" s="51"/>
      <c r="AJ238" s="56"/>
      <c r="AK238" s="51"/>
      <c r="AL238" s="56"/>
      <c r="AM238" s="51"/>
      <c r="AN238" s="56"/>
      <c r="AO238" s="51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</row>
    <row r="239" spans="1:64" s="50" customFormat="1" ht="15" customHeight="1" thickTop="1">
      <c r="A239" s="41"/>
      <c r="B239" s="41"/>
      <c r="C239" s="41"/>
      <c r="D239" s="38"/>
      <c r="E239" s="43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6"/>
      <c r="S239" s="36"/>
      <c r="T239" s="36"/>
      <c r="U239" s="36"/>
      <c r="V239" s="55"/>
      <c r="W239" s="55"/>
      <c r="X239" s="55"/>
      <c r="Y239" s="52"/>
      <c r="Z239" s="56"/>
      <c r="AA239" s="51"/>
      <c r="AB239" s="56"/>
      <c r="AC239" s="51"/>
      <c r="AD239" s="56"/>
      <c r="AE239" s="51"/>
      <c r="AF239" s="56"/>
      <c r="AG239" s="51"/>
      <c r="AH239" s="56"/>
      <c r="AI239" s="51"/>
      <c r="AJ239" s="56"/>
      <c r="AK239" s="51"/>
      <c r="AL239" s="56"/>
      <c r="AM239" s="51"/>
      <c r="AN239" s="56"/>
      <c r="AO239" s="51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</row>
    <row r="240" spans="1:64" s="50" customFormat="1" ht="18" customHeight="1">
      <c r="A240" s="32" t="s">
        <v>414</v>
      </c>
      <c r="B240" s="32"/>
      <c r="C240" s="32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53"/>
      <c r="W240" s="53"/>
      <c r="X240" s="53"/>
      <c r="Y240" s="54"/>
      <c r="Z240" s="79"/>
      <c r="AA240" s="51"/>
      <c r="AB240" s="79"/>
      <c r="AC240" s="51"/>
      <c r="AD240" s="79"/>
      <c r="AE240" s="51"/>
      <c r="AF240" s="79"/>
      <c r="AG240" s="51"/>
      <c r="AH240" s="79"/>
      <c r="AI240" s="51"/>
      <c r="AJ240" s="79"/>
      <c r="AK240" s="51"/>
      <c r="AL240" s="79"/>
      <c r="AM240" s="51"/>
      <c r="AN240" s="79"/>
      <c r="AO240" s="51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</row>
    <row r="241" spans="1:64" s="50" customFormat="1" ht="15" customHeight="1" outlineLevel="1">
      <c r="A241" s="312" t="s">
        <v>779</v>
      </c>
      <c r="B241" s="313" t="s">
        <v>94</v>
      </c>
      <c r="C241" s="312"/>
      <c r="D241" s="310"/>
      <c r="E241" s="314" t="s">
        <v>780</v>
      </c>
      <c r="F241" s="38"/>
      <c r="G241" s="38" t="s">
        <v>97</v>
      </c>
      <c r="H241" s="38"/>
      <c r="I241" s="38" t="s">
        <v>34</v>
      </c>
      <c r="J241" s="38"/>
      <c r="K241" s="38"/>
      <c r="L241" s="396"/>
      <c r="M241" s="396"/>
      <c r="N241" s="38"/>
      <c r="O241" s="38"/>
      <c r="P241" s="38"/>
      <c r="Q241" s="38" t="s">
        <v>98</v>
      </c>
      <c r="R241" s="40"/>
      <c r="S241" s="383"/>
      <c r="T241" s="40" t="str" cm="1">
        <f t="array" ref="T241">IF(A241&lt;&gt;"",_xlfn.XLOOKUP(_xlfn.XLOOKUP(TRUE,F241:O241&lt;&gt;"",F241:O241,"-",-1,-1),F241:O241,$F$6:$O$6,,,-1),"")</f>
        <v>Add3</v>
      </c>
      <c r="U241" s="40"/>
      <c r="V241" s="55"/>
      <c r="W241" s="55" t="s">
        <v>435</v>
      </c>
      <c r="X241" s="55" t="s">
        <v>435</v>
      </c>
      <c r="Y241" s="52">
        <v>1</v>
      </c>
      <c r="Z241" s="56">
        <v>0</v>
      </c>
      <c r="AA241" s="51">
        <f>$Y241*Z241</f>
        <v>0</v>
      </c>
      <c r="AB241" s="56">
        <v>0.05</v>
      </c>
      <c r="AC241" s="51">
        <f>Y241*AB241</f>
        <v>0.05</v>
      </c>
      <c r="AD241" s="56">
        <v>0</v>
      </c>
      <c r="AE241" s="51">
        <f>$Y241*AD241</f>
        <v>0</v>
      </c>
      <c r="AF241" s="56">
        <v>0</v>
      </c>
      <c r="AG241" s="51">
        <f>$Y$10*AF241</f>
        <v>0</v>
      </c>
      <c r="AH241" s="56">
        <v>0</v>
      </c>
      <c r="AI241" s="51">
        <f>$Y241*AH241</f>
        <v>0</v>
      </c>
      <c r="AJ241" s="56">
        <v>0</v>
      </c>
      <c r="AK241" s="51">
        <f>$Y$10*AJ241</f>
        <v>0</v>
      </c>
      <c r="AL241" s="56">
        <v>1</v>
      </c>
      <c r="AM241" s="51">
        <f>$Y241*AL241</f>
        <v>1</v>
      </c>
      <c r="AN241" s="56">
        <v>0</v>
      </c>
      <c r="AO241" s="51">
        <f>$Y$10*AN241</f>
        <v>0</v>
      </c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</row>
    <row r="242" spans="1:64" s="50" customFormat="1" ht="15" customHeight="1" outlineLevel="1">
      <c r="A242" s="312" t="s">
        <v>781</v>
      </c>
      <c r="B242" s="313" t="s">
        <v>94</v>
      </c>
      <c r="C242" s="312"/>
      <c r="D242" s="310"/>
      <c r="E242" s="314" t="s">
        <v>782</v>
      </c>
      <c r="F242" s="38"/>
      <c r="G242" s="38" t="s">
        <v>97</v>
      </c>
      <c r="H242" s="38"/>
      <c r="I242" s="38" t="s">
        <v>34</v>
      </c>
      <c r="J242" s="38"/>
      <c r="K242" s="38"/>
      <c r="L242" s="396"/>
      <c r="M242" s="396"/>
      <c r="N242" s="38"/>
      <c r="O242" s="38"/>
      <c r="P242" s="38"/>
      <c r="Q242" s="38" t="s">
        <v>98</v>
      </c>
      <c r="R242" s="40"/>
      <c r="S242" s="383"/>
      <c r="T242" s="40" t="str" cm="1">
        <f t="array" ref="T242">IF(A242&lt;&gt;"",_xlfn.XLOOKUP(_xlfn.XLOOKUP(TRUE,F242:O242&lt;&gt;"",F242:O242,"-",-1,-1),F242:O242,$F$6:$O$6,,,-1),"")</f>
        <v>Add3</v>
      </c>
      <c r="U242" s="40"/>
      <c r="V242" s="132"/>
      <c r="W242" s="55" t="s">
        <v>435</v>
      </c>
      <c r="X242" s="55" t="s">
        <v>435</v>
      </c>
      <c r="Y242" s="52">
        <v>1</v>
      </c>
      <c r="Z242" s="56">
        <v>0</v>
      </c>
      <c r="AA242" s="51">
        <f>$Y242*Z242</f>
        <v>0</v>
      </c>
      <c r="AB242" s="56">
        <v>0.05</v>
      </c>
      <c r="AC242" s="51">
        <f>Y242*AB242</f>
        <v>0.05</v>
      </c>
      <c r="AD242" s="56">
        <v>0</v>
      </c>
      <c r="AE242" s="51">
        <f>$Y242*AD242</f>
        <v>0</v>
      </c>
      <c r="AF242" s="56">
        <v>0</v>
      </c>
      <c r="AG242" s="51">
        <f>$Y$10*AF242</f>
        <v>0</v>
      </c>
      <c r="AH242" s="56">
        <v>0</v>
      </c>
      <c r="AI242" s="51">
        <f>$Y242*AH242</f>
        <v>0</v>
      </c>
      <c r="AJ242" s="56">
        <v>0</v>
      </c>
      <c r="AK242" s="51">
        <f>$Y$10*AJ242</f>
        <v>0</v>
      </c>
      <c r="AL242" s="56">
        <v>1</v>
      </c>
      <c r="AM242" s="51">
        <f>$Y242*AL242</f>
        <v>1</v>
      </c>
      <c r="AN242" s="56">
        <v>0</v>
      </c>
      <c r="AO242" s="51">
        <f>$Y$10*AN242</f>
        <v>0</v>
      </c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</row>
    <row r="243" spans="1:64" s="50" customFormat="1" ht="15" customHeight="1" outlineLevel="1">
      <c r="A243" s="43"/>
      <c r="B243" s="43"/>
      <c r="C243" s="43"/>
      <c r="D243" s="38"/>
      <c r="E243" s="42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40"/>
      <c r="S243" s="40"/>
      <c r="T243" s="40"/>
      <c r="U243" s="40"/>
      <c r="V243" s="132"/>
      <c r="W243" s="55"/>
      <c r="X243" s="55"/>
      <c r="Y243" s="52"/>
      <c r="Z243" s="56"/>
      <c r="AA243" s="51"/>
      <c r="AB243" s="56"/>
      <c r="AC243" s="51"/>
      <c r="AD243" s="56"/>
      <c r="AE243" s="51"/>
      <c r="AF243" s="56"/>
      <c r="AG243" s="51"/>
      <c r="AH243" s="56"/>
      <c r="AI243" s="51"/>
      <c r="AJ243" s="56"/>
      <c r="AK243" s="51"/>
      <c r="AL243" s="56"/>
      <c r="AM243" s="51"/>
      <c r="AN243" s="56"/>
      <c r="AO243" s="51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</row>
    <row r="244" spans="1:64" s="50" customFormat="1" ht="15" customHeight="1" thickBot="1">
      <c r="A244" s="41"/>
      <c r="B244" s="41"/>
      <c r="C244" s="41"/>
      <c r="D244" s="38"/>
      <c r="E244" s="43" t="str">
        <f>"SUB-TOTAL "&amp;UPPER(A240)&amp;" DRAWINGS"</f>
        <v>SUB-TOTAL COLD PREPARATION WORKSHOP (B520) DRAWINGS</v>
      </c>
      <c r="F244" s="133">
        <f t="shared" ref="F244:P244" si="118">COUNTA(F241:F243)</f>
        <v>0</v>
      </c>
      <c r="G244" s="133">
        <f t="shared" si="118"/>
        <v>2</v>
      </c>
      <c r="H244" s="133">
        <f t="shared" si="118"/>
        <v>0</v>
      </c>
      <c r="I244" s="133">
        <f t="shared" si="118"/>
        <v>2</v>
      </c>
      <c r="J244" s="133">
        <f t="shared" si="118"/>
        <v>0</v>
      </c>
      <c r="K244" s="133">
        <f t="shared" si="118"/>
        <v>0</v>
      </c>
      <c r="L244" s="133">
        <f t="shared" si="118"/>
        <v>0</v>
      </c>
      <c r="M244" s="133"/>
      <c r="N244" s="133">
        <f t="shared" si="118"/>
        <v>0</v>
      </c>
      <c r="O244" s="133">
        <f t="shared" si="118"/>
        <v>0</v>
      </c>
      <c r="P244" s="133">
        <f t="shared" si="118"/>
        <v>0</v>
      </c>
      <c r="Q244" s="38"/>
      <c r="R244" s="36"/>
      <c r="S244" s="36"/>
      <c r="T244" s="36"/>
      <c r="U244" s="36"/>
      <c r="V244" s="55"/>
      <c r="W244" s="55"/>
      <c r="X244" s="55"/>
      <c r="Y244" s="52"/>
      <c r="Z244" s="56"/>
      <c r="AA244" s="51"/>
      <c r="AB244" s="56"/>
      <c r="AC244" s="51"/>
      <c r="AD244" s="56"/>
      <c r="AE244" s="51"/>
      <c r="AF244" s="56"/>
      <c r="AG244" s="51"/>
      <c r="AH244" s="56"/>
      <c r="AI244" s="51"/>
      <c r="AJ244" s="56"/>
      <c r="AK244" s="51"/>
      <c r="AL244" s="56"/>
      <c r="AM244" s="51"/>
      <c r="AN244" s="56"/>
      <c r="AO244" s="51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</row>
    <row r="245" spans="1:64" s="50" customFormat="1" ht="15" customHeight="1" thickTop="1">
      <c r="A245" s="41"/>
      <c r="B245" s="41"/>
      <c r="C245" s="41"/>
      <c r="D245" s="38"/>
      <c r="E245" s="43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6"/>
      <c r="S245" s="36"/>
      <c r="T245" s="36"/>
      <c r="U245" s="36"/>
      <c r="V245" s="55"/>
      <c r="W245" s="55"/>
      <c r="X245" s="55"/>
      <c r="Y245" s="52"/>
      <c r="Z245" s="56"/>
      <c r="AA245" s="51"/>
      <c r="AB245" s="56"/>
      <c r="AC245" s="51"/>
      <c r="AD245" s="56"/>
      <c r="AE245" s="51"/>
      <c r="AF245" s="56"/>
      <c r="AG245" s="51"/>
      <c r="AH245" s="56"/>
      <c r="AI245" s="51"/>
      <c r="AJ245" s="56"/>
      <c r="AK245" s="51"/>
      <c r="AL245" s="56"/>
      <c r="AM245" s="51"/>
      <c r="AN245" s="56"/>
      <c r="AO245" s="51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</row>
    <row r="246" spans="1:64" s="50" customFormat="1" ht="18" customHeight="1">
      <c r="A246" s="32" t="s">
        <v>416</v>
      </c>
      <c r="B246" s="32"/>
      <c r="C246" s="32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53"/>
      <c r="W246" s="53"/>
      <c r="X246" s="53"/>
      <c r="Y246" s="54"/>
      <c r="Z246" s="79"/>
      <c r="AA246" s="51"/>
      <c r="AB246" s="79"/>
      <c r="AC246" s="51"/>
      <c r="AD246" s="79"/>
      <c r="AE246" s="51"/>
      <c r="AF246" s="79"/>
      <c r="AG246" s="51"/>
      <c r="AH246" s="79"/>
      <c r="AI246" s="51"/>
      <c r="AJ246" s="79"/>
      <c r="AK246" s="51"/>
      <c r="AL246" s="79"/>
      <c r="AM246" s="51"/>
      <c r="AN246" s="79"/>
      <c r="AO246" s="51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</row>
    <row r="247" spans="1:64" s="50" customFormat="1" ht="15" customHeight="1" outlineLevel="1">
      <c r="A247" s="312" t="s">
        <v>783</v>
      </c>
      <c r="B247" s="241" t="s">
        <v>94</v>
      </c>
      <c r="C247" s="42"/>
      <c r="D247" s="38"/>
      <c r="E247" s="314" t="s">
        <v>784</v>
      </c>
      <c r="F247" s="38"/>
      <c r="G247" s="310" t="s">
        <v>97</v>
      </c>
      <c r="H247" s="310" t="s">
        <v>34</v>
      </c>
      <c r="I247" s="38"/>
      <c r="J247" s="38"/>
      <c r="K247" s="338"/>
      <c r="L247" s="396"/>
      <c r="M247" s="396"/>
      <c r="N247" s="338"/>
      <c r="O247" s="338"/>
      <c r="P247" s="38"/>
      <c r="Q247" s="310" t="s">
        <v>98</v>
      </c>
      <c r="R247" s="40"/>
      <c r="S247" s="395"/>
      <c r="T247" s="395"/>
      <c r="U247" s="40"/>
      <c r="V247" s="55"/>
      <c r="W247" s="55" t="s">
        <v>435</v>
      </c>
      <c r="X247" s="55" t="s">
        <v>435</v>
      </c>
      <c r="Y247" s="52">
        <v>1</v>
      </c>
      <c r="Z247" s="56">
        <v>0</v>
      </c>
      <c r="AA247" s="51">
        <f>$Y247*Z247</f>
        <v>0</v>
      </c>
      <c r="AB247" s="56">
        <v>0.05</v>
      </c>
      <c r="AC247" s="51">
        <f>Y247*AB247</f>
        <v>0.05</v>
      </c>
      <c r="AD247" s="56">
        <v>0</v>
      </c>
      <c r="AE247" s="51">
        <f>$Y247*AD247</f>
        <v>0</v>
      </c>
      <c r="AF247" s="56">
        <v>0</v>
      </c>
      <c r="AG247" s="51">
        <f>$Y$10*AF247</f>
        <v>0</v>
      </c>
      <c r="AH247" s="56">
        <v>0</v>
      </c>
      <c r="AI247" s="51">
        <f>$Y247*AH247</f>
        <v>0</v>
      </c>
      <c r="AJ247" s="56">
        <v>0</v>
      </c>
      <c r="AK247" s="51">
        <f>$Y$10*AJ247</f>
        <v>0</v>
      </c>
      <c r="AL247" s="56">
        <v>1</v>
      </c>
      <c r="AM247" s="51">
        <f>$Y247*AL247</f>
        <v>1</v>
      </c>
      <c r="AN247" s="56">
        <v>0</v>
      </c>
      <c r="AO247" s="51">
        <f>$Y$10*AN247</f>
        <v>0</v>
      </c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</row>
    <row r="248" spans="1:64" s="50" customFormat="1" ht="15" customHeight="1" outlineLevel="1">
      <c r="A248" s="43"/>
      <c r="B248" s="43"/>
      <c r="C248" s="43"/>
      <c r="D248" s="38"/>
      <c r="E248" s="42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40"/>
      <c r="S248" s="40"/>
      <c r="T248" s="40"/>
      <c r="U248" s="40"/>
      <c r="V248" s="132"/>
      <c r="W248" s="55"/>
      <c r="X248" s="55"/>
      <c r="Y248" s="52"/>
      <c r="Z248" s="56"/>
      <c r="AA248" s="51"/>
      <c r="AB248" s="56"/>
      <c r="AC248" s="51"/>
      <c r="AD248" s="56"/>
      <c r="AE248" s="51"/>
      <c r="AF248" s="56"/>
      <c r="AG248" s="51"/>
      <c r="AH248" s="56"/>
      <c r="AI248" s="51"/>
      <c r="AJ248" s="56"/>
      <c r="AK248" s="51"/>
      <c r="AL248" s="56"/>
      <c r="AM248" s="51"/>
      <c r="AN248" s="56"/>
      <c r="AO248" s="51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</row>
    <row r="249" spans="1:64" s="50" customFormat="1" ht="15" customHeight="1" thickBot="1">
      <c r="A249" s="41"/>
      <c r="B249" s="41"/>
      <c r="C249" s="41"/>
      <c r="D249" s="38"/>
      <c r="E249" s="43" t="str">
        <f>"SUB-TOTAL "&amp;UPPER(A246)&amp;" DRAWINGS"</f>
        <v>SUB-TOTAL TBM WORKSHOP (B561) DRAWINGS</v>
      </c>
      <c r="F249" s="133">
        <f t="shared" ref="F249:P249" si="119">COUNTA(F247:F248)</f>
        <v>0</v>
      </c>
      <c r="G249" s="133">
        <f t="shared" si="119"/>
        <v>1</v>
      </c>
      <c r="H249" s="133">
        <f t="shared" si="119"/>
        <v>1</v>
      </c>
      <c r="I249" s="133">
        <f t="shared" si="119"/>
        <v>0</v>
      </c>
      <c r="J249" s="133">
        <f t="shared" si="119"/>
        <v>0</v>
      </c>
      <c r="K249" s="133">
        <f t="shared" si="119"/>
        <v>0</v>
      </c>
      <c r="L249" s="133">
        <f t="shared" si="119"/>
        <v>0</v>
      </c>
      <c r="M249" s="133"/>
      <c r="N249" s="133">
        <f t="shared" si="119"/>
        <v>0</v>
      </c>
      <c r="O249" s="133">
        <f t="shared" si="119"/>
        <v>0</v>
      </c>
      <c r="P249" s="133">
        <f t="shared" si="119"/>
        <v>0</v>
      </c>
      <c r="Q249" s="38"/>
      <c r="R249" s="38"/>
      <c r="S249" s="36"/>
      <c r="T249" s="36"/>
      <c r="U249" s="36"/>
      <c r="V249" s="55"/>
      <c r="W249" s="55"/>
      <c r="X249" s="55"/>
      <c r="Y249" s="52"/>
      <c r="Z249" s="56"/>
      <c r="AA249" s="51"/>
      <c r="AB249" s="56"/>
      <c r="AC249" s="51"/>
      <c r="AD249" s="56"/>
      <c r="AE249" s="51"/>
      <c r="AF249" s="56"/>
      <c r="AG249" s="51"/>
      <c r="AH249" s="56"/>
      <c r="AI249" s="51"/>
      <c r="AJ249" s="56"/>
      <c r="AK249" s="51"/>
      <c r="AL249" s="56"/>
      <c r="AM249" s="51"/>
      <c r="AN249" s="56"/>
      <c r="AO249" s="51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</row>
    <row r="250" spans="1:64" s="50" customFormat="1" ht="15" customHeight="1" thickTop="1">
      <c r="A250" s="41"/>
      <c r="B250" s="41"/>
      <c r="C250" s="41"/>
      <c r="D250" s="38"/>
      <c r="E250" s="43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6"/>
      <c r="S250" s="36"/>
      <c r="T250" s="36"/>
      <c r="U250" s="36"/>
      <c r="V250" s="55"/>
      <c r="W250" s="55"/>
      <c r="X250" s="55"/>
      <c r="Y250" s="52"/>
      <c r="Z250" s="56"/>
      <c r="AA250" s="51"/>
      <c r="AB250" s="56"/>
      <c r="AC250" s="51"/>
      <c r="AD250" s="56"/>
      <c r="AE250" s="51"/>
      <c r="AF250" s="56"/>
      <c r="AG250" s="51"/>
      <c r="AH250" s="56"/>
      <c r="AI250" s="51"/>
      <c r="AJ250" s="56"/>
      <c r="AK250" s="51"/>
      <c r="AL250" s="56"/>
      <c r="AM250" s="51"/>
      <c r="AN250" s="56"/>
      <c r="AO250" s="51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</row>
    <row r="251" spans="1:64" s="37" customFormat="1" ht="18" customHeight="1">
      <c r="A251" s="32" t="s">
        <v>785</v>
      </c>
      <c r="B251" s="32"/>
      <c r="C251" s="32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53"/>
      <c r="W251" s="53"/>
      <c r="X251" s="53"/>
      <c r="Y251" s="54"/>
      <c r="Z251" s="79"/>
      <c r="AA251" s="51"/>
      <c r="AB251" s="79"/>
      <c r="AC251" s="51"/>
      <c r="AD251" s="79"/>
      <c r="AE251" s="51"/>
      <c r="AF251" s="79"/>
      <c r="AG251" s="51"/>
      <c r="AH251" s="79"/>
      <c r="AI251" s="51"/>
      <c r="AJ251" s="79"/>
      <c r="AK251" s="51"/>
      <c r="AL251" s="79"/>
      <c r="AM251" s="51"/>
      <c r="AN251" s="79"/>
      <c r="AO251" s="51"/>
    </row>
    <row r="252" spans="1:64" s="37" customFormat="1" ht="15" customHeight="1" outlineLevel="1">
      <c r="A252" s="42" t="s">
        <v>786</v>
      </c>
      <c r="B252" s="241" t="s">
        <v>94</v>
      </c>
      <c r="D252" s="38"/>
      <c r="E252" s="57" t="s">
        <v>787</v>
      </c>
      <c r="F252" s="38"/>
      <c r="G252" s="38"/>
      <c r="H252" s="236" t="s">
        <v>97</v>
      </c>
      <c r="I252" s="236" t="s">
        <v>34</v>
      </c>
      <c r="J252" s="236"/>
      <c r="K252" s="38"/>
      <c r="L252" s="38" t="s">
        <v>31</v>
      </c>
      <c r="M252" s="38"/>
      <c r="N252" s="38" t="s">
        <v>116</v>
      </c>
      <c r="O252" s="38"/>
      <c r="P252" s="38">
        <v>0</v>
      </c>
      <c r="Q252" s="38" t="s">
        <v>98</v>
      </c>
      <c r="R252" s="40"/>
      <c r="S252" s="40"/>
      <c r="T252" s="40" t="str" cm="1">
        <f t="array" ref="T252">IF(A252&lt;&gt;"",_xlfn.XLOOKUP(_xlfn.XLOOKUP(TRUE,F252:O252&lt;&gt;"",F252:O252,"-",-1,-1),F252:O252,$F$6:$O$6,,,-1),"")</f>
        <v>Add8</v>
      </c>
      <c r="U252" s="40"/>
      <c r="V252" s="55"/>
      <c r="W252" s="55" t="s">
        <v>435</v>
      </c>
      <c r="X252" s="55" t="s">
        <v>542</v>
      </c>
      <c r="Y252" s="52">
        <v>2</v>
      </c>
      <c r="Z252" s="56">
        <v>0</v>
      </c>
      <c r="AA252" s="51">
        <f>$Y252*Z252</f>
        <v>0</v>
      </c>
      <c r="AB252" s="56">
        <v>0.05</v>
      </c>
      <c r="AC252" s="51">
        <f>Y252*AB252</f>
        <v>0.1</v>
      </c>
      <c r="AD252" s="56">
        <v>0</v>
      </c>
      <c r="AE252" s="51">
        <f>$Y252*AD252</f>
        <v>0</v>
      </c>
      <c r="AF252" s="56">
        <v>0</v>
      </c>
      <c r="AG252" s="51">
        <f>$Y$10*AF252</f>
        <v>0</v>
      </c>
      <c r="AH252" s="56">
        <v>0</v>
      </c>
      <c r="AI252" s="51">
        <f>$Y252*AH252</f>
        <v>0</v>
      </c>
      <c r="AJ252" s="56">
        <v>0</v>
      </c>
      <c r="AK252" s="51">
        <f>$Y$10*AJ252</f>
        <v>0</v>
      </c>
      <c r="AL252" s="56">
        <v>1</v>
      </c>
      <c r="AM252" s="51">
        <f>$Y252*AL252</f>
        <v>2</v>
      </c>
      <c r="AN252" s="56">
        <v>0</v>
      </c>
      <c r="AO252" s="51">
        <f>$Y$10*AN252</f>
        <v>0</v>
      </c>
    </row>
    <row r="253" spans="1:64" s="37" customFormat="1" ht="15" customHeight="1" outlineLevel="1">
      <c r="A253" s="42" t="s">
        <v>788</v>
      </c>
      <c r="B253" s="241" t="s">
        <v>94</v>
      </c>
      <c r="C253" s="43"/>
      <c r="D253" s="38"/>
      <c r="E253" s="57" t="s">
        <v>789</v>
      </c>
      <c r="F253" s="38"/>
      <c r="G253" s="38"/>
      <c r="H253" s="236" t="s">
        <v>97</v>
      </c>
      <c r="I253" s="236" t="s">
        <v>34</v>
      </c>
      <c r="J253" s="236"/>
      <c r="K253" s="38"/>
      <c r="L253" s="38" t="s">
        <v>31</v>
      </c>
      <c r="M253" s="38"/>
      <c r="N253" s="38"/>
      <c r="O253" s="38"/>
      <c r="P253" s="38">
        <v>0</v>
      </c>
      <c r="Q253" s="38" t="s">
        <v>98</v>
      </c>
      <c r="R253" s="40"/>
      <c r="S253" s="40"/>
      <c r="T253" s="40" t="str" cm="1">
        <f t="array" ref="T253">IF(A253&lt;&gt;"",_xlfn.XLOOKUP(_xlfn.XLOOKUP(TRUE,F253:O253&lt;&gt;"",F253:O253,"-",-1,-1),F253:O253,$F$6:$O$6,,,-1),"")</f>
        <v>Add7</v>
      </c>
      <c r="U253" s="40"/>
      <c r="V253" s="132"/>
      <c r="W253" s="55" t="s">
        <v>435</v>
      </c>
      <c r="X253" s="55" t="s">
        <v>542</v>
      </c>
      <c r="Y253" s="52">
        <v>2</v>
      </c>
      <c r="Z253" s="56">
        <v>0</v>
      </c>
      <c r="AA253" s="51">
        <f>$Y253*Z253</f>
        <v>0</v>
      </c>
      <c r="AB253" s="56">
        <v>0.05</v>
      </c>
      <c r="AC253" s="51">
        <f>Y253*AB253</f>
        <v>0.1</v>
      </c>
      <c r="AD253" s="56">
        <v>0</v>
      </c>
      <c r="AE253" s="51">
        <f>$Y253*AD253</f>
        <v>0</v>
      </c>
      <c r="AF253" s="56">
        <v>0</v>
      </c>
      <c r="AG253" s="51">
        <f>$Y$10*AF253</f>
        <v>0</v>
      </c>
      <c r="AH253" s="56">
        <v>0</v>
      </c>
      <c r="AI253" s="51">
        <f>$Y253*AH253</f>
        <v>0</v>
      </c>
      <c r="AJ253" s="56">
        <v>0</v>
      </c>
      <c r="AK253" s="51">
        <f>$Y$10*AJ253</f>
        <v>0</v>
      </c>
      <c r="AL253" s="56">
        <v>1</v>
      </c>
      <c r="AM253" s="51">
        <f>$Y253*AL253</f>
        <v>2</v>
      </c>
      <c r="AN253" s="56">
        <v>0</v>
      </c>
      <c r="AO253" s="51">
        <f>$Y$10*AN253</f>
        <v>0</v>
      </c>
    </row>
    <row r="254" spans="1:64" s="37" customFormat="1" ht="15" customHeight="1" outlineLevel="1">
      <c r="A254" s="42" t="s">
        <v>790</v>
      </c>
      <c r="B254" s="241" t="s">
        <v>94</v>
      </c>
      <c r="C254" s="43"/>
      <c r="D254" s="38"/>
      <c r="E254" s="57" t="s">
        <v>791</v>
      </c>
      <c r="F254" s="38"/>
      <c r="G254" s="38"/>
      <c r="H254" s="236" t="s">
        <v>97</v>
      </c>
      <c r="I254" s="236" t="s">
        <v>34</v>
      </c>
      <c r="J254" s="236"/>
      <c r="K254" s="38"/>
      <c r="L254" s="38" t="s">
        <v>31</v>
      </c>
      <c r="M254" s="38"/>
      <c r="N254" s="38"/>
      <c r="O254" s="38"/>
      <c r="P254" s="38">
        <v>0</v>
      </c>
      <c r="Q254" s="38" t="s">
        <v>98</v>
      </c>
      <c r="R254" s="40"/>
      <c r="S254" s="40"/>
      <c r="T254" s="40" t="str" cm="1">
        <f t="array" ref="T254">IF(A254&lt;&gt;"",_xlfn.XLOOKUP(_xlfn.XLOOKUP(TRUE,F254:O254&lt;&gt;"",F254:O254,"-",-1,-1),F254:O254,$F$6:$O$6,,,-1),"")</f>
        <v>Add7</v>
      </c>
      <c r="U254" s="40"/>
      <c r="V254" s="132"/>
      <c r="W254" s="55" t="s">
        <v>435</v>
      </c>
      <c r="X254" s="55" t="s">
        <v>542</v>
      </c>
      <c r="Y254" s="52">
        <v>2</v>
      </c>
      <c r="Z254" s="56">
        <v>0</v>
      </c>
      <c r="AA254" s="51">
        <f>$Y254*Z254</f>
        <v>0</v>
      </c>
      <c r="AB254" s="56">
        <v>0.05</v>
      </c>
      <c r="AC254" s="51">
        <f>Y254*AB254</f>
        <v>0.1</v>
      </c>
      <c r="AD254" s="56">
        <v>0</v>
      </c>
      <c r="AE254" s="51">
        <f>$Y254*AD254</f>
        <v>0</v>
      </c>
      <c r="AF254" s="56">
        <v>0</v>
      </c>
      <c r="AG254" s="51">
        <f>$Y$10*AF254</f>
        <v>0</v>
      </c>
      <c r="AH254" s="56">
        <v>0</v>
      </c>
      <c r="AI254" s="51">
        <f>$Y254*AH254</f>
        <v>0</v>
      </c>
      <c r="AJ254" s="56">
        <v>0</v>
      </c>
      <c r="AK254" s="51">
        <f>$Y$10*AJ254</f>
        <v>0</v>
      </c>
      <c r="AL254" s="56">
        <v>1</v>
      </c>
      <c r="AM254" s="51">
        <f>$Y254*AL254</f>
        <v>2</v>
      </c>
      <c r="AN254" s="56">
        <v>0</v>
      </c>
      <c r="AO254" s="51">
        <f>$Y$10*AN254</f>
        <v>0</v>
      </c>
    </row>
    <row r="255" spans="1:64" s="37" customFormat="1" ht="15" customHeight="1" outlineLevel="1">
      <c r="A255" s="42" t="s">
        <v>792</v>
      </c>
      <c r="B255" s="241" t="s">
        <v>94</v>
      </c>
      <c r="C255" s="43"/>
      <c r="D255" s="38"/>
      <c r="E255" s="57" t="s">
        <v>793</v>
      </c>
      <c r="F255" s="38"/>
      <c r="G255" s="38"/>
      <c r="H255" s="236"/>
      <c r="I255" s="236" t="s">
        <v>97</v>
      </c>
      <c r="J255" s="236"/>
      <c r="K255" s="38"/>
      <c r="L255" s="38" t="s">
        <v>34</v>
      </c>
      <c r="M255" s="38"/>
      <c r="N255" s="38"/>
      <c r="O255" s="38"/>
      <c r="P255" s="38">
        <v>0</v>
      </c>
      <c r="Q255" s="38" t="s">
        <v>98</v>
      </c>
      <c r="R255" s="40"/>
      <c r="S255" s="40"/>
      <c r="T255" s="40" t="str" cm="1">
        <f t="array" ref="T255">IF(A255&lt;&gt;"",_xlfn.XLOOKUP(_xlfn.XLOOKUP(TRUE,F255:O255&lt;&gt;"",F255:O255,"-",-1,-1),F255:O255,$F$6:$O$6,,,-1),"")</f>
        <v>Add7</v>
      </c>
      <c r="U255" s="40"/>
      <c r="V255" s="132"/>
      <c r="W255" s="55" t="s">
        <v>435</v>
      </c>
      <c r="X255" s="55" t="s">
        <v>542</v>
      </c>
      <c r="Y255" s="52">
        <v>2</v>
      </c>
      <c r="Z255" s="56">
        <v>0</v>
      </c>
      <c r="AA255" s="51">
        <f>$Y255*Z255</f>
        <v>0</v>
      </c>
      <c r="AB255" s="56">
        <v>0.05</v>
      </c>
      <c r="AC255" s="51">
        <f>Y255*AB255</f>
        <v>0.1</v>
      </c>
      <c r="AD255" s="56">
        <v>0</v>
      </c>
      <c r="AE255" s="51">
        <f>$Y255*AD255</f>
        <v>0</v>
      </c>
      <c r="AF255" s="56">
        <v>0</v>
      </c>
      <c r="AG255" s="51">
        <f>$Y$10*AF255</f>
        <v>0</v>
      </c>
      <c r="AH255" s="56">
        <v>0</v>
      </c>
      <c r="AI255" s="51">
        <f>$Y255*AH255</f>
        <v>0</v>
      </c>
      <c r="AJ255" s="56">
        <v>0</v>
      </c>
      <c r="AK255" s="51">
        <f>$Y$10*AJ255</f>
        <v>0</v>
      </c>
      <c r="AL255" s="56">
        <v>1</v>
      </c>
      <c r="AM255" s="51">
        <f>$Y255*AL255</f>
        <v>2</v>
      </c>
      <c r="AN255" s="56">
        <v>0</v>
      </c>
      <c r="AO255" s="51">
        <f>$Y$10*AN255</f>
        <v>0</v>
      </c>
    </row>
    <row r="256" spans="1:64" s="37" customFormat="1" ht="15" customHeight="1" outlineLevel="1">
      <c r="A256" s="42"/>
      <c r="B256" s="241"/>
      <c r="C256" s="43"/>
      <c r="D256" s="38"/>
      <c r="E256" s="57"/>
      <c r="F256" s="38"/>
      <c r="G256" s="38"/>
      <c r="H256" s="236"/>
      <c r="I256" s="236"/>
      <c r="J256" s="236"/>
      <c r="K256" s="38"/>
      <c r="L256" s="38"/>
      <c r="M256" s="38"/>
      <c r="N256" s="38"/>
      <c r="O256" s="38"/>
      <c r="P256" s="38"/>
      <c r="Q256" s="38"/>
      <c r="R256" s="40"/>
      <c r="S256" s="40"/>
      <c r="T256" s="40"/>
      <c r="U256" s="40"/>
      <c r="V256" s="132"/>
      <c r="W256" s="55"/>
      <c r="X256" s="55"/>
      <c r="Y256" s="52"/>
      <c r="Z256" s="56"/>
      <c r="AA256" s="51"/>
      <c r="AB256" s="56"/>
      <c r="AC256" s="51"/>
      <c r="AD256" s="56"/>
      <c r="AE256" s="51"/>
      <c r="AF256" s="56"/>
      <c r="AG256" s="51"/>
      <c r="AH256" s="56"/>
      <c r="AI256" s="51"/>
      <c r="AJ256" s="56"/>
      <c r="AK256" s="51"/>
      <c r="AL256" s="56"/>
      <c r="AM256" s="51"/>
      <c r="AN256" s="56"/>
      <c r="AO256" s="51"/>
    </row>
    <row r="257" spans="1:64" s="37" customFormat="1" ht="15" customHeight="1" outlineLevel="1">
      <c r="A257" s="43"/>
      <c r="B257" s="43"/>
      <c r="C257" s="43"/>
      <c r="D257" s="38"/>
      <c r="E257" s="42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40"/>
      <c r="S257" s="40"/>
      <c r="T257" s="40"/>
      <c r="U257" s="40"/>
      <c r="V257" s="132"/>
      <c r="W257" s="55"/>
      <c r="X257" s="55"/>
      <c r="Y257" s="52"/>
      <c r="Z257" s="56"/>
      <c r="AA257" s="51"/>
      <c r="AB257" s="56"/>
      <c r="AC257" s="51"/>
      <c r="AD257" s="56"/>
      <c r="AE257" s="51"/>
      <c r="AF257" s="56"/>
      <c r="AG257" s="51"/>
      <c r="AH257" s="56"/>
      <c r="AI257" s="51"/>
      <c r="AJ257" s="56"/>
      <c r="AK257" s="51"/>
      <c r="AL257" s="56"/>
      <c r="AM257" s="51"/>
      <c r="AN257" s="56"/>
      <c r="AO257" s="51"/>
    </row>
    <row r="258" spans="1:64" s="37" customFormat="1" ht="15" customHeight="1" thickBot="1">
      <c r="A258" s="41"/>
      <c r="B258" s="41"/>
      <c r="C258" s="41"/>
      <c r="D258" s="38"/>
      <c r="E258" s="43" t="str">
        <f>"SUB-TOTAL "&amp;UPPER(A251)&amp;" DRAWINGS"</f>
        <v>SUB-TOTAL OUTSIDE BUILDING WORK DRAWINGS</v>
      </c>
      <c r="F258" s="133">
        <f t="shared" ref="F258:P258" si="120">COUNTA(F252:F257)</f>
        <v>0</v>
      </c>
      <c r="G258" s="133">
        <f t="shared" si="120"/>
        <v>0</v>
      </c>
      <c r="H258" s="133">
        <f t="shared" si="120"/>
        <v>3</v>
      </c>
      <c r="I258" s="133">
        <f t="shared" si="120"/>
        <v>4</v>
      </c>
      <c r="J258" s="133">
        <f t="shared" si="120"/>
        <v>0</v>
      </c>
      <c r="K258" s="133">
        <f t="shared" si="120"/>
        <v>0</v>
      </c>
      <c r="L258" s="133">
        <f t="shared" si="120"/>
        <v>4</v>
      </c>
      <c r="M258" s="133"/>
      <c r="N258" s="133">
        <f t="shared" si="120"/>
        <v>1</v>
      </c>
      <c r="O258" s="133">
        <f t="shared" si="120"/>
        <v>0</v>
      </c>
      <c r="P258" s="133">
        <f t="shared" si="120"/>
        <v>4</v>
      </c>
      <c r="Q258" s="38"/>
      <c r="R258" s="36"/>
      <c r="S258" s="36"/>
      <c r="T258" s="36"/>
      <c r="U258" s="36"/>
      <c r="V258" s="55"/>
      <c r="W258" s="55"/>
      <c r="X258" s="55"/>
      <c r="Y258" s="52"/>
      <c r="Z258" s="56"/>
      <c r="AA258" s="51"/>
      <c r="AB258" s="56"/>
      <c r="AC258" s="51"/>
      <c r="AD258" s="56"/>
      <c r="AE258" s="51"/>
      <c r="AF258" s="56"/>
      <c r="AG258" s="51"/>
      <c r="AH258" s="56"/>
      <c r="AI258" s="51"/>
      <c r="AJ258" s="56"/>
      <c r="AK258" s="51"/>
      <c r="AL258" s="56"/>
      <c r="AM258" s="51"/>
      <c r="AN258" s="56"/>
      <c r="AO258" s="51"/>
    </row>
    <row r="259" spans="1:64" s="37" customFormat="1" ht="15" customHeight="1" thickTop="1">
      <c r="A259" s="41"/>
      <c r="B259" s="41"/>
      <c r="C259" s="41"/>
      <c r="D259" s="38"/>
      <c r="E259" s="43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6"/>
      <c r="S259" s="36"/>
      <c r="T259" s="36"/>
      <c r="U259" s="36"/>
      <c r="V259" s="55"/>
      <c r="W259" s="55"/>
      <c r="X259" s="55"/>
      <c r="Y259" s="52"/>
      <c r="Z259" s="56"/>
      <c r="AA259" s="51"/>
      <c r="AB259" s="56"/>
      <c r="AC259" s="51"/>
      <c r="AD259" s="56"/>
      <c r="AE259" s="51"/>
      <c r="AF259" s="56"/>
      <c r="AG259" s="51"/>
      <c r="AH259" s="56"/>
      <c r="AI259" s="51"/>
      <c r="AJ259" s="56"/>
      <c r="AK259" s="51"/>
      <c r="AL259" s="56"/>
      <c r="AM259" s="51"/>
      <c r="AN259" s="56"/>
      <c r="AO259" s="51"/>
    </row>
    <row r="260" spans="1:64" s="50" customFormat="1" ht="18" customHeight="1">
      <c r="A260" s="32" t="s">
        <v>794</v>
      </c>
      <c r="B260" s="32"/>
      <c r="C260" s="32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53"/>
      <c r="W260" s="53"/>
      <c r="X260" s="53"/>
      <c r="Y260" s="54"/>
      <c r="Z260" s="79"/>
      <c r="AA260" s="51"/>
      <c r="AB260" s="79"/>
      <c r="AC260" s="51"/>
      <c r="AD260" s="51"/>
      <c r="AE260" s="51"/>
      <c r="AF260" s="51"/>
      <c r="AG260" s="51"/>
      <c r="AH260" s="79"/>
      <c r="AI260" s="51"/>
      <c r="AJ260" s="79"/>
      <c r="AK260" s="51"/>
      <c r="AL260" s="51"/>
      <c r="AM260" s="51"/>
      <c r="AN260" s="51"/>
      <c r="AO260" s="51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</row>
    <row r="261" spans="1:64" s="50" customFormat="1" ht="15" customHeight="1" outlineLevel="1">
      <c r="A261" s="42" t="s">
        <v>795</v>
      </c>
      <c r="B261" s="37"/>
      <c r="C261" s="37"/>
      <c r="D261" s="38"/>
      <c r="E261" s="41" t="s">
        <v>796</v>
      </c>
      <c r="F261" s="38" t="s">
        <v>34</v>
      </c>
      <c r="G261" s="38"/>
      <c r="H261" s="38" t="s">
        <v>31</v>
      </c>
      <c r="I261" s="38"/>
      <c r="J261" s="38" t="s">
        <v>116</v>
      </c>
      <c r="K261" s="38"/>
      <c r="L261" s="38"/>
      <c r="M261" s="38"/>
      <c r="N261" s="38"/>
      <c r="O261" s="38"/>
      <c r="P261" s="38">
        <v>0</v>
      </c>
      <c r="Q261" s="38" t="s">
        <v>98</v>
      </c>
      <c r="R261" s="40"/>
      <c r="S261" s="40"/>
      <c r="T261" s="40" t="str" cm="1">
        <f t="array" ref="T261">IF(A261&lt;&gt;"",_xlfn.XLOOKUP(_xlfn.XLOOKUP(TRUE,F261:O261&lt;&gt;"",F261:O261,"-",-1,-1),F261:O261,$F$6:$O$6,,,-1),"")</f>
        <v>Add5</v>
      </c>
      <c r="U261" s="40"/>
      <c r="V261" s="55"/>
      <c r="W261" s="55"/>
      <c r="X261" s="55"/>
      <c r="Y261" s="52"/>
      <c r="Z261" s="56"/>
      <c r="AA261" s="51"/>
      <c r="AB261" s="56"/>
      <c r="AC261" s="51"/>
      <c r="AD261" s="56"/>
      <c r="AE261" s="51"/>
      <c r="AF261" s="56"/>
      <c r="AG261" s="51"/>
      <c r="AH261" s="56"/>
      <c r="AI261" s="51"/>
      <c r="AJ261" s="56"/>
      <c r="AK261" s="51"/>
      <c r="AL261" s="56"/>
      <c r="AM261" s="51"/>
      <c r="AN261" s="56"/>
      <c r="AO261" s="51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</row>
    <row r="262" spans="1:64" s="50" customFormat="1" ht="15" customHeight="1" outlineLevel="1">
      <c r="A262" s="42" t="s">
        <v>797</v>
      </c>
      <c r="B262" s="43"/>
      <c r="C262" s="43"/>
      <c r="D262" s="38"/>
      <c r="E262" s="41" t="s">
        <v>798</v>
      </c>
      <c r="F262" s="38" t="s">
        <v>34</v>
      </c>
      <c r="G262" s="38" t="s">
        <v>31</v>
      </c>
      <c r="H262" s="38" t="s">
        <v>116</v>
      </c>
      <c r="I262" s="38"/>
      <c r="J262" s="38" t="s">
        <v>38</v>
      </c>
      <c r="K262" s="38"/>
      <c r="L262" s="38" t="s">
        <v>28</v>
      </c>
      <c r="M262" s="38"/>
      <c r="N262" s="38"/>
      <c r="O262" s="38"/>
      <c r="P262" s="38">
        <v>0</v>
      </c>
      <c r="Q262" s="38" t="s">
        <v>98</v>
      </c>
      <c r="R262" s="40"/>
      <c r="S262" s="40"/>
      <c r="T262" s="40" t="str" cm="1">
        <f t="array" ref="T262">IF(A262&lt;&gt;"",_xlfn.XLOOKUP(_xlfn.XLOOKUP(TRUE,F262:O262&lt;&gt;"",F262:O262,"-",-1,-1),F262:O262,$F$6:$O$6,,,-1),"")</f>
        <v>Add7</v>
      </c>
      <c r="U262" s="40"/>
      <c r="V262" s="132"/>
      <c r="W262" s="55"/>
      <c r="X262" s="55"/>
      <c r="Y262" s="52"/>
      <c r="Z262" s="56"/>
      <c r="AA262" s="51"/>
      <c r="AB262" s="56"/>
      <c r="AC262" s="51"/>
      <c r="AD262" s="56"/>
      <c r="AE262" s="51"/>
      <c r="AF262" s="56"/>
      <c r="AG262" s="51"/>
      <c r="AH262" s="56"/>
      <c r="AI262" s="51"/>
      <c r="AJ262" s="56"/>
      <c r="AK262" s="51"/>
      <c r="AL262" s="56"/>
      <c r="AM262" s="51"/>
      <c r="AN262" s="56"/>
      <c r="AO262" s="51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</row>
    <row r="263" spans="1:64" s="50" customFormat="1" outlineLevel="1">
      <c r="A263" s="42" t="s">
        <v>799</v>
      </c>
      <c r="B263" s="43"/>
      <c r="C263" s="43"/>
      <c r="D263" s="38"/>
      <c r="E263" s="213" t="s">
        <v>800</v>
      </c>
      <c r="F263" s="38" t="s">
        <v>97</v>
      </c>
      <c r="G263" s="38" t="s">
        <v>34</v>
      </c>
      <c r="H263" s="38" t="s">
        <v>31</v>
      </c>
      <c r="I263" s="38"/>
      <c r="J263" s="38"/>
      <c r="K263" s="38"/>
      <c r="L263" s="38"/>
      <c r="M263" s="38"/>
      <c r="N263" s="38"/>
      <c r="O263" s="38"/>
      <c r="P263" s="38">
        <v>0</v>
      </c>
      <c r="Q263" s="38" t="s">
        <v>98</v>
      </c>
      <c r="R263" s="40"/>
      <c r="S263" s="40"/>
      <c r="T263" s="40" t="str" cm="1">
        <f t="array" ref="T263">IF(A263&lt;&gt;"",_xlfn.XLOOKUP(_xlfn.XLOOKUP(TRUE,F263:O263&lt;&gt;"",F263:O263,"-",-1,-1),F263:O263,$F$6:$O$6,,,-1),"")</f>
        <v>Add2</v>
      </c>
      <c r="U263" s="40"/>
      <c r="V263" s="132"/>
      <c r="W263" s="55"/>
      <c r="X263" s="55"/>
      <c r="Y263" s="52"/>
      <c r="Z263" s="56"/>
      <c r="AA263" s="51"/>
      <c r="AB263" s="56"/>
      <c r="AC263" s="51"/>
      <c r="AD263" s="56"/>
      <c r="AE263" s="51"/>
      <c r="AF263" s="56"/>
      <c r="AG263" s="51"/>
      <c r="AH263" s="56"/>
      <c r="AI263" s="51"/>
      <c r="AJ263" s="56"/>
      <c r="AK263" s="51"/>
      <c r="AL263" s="56"/>
      <c r="AM263" s="51"/>
      <c r="AN263" s="56"/>
      <c r="AO263" s="51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</row>
    <row r="264" spans="1:64" s="50" customFormat="1" ht="15" customHeight="1" outlineLevel="1">
      <c r="A264" s="42" t="s">
        <v>801</v>
      </c>
      <c r="B264" s="43"/>
      <c r="C264" s="43"/>
      <c r="D264" s="38"/>
      <c r="E264" s="213" t="s">
        <v>802</v>
      </c>
      <c r="F264" s="38" t="s">
        <v>97</v>
      </c>
      <c r="G264" s="38"/>
      <c r="H264" s="38" t="s">
        <v>34</v>
      </c>
      <c r="I264" s="38"/>
      <c r="J264" s="38"/>
      <c r="K264" s="38"/>
      <c r="L264" s="38"/>
      <c r="M264" s="38"/>
      <c r="N264" s="38"/>
      <c r="O264" s="38"/>
      <c r="P264" s="38">
        <v>0</v>
      </c>
      <c r="Q264" s="38" t="s">
        <v>98</v>
      </c>
      <c r="R264" s="40"/>
      <c r="S264" s="40"/>
      <c r="T264" s="40" t="str" cm="1">
        <f t="array" ref="T264">IF(A264&lt;&gt;"",_xlfn.XLOOKUP(_xlfn.XLOOKUP(TRUE,F264:O264&lt;&gt;"",F264:O264,"-",-1,-1),F264:O264,$F$6:$O$6,,,-1),"")</f>
        <v>Add2</v>
      </c>
      <c r="U264" s="40"/>
      <c r="V264" s="132"/>
      <c r="W264" s="55"/>
      <c r="X264" s="55"/>
      <c r="Y264" s="52"/>
      <c r="Z264" s="56"/>
      <c r="AA264" s="51"/>
      <c r="AB264" s="56"/>
      <c r="AC264" s="51"/>
      <c r="AD264" s="56"/>
      <c r="AE264" s="51"/>
      <c r="AF264" s="56"/>
      <c r="AG264" s="51"/>
      <c r="AH264" s="56"/>
      <c r="AI264" s="51"/>
      <c r="AJ264" s="56"/>
      <c r="AK264" s="51"/>
      <c r="AL264" s="56"/>
      <c r="AM264" s="51"/>
      <c r="AN264" s="56"/>
      <c r="AO264" s="51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</row>
    <row r="265" spans="1:64" s="50" customFormat="1" ht="15" customHeight="1" outlineLevel="1">
      <c r="A265" s="42" t="s">
        <v>803</v>
      </c>
      <c r="B265" s="43"/>
      <c r="C265" s="43"/>
      <c r="D265" s="38"/>
      <c r="E265" s="213" t="s">
        <v>804</v>
      </c>
      <c r="F265" s="38"/>
      <c r="G265" s="38" t="s">
        <v>97</v>
      </c>
      <c r="H265" s="38" t="s">
        <v>34</v>
      </c>
      <c r="I265" s="38" t="s">
        <v>31</v>
      </c>
      <c r="J265" s="38"/>
      <c r="K265" s="38"/>
      <c r="L265" s="38"/>
      <c r="M265" s="38"/>
      <c r="N265" s="38"/>
      <c r="O265" s="38"/>
      <c r="P265" s="38">
        <v>0</v>
      </c>
      <c r="Q265" s="38" t="s">
        <v>98</v>
      </c>
      <c r="R265" s="40"/>
      <c r="S265" s="40"/>
      <c r="T265" s="40" t="str" cm="1">
        <f t="array" ref="T265">IF(A265&lt;&gt;"",_xlfn.XLOOKUP(_xlfn.XLOOKUP(TRUE,F265:O265&lt;&gt;"",F265:O265,"-",-1,-1),F265:O265,$F$6:$O$6,,,-1),"")</f>
        <v>Add3</v>
      </c>
      <c r="U265" s="40"/>
      <c r="V265" s="132"/>
      <c r="W265" s="55"/>
      <c r="X265" s="55"/>
      <c r="Y265" s="52"/>
      <c r="Z265" s="56"/>
      <c r="AA265" s="51"/>
      <c r="AB265" s="56"/>
      <c r="AC265" s="51"/>
      <c r="AD265" s="56"/>
      <c r="AE265" s="51"/>
      <c r="AF265" s="56"/>
      <c r="AG265" s="51"/>
      <c r="AH265" s="56"/>
      <c r="AI265" s="51"/>
      <c r="AJ265" s="56"/>
      <c r="AK265" s="51"/>
      <c r="AL265" s="56"/>
      <c r="AM265" s="51"/>
      <c r="AN265" s="56"/>
      <c r="AO265" s="51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</row>
    <row r="266" spans="1:64" s="311" customFormat="1" ht="15" customHeight="1" outlineLevel="1">
      <c r="A266" s="42" t="s">
        <v>805</v>
      </c>
      <c r="B266" s="43"/>
      <c r="C266" s="43"/>
      <c r="D266" s="38"/>
      <c r="E266" s="213" t="s">
        <v>806</v>
      </c>
      <c r="F266" s="38"/>
      <c r="G266" s="38"/>
      <c r="H266" s="38" t="s">
        <v>97</v>
      </c>
      <c r="I266" s="38"/>
      <c r="J266" s="38"/>
      <c r="K266" s="38"/>
      <c r="L266" s="38"/>
      <c r="M266" s="38"/>
      <c r="N266" s="38"/>
      <c r="O266" s="38"/>
      <c r="P266" s="38">
        <v>0</v>
      </c>
      <c r="Q266" s="38" t="s">
        <v>98</v>
      </c>
      <c r="R266" s="40"/>
      <c r="S266" s="40"/>
      <c r="T266" s="40" t="str" cm="1">
        <f t="array" ref="T266">IF(A266&lt;&gt;"",_xlfn.XLOOKUP(_xlfn.XLOOKUP(TRUE,F266:O266&lt;&gt;"",F266:O266,"-",-1,-1),F266:O266,$F$6:$O$6,,,-1),"")</f>
        <v>Add2</v>
      </c>
      <c r="U266" s="40"/>
      <c r="V266" s="132"/>
      <c r="W266" s="55"/>
      <c r="X266" s="55"/>
      <c r="Y266" s="52"/>
      <c r="Z266" s="56"/>
      <c r="AA266" s="51"/>
      <c r="AB266" s="56"/>
      <c r="AC266" s="51"/>
      <c r="AD266" s="56"/>
      <c r="AE266" s="51"/>
      <c r="AF266" s="56"/>
      <c r="AG266" s="51"/>
      <c r="AH266" s="56"/>
      <c r="AI266" s="51"/>
      <c r="AJ266" s="56"/>
      <c r="AK266" s="51"/>
      <c r="AL266" s="56"/>
      <c r="AM266" s="51"/>
      <c r="AN266" s="56"/>
      <c r="AO266" s="51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</row>
    <row r="267" spans="1:64" s="311" customFormat="1" ht="15" customHeight="1" outlineLevel="1">
      <c r="A267" s="43"/>
      <c r="B267" s="43"/>
      <c r="C267" s="43"/>
      <c r="D267" s="38"/>
      <c r="E267" s="42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55"/>
      <c r="W267" s="55"/>
      <c r="X267" s="55"/>
      <c r="Y267" s="52"/>
      <c r="Z267" s="56"/>
      <c r="AA267" s="51"/>
      <c r="AB267" s="56"/>
      <c r="AC267" s="51"/>
      <c r="AD267" s="56"/>
      <c r="AE267" s="51"/>
      <c r="AF267" s="56"/>
      <c r="AG267" s="51"/>
      <c r="AH267" s="56"/>
      <c r="AI267" s="51"/>
      <c r="AJ267" s="56"/>
      <c r="AK267" s="51"/>
      <c r="AL267" s="56"/>
      <c r="AM267" s="51"/>
      <c r="AN267" s="56"/>
      <c r="AO267" s="51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</row>
    <row r="268" spans="1:64" s="50" customFormat="1" ht="15" customHeight="1" thickBot="1">
      <c r="A268" s="41"/>
      <c r="B268" s="41"/>
      <c r="C268" s="41"/>
      <c r="D268" s="38"/>
      <c r="E268" s="43" t="str">
        <f>"SUB-TOTAL "&amp;UPPER(A260)&amp;" DRAWINGS"</f>
        <v>SUB-TOTAL CIVIL WORK OUTSIDE BUILDING DRAWINGS</v>
      </c>
      <c r="F268" s="133">
        <f t="shared" ref="F268:J268" si="121">COUNTA(F261:F265)</f>
        <v>4</v>
      </c>
      <c r="G268" s="133">
        <f t="shared" si="121"/>
        <v>3</v>
      </c>
      <c r="H268" s="133">
        <f t="shared" si="121"/>
        <v>5</v>
      </c>
      <c r="I268" s="133">
        <f t="shared" si="121"/>
        <v>1</v>
      </c>
      <c r="J268" s="133">
        <f t="shared" si="121"/>
        <v>2</v>
      </c>
      <c r="K268" s="133">
        <f>COUNTA(K261:K265)</f>
        <v>0</v>
      </c>
      <c r="L268" s="133">
        <f t="shared" ref="L268:P268" si="122">COUNTA(L261:L265)</f>
        <v>1</v>
      </c>
      <c r="M268" s="133"/>
      <c r="N268" s="133">
        <f t="shared" si="122"/>
        <v>0</v>
      </c>
      <c r="O268" s="133">
        <f t="shared" si="122"/>
        <v>0</v>
      </c>
      <c r="P268" s="133">
        <f t="shared" si="122"/>
        <v>5</v>
      </c>
      <c r="Q268" s="38"/>
      <c r="R268" s="36"/>
      <c r="S268" s="36"/>
      <c r="T268" s="36"/>
      <c r="U268" s="36"/>
      <c r="V268" s="55"/>
      <c r="W268" s="55"/>
      <c r="X268" s="55"/>
      <c r="Y268" s="52"/>
      <c r="Z268" s="56"/>
      <c r="AA268" s="51"/>
      <c r="AB268" s="56"/>
      <c r="AC268" s="51"/>
      <c r="AD268" s="56"/>
      <c r="AE268" s="51"/>
      <c r="AF268" s="56"/>
      <c r="AG268" s="51"/>
      <c r="AH268" s="56"/>
      <c r="AI268" s="51"/>
      <c r="AJ268" s="56"/>
      <c r="AK268" s="51"/>
      <c r="AL268" s="56"/>
      <c r="AM268" s="51"/>
      <c r="AN268" s="56"/>
      <c r="AO268" s="51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</row>
    <row r="269" spans="1:64" s="77" customFormat="1">
      <c r="A269" s="33"/>
      <c r="B269" s="33"/>
      <c r="C269" s="33"/>
      <c r="D269" s="36"/>
      <c r="E269" s="78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64"/>
      <c r="W269" s="65"/>
      <c r="X269" s="65"/>
      <c r="Y269" s="65"/>
      <c r="Z269" s="65"/>
      <c r="AA269" s="65"/>
      <c r="AB269" s="56"/>
      <c r="AC269" s="65"/>
      <c r="AD269" s="65"/>
      <c r="AE269" s="65"/>
      <c r="AF269" s="65"/>
      <c r="AG269" s="65"/>
      <c r="AH269" s="65"/>
      <c r="AI269" s="65"/>
      <c r="AJ269" s="56"/>
      <c r="AK269" s="65"/>
      <c r="AL269" s="65"/>
      <c r="AM269" s="65"/>
      <c r="AN269" s="65"/>
      <c r="AO269" s="65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</row>
    <row r="270" spans="1:64" s="58" customFormat="1">
      <c r="A270" s="41"/>
      <c r="B270" s="41"/>
      <c r="C270" s="41"/>
      <c r="D270" s="38"/>
      <c r="E270" s="43" t="s">
        <v>807</v>
      </c>
      <c r="F270" s="133">
        <f t="shared" ref="F270:L270" si="123">SUBTOTAL(9,F9:F268)</f>
        <v>61</v>
      </c>
      <c r="G270" s="133">
        <f t="shared" si="123"/>
        <v>68</v>
      </c>
      <c r="H270" s="133">
        <f t="shared" si="123"/>
        <v>81</v>
      </c>
      <c r="I270" s="133">
        <f t="shared" si="123"/>
        <v>46</v>
      </c>
      <c r="J270" s="133">
        <f t="shared" si="123"/>
        <v>8</v>
      </c>
      <c r="K270" s="133">
        <f t="shared" si="123"/>
        <v>0</v>
      </c>
      <c r="L270" s="133">
        <f t="shared" si="123"/>
        <v>51</v>
      </c>
      <c r="M270" s="133"/>
      <c r="N270" s="133">
        <f>SUBTOTAL(9,N9:N268)</f>
        <v>50</v>
      </c>
      <c r="O270" s="133">
        <f>SUBTOTAL(9,O9:O268)</f>
        <v>40</v>
      </c>
      <c r="P270" s="133">
        <f>SUBTOTAL(9,P9:P268)</f>
        <v>118</v>
      </c>
      <c r="Q270" s="38"/>
      <c r="R270" s="36"/>
      <c r="S270" s="36"/>
      <c r="T270" s="36"/>
      <c r="U270" s="36"/>
      <c r="V270" s="55"/>
      <c r="W270" s="55"/>
      <c r="X270" s="55"/>
      <c r="Y270" s="54"/>
      <c r="Z270" s="56"/>
      <c r="AA270" s="51"/>
      <c r="AB270" s="56"/>
      <c r="AC270" s="51"/>
      <c r="AD270" s="56"/>
      <c r="AE270" s="51"/>
      <c r="AF270" s="56"/>
      <c r="AG270" s="51"/>
      <c r="AH270" s="56"/>
      <c r="AI270" s="51"/>
      <c r="AJ270" s="56"/>
      <c r="AK270" s="51"/>
      <c r="AL270" s="56"/>
      <c r="AM270" s="51"/>
      <c r="AN270" s="56"/>
      <c r="AO270" s="51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7"/>
      <c r="BE270" s="57"/>
      <c r="BF270" s="57"/>
      <c r="BG270" s="57"/>
      <c r="BH270" s="57"/>
      <c r="BI270" s="57"/>
      <c r="BJ270" s="57"/>
      <c r="BK270" s="57"/>
      <c r="BL270" s="57"/>
    </row>
    <row r="271" spans="1:64" s="58" customFormat="1">
      <c r="A271" s="45"/>
      <c r="B271" s="45"/>
      <c r="C271" s="45"/>
      <c r="D271" s="44"/>
      <c r="E271" s="42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6"/>
      <c r="R271" s="46"/>
      <c r="S271" s="46"/>
      <c r="T271" s="46"/>
      <c r="U271" s="46"/>
      <c r="V271" s="59"/>
      <c r="W271" s="59"/>
      <c r="X271" s="59"/>
      <c r="Y271" s="60">
        <f>SUM(Y25:Y115)</f>
        <v>77.5</v>
      </c>
      <c r="Z271" s="61"/>
      <c r="AA271" s="62">
        <f>SUM(AA25:AA115)</f>
        <v>33.175000000000011</v>
      </c>
      <c r="AB271" s="61"/>
      <c r="AC271" s="62">
        <f>SUM(AC25:AC115)</f>
        <v>33.375000000000007</v>
      </c>
      <c r="AD271" s="61"/>
      <c r="AE271" s="62">
        <f>SUM(AE25:AE115)</f>
        <v>47.22499999999998</v>
      </c>
      <c r="AF271" s="61"/>
      <c r="AG271" s="62">
        <f>SUM(AG25:AG115)</f>
        <v>41.9</v>
      </c>
      <c r="AH271" s="61"/>
      <c r="AI271" s="62">
        <f>SUM(AI25:AI115)</f>
        <v>0</v>
      </c>
      <c r="AJ271" s="61"/>
      <c r="AK271" s="62">
        <f>SUM(AK25:AK115)</f>
        <v>0</v>
      </c>
      <c r="AL271" s="61"/>
      <c r="AM271" s="62">
        <f>SUM(AM25:AM115)</f>
        <v>77.5</v>
      </c>
      <c r="AN271" s="61"/>
      <c r="AO271" s="62">
        <f>SUM(AO25:AO115)</f>
        <v>73.254999999999868</v>
      </c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7"/>
      <c r="BE271" s="57"/>
      <c r="BF271" s="57"/>
      <c r="BG271" s="57"/>
      <c r="BH271" s="57"/>
      <c r="BI271" s="57"/>
      <c r="BJ271" s="57"/>
      <c r="BK271" s="57"/>
      <c r="BL271" s="57"/>
    </row>
    <row r="272" spans="1:64" ht="15">
      <c r="A272" s="45"/>
      <c r="B272" s="45"/>
      <c r="C272" s="45"/>
      <c r="D272" s="44"/>
      <c r="E272" s="42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6"/>
      <c r="R272" s="46"/>
      <c r="S272" s="46"/>
      <c r="T272" s="46"/>
      <c r="U272" s="46"/>
      <c r="AA272" s="370">
        <f>AA271/$Y$271</f>
        <v>0.4280645161290324</v>
      </c>
      <c r="AC272" s="371">
        <f>AC271/$Y$271</f>
        <v>0.43064516129032265</v>
      </c>
      <c r="AE272" s="370">
        <f>AE271/$Y$271</f>
        <v>0.60935483870967722</v>
      </c>
      <c r="AG272" s="371">
        <f>AG271/$Y$271</f>
        <v>0.54064516129032258</v>
      </c>
      <c r="AI272" s="370">
        <f>AI271/$Y$271</f>
        <v>0</v>
      </c>
      <c r="AK272" s="371">
        <f>AK271/$Y$271</f>
        <v>0</v>
      </c>
      <c r="AM272" s="370">
        <f>AM271/$Y$271</f>
        <v>1</v>
      </c>
      <c r="AO272" s="371">
        <f>AO271/$Y$271</f>
        <v>0.94522580645161114</v>
      </c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</row>
    <row r="273" spans="1:60">
      <c r="A273" s="45"/>
      <c r="B273" s="45"/>
      <c r="C273" s="45"/>
      <c r="D273" s="44"/>
      <c r="E273" s="42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6"/>
      <c r="R273" s="46"/>
      <c r="S273" s="46"/>
      <c r="T273" s="46"/>
      <c r="U273" s="46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</row>
    <row r="274" spans="1:60">
      <c r="A274" s="45"/>
      <c r="B274" s="45"/>
      <c r="C274" s="45"/>
      <c r="D274" s="44"/>
      <c r="E274" s="42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6"/>
      <c r="R274" s="46"/>
      <c r="S274" s="46"/>
      <c r="T274" s="46"/>
      <c r="U274" s="46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</row>
    <row r="275" spans="1:60">
      <c r="A275" s="45"/>
      <c r="B275" s="45"/>
      <c r="C275" s="45"/>
      <c r="D275" s="44"/>
      <c r="E275" s="42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6"/>
      <c r="R275" s="46"/>
      <c r="S275" s="46"/>
      <c r="T275" s="46"/>
      <c r="U275" s="46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</row>
    <row r="276" spans="1:60">
      <c r="A276" s="45"/>
      <c r="B276" s="45"/>
      <c r="C276" s="45"/>
      <c r="D276" s="44"/>
      <c r="E276" s="42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6"/>
      <c r="R276" s="46"/>
      <c r="S276" s="46"/>
      <c r="T276" s="46"/>
      <c r="U276" s="46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</row>
    <row r="277" spans="1:60">
      <c r="A277" s="45"/>
      <c r="B277" s="45"/>
      <c r="C277" s="45"/>
      <c r="D277" s="44"/>
      <c r="E277" s="42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6"/>
      <c r="R277" s="46"/>
      <c r="S277" s="46"/>
      <c r="T277" s="46"/>
      <c r="U277" s="46"/>
    </row>
    <row r="278" spans="1:60">
      <c r="A278" s="45"/>
      <c r="B278" s="45"/>
      <c r="C278" s="45"/>
      <c r="D278" s="44"/>
      <c r="E278" s="42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6"/>
      <c r="R278" s="46"/>
      <c r="S278" s="46"/>
      <c r="T278" s="46"/>
      <c r="U278" s="46"/>
    </row>
    <row r="279" spans="1:60">
      <c r="A279" s="45"/>
      <c r="B279" s="45"/>
      <c r="C279" s="45"/>
      <c r="D279" s="44"/>
      <c r="E279" s="42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6"/>
      <c r="R279" s="46"/>
      <c r="S279" s="46"/>
      <c r="T279" s="46"/>
      <c r="U279" s="46"/>
    </row>
    <row r="280" spans="1:60">
      <c r="A280" s="45"/>
      <c r="B280" s="45"/>
      <c r="C280" s="45"/>
      <c r="D280" s="44"/>
      <c r="E280" s="42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6"/>
      <c r="R280" s="46"/>
      <c r="S280" s="46"/>
      <c r="T280" s="46"/>
      <c r="U280" s="46"/>
    </row>
    <row r="281" spans="1:60">
      <c r="A281" s="45"/>
      <c r="B281" s="45"/>
      <c r="C281" s="45"/>
      <c r="D281" s="44"/>
      <c r="E281" s="42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6"/>
      <c r="R281" s="46"/>
      <c r="S281" s="46"/>
      <c r="T281" s="46"/>
      <c r="U281" s="46"/>
    </row>
    <row r="282" spans="1:60">
      <c r="A282" s="45"/>
      <c r="B282" s="45"/>
      <c r="C282" s="45"/>
      <c r="D282" s="44"/>
      <c r="E282" s="42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6"/>
      <c r="R282" s="46"/>
      <c r="S282" s="46"/>
      <c r="T282" s="46"/>
      <c r="U282" s="46"/>
    </row>
    <row r="283" spans="1:60">
      <c r="A283" s="45"/>
      <c r="B283" s="45"/>
      <c r="C283" s="45"/>
      <c r="D283" s="44"/>
      <c r="E283" s="42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6"/>
      <c r="R283" s="46"/>
      <c r="S283" s="46"/>
      <c r="T283" s="46"/>
      <c r="U283" s="46"/>
    </row>
    <row r="284" spans="1:60" s="64" customFormat="1">
      <c r="A284" s="45"/>
      <c r="B284" s="45"/>
      <c r="C284" s="45"/>
      <c r="D284" s="44"/>
      <c r="E284" s="42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6"/>
      <c r="R284" s="46"/>
      <c r="S284" s="46"/>
      <c r="T284" s="46"/>
      <c r="U284" s="46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  <c r="BD284" s="65"/>
      <c r="BE284" s="65"/>
      <c r="BF284" s="68"/>
      <c r="BG284" s="68"/>
      <c r="BH284" s="68"/>
    </row>
    <row r="285" spans="1:60" s="64" customFormat="1">
      <c r="A285" s="45"/>
      <c r="B285" s="45"/>
      <c r="C285" s="45"/>
      <c r="D285" s="44"/>
      <c r="E285" s="42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6"/>
      <c r="R285" s="46"/>
      <c r="S285" s="46"/>
      <c r="T285" s="46"/>
      <c r="U285" s="46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/>
      <c r="AX285" s="65"/>
      <c r="AY285" s="65"/>
      <c r="AZ285" s="65"/>
      <c r="BA285" s="65"/>
      <c r="BB285" s="65"/>
      <c r="BC285" s="65"/>
      <c r="BD285" s="65"/>
      <c r="BE285" s="65"/>
      <c r="BF285" s="68"/>
      <c r="BG285" s="68"/>
      <c r="BH285" s="68"/>
    </row>
    <row r="286" spans="1:60" s="64" customFormat="1">
      <c r="A286" s="45"/>
      <c r="B286" s="45"/>
      <c r="C286" s="45"/>
      <c r="D286" s="44"/>
      <c r="E286" s="42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6"/>
      <c r="R286" s="46"/>
      <c r="S286" s="46"/>
      <c r="T286" s="46"/>
      <c r="U286" s="46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  <c r="BD286" s="65"/>
      <c r="BE286" s="65"/>
      <c r="BF286" s="68"/>
      <c r="BG286" s="68"/>
      <c r="BH286" s="68"/>
    </row>
    <row r="287" spans="1:60" s="64" customFormat="1">
      <c r="A287" s="45"/>
      <c r="B287" s="45"/>
      <c r="C287" s="45"/>
      <c r="D287" s="44"/>
      <c r="E287" s="42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6"/>
      <c r="R287" s="46"/>
      <c r="S287" s="46"/>
      <c r="T287" s="46"/>
      <c r="U287" s="46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  <c r="BD287" s="65"/>
      <c r="BE287" s="65"/>
      <c r="BF287" s="68"/>
      <c r="BG287" s="68"/>
      <c r="BH287" s="68"/>
    </row>
    <row r="288" spans="1:60" s="64" customFormat="1">
      <c r="A288" s="45"/>
      <c r="B288" s="45"/>
      <c r="C288" s="45"/>
      <c r="D288" s="44"/>
      <c r="E288" s="42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6"/>
      <c r="R288" s="46"/>
      <c r="S288" s="46"/>
      <c r="T288" s="46"/>
      <c r="U288" s="46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  <c r="AW288" s="65"/>
      <c r="AX288" s="65"/>
      <c r="AY288" s="65"/>
      <c r="AZ288" s="65"/>
      <c r="BA288" s="65"/>
      <c r="BB288" s="65"/>
      <c r="BC288" s="65"/>
      <c r="BD288" s="65"/>
      <c r="BE288" s="65"/>
      <c r="BF288" s="68"/>
      <c r="BG288" s="68"/>
      <c r="BH288" s="68"/>
    </row>
    <row r="289" spans="1:60" s="64" customFormat="1">
      <c r="A289" s="45"/>
      <c r="B289" s="45"/>
      <c r="C289" s="45"/>
      <c r="D289" s="44"/>
      <c r="E289" s="42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6"/>
      <c r="R289" s="46"/>
      <c r="S289" s="46"/>
      <c r="T289" s="46"/>
      <c r="U289" s="46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  <c r="AW289" s="65"/>
      <c r="AX289" s="65"/>
      <c r="AY289" s="65"/>
      <c r="AZ289" s="65"/>
      <c r="BA289" s="65"/>
      <c r="BB289" s="65"/>
      <c r="BC289" s="65"/>
      <c r="BD289" s="65"/>
      <c r="BE289" s="65"/>
      <c r="BF289" s="68"/>
      <c r="BG289" s="68"/>
      <c r="BH289" s="68"/>
    </row>
    <row r="290" spans="1:60" s="64" customFormat="1">
      <c r="A290" s="45"/>
      <c r="B290" s="45"/>
      <c r="C290" s="45"/>
      <c r="D290" s="44"/>
      <c r="E290" s="42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6"/>
      <c r="R290" s="46"/>
      <c r="S290" s="46"/>
      <c r="T290" s="46"/>
      <c r="U290" s="46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  <c r="AW290" s="65"/>
      <c r="AX290" s="65"/>
      <c r="AY290" s="65"/>
      <c r="AZ290" s="65"/>
      <c r="BA290" s="65"/>
      <c r="BB290" s="65"/>
      <c r="BC290" s="65"/>
      <c r="BD290" s="65"/>
      <c r="BE290" s="65"/>
      <c r="BF290" s="68"/>
      <c r="BG290" s="68"/>
      <c r="BH290" s="68"/>
    </row>
    <row r="291" spans="1:60" s="64" customFormat="1">
      <c r="A291" s="45"/>
      <c r="B291" s="45"/>
      <c r="C291" s="45"/>
      <c r="D291" s="44"/>
      <c r="E291" s="42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6"/>
      <c r="R291" s="46"/>
      <c r="S291" s="46"/>
      <c r="T291" s="46"/>
      <c r="U291" s="46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65"/>
      <c r="BD291" s="65"/>
      <c r="BE291" s="65"/>
      <c r="BF291" s="68"/>
      <c r="BG291" s="68"/>
      <c r="BH291" s="68"/>
    </row>
    <row r="292" spans="1:60" s="64" customFormat="1">
      <c r="A292" s="45"/>
      <c r="B292" s="45"/>
      <c r="C292" s="45"/>
      <c r="D292" s="44"/>
      <c r="E292" s="42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6"/>
      <c r="R292" s="46"/>
      <c r="S292" s="46"/>
      <c r="T292" s="46"/>
      <c r="U292" s="46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65"/>
      <c r="BD292" s="65"/>
      <c r="BE292" s="65"/>
      <c r="BF292" s="68"/>
      <c r="BG292" s="68"/>
      <c r="BH292" s="68"/>
    </row>
    <row r="293" spans="1:60" s="64" customFormat="1">
      <c r="A293" s="45"/>
      <c r="B293" s="45"/>
      <c r="C293" s="45"/>
      <c r="D293" s="44"/>
      <c r="E293" s="42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6"/>
      <c r="R293" s="46"/>
      <c r="S293" s="46"/>
      <c r="T293" s="46"/>
      <c r="U293" s="46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  <c r="AW293" s="65"/>
      <c r="AX293" s="65"/>
      <c r="AY293" s="65"/>
      <c r="AZ293" s="65"/>
      <c r="BA293" s="65"/>
      <c r="BB293" s="65"/>
      <c r="BC293" s="65"/>
      <c r="BD293" s="65"/>
      <c r="BE293" s="65"/>
      <c r="BF293" s="68"/>
      <c r="BG293" s="68"/>
      <c r="BH293" s="68"/>
    </row>
    <row r="294" spans="1:60" s="64" customFormat="1">
      <c r="A294" s="45"/>
      <c r="B294" s="45"/>
      <c r="C294" s="45"/>
      <c r="D294" s="44"/>
      <c r="E294" s="42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6"/>
      <c r="R294" s="46"/>
      <c r="S294" s="46"/>
      <c r="T294" s="46"/>
      <c r="U294" s="46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  <c r="AW294" s="65"/>
      <c r="AX294" s="65"/>
      <c r="AY294" s="65"/>
      <c r="AZ294" s="65"/>
      <c r="BA294" s="65"/>
      <c r="BB294" s="65"/>
      <c r="BC294" s="65"/>
      <c r="BD294" s="65"/>
      <c r="BE294" s="65"/>
      <c r="BF294" s="68"/>
      <c r="BG294" s="68"/>
      <c r="BH294" s="68"/>
    </row>
    <row r="295" spans="1:60" s="64" customFormat="1">
      <c r="A295" s="45"/>
      <c r="B295" s="45"/>
      <c r="C295" s="45"/>
      <c r="D295" s="44"/>
      <c r="E295" s="42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6"/>
      <c r="R295" s="46"/>
      <c r="S295" s="46"/>
      <c r="T295" s="46"/>
      <c r="U295" s="46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65"/>
      <c r="BD295" s="65"/>
      <c r="BE295" s="65"/>
      <c r="BF295" s="68"/>
      <c r="BG295" s="68"/>
      <c r="BH295" s="68"/>
    </row>
    <row r="296" spans="1:60" s="64" customFormat="1">
      <c r="A296" s="45"/>
      <c r="B296" s="45"/>
      <c r="C296" s="45"/>
      <c r="D296" s="44"/>
      <c r="E296" s="42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6"/>
      <c r="R296" s="46"/>
      <c r="S296" s="46"/>
      <c r="T296" s="46"/>
      <c r="U296" s="46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  <c r="BE296" s="65"/>
      <c r="BF296" s="68"/>
      <c r="BG296" s="68"/>
      <c r="BH296" s="68"/>
    </row>
    <row r="297" spans="1:60" s="64" customFormat="1">
      <c r="A297" s="45"/>
      <c r="B297" s="45"/>
      <c r="C297" s="45"/>
      <c r="D297" s="44"/>
      <c r="E297" s="42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6"/>
      <c r="R297" s="46"/>
      <c r="S297" s="46"/>
      <c r="T297" s="46"/>
      <c r="U297" s="46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  <c r="BE297" s="65"/>
      <c r="BF297" s="68"/>
      <c r="BG297" s="68"/>
      <c r="BH297" s="68"/>
    </row>
    <row r="298" spans="1:60" s="64" customFormat="1">
      <c r="A298" s="45"/>
      <c r="B298" s="45"/>
      <c r="C298" s="45"/>
      <c r="D298" s="44"/>
      <c r="E298" s="42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6"/>
      <c r="R298" s="46"/>
      <c r="S298" s="46"/>
      <c r="T298" s="46"/>
      <c r="U298" s="46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  <c r="BE298" s="65"/>
      <c r="BF298" s="68"/>
      <c r="BG298" s="68"/>
      <c r="BH298" s="68"/>
    </row>
    <row r="299" spans="1:60" s="64" customFormat="1">
      <c r="A299" s="69"/>
      <c r="B299" s="69"/>
      <c r="C299" s="69"/>
      <c r="D299" s="71"/>
      <c r="E299" s="70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2"/>
      <c r="R299" s="72"/>
      <c r="S299" s="72"/>
      <c r="T299" s="72"/>
      <c r="U299" s="72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  <c r="BE299" s="65"/>
      <c r="BF299" s="68"/>
      <c r="BG299" s="68"/>
      <c r="BH299" s="68"/>
    </row>
    <row r="300" spans="1:60" s="64" customFormat="1">
      <c r="A300" s="69"/>
      <c r="B300" s="69"/>
      <c r="C300" s="69"/>
      <c r="D300" s="71"/>
      <c r="E300" s="70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2"/>
      <c r="R300" s="72"/>
      <c r="S300" s="72"/>
      <c r="T300" s="72"/>
      <c r="U300" s="72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  <c r="AW300" s="65"/>
      <c r="AX300" s="65"/>
      <c r="AY300" s="65"/>
      <c r="AZ300" s="65"/>
      <c r="BA300" s="65"/>
      <c r="BB300" s="65"/>
      <c r="BC300" s="65"/>
      <c r="BD300" s="65"/>
      <c r="BE300" s="65"/>
      <c r="BF300" s="68"/>
      <c r="BG300" s="68"/>
      <c r="BH300" s="68"/>
    </row>
    <row r="301" spans="1:60" s="64" customFormat="1">
      <c r="A301" s="69"/>
      <c r="B301" s="69"/>
      <c r="C301" s="69"/>
      <c r="D301" s="71"/>
      <c r="E301" s="70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2"/>
      <c r="R301" s="72"/>
      <c r="S301" s="72"/>
      <c r="T301" s="72"/>
      <c r="U301" s="72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  <c r="AT301" s="65"/>
      <c r="AU301" s="65"/>
      <c r="AV301" s="65"/>
      <c r="AW301" s="65"/>
      <c r="AX301" s="65"/>
      <c r="AY301" s="65"/>
      <c r="AZ301" s="65"/>
      <c r="BA301" s="65"/>
      <c r="BB301" s="65"/>
      <c r="BC301" s="65"/>
      <c r="BD301" s="65"/>
      <c r="BE301" s="65"/>
      <c r="BF301" s="68"/>
      <c r="BG301" s="68"/>
      <c r="BH301" s="68"/>
    </row>
    <row r="302" spans="1:60" s="64" customFormat="1">
      <c r="A302" s="69"/>
      <c r="B302" s="69"/>
      <c r="C302" s="69"/>
      <c r="D302" s="71"/>
      <c r="E302" s="70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2"/>
      <c r="R302" s="72"/>
      <c r="S302" s="72"/>
      <c r="T302" s="72"/>
      <c r="U302" s="72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/>
      <c r="AU302" s="65"/>
      <c r="AV302" s="65"/>
      <c r="AW302" s="65"/>
      <c r="AX302" s="65"/>
      <c r="AY302" s="65"/>
      <c r="AZ302" s="65"/>
      <c r="BA302" s="65"/>
      <c r="BB302" s="65"/>
      <c r="BC302" s="65"/>
      <c r="BD302" s="65"/>
      <c r="BE302" s="65"/>
      <c r="BF302" s="68"/>
      <c r="BG302" s="68"/>
      <c r="BH302" s="68"/>
    </row>
    <row r="303" spans="1:60" s="64" customFormat="1">
      <c r="A303" s="69"/>
      <c r="B303" s="69"/>
      <c r="C303" s="69"/>
      <c r="D303" s="71"/>
      <c r="E303" s="70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2"/>
      <c r="R303" s="72"/>
      <c r="S303" s="72"/>
      <c r="T303" s="72"/>
      <c r="U303" s="72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  <c r="AT303" s="65"/>
      <c r="AU303" s="65"/>
      <c r="AV303" s="65"/>
      <c r="AW303" s="65"/>
      <c r="AX303" s="65"/>
      <c r="AY303" s="65"/>
      <c r="AZ303" s="65"/>
      <c r="BA303" s="65"/>
      <c r="BB303" s="65"/>
      <c r="BC303" s="65"/>
      <c r="BD303" s="65"/>
      <c r="BE303" s="65"/>
      <c r="BF303" s="68"/>
      <c r="BG303" s="68"/>
      <c r="BH303" s="68"/>
    </row>
    <row r="304" spans="1:60" s="64" customFormat="1">
      <c r="A304" s="69"/>
      <c r="B304" s="69"/>
      <c r="C304" s="69"/>
      <c r="D304" s="71"/>
      <c r="E304" s="70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2"/>
      <c r="R304" s="72"/>
      <c r="S304" s="72"/>
      <c r="T304" s="72"/>
      <c r="U304" s="72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  <c r="AW304" s="65"/>
      <c r="AX304" s="65"/>
      <c r="AY304" s="65"/>
      <c r="AZ304" s="65"/>
      <c r="BA304" s="65"/>
      <c r="BB304" s="65"/>
      <c r="BC304" s="65"/>
      <c r="BD304" s="65"/>
      <c r="BE304" s="65"/>
      <c r="BF304" s="68"/>
      <c r="BG304" s="68"/>
      <c r="BH304" s="68"/>
    </row>
    <row r="305" spans="1:60" s="64" customFormat="1">
      <c r="A305" s="69"/>
      <c r="B305" s="69"/>
      <c r="C305" s="69"/>
      <c r="D305" s="71"/>
      <c r="E305" s="70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2"/>
      <c r="R305" s="72"/>
      <c r="S305" s="72"/>
      <c r="T305" s="72"/>
      <c r="U305" s="72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  <c r="AW305" s="65"/>
      <c r="AX305" s="65"/>
      <c r="AY305" s="65"/>
      <c r="AZ305" s="65"/>
      <c r="BA305" s="65"/>
      <c r="BB305" s="65"/>
      <c r="BC305" s="65"/>
      <c r="BD305" s="65"/>
      <c r="BE305" s="65"/>
      <c r="BF305" s="68"/>
      <c r="BG305" s="68"/>
      <c r="BH305" s="68"/>
    </row>
    <row r="306" spans="1:60" s="64" customFormat="1">
      <c r="A306" s="69"/>
      <c r="B306" s="69"/>
      <c r="C306" s="69"/>
      <c r="D306" s="71"/>
      <c r="E306" s="70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2"/>
      <c r="R306" s="72"/>
      <c r="S306" s="72"/>
      <c r="T306" s="72"/>
      <c r="U306" s="72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  <c r="BD306" s="65"/>
      <c r="BE306" s="65"/>
      <c r="BF306" s="68"/>
      <c r="BG306" s="68"/>
      <c r="BH306" s="68"/>
    </row>
    <row r="307" spans="1:60" s="64" customFormat="1">
      <c r="A307" s="69"/>
      <c r="B307" s="69"/>
      <c r="C307" s="69"/>
      <c r="D307" s="71"/>
      <c r="E307" s="70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2"/>
      <c r="R307" s="72"/>
      <c r="S307" s="72"/>
      <c r="T307" s="72"/>
      <c r="U307" s="72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65"/>
      <c r="BD307" s="65"/>
      <c r="BE307" s="65"/>
      <c r="BF307" s="68"/>
      <c r="BG307" s="68"/>
      <c r="BH307" s="68"/>
    </row>
    <row r="308" spans="1:60" s="64" customFormat="1">
      <c r="A308" s="69"/>
      <c r="B308" s="69"/>
      <c r="C308" s="69"/>
      <c r="D308" s="71"/>
      <c r="E308" s="70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2"/>
      <c r="R308" s="72"/>
      <c r="S308" s="72"/>
      <c r="T308" s="72"/>
      <c r="U308" s="72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  <c r="BD308" s="65"/>
      <c r="BE308" s="65"/>
      <c r="BF308" s="68"/>
      <c r="BG308" s="68"/>
      <c r="BH308" s="68"/>
    </row>
    <row r="309" spans="1:60" s="64" customFormat="1">
      <c r="A309" s="69"/>
      <c r="B309" s="69"/>
      <c r="C309" s="69"/>
      <c r="D309" s="71"/>
      <c r="E309" s="70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2"/>
      <c r="R309" s="72"/>
      <c r="S309" s="72"/>
      <c r="T309" s="72"/>
      <c r="U309" s="72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  <c r="BD309" s="65"/>
      <c r="BE309" s="65"/>
      <c r="BF309" s="68"/>
      <c r="BG309" s="68"/>
      <c r="BH309" s="68"/>
    </row>
    <row r="310" spans="1:60" s="64" customFormat="1">
      <c r="A310" s="69"/>
      <c r="B310" s="69"/>
      <c r="C310" s="69"/>
      <c r="D310" s="71"/>
      <c r="E310" s="70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2"/>
      <c r="R310" s="72"/>
      <c r="S310" s="72"/>
      <c r="T310" s="72"/>
      <c r="U310" s="72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  <c r="BD310" s="65"/>
      <c r="BE310" s="65"/>
      <c r="BF310" s="68"/>
      <c r="BG310" s="68"/>
      <c r="BH310" s="68"/>
    </row>
    <row r="311" spans="1:60" s="64" customFormat="1">
      <c r="A311" s="69"/>
      <c r="B311" s="69"/>
      <c r="C311" s="69"/>
      <c r="D311" s="71"/>
      <c r="E311" s="70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2"/>
      <c r="R311" s="72"/>
      <c r="S311" s="72"/>
      <c r="T311" s="72"/>
      <c r="U311" s="72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  <c r="AW311" s="65"/>
      <c r="AX311" s="65"/>
      <c r="AY311" s="65"/>
      <c r="AZ311" s="65"/>
      <c r="BA311" s="65"/>
      <c r="BB311" s="65"/>
      <c r="BC311" s="65"/>
      <c r="BD311" s="65"/>
      <c r="BE311" s="65"/>
      <c r="BF311" s="68"/>
      <c r="BG311" s="68"/>
      <c r="BH311" s="68"/>
    </row>
    <row r="312" spans="1:60" s="64" customFormat="1">
      <c r="A312" s="69"/>
      <c r="B312" s="69"/>
      <c r="C312" s="69"/>
      <c r="D312" s="71"/>
      <c r="E312" s="70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2"/>
      <c r="R312" s="72"/>
      <c r="S312" s="72"/>
      <c r="T312" s="72"/>
      <c r="U312" s="72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  <c r="BD312" s="65"/>
      <c r="BE312" s="65"/>
      <c r="BF312" s="68"/>
      <c r="BG312" s="68"/>
      <c r="BH312" s="68"/>
    </row>
    <row r="313" spans="1:60" s="64" customFormat="1">
      <c r="A313" s="69"/>
      <c r="B313" s="69"/>
      <c r="C313" s="69"/>
      <c r="D313" s="71"/>
      <c r="E313" s="70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2"/>
      <c r="R313" s="72"/>
      <c r="S313" s="72"/>
      <c r="T313" s="72"/>
      <c r="U313" s="72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  <c r="BE313" s="65"/>
      <c r="BF313" s="68"/>
      <c r="BG313" s="68"/>
      <c r="BH313" s="68"/>
    </row>
    <row r="314" spans="1:60" s="64" customFormat="1">
      <c r="A314" s="69"/>
      <c r="B314" s="69"/>
      <c r="C314" s="69"/>
      <c r="D314" s="71"/>
      <c r="E314" s="70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2"/>
      <c r="R314" s="72"/>
      <c r="S314" s="72"/>
      <c r="T314" s="72"/>
      <c r="U314" s="72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  <c r="BE314" s="65"/>
      <c r="BF314" s="68"/>
      <c r="BG314" s="68"/>
      <c r="BH314" s="68"/>
    </row>
    <row r="315" spans="1:60" s="64" customFormat="1">
      <c r="A315" s="69"/>
      <c r="B315" s="69"/>
      <c r="C315" s="69"/>
      <c r="D315" s="71"/>
      <c r="E315" s="70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2"/>
      <c r="R315" s="72"/>
      <c r="S315" s="72"/>
      <c r="T315" s="72"/>
      <c r="U315" s="72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  <c r="BE315" s="65"/>
      <c r="BF315" s="68"/>
      <c r="BG315" s="68"/>
      <c r="BH315" s="68"/>
    </row>
    <row r="316" spans="1:60" s="64" customFormat="1">
      <c r="A316" s="69"/>
      <c r="B316" s="69"/>
      <c r="C316" s="69"/>
      <c r="D316" s="71"/>
      <c r="E316" s="70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2"/>
      <c r="R316" s="72"/>
      <c r="S316" s="72"/>
      <c r="T316" s="72"/>
      <c r="U316" s="72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  <c r="BE316" s="65"/>
      <c r="BF316" s="68"/>
      <c r="BG316" s="68"/>
      <c r="BH316" s="68"/>
    </row>
    <row r="317" spans="1:60" s="64" customFormat="1">
      <c r="A317" s="69"/>
      <c r="B317" s="69"/>
      <c r="C317" s="69"/>
      <c r="D317" s="71"/>
      <c r="E317" s="70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2"/>
      <c r="R317" s="72"/>
      <c r="S317" s="72"/>
      <c r="T317" s="72"/>
      <c r="U317" s="72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  <c r="AW317" s="65"/>
      <c r="AX317" s="65"/>
      <c r="AY317" s="65"/>
      <c r="AZ317" s="65"/>
      <c r="BA317" s="65"/>
      <c r="BB317" s="65"/>
      <c r="BC317" s="65"/>
      <c r="BD317" s="65"/>
      <c r="BE317" s="65"/>
      <c r="BF317" s="68"/>
      <c r="BG317" s="68"/>
      <c r="BH317" s="68"/>
    </row>
    <row r="318" spans="1:60" s="64" customFormat="1">
      <c r="A318" s="69"/>
      <c r="B318" s="69"/>
      <c r="C318" s="69"/>
      <c r="D318" s="71"/>
      <c r="E318" s="70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2"/>
      <c r="R318" s="72"/>
      <c r="S318" s="72"/>
      <c r="T318" s="72"/>
      <c r="U318" s="72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  <c r="BD318" s="65"/>
      <c r="BE318" s="65"/>
      <c r="BF318" s="68"/>
      <c r="BG318" s="68"/>
      <c r="BH318" s="68"/>
    </row>
    <row r="319" spans="1:60" s="64" customFormat="1">
      <c r="A319" s="69"/>
      <c r="B319" s="69"/>
      <c r="C319" s="69"/>
      <c r="D319" s="71"/>
      <c r="E319" s="70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2"/>
      <c r="R319" s="72"/>
      <c r="S319" s="72"/>
      <c r="T319" s="72"/>
      <c r="U319" s="72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  <c r="AT319" s="65"/>
      <c r="AU319" s="65"/>
      <c r="AV319" s="65"/>
      <c r="AW319" s="65"/>
      <c r="AX319" s="65"/>
      <c r="AY319" s="65"/>
      <c r="AZ319" s="65"/>
      <c r="BA319" s="65"/>
      <c r="BB319" s="65"/>
      <c r="BC319" s="65"/>
      <c r="BD319" s="65"/>
      <c r="BE319" s="65"/>
      <c r="BF319" s="68"/>
      <c r="BG319" s="68"/>
      <c r="BH319" s="68"/>
    </row>
    <row r="320" spans="1:60" s="64" customFormat="1">
      <c r="A320" s="69"/>
      <c r="B320" s="69"/>
      <c r="C320" s="69"/>
      <c r="D320" s="71"/>
      <c r="E320" s="70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2"/>
      <c r="R320" s="72"/>
      <c r="S320" s="72"/>
      <c r="T320" s="72"/>
      <c r="U320" s="72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  <c r="AT320" s="65"/>
      <c r="AU320" s="65"/>
      <c r="AV320" s="65"/>
      <c r="AW320" s="65"/>
      <c r="AX320" s="65"/>
      <c r="AY320" s="65"/>
      <c r="AZ320" s="65"/>
      <c r="BA320" s="65"/>
      <c r="BB320" s="65"/>
      <c r="BC320" s="65"/>
      <c r="BD320" s="65"/>
      <c r="BE320" s="65"/>
      <c r="BF320" s="68"/>
      <c r="BG320" s="68"/>
      <c r="BH320" s="68"/>
    </row>
    <row r="321" spans="1:60" s="64" customFormat="1">
      <c r="A321" s="69"/>
      <c r="B321" s="69"/>
      <c r="C321" s="69"/>
      <c r="D321" s="71"/>
      <c r="E321" s="70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2"/>
      <c r="R321" s="72"/>
      <c r="S321" s="72"/>
      <c r="T321" s="72"/>
      <c r="U321" s="72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  <c r="AW321" s="65"/>
      <c r="AX321" s="65"/>
      <c r="AY321" s="65"/>
      <c r="AZ321" s="65"/>
      <c r="BA321" s="65"/>
      <c r="BB321" s="65"/>
      <c r="BC321" s="65"/>
      <c r="BD321" s="65"/>
      <c r="BE321" s="65"/>
      <c r="BF321" s="68"/>
      <c r="BG321" s="68"/>
      <c r="BH321" s="68"/>
    </row>
    <row r="322" spans="1:60" s="64" customFormat="1">
      <c r="A322" s="69"/>
      <c r="B322" s="69"/>
      <c r="C322" s="69"/>
      <c r="D322" s="71"/>
      <c r="E322" s="70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2"/>
      <c r="R322" s="72"/>
      <c r="S322" s="72"/>
      <c r="T322" s="72"/>
      <c r="U322" s="72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  <c r="BE322" s="65"/>
      <c r="BF322" s="68"/>
      <c r="BG322" s="68"/>
      <c r="BH322" s="68"/>
    </row>
    <row r="323" spans="1:60" s="64" customFormat="1">
      <c r="A323" s="69"/>
      <c r="B323" s="69"/>
      <c r="C323" s="69"/>
      <c r="D323" s="71"/>
      <c r="E323" s="70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2"/>
      <c r="R323" s="72"/>
      <c r="S323" s="72"/>
      <c r="T323" s="72"/>
      <c r="U323" s="72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  <c r="AW323" s="65"/>
      <c r="AX323" s="65"/>
      <c r="AY323" s="65"/>
      <c r="AZ323" s="65"/>
      <c r="BA323" s="65"/>
      <c r="BB323" s="65"/>
      <c r="BC323" s="65"/>
      <c r="BD323" s="65"/>
      <c r="BE323" s="65"/>
      <c r="BF323" s="68"/>
      <c r="BG323" s="68"/>
      <c r="BH323" s="68"/>
    </row>
    <row r="324" spans="1:60" s="64" customFormat="1">
      <c r="A324" s="69"/>
      <c r="B324" s="69"/>
      <c r="C324" s="69"/>
      <c r="D324" s="71"/>
      <c r="E324" s="70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2"/>
      <c r="R324" s="72"/>
      <c r="S324" s="72"/>
      <c r="T324" s="72"/>
      <c r="U324" s="72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  <c r="AW324" s="65"/>
      <c r="AX324" s="65"/>
      <c r="AY324" s="65"/>
      <c r="AZ324" s="65"/>
      <c r="BA324" s="65"/>
      <c r="BB324" s="65"/>
      <c r="BC324" s="65"/>
      <c r="BD324" s="65"/>
      <c r="BE324" s="65"/>
      <c r="BF324" s="68"/>
      <c r="BG324" s="68"/>
      <c r="BH324" s="68"/>
    </row>
    <row r="325" spans="1:60" s="64" customFormat="1">
      <c r="A325" s="69"/>
      <c r="B325" s="69"/>
      <c r="C325" s="69"/>
      <c r="D325" s="71"/>
      <c r="E325" s="70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2"/>
      <c r="R325" s="72"/>
      <c r="S325" s="72"/>
      <c r="T325" s="72"/>
      <c r="U325" s="72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65"/>
      <c r="AV325" s="65"/>
      <c r="AW325" s="65"/>
      <c r="AX325" s="65"/>
      <c r="AY325" s="65"/>
      <c r="AZ325" s="65"/>
      <c r="BA325" s="65"/>
      <c r="BB325" s="65"/>
      <c r="BC325" s="65"/>
      <c r="BD325" s="65"/>
      <c r="BE325" s="65"/>
      <c r="BF325" s="68"/>
      <c r="BG325" s="68"/>
      <c r="BH325" s="68"/>
    </row>
    <row r="326" spans="1:60" s="64" customFormat="1">
      <c r="A326" s="69"/>
      <c r="B326" s="69"/>
      <c r="C326" s="69"/>
      <c r="D326" s="71"/>
      <c r="E326" s="70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2"/>
      <c r="R326" s="72"/>
      <c r="S326" s="72"/>
      <c r="T326" s="72"/>
      <c r="U326" s="72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  <c r="BD326" s="65"/>
      <c r="BE326" s="65"/>
      <c r="BF326" s="68"/>
      <c r="BG326" s="68"/>
      <c r="BH326" s="68"/>
    </row>
    <row r="327" spans="1:60" s="64" customFormat="1">
      <c r="A327" s="69"/>
      <c r="B327" s="69"/>
      <c r="C327" s="69"/>
      <c r="D327" s="71"/>
      <c r="E327" s="70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2"/>
      <c r="R327" s="72"/>
      <c r="S327" s="72"/>
      <c r="T327" s="72"/>
      <c r="U327" s="72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  <c r="BD327" s="65"/>
      <c r="BE327" s="65"/>
      <c r="BF327" s="68"/>
      <c r="BG327" s="68"/>
      <c r="BH327" s="68"/>
    </row>
    <row r="328" spans="1:60" s="64" customFormat="1">
      <c r="A328" s="69"/>
      <c r="B328" s="69"/>
      <c r="C328" s="69"/>
      <c r="D328" s="71"/>
      <c r="E328" s="70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2"/>
      <c r="R328" s="72"/>
      <c r="S328" s="72"/>
      <c r="T328" s="72"/>
      <c r="U328" s="72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  <c r="BD328" s="65"/>
      <c r="BE328" s="65"/>
      <c r="BF328" s="68"/>
      <c r="BG328" s="68"/>
      <c r="BH328" s="68"/>
    </row>
    <row r="329" spans="1:60" s="64" customFormat="1">
      <c r="A329" s="69"/>
      <c r="B329" s="69"/>
      <c r="C329" s="69"/>
      <c r="D329" s="71"/>
      <c r="E329" s="70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2"/>
      <c r="R329" s="72"/>
      <c r="S329" s="72"/>
      <c r="T329" s="72"/>
      <c r="U329" s="72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  <c r="BD329" s="65"/>
      <c r="BE329" s="65"/>
      <c r="BF329" s="68"/>
      <c r="BG329" s="68"/>
      <c r="BH329" s="68"/>
    </row>
    <row r="330" spans="1:60" s="64" customFormat="1">
      <c r="A330" s="69"/>
      <c r="B330" s="69"/>
      <c r="C330" s="69"/>
      <c r="D330" s="71"/>
      <c r="E330" s="70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2"/>
      <c r="R330" s="72"/>
      <c r="S330" s="72"/>
      <c r="T330" s="72"/>
      <c r="U330" s="72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  <c r="BE330" s="65"/>
      <c r="BF330" s="68"/>
      <c r="BG330" s="68"/>
      <c r="BH330" s="68"/>
    </row>
    <row r="331" spans="1:60" s="64" customFormat="1">
      <c r="A331" s="69"/>
      <c r="B331" s="69"/>
      <c r="C331" s="69"/>
      <c r="D331" s="71"/>
      <c r="E331" s="70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2"/>
      <c r="R331" s="72"/>
      <c r="S331" s="72"/>
      <c r="T331" s="72"/>
      <c r="U331" s="72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  <c r="BE331" s="65"/>
      <c r="BF331" s="68"/>
      <c r="BG331" s="68"/>
      <c r="BH331" s="68"/>
    </row>
    <row r="332" spans="1:60" s="64" customFormat="1">
      <c r="A332" s="69"/>
      <c r="B332" s="69"/>
      <c r="C332" s="69"/>
      <c r="D332" s="71"/>
      <c r="E332" s="70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2"/>
      <c r="R332" s="72"/>
      <c r="S332" s="72"/>
      <c r="T332" s="72"/>
      <c r="U332" s="72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  <c r="BE332" s="65"/>
      <c r="BF332" s="68"/>
      <c r="BG332" s="68"/>
      <c r="BH332" s="68"/>
    </row>
    <row r="333" spans="1:60" s="64" customFormat="1">
      <c r="A333" s="69"/>
      <c r="B333" s="69"/>
      <c r="C333" s="69"/>
      <c r="D333" s="71"/>
      <c r="E333" s="70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2"/>
      <c r="R333" s="72"/>
      <c r="S333" s="72"/>
      <c r="T333" s="72"/>
      <c r="U333" s="72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  <c r="BD333" s="65"/>
      <c r="BE333" s="65"/>
      <c r="BF333" s="68"/>
      <c r="BG333" s="68"/>
      <c r="BH333" s="68"/>
    </row>
    <row r="334" spans="1:60" s="64" customFormat="1">
      <c r="A334" s="69"/>
      <c r="B334" s="69"/>
      <c r="C334" s="69"/>
      <c r="D334" s="71"/>
      <c r="E334" s="70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2"/>
      <c r="R334" s="72"/>
      <c r="S334" s="72"/>
      <c r="T334" s="72"/>
      <c r="U334" s="72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/>
      <c r="BE334" s="65"/>
      <c r="BF334" s="68"/>
      <c r="BG334" s="68"/>
      <c r="BH334" s="68"/>
    </row>
    <row r="335" spans="1:60" s="64" customFormat="1">
      <c r="A335" s="69"/>
      <c r="B335" s="69"/>
      <c r="C335" s="69"/>
      <c r="D335" s="71"/>
      <c r="E335" s="70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2"/>
      <c r="R335" s="72"/>
      <c r="S335" s="72"/>
      <c r="T335" s="72"/>
      <c r="U335" s="72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  <c r="AW335" s="65"/>
      <c r="AX335" s="65"/>
      <c r="AY335" s="65"/>
      <c r="AZ335" s="65"/>
      <c r="BA335" s="65"/>
      <c r="BB335" s="65"/>
      <c r="BC335" s="65"/>
      <c r="BD335" s="65"/>
      <c r="BE335" s="65"/>
      <c r="BF335" s="68"/>
      <c r="BG335" s="68"/>
      <c r="BH335" s="68"/>
    </row>
    <row r="336" spans="1:60" s="64" customFormat="1">
      <c r="A336" s="69"/>
      <c r="B336" s="69"/>
      <c r="C336" s="69"/>
      <c r="D336" s="71"/>
      <c r="E336" s="70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2"/>
      <c r="R336" s="72"/>
      <c r="S336" s="72"/>
      <c r="T336" s="72"/>
      <c r="U336" s="72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  <c r="BE336" s="65"/>
      <c r="BF336" s="68"/>
      <c r="BG336" s="68"/>
      <c r="BH336" s="68"/>
    </row>
    <row r="337" spans="1:60" s="64" customFormat="1">
      <c r="A337" s="69"/>
      <c r="B337" s="69"/>
      <c r="C337" s="69"/>
      <c r="D337" s="71"/>
      <c r="E337" s="70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2"/>
      <c r="R337" s="72"/>
      <c r="S337" s="72"/>
      <c r="T337" s="72"/>
      <c r="U337" s="72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  <c r="BE337" s="65"/>
      <c r="BF337" s="68"/>
      <c r="BG337" s="68"/>
      <c r="BH337" s="68"/>
    </row>
    <row r="338" spans="1:60" s="64" customFormat="1">
      <c r="A338" s="69"/>
      <c r="B338" s="69"/>
      <c r="C338" s="69"/>
      <c r="D338" s="71"/>
      <c r="E338" s="70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2"/>
      <c r="R338" s="72"/>
      <c r="S338" s="72"/>
      <c r="T338" s="72"/>
      <c r="U338" s="72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  <c r="BE338" s="65"/>
      <c r="BF338" s="68"/>
      <c r="BG338" s="68"/>
      <c r="BH338" s="68"/>
    </row>
    <row r="339" spans="1:60" s="64" customFormat="1">
      <c r="A339" s="69"/>
      <c r="B339" s="69"/>
      <c r="C339" s="69"/>
      <c r="D339" s="71"/>
      <c r="E339" s="70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2"/>
      <c r="R339" s="72"/>
      <c r="S339" s="72"/>
      <c r="T339" s="72"/>
      <c r="U339" s="72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  <c r="BE339" s="65"/>
      <c r="BF339" s="68"/>
      <c r="BG339" s="68"/>
      <c r="BH339" s="68"/>
    </row>
    <row r="340" spans="1:60" s="64" customFormat="1">
      <c r="A340" s="69"/>
      <c r="B340" s="69"/>
      <c r="C340" s="69"/>
      <c r="D340" s="71"/>
      <c r="E340" s="70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2"/>
      <c r="R340" s="72"/>
      <c r="S340" s="72"/>
      <c r="T340" s="72"/>
      <c r="U340" s="72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  <c r="BE340" s="65"/>
      <c r="BF340" s="68"/>
      <c r="BG340" s="68"/>
      <c r="BH340" s="68"/>
    </row>
    <row r="341" spans="1:60" s="64" customFormat="1">
      <c r="A341" s="69"/>
      <c r="B341" s="69"/>
      <c r="C341" s="69"/>
      <c r="D341" s="71"/>
      <c r="E341" s="70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2"/>
      <c r="R341" s="72"/>
      <c r="S341" s="72"/>
      <c r="T341" s="72"/>
      <c r="U341" s="72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  <c r="BE341" s="65"/>
      <c r="BF341" s="68"/>
      <c r="BG341" s="68"/>
      <c r="BH341" s="68"/>
    </row>
    <row r="342" spans="1:60" s="64" customFormat="1">
      <c r="A342" s="69"/>
      <c r="B342" s="69"/>
      <c r="C342" s="69"/>
      <c r="D342" s="71"/>
      <c r="E342" s="70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2"/>
      <c r="R342" s="72"/>
      <c r="S342" s="72"/>
      <c r="T342" s="72"/>
      <c r="U342" s="72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  <c r="BE342" s="65"/>
      <c r="BF342" s="68"/>
      <c r="BG342" s="68"/>
      <c r="BH342" s="68"/>
    </row>
    <row r="343" spans="1:60" s="64" customFormat="1">
      <c r="A343" s="69"/>
      <c r="B343" s="69"/>
      <c r="C343" s="69"/>
      <c r="D343" s="71"/>
      <c r="E343" s="70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2"/>
      <c r="R343" s="72"/>
      <c r="S343" s="72"/>
      <c r="T343" s="72"/>
      <c r="U343" s="72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  <c r="BE343" s="65"/>
      <c r="BF343" s="68"/>
      <c r="BG343" s="68"/>
      <c r="BH343" s="68"/>
    </row>
    <row r="344" spans="1:60" s="64" customFormat="1">
      <c r="A344" s="69"/>
      <c r="B344" s="69"/>
      <c r="C344" s="69"/>
      <c r="D344" s="71"/>
      <c r="E344" s="70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2"/>
      <c r="R344" s="72"/>
      <c r="S344" s="72"/>
      <c r="T344" s="72"/>
      <c r="U344" s="72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  <c r="AV344" s="65"/>
      <c r="AW344" s="65"/>
      <c r="AX344" s="65"/>
      <c r="AY344" s="65"/>
      <c r="AZ344" s="65"/>
      <c r="BA344" s="65"/>
      <c r="BB344" s="65"/>
      <c r="BC344" s="65"/>
      <c r="BD344" s="65"/>
      <c r="BE344" s="65"/>
      <c r="BF344" s="68"/>
      <c r="BG344" s="68"/>
      <c r="BH344" s="68"/>
    </row>
    <row r="345" spans="1:60" s="64" customFormat="1">
      <c r="A345" s="69"/>
      <c r="B345" s="69"/>
      <c r="C345" s="69"/>
      <c r="D345" s="71"/>
      <c r="E345" s="70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2"/>
      <c r="R345" s="72"/>
      <c r="S345" s="72"/>
      <c r="T345" s="72"/>
      <c r="U345" s="72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  <c r="BE345" s="65"/>
      <c r="BF345" s="68"/>
      <c r="BG345" s="68"/>
      <c r="BH345" s="68"/>
    </row>
    <row r="346" spans="1:60" s="64" customFormat="1">
      <c r="A346" s="69"/>
      <c r="B346" s="69"/>
      <c r="C346" s="69"/>
      <c r="D346" s="71"/>
      <c r="E346" s="70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2"/>
      <c r="R346" s="72"/>
      <c r="S346" s="72"/>
      <c r="T346" s="72"/>
      <c r="U346" s="72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  <c r="BE346" s="65"/>
      <c r="BF346" s="68"/>
      <c r="BG346" s="68"/>
      <c r="BH346" s="68"/>
    </row>
    <row r="347" spans="1:60" s="64" customFormat="1">
      <c r="A347" s="69"/>
      <c r="B347" s="69"/>
      <c r="C347" s="69"/>
      <c r="D347" s="71"/>
      <c r="E347" s="70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2"/>
      <c r="R347" s="72"/>
      <c r="S347" s="72"/>
      <c r="T347" s="72"/>
      <c r="U347" s="72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  <c r="BE347" s="65"/>
      <c r="BF347" s="68"/>
      <c r="BG347" s="68"/>
      <c r="BH347" s="68"/>
    </row>
    <row r="348" spans="1:60" s="64" customFormat="1">
      <c r="A348" s="69"/>
      <c r="B348" s="69"/>
      <c r="C348" s="69"/>
      <c r="D348" s="71"/>
      <c r="E348" s="70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2"/>
      <c r="R348" s="72"/>
      <c r="S348" s="72"/>
      <c r="T348" s="72"/>
      <c r="U348" s="72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  <c r="BE348" s="65"/>
      <c r="BF348" s="68"/>
      <c r="BG348" s="68"/>
      <c r="BH348" s="68"/>
    </row>
    <row r="349" spans="1:60" s="64" customFormat="1">
      <c r="A349" s="69"/>
      <c r="B349" s="69"/>
      <c r="C349" s="69"/>
      <c r="D349" s="71"/>
      <c r="E349" s="70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2"/>
      <c r="R349" s="72"/>
      <c r="S349" s="72"/>
      <c r="T349" s="72"/>
      <c r="U349" s="72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  <c r="BD349" s="65"/>
      <c r="BE349" s="65"/>
      <c r="BF349" s="68"/>
      <c r="BG349" s="68"/>
      <c r="BH349" s="68"/>
    </row>
    <row r="350" spans="1:60" s="64" customFormat="1">
      <c r="A350" s="69"/>
      <c r="B350" s="69"/>
      <c r="C350" s="69"/>
      <c r="D350" s="71"/>
      <c r="E350" s="70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2"/>
      <c r="R350" s="72"/>
      <c r="S350" s="72"/>
      <c r="T350" s="72"/>
      <c r="U350" s="72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  <c r="BE350" s="65"/>
      <c r="BF350" s="68"/>
      <c r="BG350" s="68"/>
      <c r="BH350" s="68"/>
    </row>
    <row r="351" spans="1:60" s="64" customFormat="1">
      <c r="A351" s="69"/>
      <c r="B351" s="69"/>
      <c r="C351" s="69"/>
      <c r="D351" s="71"/>
      <c r="E351" s="70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2"/>
      <c r="R351" s="72"/>
      <c r="S351" s="72"/>
      <c r="T351" s="72"/>
      <c r="U351" s="72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  <c r="BE351" s="65"/>
      <c r="BF351" s="68"/>
      <c r="BG351" s="68"/>
      <c r="BH351" s="68"/>
    </row>
    <row r="352" spans="1:60" s="64" customFormat="1">
      <c r="A352" s="69"/>
      <c r="B352" s="69"/>
      <c r="C352" s="69"/>
      <c r="D352" s="71"/>
      <c r="E352" s="70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2"/>
      <c r="R352" s="72"/>
      <c r="S352" s="72"/>
      <c r="T352" s="72"/>
      <c r="U352" s="72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  <c r="BE352" s="65"/>
      <c r="BF352" s="68"/>
      <c r="BG352" s="68"/>
      <c r="BH352" s="68"/>
    </row>
    <row r="353" spans="1:60" s="64" customFormat="1">
      <c r="A353" s="69"/>
      <c r="B353" s="69"/>
      <c r="C353" s="69"/>
      <c r="D353" s="71"/>
      <c r="E353" s="70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2"/>
      <c r="R353" s="72"/>
      <c r="S353" s="72"/>
      <c r="T353" s="72"/>
      <c r="U353" s="72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  <c r="AW353" s="65"/>
      <c r="AX353" s="65"/>
      <c r="AY353" s="65"/>
      <c r="AZ353" s="65"/>
      <c r="BA353" s="65"/>
      <c r="BB353" s="65"/>
      <c r="BC353" s="65"/>
      <c r="BD353" s="65"/>
      <c r="BE353" s="65"/>
      <c r="BF353" s="68"/>
      <c r="BG353" s="68"/>
      <c r="BH353" s="68"/>
    </row>
    <row r="354" spans="1:60" s="64" customFormat="1">
      <c r="A354" s="69"/>
      <c r="B354" s="69"/>
      <c r="C354" s="69"/>
      <c r="D354" s="71"/>
      <c r="E354" s="70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2"/>
      <c r="R354" s="72"/>
      <c r="S354" s="72"/>
      <c r="T354" s="72"/>
      <c r="U354" s="72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  <c r="AW354" s="65"/>
      <c r="AX354" s="65"/>
      <c r="AY354" s="65"/>
      <c r="AZ354" s="65"/>
      <c r="BA354" s="65"/>
      <c r="BB354" s="65"/>
      <c r="BC354" s="65"/>
      <c r="BD354" s="65"/>
      <c r="BE354" s="65"/>
      <c r="BF354" s="68"/>
      <c r="BG354" s="68"/>
      <c r="BH354" s="68"/>
    </row>
    <row r="355" spans="1:60" s="64" customFormat="1">
      <c r="A355" s="69"/>
      <c r="B355" s="69"/>
      <c r="C355" s="69"/>
      <c r="D355" s="71"/>
      <c r="E355" s="70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2"/>
      <c r="R355" s="72"/>
      <c r="S355" s="72"/>
      <c r="T355" s="72"/>
      <c r="U355" s="72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  <c r="AW355" s="65"/>
      <c r="AX355" s="65"/>
      <c r="AY355" s="65"/>
      <c r="AZ355" s="65"/>
      <c r="BA355" s="65"/>
      <c r="BB355" s="65"/>
      <c r="BC355" s="65"/>
      <c r="BD355" s="65"/>
      <c r="BE355" s="65"/>
      <c r="BF355" s="68"/>
      <c r="BG355" s="68"/>
      <c r="BH355" s="68"/>
    </row>
    <row r="356" spans="1:60" s="64" customFormat="1">
      <c r="A356" s="69"/>
      <c r="B356" s="69"/>
      <c r="C356" s="69"/>
      <c r="D356" s="71"/>
      <c r="E356" s="70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2"/>
      <c r="R356" s="72"/>
      <c r="S356" s="72"/>
      <c r="T356" s="72"/>
      <c r="U356" s="72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  <c r="BD356" s="65"/>
      <c r="BE356" s="65"/>
      <c r="BF356" s="68"/>
      <c r="BG356" s="68"/>
      <c r="BH356" s="68"/>
    </row>
    <row r="357" spans="1:60" s="64" customFormat="1">
      <c r="A357" s="69"/>
      <c r="B357" s="69"/>
      <c r="C357" s="69"/>
      <c r="D357" s="71"/>
      <c r="E357" s="70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2"/>
      <c r="R357" s="72"/>
      <c r="S357" s="72"/>
      <c r="T357" s="72"/>
      <c r="U357" s="72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  <c r="AV357" s="65"/>
      <c r="AW357" s="65"/>
      <c r="AX357" s="65"/>
      <c r="AY357" s="65"/>
      <c r="AZ357" s="65"/>
      <c r="BA357" s="65"/>
      <c r="BB357" s="65"/>
      <c r="BC357" s="65"/>
      <c r="BD357" s="65"/>
      <c r="BE357" s="65"/>
      <c r="BF357" s="68"/>
      <c r="BG357" s="68"/>
      <c r="BH357" s="68"/>
    </row>
    <row r="358" spans="1:60" s="64" customFormat="1">
      <c r="A358" s="69"/>
      <c r="B358" s="69"/>
      <c r="C358" s="69"/>
      <c r="D358" s="71"/>
      <c r="E358" s="70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2"/>
      <c r="R358" s="72"/>
      <c r="S358" s="72"/>
      <c r="T358" s="72"/>
      <c r="U358" s="72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  <c r="AW358" s="65"/>
      <c r="AX358" s="65"/>
      <c r="AY358" s="65"/>
      <c r="AZ358" s="65"/>
      <c r="BA358" s="65"/>
      <c r="BB358" s="65"/>
      <c r="BC358" s="65"/>
      <c r="BD358" s="65"/>
      <c r="BE358" s="65"/>
      <c r="BF358" s="68"/>
      <c r="BG358" s="68"/>
      <c r="BH358" s="68"/>
    </row>
    <row r="359" spans="1:60" s="64" customFormat="1">
      <c r="A359" s="69"/>
      <c r="B359" s="69"/>
      <c r="C359" s="69"/>
      <c r="D359" s="71"/>
      <c r="E359" s="70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2"/>
      <c r="R359" s="72"/>
      <c r="S359" s="72"/>
      <c r="T359" s="72"/>
      <c r="U359" s="72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  <c r="BD359" s="65"/>
      <c r="BE359" s="65"/>
      <c r="BF359" s="68"/>
      <c r="BG359" s="68"/>
      <c r="BH359" s="68"/>
    </row>
    <row r="360" spans="1:60" s="64" customFormat="1">
      <c r="A360" s="69"/>
      <c r="B360" s="69"/>
      <c r="C360" s="69"/>
      <c r="D360" s="71"/>
      <c r="E360" s="70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2"/>
      <c r="R360" s="72"/>
      <c r="S360" s="72"/>
      <c r="T360" s="72"/>
      <c r="U360" s="72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  <c r="BD360" s="65"/>
      <c r="BE360" s="65"/>
      <c r="BF360" s="68"/>
      <c r="BG360" s="68"/>
      <c r="BH360" s="68"/>
    </row>
    <row r="361" spans="1:60" s="64" customFormat="1">
      <c r="A361" s="69"/>
      <c r="B361" s="69"/>
      <c r="C361" s="69"/>
      <c r="D361" s="71"/>
      <c r="E361" s="70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2"/>
      <c r="R361" s="72"/>
      <c r="S361" s="72"/>
      <c r="T361" s="72"/>
      <c r="U361" s="72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  <c r="AW361" s="65"/>
      <c r="AX361" s="65"/>
      <c r="AY361" s="65"/>
      <c r="AZ361" s="65"/>
      <c r="BA361" s="65"/>
      <c r="BB361" s="65"/>
      <c r="BC361" s="65"/>
      <c r="BD361" s="65"/>
      <c r="BE361" s="65"/>
      <c r="BF361" s="68"/>
      <c r="BG361" s="68"/>
      <c r="BH361" s="68"/>
    </row>
    <row r="362" spans="1:60" s="64" customFormat="1">
      <c r="A362" s="69"/>
      <c r="B362" s="69"/>
      <c r="C362" s="69"/>
      <c r="D362" s="71"/>
      <c r="E362" s="70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2"/>
      <c r="R362" s="72"/>
      <c r="S362" s="72"/>
      <c r="T362" s="72"/>
      <c r="U362" s="72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  <c r="AT362" s="65"/>
      <c r="AU362" s="65"/>
      <c r="AV362" s="65"/>
      <c r="AW362" s="65"/>
      <c r="AX362" s="65"/>
      <c r="AY362" s="65"/>
      <c r="AZ362" s="65"/>
      <c r="BA362" s="65"/>
      <c r="BB362" s="65"/>
      <c r="BC362" s="65"/>
      <c r="BD362" s="65"/>
      <c r="BE362" s="65"/>
      <c r="BF362" s="68"/>
      <c r="BG362" s="68"/>
      <c r="BH362" s="68"/>
    </row>
    <row r="363" spans="1:60" s="64" customFormat="1">
      <c r="A363" s="69"/>
      <c r="B363" s="69"/>
      <c r="C363" s="69"/>
      <c r="D363" s="71"/>
      <c r="E363" s="70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2"/>
      <c r="R363" s="72"/>
      <c r="S363" s="72"/>
      <c r="T363" s="72"/>
      <c r="U363" s="72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  <c r="BD363" s="65"/>
      <c r="BE363" s="65"/>
      <c r="BF363" s="68"/>
      <c r="BG363" s="68"/>
      <c r="BH363" s="68"/>
    </row>
    <row r="364" spans="1:60" s="64" customFormat="1">
      <c r="A364" s="69"/>
      <c r="B364" s="69"/>
      <c r="C364" s="69"/>
      <c r="D364" s="71"/>
      <c r="E364" s="70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2"/>
      <c r="R364" s="72"/>
      <c r="S364" s="72"/>
      <c r="T364" s="72"/>
      <c r="U364" s="72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5"/>
      <c r="AT364" s="65"/>
      <c r="AU364" s="65"/>
      <c r="AV364" s="65"/>
      <c r="AW364" s="65"/>
      <c r="AX364" s="65"/>
      <c r="AY364" s="65"/>
      <c r="AZ364" s="65"/>
      <c r="BA364" s="65"/>
      <c r="BB364" s="65"/>
      <c r="BC364" s="65"/>
      <c r="BD364" s="65"/>
      <c r="BE364" s="65"/>
      <c r="BF364" s="68"/>
      <c r="BG364" s="68"/>
      <c r="BH364" s="68"/>
    </row>
    <row r="365" spans="1:60" s="64" customFormat="1">
      <c r="A365" s="69"/>
      <c r="B365" s="69"/>
      <c r="C365" s="69"/>
      <c r="D365" s="71"/>
      <c r="E365" s="70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2"/>
      <c r="R365" s="72"/>
      <c r="S365" s="72"/>
      <c r="T365" s="72"/>
      <c r="U365" s="72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5"/>
      <c r="AT365" s="65"/>
      <c r="AU365" s="65"/>
      <c r="AV365" s="65"/>
      <c r="AW365" s="65"/>
      <c r="AX365" s="65"/>
      <c r="AY365" s="65"/>
      <c r="AZ365" s="65"/>
      <c r="BA365" s="65"/>
      <c r="BB365" s="65"/>
      <c r="BC365" s="65"/>
      <c r="BD365" s="65"/>
      <c r="BE365" s="65"/>
      <c r="BF365" s="68"/>
      <c r="BG365" s="68"/>
      <c r="BH365" s="68"/>
    </row>
    <row r="366" spans="1:60" s="64" customFormat="1">
      <c r="A366" s="69"/>
      <c r="B366" s="69"/>
      <c r="C366" s="69"/>
      <c r="D366" s="71"/>
      <c r="E366" s="70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2"/>
      <c r="R366" s="72"/>
      <c r="S366" s="72"/>
      <c r="T366" s="72"/>
      <c r="U366" s="72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5"/>
      <c r="AT366" s="65"/>
      <c r="AU366" s="65"/>
      <c r="AV366" s="65"/>
      <c r="AW366" s="65"/>
      <c r="AX366" s="65"/>
      <c r="AY366" s="65"/>
      <c r="AZ366" s="65"/>
      <c r="BA366" s="65"/>
      <c r="BB366" s="65"/>
      <c r="BC366" s="65"/>
      <c r="BD366" s="65"/>
      <c r="BE366" s="65"/>
      <c r="BF366" s="68"/>
      <c r="BG366" s="68"/>
      <c r="BH366" s="68"/>
    </row>
    <row r="367" spans="1:60" s="64" customFormat="1">
      <c r="A367" s="69"/>
      <c r="B367" s="69"/>
      <c r="C367" s="69"/>
      <c r="D367" s="71"/>
      <c r="E367" s="70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2"/>
      <c r="R367" s="72"/>
      <c r="S367" s="72"/>
      <c r="T367" s="72"/>
      <c r="U367" s="72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5"/>
      <c r="AT367" s="65"/>
      <c r="AU367" s="65"/>
      <c r="AV367" s="65"/>
      <c r="AW367" s="65"/>
      <c r="AX367" s="65"/>
      <c r="AY367" s="65"/>
      <c r="AZ367" s="65"/>
      <c r="BA367" s="65"/>
      <c r="BB367" s="65"/>
      <c r="BC367" s="65"/>
      <c r="BD367" s="65"/>
      <c r="BE367" s="65"/>
      <c r="BF367" s="68"/>
      <c r="BG367" s="68"/>
      <c r="BH367" s="68"/>
    </row>
    <row r="368" spans="1:60" s="64" customFormat="1">
      <c r="A368" s="69"/>
      <c r="B368" s="69"/>
      <c r="C368" s="69"/>
      <c r="D368" s="71"/>
      <c r="E368" s="70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2"/>
      <c r="R368" s="72"/>
      <c r="S368" s="72"/>
      <c r="T368" s="72"/>
      <c r="U368" s="72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  <c r="AT368" s="65"/>
      <c r="AU368" s="65"/>
      <c r="AV368" s="65"/>
      <c r="AW368" s="65"/>
      <c r="AX368" s="65"/>
      <c r="AY368" s="65"/>
      <c r="AZ368" s="65"/>
      <c r="BA368" s="65"/>
      <c r="BB368" s="65"/>
      <c r="BC368" s="65"/>
      <c r="BD368" s="65"/>
      <c r="BE368" s="65"/>
      <c r="BF368" s="68"/>
      <c r="BG368" s="68"/>
      <c r="BH368" s="68"/>
    </row>
    <row r="369" spans="1:60" s="64" customFormat="1">
      <c r="A369" s="69"/>
      <c r="B369" s="69"/>
      <c r="C369" s="69"/>
      <c r="D369" s="71"/>
      <c r="E369" s="70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2"/>
      <c r="R369" s="72"/>
      <c r="S369" s="72"/>
      <c r="T369" s="72"/>
      <c r="U369" s="72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  <c r="AT369" s="65"/>
      <c r="AU369" s="65"/>
      <c r="AV369" s="65"/>
      <c r="AW369" s="65"/>
      <c r="AX369" s="65"/>
      <c r="AY369" s="65"/>
      <c r="AZ369" s="65"/>
      <c r="BA369" s="65"/>
      <c r="BB369" s="65"/>
      <c r="BC369" s="65"/>
      <c r="BD369" s="65"/>
      <c r="BE369" s="65"/>
      <c r="BF369" s="68"/>
      <c r="BG369" s="68"/>
      <c r="BH369" s="68"/>
    </row>
    <row r="370" spans="1:60" s="64" customFormat="1">
      <c r="A370" s="69"/>
      <c r="B370" s="69"/>
      <c r="C370" s="69"/>
      <c r="D370" s="71"/>
      <c r="E370" s="70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2"/>
      <c r="R370" s="72"/>
      <c r="S370" s="72"/>
      <c r="T370" s="72"/>
      <c r="U370" s="72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  <c r="AT370" s="65"/>
      <c r="AU370" s="65"/>
      <c r="AV370" s="65"/>
      <c r="AW370" s="65"/>
      <c r="AX370" s="65"/>
      <c r="AY370" s="65"/>
      <c r="AZ370" s="65"/>
      <c r="BA370" s="65"/>
      <c r="BB370" s="65"/>
      <c r="BC370" s="65"/>
      <c r="BD370" s="65"/>
      <c r="BE370" s="65"/>
      <c r="BF370" s="68"/>
      <c r="BG370" s="68"/>
      <c r="BH370" s="68"/>
    </row>
    <row r="371" spans="1:60" s="64" customFormat="1">
      <c r="A371" s="69"/>
      <c r="B371" s="69"/>
      <c r="C371" s="69"/>
      <c r="D371" s="71"/>
      <c r="E371" s="70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2"/>
      <c r="R371" s="72"/>
      <c r="S371" s="72"/>
      <c r="T371" s="72"/>
      <c r="U371" s="72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  <c r="AT371" s="65"/>
      <c r="AU371" s="65"/>
      <c r="AV371" s="65"/>
      <c r="AW371" s="65"/>
      <c r="AX371" s="65"/>
      <c r="AY371" s="65"/>
      <c r="AZ371" s="65"/>
      <c r="BA371" s="65"/>
      <c r="BB371" s="65"/>
      <c r="BC371" s="65"/>
      <c r="BD371" s="65"/>
      <c r="BE371" s="65"/>
      <c r="BF371" s="68"/>
      <c r="BG371" s="68"/>
      <c r="BH371" s="68"/>
    </row>
    <row r="372" spans="1:60" s="64" customFormat="1">
      <c r="A372" s="69"/>
      <c r="B372" s="69"/>
      <c r="C372" s="69"/>
      <c r="D372" s="71"/>
      <c r="E372" s="70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2"/>
      <c r="R372" s="72"/>
      <c r="S372" s="72"/>
      <c r="T372" s="72"/>
      <c r="U372" s="72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  <c r="AT372" s="65"/>
      <c r="AU372" s="65"/>
      <c r="AV372" s="65"/>
      <c r="AW372" s="65"/>
      <c r="AX372" s="65"/>
      <c r="AY372" s="65"/>
      <c r="AZ372" s="65"/>
      <c r="BA372" s="65"/>
      <c r="BB372" s="65"/>
      <c r="BC372" s="65"/>
      <c r="BD372" s="65"/>
      <c r="BE372" s="65"/>
      <c r="BF372" s="68"/>
      <c r="BG372" s="68"/>
      <c r="BH372" s="68"/>
    </row>
    <row r="373" spans="1:60" s="64" customFormat="1">
      <c r="A373" s="69"/>
      <c r="B373" s="69"/>
      <c r="C373" s="69"/>
      <c r="D373" s="71"/>
      <c r="E373" s="70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2"/>
      <c r="R373" s="72"/>
      <c r="S373" s="72"/>
      <c r="T373" s="72"/>
      <c r="U373" s="72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  <c r="BD373" s="65"/>
      <c r="BE373" s="65"/>
      <c r="BF373" s="68"/>
      <c r="BG373" s="68"/>
      <c r="BH373" s="68"/>
    </row>
    <row r="374" spans="1:60" s="64" customFormat="1">
      <c r="A374" s="69"/>
      <c r="B374" s="69"/>
      <c r="C374" s="69"/>
      <c r="D374" s="71"/>
      <c r="E374" s="70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2"/>
      <c r="R374" s="72"/>
      <c r="S374" s="72"/>
      <c r="T374" s="72"/>
      <c r="U374" s="72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  <c r="AW374" s="65"/>
      <c r="AX374" s="65"/>
      <c r="AY374" s="65"/>
      <c r="AZ374" s="65"/>
      <c r="BA374" s="65"/>
      <c r="BB374" s="65"/>
      <c r="BC374" s="65"/>
      <c r="BD374" s="65"/>
      <c r="BE374" s="65"/>
      <c r="BF374" s="68"/>
      <c r="BG374" s="68"/>
      <c r="BH374" s="68"/>
    </row>
    <row r="375" spans="1:60" s="64" customFormat="1">
      <c r="A375" s="69"/>
      <c r="B375" s="69"/>
      <c r="C375" s="69"/>
      <c r="D375" s="71"/>
      <c r="E375" s="70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2"/>
      <c r="R375" s="72"/>
      <c r="S375" s="72"/>
      <c r="T375" s="72"/>
      <c r="U375" s="72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  <c r="BD375" s="65"/>
      <c r="BE375" s="65"/>
      <c r="BF375" s="68"/>
      <c r="BG375" s="68"/>
      <c r="BH375" s="68"/>
    </row>
    <row r="376" spans="1:60" s="64" customFormat="1">
      <c r="A376" s="69"/>
      <c r="B376" s="69"/>
      <c r="C376" s="69"/>
      <c r="D376" s="71"/>
      <c r="E376" s="70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2"/>
      <c r="R376" s="72"/>
      <c r="S376" s="72"/>
      <c r="T376" s="72"/>
      <c r="U376" s="72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5"/>
      <c r="BE376" s="65"/>
      <c r="BF376" s="68"/>
      <c r="BG376" s="68"/>
      <c r="BH376" s="68"/>
    </row>
    <row r="377" spans="1:60" s="64" customFormat="1">
      <c r="A377" s="69"/>
      <c r="B377" s="69"/>
      <c r="C377" s="69"/>
      <c r="D377" s="71"/>
      <c r="E377" s="70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2"/>
      <c r="R377" s="72"/>
      <c r="S377" s="72"/>
      <c r="T377" s="72"/>
      <c r="U377" s="72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  <c r="BE377" s="65"/>
      <c r="BF377" s="68"/>
      <c r="BG377" s="68"/>
      <c r="BH377" s="68"/>
    </row>
    <row r="378" spans="1:60" s="64" customFormat="1">
      <c r="A378" s="69"/>
      <c r="B378" s="69"/>
      <c r="C378" s="69"/>
      <c r="D378" s="71"/>
      <c r="E378" s="70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2"/>
      <c r="R378" s="72"/>
      <c r="S378" s="72"/>
      <c r="T378" s="72"/>
      <c r="U378" s="72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  <c r="BE378" s="65"/>
      <c r="BF378" s="68"/>
      <c r="BG378" s="68"/>
      <c r="BH378" s="68"/>
    </row>
    <row r="379" spans="1:60" s="64" customFormat="1">
      <c r="A379" s="69"/>
      <c r="B379" s="69"/>
      <c r="C379" s="69"/>
      <c r="D379" s="71"/>
      <c r="E379" s="70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2"/>
      <c r="R379" s="72"/>
      <c r="S379" s="72"/>
      <c r="T379" s="72"/>
      <c r="U379" s="72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  <c r="BE379" s="65"/>
      <c r="BF379" s="68"/>
      <c r="BG379" s="68"/>
      <c r="BH379" s="68"/>
    </row>
    <row r="380" spans="1:60" s="64" customFormat="1">
      <c r="A380" s="69"/>
      <c r="B380" s="69"/>
      <c r="C380" s="69"/>
      <c r="D380" s="71"/>
      <c r="E380" s="70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2"/>
      <c r="R380" s="72"/>
      <c r="S380" s="72"/>
      <c r="T380" s="72"/>
      <c r="U380" s="72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  <c r="BE380" s="65"/>
      <c r="BF380" s="68"/>
      <c r="BG380" s="68"/>
      <c r="BH380" s="68"/>
    </row>
    <row r="381" spans="1:60" s="64" customFormat="1">
      <c r="A381" s="69"/>
      <c r="B381" s="69"/>
      <c r="C381" s="69"/>
      <c r="D381" s="71"/>
      <c r="E381" s="70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2"/>
      <c r="R381" s="72"/>
      <c r="S381" s="72"/>
      <c r="T381" s="72"/>
      <c r="U381" s="72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  <c r="BD381" s="65"/>
      <c r="BE381" s="65"/>
      <c r="BF381" s="68"/>
      <c r="BG381" s="68"/>
      <c r="BH381" s="68"/>
    </row>
    <row r="382" spans="1:60" s="64" customFormat="1">
      <c r="A382" s="69"/>
      <c r="B382" s="69"/>
      <c r="C382" s="69"/>
      <c r="D382" s="71"/>
      <c r="E382" s="70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2"/>
      <c r="R382" s="72"/>
      <c r="S382" s="72"/>
      <c r="T382" s="72"/>
      <c r="U382" s="72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  <c r="AT382" s="65"/>
      <c r="AU382" s="65"/>
      <c r="AV382" s="65"/>
      <c r="AW382" s="65"/>
      <c r="AX382" s="65"/>
      <c r="AY382" s="65"/>
      <c r="AZ382" s="65"/>
      <c r="BA382" s="65"/>
      <c r="BB382" s="65"/>
      <c r="BC382" s="65"/>
      <c r="BD382" s="65"/>
      <c r="BE382" s="65"/>
      <c r="BF382" s="68"/>
      <c r="BG382" s="68"/>
      <c r="BH382" s="68"/>
    </row>
    <row r="383" spans="1:60" s="64" customFormat="1">
      <c r="A383" s="69"/>
      <c r="B383" s="69"/>
      <c r="C383" s="69"/>
      <c r="D383" s="71"/>
      <c r="E383" s="70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2"/>
      <c r="R383" s="72"/>
      <c r="S383" s="72"/>
      <c r="T383" s="72"/>
      <c r="U383" s="72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/>
      <c r="AU383" s="65"/>
      <c r="AV383" s="65"/>
      <c r="AW383" s="65"/>
      <c r="AX383" s="65"/>
      <c r="AY383" s="65"/>
      <c r="AZ383" s="65"/>
      <c r="BA383" s="65"/>
      <c r="BB383" s="65"/>
      <c r="BC383" s="65"/>
      <c r="BD383" s="65"/>
      <c r="BE383" s="65"/>
      <c r="BF383" s="68"/>
      <c r="BG383" s="68"/>
      <c r="BH383" s="68"/>
    </row>
    <row r="384" spans="1:60" s="64" customFormat="1">
      <c r="A384" s="69"/>
      <c r="B384" s="69"/>
      <c r="C384" s="69"/>
      <c r="D384" s="71"/>
      <c r="E384" s="70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2"/>
      <c r="R384" s="72"/>
      <c r="S384" s="72"/>
      <c r="T384" s="72"/>
      <c r="U384" s="72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/>
      <c r="AV384" s="65"/>
      <c r="AW384" s="65"/>
      <c r="AX384" s="65"/>
      <c r="AY384" s="65"/>
      <c r="AZ384" s="65"/>
      <c r="BA384" s="65"/>
      <c r="BB384" s="65"/>
      <c r="BC384" s="65"/>
      <c r="BD384" s="65"/>
      <c r="BE384" s="65"/>
      <c r="BF384" s="68"/>
      <c r="BG384" s="68"/>
      <c r="BH384" s="68"/>
    </row>
    <row r="385" spans="1:60" s="64" customFormat="1">
      <c r="A385" s="69"/>
      <c r="B385" s="69"/>
      <c r="C385" s="69"/>
      <c r="D385" s="71"/>
      <c r="E385" s="70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2"/>
      <c r="R385" s="72"/>
      <c r="S385" s="72"/>
      <c r="T385" s="72"/>
      <c r="U385" s="72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/>
      <c r="AV385" s="65"/>
      <c r="AW385" s="65"/>
      <c r="AX385" s="65"/>
      <c r="AY385" s="65"/>
      <c r="AZ385" s="65"/>
      <c r="BA385" s="65"/>
      <c r="BB385" s="65"/>
      <c r="BC385" s="65"/>
      <c r="BD385" s="65"/>
      <c r="BE385" s="65"/>
      <c r="BF385" s="68"/>
      <c r="BG385" s="68"/>
      <c r="BH385" s="68"/>
    </row>
    <row r="386" spans="1:60" s="64" customFormat="1">
      <c r="A386" s="69"/>
      <c r="B386" s="69"/>
      <c r="C386" s="69"/>
      <c r="D386" s="71"/>
      <c r="E386" s="70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2"/>
      <c r="R386" s="72"/>
      <c r="S386" s="72"/>
      <c r="T386" s="72"/>
      <c r="U386" s="72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/>
      <c r="AV386" s="65"/>
      <c r="AW386" s="65"/>
      <c r="AX386" s="65"/>
      <c r="AY386" s="65"/>
      <c r="AZ386" s="65"/>
      <c r="BA386" s="65"/>
      <c r="BB386" s="65"/>
      <c r="BC386" s="65"/>
      <c r="BD386" s="65"/>
      <c r="BE386" s="65"/>
      <c r="BF386" s="68"/>
      <c r="BG386" s="68"/>
      <c r="BH386" s="68"/>
    </row>
    <row r="387" spans="1:60" s="64" customFormat="1">
      <c r="A387" s="69"/>
      <c r="B387" s="69"/>
      <c r="C387" s="69"/>
      <c r="D387" s="71"/>
      <c r="E387" s="70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2"/>
      <c r="R387" s="72"/>
      <c r="S387" s="72"/>
      <c r="T387" s="72"/>
      <c r="U387" s="72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  <c r="BD387" s="65"/>
      <c r="BE387" s="65"/>
      <c r="BF387" s="68"/>
      <c r="BG387" s="68"/>
      <c r="BH387" s="68"/>
    </row>
    <row r="388" spans="1:60" s="64" customFormat="1">
      <c r="A388" s="69"/>
      <c r="B388" s="69"/>
      <c r="C388" s="69"/>
      <c r="D388" s="71"/>
      <c r="E388" s="70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2"/>
      <c r="R388" s="72"/>
      <c r="S388" s="72"/>
      <c r="T388" s="72"/>
      <c r="U388" s="72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  <c r="AW388" s="65"/>
      <c r="AX388" s="65"/>
      <c r="AY388" s="65"/>
      <c r="AZ388" s="65"/>
      <c r="BA388" s="65"/>
      <c r="BB388" s="65"/>
      <c r="BC388" s="65"/>
      <c r="BD388" s="65"/>
      <c r="BE388" s="65"/>
      <c r="BF388" s="68"/>
      <c r="BG388" s="68"/>
      <c r="BH388" s="68"/>
    </row>
    <row r="389" spans="1:60" s="64" customFormat="1">
      <c r="A389" s="69"/>
      <c r="B389" s="69"/>
      <c r="C389" s="69"/>
      <c r="D389" s="71"/>
      <c r="E389" s="70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2"/>
      <c r="R389" s="72"/>
      <c r="S389" s="72"/>
      <c r="T389" s="72"/>
      <c r="U389" s="72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  <c r="AV389" s="65"/>
      <c r="AW389" s="65"/>
      <c r="AX389" s="65"/>
      <c r="AY389" s="65"/>
      <c r="AZ389" s="65"/>
      <c r="BA389" s="65"/>
      <c r="BB389" s="65"/>
      <c r="BC389" s="65"/>
      <c r="BD389" s="65"/>
      <c r="BE389" s="65"/>
      <c r="BF389" s="68"/>
      <c r="BG389" s="68"/>
      <c r="BH389" s="68"/>
    </row>
    <row r="390" spans="1:60" s="64" customFormat="1">
      <c r="A390" s="69"/>
      <c r="B390" s="69"/>
      <c r="C390" s="69"/>
      <c r="D390" s="71"/>
      <c r="E390" s="70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2"/>
      <c r="R390" s="72"/>
      <c r="S390" s="72"/>
      <c r="T390" s="72"/>
      <c r="U390" s="72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  <c r="AV390" s="65"/>
      <c r="AW390" s="65"/>
      <c r="AX390" s="65"/>
      <c r="AY390" s="65"/>
      <c r="AZ390" s="65"/>
      <c r="BA390" s="65"/>
      <c r="BB390" s="65"/>
      <c r="BC390" s="65"/>
      <c r="BD390" s="65"/>
      <c r="BE390" s="65"/>
      <c r="BF390" s="68"/>
      <c r="BG390" s="68"/>
      <c r="BH390" s="68"/>
    </row>
    <row r="391" spans="1:60" s="64" customFormat="1">
      <c r="A391" s="69"/>
      <c r="B391" s="69"/>
      <c r="C391" s="69"/>
      <c r="D391" s="71"/>
      <c r="E391" s="70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2"/>
      <c r="R391" s="72"/>
      <c r="S391" s="72"/>
      <c r="T391" s="72"/>
      <c r="U391" s="72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  <c r="AV391" s="65"/>
      <c r="AW391" s="65"/>
      <c r="AX391" s="65"/>
      <c r="AY391" s="65"/>
      <c r="AZ391" s="65"/>
      <c r="BA391" s="65"/>
      <c r="BB391" s="65"/>
      <c r="BC391" s="65"/>
      <c r="BD391" s="65"/>
      <c r="BE391" s="65"/>
      <c r="BF391" s="68"/>
      <c r="BG391" s="68"/>
      <c r="BH391" s="68"/>
    </row>
    <row r="392" spans="1:60" s="64" customFormat="1">
      <c r="A392" s="69"/>
      <c r="B392" s="69"/>
      <c r="C392" s="69"/>
      <c r="D392" s="71"/>
      <c r="E392" s="70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2"/>
      <c r="R392" s="72"/>
      <c r="S392" s="72"/>
      <c r="T392" s="72"/>
      <c r="U392" s="72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  <c r="AV392" s="65"/>
      <c r="AW392" s="65"/>
      <c r="AX392" s="65"/>
      <c r="AY392" s="65"/>
      <c r="AZ392" s="65"/>
      <c r="BA392" s="65"/>
      <c r="BB392" s="65"/>
      <c r="BC392" s="65"/>
      <c r="BD392" s="65"/>
      <c r="BE392" s="65"/>
      <c r="BF392" s="68"/>
      <c r="BG392" s="68"/>
      <c r="BH392" s="68"/>
    </row>
    <row r="393" spans="1:60" s="64" customFormat="1">
      <c r="A393" s="69"/>
      <c r="B393" s="69"/>
      <c r="C393" s="69"/>
      <c r="D393" s="71"/>
      <c r="E393" s="70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2"/>
      <c r="R393" s="72"/>
      <c r="S393" s="72"/>
      <c r="T393" s="72"/>
      <c r="U393" s="72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  <c r="AT393" s="65"/>
      <c r="AU393" s="65"/>
      <c r="AV393" s="65"/>
      <c r="AW393" s="65"/>
      <c r="AX393" s="65"/>
      <c r="AY393" s="65"/>
      <c r="AZ393" s="65"/>
      <c r="BA393" s="65"/>
      <c r="BB393" s="65"/>
      <c r="BC393" s="65"/>
      <c r="BD393" s="65"/>
      <c r="BE393" s="65"/>
      <c r="BF393" s="68"/>
      <c r="BG393" s="68"/>
      <c r="BH393" s="68"/>
    </row>
    <row r="394" spans="1:60" s="64" customFormat="1">
      <c r="A394" s="69"/>
      <c r="B394" s="69"/>
      <c r="C394" s="69"/>
      <c r="D394" s="71"/>
      <c r="E394" s="70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2"/>
      <c r="R394" s="72"/>
      <c r="S394" s="72"/>
      <c r="T394" s="72"/>
      <c r="U394" s="72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  <c r="AT394" s="65"/>
      <c r="AU394" s="65"/>
      <c r="AV394" s="65"/>
      <c r="AW394" s="65"/>
      <c r="AX394" s="65"/>
      <c r="AY394" s="65"/>
      <c r="AZ394" s="65"/>
      <c r="BA394" s="65"/>
      <c r="BB394" s="65"/>
      <c r="BC394" s="65"/>
      <c r="BD394" s="65"/>
      <c r="BE394" s="65"/>
      <c r="BF394" s="68"/>
      <c r="BG394" s="68"/>
      <c r="BH394" s="68"/>
    </row>
    <row r="395" spans="1:60" s="64" customFormat="1">
      <c r="A395" s="69"/>
      <c r="B395" s="69"/>
      <c r="C395" s="69"/>
      <c r="D395" s="71"/>
      <c r="E395" s="70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2"/>
      <c r="R395" s="72"/>
      <c r="S395" s="72"/>
      <c r="T395" s="72"/>
      <c r="U395" s="72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5"/>
      <c r="AT395" s="65"/>
      <c r="AU395" s="65"/>
      <c r="AV395" s="65"/>
      <c r="AW395" s="65"/>
      <c r="AX395" s="65"/>
      <c r="AY395" s="65"/>
      <c r="AZ395" s="65"/>
      <c r="BA395" s="65"/>
      <c r="BB395" s="65"/>
      <c r="BC395" s="65"/>
      <c r="BD395" s="65"/>
      <c r="BE395" s="65"/>
      <c r="BF395" s="68"/>
      <c r="BG395" s="68"/>
      <c r="BH395" s="68"/>
    </row>
    <row r="396" spans="1:60" s="64" customFormat="1">
      <c r="A396" s="69"/>
      <c r="B396" s="69"/>
      <c r="C396" s="69"/>
      <c r="D396" s="71"/>
      <c r="E396" s="70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2"/>
      <c r="R396" s="72"/>
      <c r="S396" s="72"/>
      <c r="T396" s="72"/>
      <c r="U396" s="72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  <c r="BE396" s="65"/>
      <c r="BF396" s="68"/>
      <c r="BG396" s="68"/>
      <c r="BH396" s="68"/>
    </row>
    <row r="397" spans="1:60" s="64" customFormat="1">
      <c r="A397" s="69"/>
      <c r="B397" s="69"/>
      <c r="C397" s="69"/>
      <c r="D397" s="71"/>
      <c r="E397" s="70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2"/>
      <c r="R397" s="72"/>
      <c r="S397" s="72"/>
      <c r="T397" s="72"/>
      <c r="U397" s="72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  <c r="BD397" s="65"/>
      <c r="BE397" s="65"/>
      <c r="BF397" s="68"/>
      <c r="BG397" s="68"/>
      <c r="BH397" s="68"/>
    </row>
    <row r="398" spans="1:60" s="64" customFormat="1">
      <c r="A398" s="69"/>
      <c r="B398" s="69"/>
      <c r="C398" s="69"/>
      <c r="D398" s="71"/>
      <c r="E398" s="70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2"/>
      <c r="R398" s="72"/>
      <c r="S398" s="72"/>
      <c r="T398" s="72"/>
      <c r="U398" s="72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  <c r="BE398" s="65"/>
      <c r="BF398" s="68"/>
      <c r="BG398" s="68"/>
      <c r="BH398" s="68"/>
    </row>
    <row r="399" spans="1:60" s="64" customFormat="1">
      <c r="A399" s="69"/>
      <c r="B399" s="69"/>
      <c r="C399" s="69"/>
      <c r="D399" s="71"/>
      <c r="E399" s="70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2"/>
      <c r="R399" s="72"/>
      <c r="S399" s="72"/>
      <c r="T399" s="72"/>
      <c r="U399" s="72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  <c r="BD399" s="65"/>
      <c r="BE399" s="65"/>
      <c r="BF399" s="68"/>
      <c r="BG399" s="68"/>
      <c r="BH399" s="68"/>
    </row>
    <row r="400" spans="1:60" s="64" customFormat="1">
      <c r="A400" s="69"/>
      <c r="B400" s="69"/>
      <c r="C400" s="69"/>
      <c r="D400" s="71"/>
      <c r="E400" s="70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2"/>
      <c r="R400" s="72"/>
      <c r="S400" s="72"/>
      <c r="T400" s="72"/>
      <c r="U400" s="72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  <c r="AT400" s="65"/>
      <c r="AU400" s="65"/>
      <c r="AV400" s="65"/>
      <c r="AW400" s="65"/>
      <c r="AX400" s="65"/>
      <c r="AY400" s="65"/>
      <c r="AZ400" s="65"/>
      <c r="BA400" s="65"/>
      <c r="BB400" s="65"/>
      <c r="BC400" s="65"/>
      <c r="BD400" s="65"/>
      <c r="BE400" s="65"/>
      <c r="BF400" s="68"/>
      <c r="BG400" s="68"/>
      <c r="BH400" s="68"/>
    </row>
    <row r="401" spans="1:60" s="64" customFormat="1">
      <c r="A401" s="69"/>
      <c r="B401" s="69"/>
      <c r="C401" s="69"/>
      <c r="D401" s="71"/>
      <c r="E401" s="70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2"/>
      <c r="R401" s="72"/>
      <c r="S401" s="72"/>
      <c r="T401" s="72"/>
      <c r="U401" s="72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  <c r="AT401" s="65"/>
      <c r="AU401" s="65"/>
      <c r="AV401" s="65"/>
      <c r="AW401" s="65"/>
      <c r="AX401" s="65"/>
      <c r="AY401" s="65"/>
      <c r="AZ401" s="65"/>
      <c r="BA401" s="65"/>
      <c r="BB401" s="65"/>
      <c r="BC401" s="65"/>
      <c r="BD401" s="65"/>
      <c r="BE401" s="65"/>
      <c r="BF401" s="68"/>
      <c r="BG401" s="68"/>
      <c r="BH401" s="68"/>
    </row>
    <row r="402" spans="1:60" s="64" customFormat="1">
      <c r="A402" s="69"/>
      <c r="B402" s="69"/>
      <c r="C402" s="69"/>
      <c r="D402" s="71"/>
      <c r="E402" s="70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2"/>
      <c r="R402" s="72"/>
      <c r="S402" s="72"/>
      <c r="T402" s="72"/>
      <c r="U402" s="72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  <c r="BD402" s="65"/>
      <c r="BE402" s="65"/>
      <c r="BF402" s="68"/>
      <c r="BG402" s="68"/>
      <c r="BH402" s="68"/>
    </row>
    <row r="403" spans="1:60" s="64" customFormat="1">
      <c r="A403" s="69"/>
      <c r="B403" s="69"/>
      <c r="C403" s="69"/>
      <c r="D403" s="71"/>
      <c r="E403" s="70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2"/>
      <c r="R403" s="72"/>
      <c r="S403" s="72"/>
      <c r="T403" s="72"/>
      <c r="U403" s="72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  <c r="BD403" s="65"/>
      <c r="BE403" s="65"/>
      <c r="BF403" s="68"/>
      <c r="BG403" s="68"/>
      <c r="BH403" s="68"/>
    </row>
    <row r="404" spans="1:60" s="64" customFormat="1">
      <c r="A404" s="69"/>
      <c r="B404" s="69"/>
      <c r="C404" s="69"/>
      <c r="D404" s="71"/>
      <c r="E404" s="70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2"/>
      <c r="R404" s="72"/>
      <c r="S404" s="72"/>
      <c r="T404" s="72"/>
      <c r="U404" s="72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  <c r="AW404" s="65"/>
      <c r="AX404" s="65"/>
      <c r="AY404" s="65"/>
      <c r="AZ404" s="65"/>
      <c r="BA404" s="65"/>
      <c r="BB404" s="65"/>
      <c r="BC404" s="65"/>
      <c r="BD404" s="65"/>
      <c r="BE404" s="65"/>
      <c r="BF404" s="68"/>
      <c r="BG404" s="68"/>
      <c r="BH404" s="68"/>
    </row>
    <row r="405" spans="1:60" s="64" customFormat="1">
      <c r="A405" s="69"/>
      <c r="B405" s="69"/>
      <c r="C405" s="69"/>
      <c r="D405" s="71"/>
      <c r="E405" s="70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2"/>
      <c r="R405" s="72"/>
      <c r="S405" s="72"/>
      <c r="T405" s="72"/>
      <c r="U405" s="72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  <c r="AT405" s="65"/>
      <c r="AU405" s="65"/>
      <c r="AV405" s="65"/>
      <c r="AW405" s="65"/>
      <c r="AX405" s="65"/>
      <c r="AY405" s="65"/>
      <c r="AZ405" s="65"/>
      <c r="BA405" s="65"/>
      <c r="BB405" s="65"/>
      <c r="BC405" s="65"/>
      <c r="BD405" s="65"/>
      <c r="BE405" s="65"/>
      <c r="BF405" s="68"/>
      <c r="BG405" s="68"/>
      <c r="BH405" s="68"/>
    </row>
    <row r="406" spans="1:60" s="64" customFormat="1">
      <c r="A406" s="69"/>
      <c r="B406" s="69"/>
      <c r="C406" s="69"/>
      <c r="D406" s="71"/>
      <c r="E406" s="70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2"/>
      <c r="R406" s="72"/>
      <c r="S406" s="72"/>
      <c r="T406" s="72"/>
      <c r="U406" s="72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  <c r="AT406" s="65"/>
      <c r="AU406" s="65"/>
      <c r="AV406" s="65"/>
      <c r="AW406" s="65"/>
      <c r="AX406" s="65"/>
      <c r="AY406" s="65"/>
      <c r="AZ406" s="65"/>
      <c r="BA406" s="65"/>
      <c r="BB406" s="65"/>
      <c r="BC406" s="65"/>
      <c r="BD406" s="65"/>
      <c r="BE406" s="65"/>
      <c r="BF406" s="68"/>
      <c r="BG406" s="68"/>
      <c r="BH406" s="68"/>
    </row>
    <row r="407" spans="1:60" s="64" customFormat="1">
      <c r="A407" s="69"/>
      <c r="B407" s="69"/>
      <c r="C407" s="69"/>
      <c r="D407" s="71"/>
      <c r="E407" s="70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2"/>
      <c r="R407" s="72"/>
      <c r="S407" s="72"/>
      <c r="T407" s="72"/>
      <c r="U407" s="72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  <c r="AT407" s="65"/>
      <c r="AU407" s="65"/>
      <c r="AV407" s="65"/>
      <c r="AW407" s="65"/>
      <c r="AX407" s="65"/>
      <c r="AY407" s="65"/>
      <c r="AZ407" s="65"/>
      <c r="BA407" s="65"/>
      <c r="BB407" s="65"/>
      <c r="BC407" s="65"/>
      <c r="BD407" s="65"/>
      <c r="BE407" s="65"/>
      <c r="BF407" s="68"/>
      <c r="BG407" s="68"/>
      <c r="BH407" s="68"/>
    </row>
    <row r="408" spans="1:60" s="64" customFormat="1">
      <c r="A408" s="69"/>
      <c r="B408" s="69"/>
      <c r="C408" s="69"/>
      <c r="D408" s="71"/>
      <c r="E408" s="70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2"/>
      <c r="R408" s="72"/>
      <c r="S408" s="72"/>
      <c r="T408" s="72"/>
      <c r="U408" s="72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  <c r="AT408" s="65"/>
      <c r="AU408" s="65"/>
      <c r="AV408" s="65"/>
      <c r="AW408" s="65"/>
      <c r="AX408" s="65"/>
      <c r="AY408" s="65"/>
      <c r="AZ408" s="65"/>
      <c r="BA408" s="65"/>
      <c r="BB408" s="65"/>
      <c r="BC408" s="65"/>
      <c r="BD408" s="65"/>
      <c r="BE408" s="65"/>
      <c r="BF408" s="68"/>
      <c r="BG408" s="68"/>
      <c r="BH408" s="68"/>
    </row>
    <row r="409" spans="1:60" s="64" customFormat="1">
      <c r="A409" s="69"/>
      <c r="B409" s="69"/>
      <c r="C409" s="69"/>
      <c r="D409" s="71"/>
      <c r="E409" s="70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2"/>
      <c r="R409" s="72"/>
      <c r="S409" s="72"/>
      <c r="T409" s="72"/>
      <c r="U409" s="72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  <c r="BD409" s="65"/>
      <c r="BE409" s="65"/>
      <c r="BF409" s="68"/>
      <c r="BG409" s="68"/>
      <c r="BH409" s="68"/>
    </row>
    <row r="410" spans="1:60" s="64" customFormat="1">
      <c r="A410" s="69"/>
      <c r="B410" s="69"/>
      <c r="C410" s="69"/>
      <c r="D410" s="71"/>
      <c r="E410" s="70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2"/>
      <c r="R410" s="72"/>
      <c r="S410" s="72"/>
      <c r="T410" s="72"/>
      <c r="U410" s="72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  <c r="BD410" s="65"/>
      <c r="BE410" s="65"/>
      <c r="BF410" s="68"/>
      <c r="BG410" s="68"/>
      <c r="BH410" s="68"/>
    </row>
    <row r="411" spans="1:60" s="64" customFormat="1">
      <c r="A411" s="69"/>
      <c r="B411" s="69"/>
      <c r="C411" s="69"/>
      <c r="D411" s="71"/>
      <c r="E411" s="70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2"/>
      <c r="R411" s="72"/>
      <c r="S411" s="72"/>
      <c r="T411" s="72"/>
      <c r="U411" s="72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  <c r="BD411" s="65"/>
      <c r="BE411" s="65"/>
      <c r="BF411" s="68"/>
      <c r="BG411" s="68"/>
      <c r="BH411" s="68"/>
    </row>
    <row r="412" spans="1:60" s="64" customFormat="1">
      <c r="A412" s="69"/>
      <c r="B412" s="69"/>
      <c r="C412" s="69"/>
      <c r="D412" s="71"/>
      <c r="E412" s="70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2"/>
      <c r="R412" s="72"/>
      <c r="S412" s="72"/>
      <c r="T412" s="72"/>
      <c r="U412" s="72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65"/>
      <c r="BA412" s="65"/>
      <c r="BB412" s="65"/>
      <c r="BC412" s="65"/>
      <c r="BD412" s="65"/>
      <c r="BE412" s="65"/>
      <c r="BF412" s="68"/>
      <c r="BG412" s="68"/>
      <c r="BH412" s="68"/>
    </row>
    <row r="413" spans="1:60" s="64" customFormat="1">
      <c r="A413" s="69"/>
      <c r="B413" s="69"/>
      <c r="C413" s="69"/>
      <c r="D413" s="71"/>
      <c r="E413" s="70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2"/>
      <c r="R413" s="72"/>
      <c r="S413" s="72"/>
      <c r="T413" s="72"/>
      <c r="U413" s="72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  <c r="BD413" s="65"/>
      <c r="BE413" s="65"/>
      <c r="BF413" s="68"/>
      <c r="BG413" s="68"/>
      <c r="BH413" s="68"/>
    </row>
    <row r="414" spans="1:60" s="64" customFormat="1">
      <c r="A414" s="69"/>
      <c r="B414" s="69"/>
      <c r="C414" s="69"/>
      <c r="D414" s="71"/>
      <c r="E414" s="70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2"/>
      <c r="R414" s="72"/>
      <c r="S414" s="72"/>
      <c r="T414" s="72"/>
      <c r="U414" s="72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  <c r="AT414" s="65"/>
      <c r="AU414" s="65"/>
      <c r="AV414" s="65"/>
      <c r="AW414" s="65"/>
      <c r="AX414" s="65"/>
      <c r="AY414" s="65"/>
      <c r="AZ414" s="65"/>
      <c r="BA414" s="65"/>
      <c r="BB414" s="65"/>
      <c r="BC414" s="65"/>
      <c r="BD414" s="65"/>
      <c r="BE414" s="65"/>
      <c r="BF414" s="68"/>
      <c r="BG414" s="68"/>
      <c r="BH414" s="68"/>
    </row>
    <row r="415" spans="1:60" s="64" customFormat="1">
      <c r="A415" s="69"/>
      <c r="B415" s="69"/>
      <c r="C415" s="69"/>
      <c r="D415" s="71"/>
      <c r="E415" s="70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2"/>
      <c r="R415" s="72"/>
      <c r="S415" s="72"/>
      <c r="T415" s="72"/>
      <c r="U415" s="72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  <c r="AV415" s="65"/>
      <c r="AW415" s="65"/>
      <c r="AX415" s="65"/>
      <c r="AY415" s="65"/>
      <c r="AZ415" s="65"/>
      <c r="BA415" s="65"/>
      <c r="BB415" s="65"/>
      <c r="BC415" s="65"/>
      <c r="BD415" s="65"/>
      <c r="BE415" s="65"/>
      <c r="BF415" s="68"/>
      <c r="BG415" s="68"/>
      <c r="BH415" s="68"/>
    </row>
    <row r="416" spans="1:60" s="64" customFormat="1">
      <c r="A416" s="69"/>
      <c r="B416" s="69"/>
      <c r="C416" s="69"/>
      <c r="D416" s="71"/>
      <c r="E416" s="70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2"/>
      <c r="R416" s="72"/>
      <c r="S416" s="72"/>
      <c r="T416" s="72"/>
      <c r="U416" s="72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  <c r="AV416" s="65"/>
      <c r="AW416" s="65"/>
      <c r="AX416" s="65"/>
      <c r="AY416" s="65"/>
      <c r="AZ416" s="65"/>
      <c r="BA416" s="65"/>
      <c r="BB416" s="65"/>
      <c r="BC416" s="65"/>
      <c r="BD416" s="65"/>
      <c r="BE416" s="65"/>
      <c r="BF416" s="68"/>
      <c r="BG416" s="68"/>
      <c r="BH416" s="68"/>
    </row>
    <row r="417" spans="1:60" s="64" customFormat="1">
      <c r="A417" s="69"/>
      <c r="B417" s="69"/>
      <c r="C417" s="69"/>
      <c r="D417" s="71"/>
      <c r="E417" s="70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2"/>
      <c r="R417" s="72"/>
      <c r="S417" s="72"/>
      <c r="T417" s="72"/>
      <c r="U417" s="72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  <c r="AV417" s="65"/>
      <c r="AW417" s="65"/>
      <c r="AX417" s="65"/>
      <c r="AY417" s="65"/>
      <c r="AZ417" s="65"/>
      <c r="BA417" s="65"/>
      <c r="BB417" s="65"/>
      <c r="BC417" s="65"/>
      <c r="BD417" s="65"/>
      <c r="BE417" s="65"/>
      <c r="BF417" s="68"/>
      <c r="BG417" s="68"/>
      <c r="BH417" s="68"/>
    </row>
    <row r="418" spans="1:60" s="64" customFormat="1">
      <c r="A418" s="69"/>
      <c r="B418" s="69"/>
      <c r="C418" s="69"/>
      <c r="D418" s="71"/>
      <c r="E418" s="70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2"/>
      <c r="R418" s="72"/>
      <c r="S418" s="72"/>
      <c r="T418" s="72"/>
      <c r="U418" s="72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  <c r="AT418" s="65"/>
      <c r="AU418" s="65"/>
      <c r="AV418" s="65"/>
      <c r="AW418" s="65"/>
      <c r="AX418" s="65"/>
      <c r="AY418" s="65"/>
      <c r="AZ418" s="65"/>
      <c r="BA418" s="65"/>
      <c r="BB418" s="65"/>
      <c r="BC418" s="65"/>
      <c r="BD418" s="65"/>
      <c r="BE418" s="65"/>
      <c r="BF418" s="68"/>
      <c r="BG418" s="68"/>
      <c r="BH418" s="68"/>
    </row>
    <row r="419" spans="1:60" s="64" customFormat="1">
      <c r="A419" s="69"/>
      <c r="B419" s="69"/>
      <c r="C419" s="69"/>
      <c r="D419" s="71"/>
      <c r="E419" s="70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2"/>
      <c r="R419" s="72"/>
      <c r="S419" s="72"/>
      <c r="T419" s="72"/>
      <c r="U419" s="72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  <c r="AU419" s="65"/>
      <c r="AV419" s="65"/>
      <c r="AW419" s="65"/>
      <c r="AX419" s="65"/>
      <c r="AY419" s="65"/>
      <c r="AZ419" s="65"/>
      <c r="BA419" s="65"/>
      <c r="BB419" s="65"/>
      <c r="BC419" s="65"/>
      <c r="BD419" s="65"/>
      <c r="BE419" s="65"/>
      <c r="BF419" s="68"/>
      <c r="BG419" s="68"/>
      <c r="BH419" s="68"/>
    </row>
    <row r="420" spans="1:60" s="64" customFormat="1">
      <c r="A420" s="69"/>
      <c r="B420" s="69"/>
      <c r="C420" s="69"/>
      <c r="D420" s="71"/>
      <c r="E420" s="70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2"/>
      <c r="R420" s="72"/>
      <c r="S420" s="72"/>
      <c r="T420" s="72"/>
      <c r="U420" s="72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  <c r="AT420" s="65"/>
      <c r="AU420" s="65"/>
      <c r="AV420" s="65"/>
      <c r="AW420" s="65"/>
      <c r="AX420" s="65"/>
      <c r="AY420" s="65"/>
      <c r="AZ420" s="65"/>
      <c r="BA420" s="65"/>
      <c r="BB420" s="65"/>
      <c r="BC420" s="65"/>
      <c r="BD420" s="65"/>
      <c r="BE420" s="65"/>
      <c r="BF420" s="68"/>
      <c r="BG420" s="68"/>
      <c r="BH420" s="68"/>
    </row>
    <row r="421" spans="1:60" s="64" customFormat="1">
      <c r="A421" s="69"/>
      <c r="B421" s="69"/>
      <c r="C421" s="69"/>
      <c r="D421" s="71"/>
      <c r="E421" s="70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2"/>
      <c r="R421" s="72"/>
      <c r="S421" s="72"/>
      <c r="T421" s="72"/>
      <c r="U421" s="72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5"/>
      <c r="AT421" s="65"/>
      <c r="AU421" s="65"/>
      <c r="AV421" s="65"/>
      <c r="AW421" s="65"/>
      <c r="AX421" s="65"/>
      <c r="AY421" s="65"/>
      <c r="AZ421" s="65"/>
      <c r="BA421" s="65"/>
      <c r="BB421" s="65"/>
      <c r="BC421" s="65"/>
      <c r="BD421" s="65"/>
      <c r="BE421" s="65"/>
      <c r="BF421" s="68"/>
      <c r="BG421" s="68"/>
      <c r="BH421" s="68"/>
    </row>
    <row r="422" spans="1:60" s="64" customFormat="1">
      <c r="A422" s="69"/>
      <c r="B422" s="69"/>
      <c r="C422" s="69"/>
      <c r="D422" s="71"/>
      <c r="E422" s="70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2"/>
      <c r="R422" s="72"/>
      <c r="S422" s="72"/>
      <c r="T422" s="72"/>
      <c r="U422" s="72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5"/>
      <c r="AT422" s="65"/>
      <c r="AU422" s="65"/>
      <c r="AV422" s="65"/>
      <c r="AW422" s="65"/>
      <c r="AX422" s="65"/>
      <c r="AY422" s="65"/>
      <c r="AZ422" s="65"/>
      <c r="BA422" s="65"/>
      <c r="BB422" s="65"/>
      <c r="BC422" s="65"/>
      <c r="BD422" s="65"/>
      <c r="BE422" s="65"/>
      <c r="BF422" s="68"/>
      <c r="BG422" s="68"/>
      <c r="BH422" s="68"/>
    </row>
    <row r="423" spans="1:60" s="64" customFormat="1">
      <c r="A423" s="69"/>
      <c r="B423" s="69"/>
      <c r="C423" s="69"/>
      <c r="D423" s="71"/>
      <c r="E423" s="70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2"/>
      <c r="R423" s="72"/>
      <c r="S423" s="72"/>
      <c r="T423" s="72"/>
      <c r="U423" s="72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  <c r="BD423" s="65"/>
      <c r="BE423" s="65"/>
      <c r="BF423" s="68"/>
      <c r="BG423" s="68"/>
      <c r="BH423" s="68"/>
    </row>
    <row r="424" spans="1:60" s="64" customFormat="1">
      <c r="A424" s="69"/>
      <c r="B424" s="69"/>
      <c r="C424" s="69"/>
      <c r="D424" s="71"/>
      <c r="E424" s="70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2"/>
      <c r="R424" s="72"/>
      <c r="S424" s="72"/>
      <c r="T424" s="72"/>
      <c r="U424" s="72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  <c r="AV424" s="65"/>
      <c r="AW424" s="65"/>
      <c r="AX424" s="65"/>
      <c r="AY424" s="65"/>
      <c r="AZ424" s="65"/>
      <c r="BA424" s="65"/>
      <c r="BB424" s="65"/>
      <c r="BC424" s="65"/>
      <c r="BD424" s="65"/>
      <c r="BE424" s="65"/>
      <c r="BF424" s="68"/>
      <c r="BG424" s="68"/>
      <c r="BH424" s="68"/>
    </row>
    <row r="425" spans="1:60" s="64" customFormat="1">
      <c r="A425" s="69"/>
      <c r="B425" s="69"/>
      <c r="C425" s="69"/>
      <c r="D425" s="71"/>
      <c r="E425" s="70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2"/>
      <c r="R425" s="72"/>
      <c r="S425" s="72"/>
      <c r="T425" s="72"/>
      <c r="U425" s="72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  <c r="AT425" s="65"/>
      <c r="AU425" s="65"/>
      <c r="AV425" s="65"/>
      <c r="AW425" s="65"/>
      <c r="AX425" s="65"/>
      <c r="AY425" s="65"/>
      <c r="AZ425" s="65"/>
      <c r="BA425" s="65"/>
      <c r="BB425" s="65"/>
      <c r="BC425" s="65"/>
      <c r="BD425" s="65"/>
      <c r="BE425" s="65"/>
      <c r="BF425" s="68"/>
      <c r="BG425" s="68"/>
      <c r="BH425" s="68"/>
    </row>
    <row r="426" spans="1:60" s="64" customFormat="1">
      <c r="A426" s="69"/>
      <c r="B426" s="69"/>
      <c r="C426" s="69"/>
      <c r="D426" s="71"/>
      <c r="E426" s="70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2"/>
      <c r="R426" s="72"/>
      <c r="S426" s="72"/>
      <c r="T426" s="72"/>
      <c r="U426" s="72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  <c r="AT426" s="65"/>
      <c r="AU426" s="65"/>
      <c r="AV426" s="65"/>
      <c r="AW426" s="65"/>
      <c r="AX426" s="65"/>
      <c r="AY426" s="65"/>
      <c r="AZ426" s="65"/>
      <c r="BA426" s="65"/>
      <c r="BB426" s="65"/>
      <c r="BC426" s="65"/>
      <c r="BD426" s="65"/>
      <c r="BE426" s="65"/>
      <c r="BF426" s="68"/>
      <c r="BG426" s="68"/>
      <c r="BH426" s="68"/>
    </row>
    <row r="427" spans="1:60" s="64" customFormat="1">
      <c r="A427" s="69"/>
      <c r="B427" s="69"/>
      <c r="C427" s="69"/>
      <c r="D427" s="71"/>
      <c r="E427" s="70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2"/>
      <c r="R427" s="72"/>
      <c r="S427" s="72"/>
      <c r="T427" s="72"/>
      <c r="U427" s="72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  <c r="AT427" s="65"/>
      <c r="AU427" s="65"/>
      <c r="AV427" s="65"/>
      <c r="AW427" s="65"/>
      <c r="AX427" s="65"/>
      <c r="AY427" s="65"/>
      <c r="AZ427" s="65"/>
      <c r="BA427" s="65"/>
      <c r="BB427" s="65"/>
      <c r="BC427" s="65"/>
      <c r="BD427" s="65"/>
      <c r="BE427" s="65"/>
      <c r="BF427" s="68"/>
      <c r="BG427" s="68"/>
      <c r="BH427" s="68"/>
    </row>
    <row r="428" spans="1:60" s="65" customFormat="1">
      <c r="A428" s="69"/>
      <c r="B428" s="69"/>
      <c r="C428" s="69"/>
      <c r="D428" s="71"/>
      <c r="E428" s="70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2"/>
      <c r="R428" s="72"/>
      <c r="S428" s="72"/>
      <c r="T428" s="72"/>
      <c r="U428" s="72"/>
      <c r="V428" s="64"/>
      <c r="AD428" s="65" t="s">
        <v>808</v>
      </c>
      <c r="AT428" s="65" t="s">
        <v>808</v>
      </c>
      <c r="BF428" s="68"/>
      <c r="BG428" s="68"/>
      <c r="BH428" s="68"/>
    </row>
    <row r="429" spans="1:60" s="65" customFormat="1">
      <c r="A429" s="69"/>
      <c r="B429" s="69"/>
      <c r="C429" s="69"/>
      <c r="D429" s="71"/>
      <c r="E429" s="70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2"/>
      <c r="R429" s="72"/>
      <c r="S429" s="72"/>
      <c r="T429" s="72"/>
      <c r="U429" s="72"/>
      <c r="V429" s="64"/>
      <c r="BF429" s="68"/>
      <c r="BG429" s="68"/>
      <c r="BH429" s="68"/>
    </row>
    <row r="430" spans="1:60" s="65" customFormat="1">
      <c r="A430" s="69"/>
      <c r="B430" s="69"/>
      <c r="C430" s="69"/>
      <c r="D430" s="71"/>
      <c r="E430" s="70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2"/>
      <c r="R430" s="72"/>
      <c r="S430" s="72"/>
      <c r="T430" s="72"/>
      <c r="U430" s="72"/>
      <c r="V430" s="64"/>
      <c r="AD430" s="65" t="s">
        <v>808</v>
      </c>
      <c r="AT430" s="65" t="s">
        <v>808</v>
      </c>
      <c r="BF430" s="68"/>
      <c r="BG430" s="68"/>
      <c r="BH430" s="68"/>
    </row>
    <row r="431" spans="1:60" s="65" customFormat="1">
      <c r="A431" s="69"/>
      <c r="B431" s="69"/>
      <c r="C431" s="69"/>
      <c r="D431" s="71"/>
      <c r="E431" s="70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2"/>
      <c r="R431" s="72"/>
      <c r="S431" s="72"/>
      <c r="T431" s="72"/>
      <c r="U431" s="72"/>
      <c r="V431" s="64"/>
      <c r="BF431" s="68"/>
      <c r="BG431" s="68"/>
      <c r="BH431" s="68"/>
    </row>
    <row r="432" spans="1:60" s="65" customFormat="1">
      <c r="A432" s="69"/>
      <c r="B432" s="69"/>
      <c r="C432" s="69"/>
      <c r="D432" s="71"/>
      <c r="E432" s="70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2"/>
      <c r="R432" s="72"/>
      <c r="S432" s="72"/>
      <c r="T432" s="72"/>
      <c r="U432" s="72"/>
      <c r="V432" s="64"/>
      <c r="BF432" s="68"/>
      <c r="BG432" s="68"/>
      <c r="BH432" s="68"/>
    </row>
    <row r="433" spans="1:60" s="65" customFormat="1">
      <c r="A433" s="69"/>
      <c r="B433" s="69"/>
      <c r="C433" s="69"/>
      <c r="D433" s="71"/>
      <c r="E433" s="70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2"/>
      <c r="R433" s="72"/>
      <c r="S433" s="72"/>
      <c r="T433" s="72"/>
      <c r="U433" s="72"/>
      <c r="V433" s="64"/>
      <c r="BF433" s="68"/>
      <c r="BG433" s="68"/>
      <c r="BH433" s="68"/>
    </row>
    <row r="434" spans="1:60" s="65" customFormat="1">
      <c r="A434" s="69"/>
      <c r="B434" s="69"/>
      <c r="C434" s="69"/>
      <c r="D434" s="71"/>
      <c r="E434" s="70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2"/>
      <c r="R434" s="72"/>
      <c r="S434" s="72"/>
      <c r="T434" s="72"/>
      <c r="U434" s="72"/>
      <c r="V434" s="64"/>
      <c r="BF434" s="68"/>
      <c r="BG434" s="68"/>
      <c r="BH434" s="68"/>
    </row>
    <row r="435" spans="1:60" s="65" customFormat="1">
      <c r="A435" s="69"/>
      <c r="B435" s="69"/>
      <c r="C435" s="69"/>
      <c r="D435" s="71"/>
      <c r="E435" s="70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2"/>
      <c r="R435" s="72"/>
      <c r="S435" s="72"/>
      <c r="T435" s="72"/>
      <c r="U435" s="72"/>
      <c r="V435" s="64"/>
      <c r="BF435" s="68"/>
      <c r="BG435" s="68"/>
      <c r="BH435" s="68"/>
    </row>
    <row r="436" spans="1:60" s="65" customFormat="1">
      <c r="A436" s="69"/>
      <c r="B436" s="69"/>
      <c r="C436" s="69"/>
      <c r="D436" s="71"/>
      <c r="E436" s="70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2"/>
      <c r="R436" s="72"/>
      <c r="S436" s="72"/>
      <c r="T436" s="72"/>
      <c r="U436" s="72"/>
      <c r="V436" s="64"/>
      <c r="AD436" s="65" t="s">
        <v>809</v>
      </c>
      <c r="AT436" s="65" t="s">
        <v>809</v>
      </c>
      <c r="BF436" s="68"/>
      <c r="BG436" s="68"/>
      <c r="BH436" s="68"/>
    </row>
    <row r="437" spans="1:60" s="65" customFormat="1">
      <c r="A437" s="69"/>
      <c r="B437" s="69"/>
      <c r="C437" s="69"/>
      <c r="D437" s="71"/>
      <c r="E437" s="70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2"/>
      <c r="R437" s="72"/>
      <c r="S437" s="72"/>
      <c r="T437" s="72"/>
      <c r="U437" s="72"/>
      <c r="V437" s="64"/>
      <c r="BF437" s="68"/>
      <c r="BG437" s="68"/>
      <c r="BH437" s="68"/>
    </row>
    <row r="438" spans="1:60" s="65" customFormat="1">
      <c r="A438" s="69"/>
      <c r="B438" s="69"/>
      <c r="C438" s="69"/>
      <c r="D438" s="71"/>
      <c r="E438" s="70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2"/>
      <c r="R438" s="72"/>
      <c r="S438" s="72"/>
      <c r="T438" s="72"/>
      <c r="U438" s="72"/>
      <c r="V438" s="64"/>
      <c r="BF438" s="68"/>
      <c r="BG438" s="68"/>
      <c r="BH438" s="68"/>
    </row>
    <row r="439" spans="1:60" s="65" customFormat="1">
      <c r="A439" s="69"/>
      <c r="B439" s="69"/>
      <c r="C439" s="69"/>
      <c r="D439" s="71"/>
      <c r="E439" s="70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2"/>
      <c r="R439" s="72"/>
      <c r="S439" s="72"/>
      <c r="T439" s="72"/>
      <c r="U439" s="72"/>
      <c r="V439" s="64"/>
      <c r="BF439" s="68"/>
      <c r="BG439" s="68"/>
      <c r="BH439" s="68"/>
    </row>
    <row r="440" spans="1:60" s="65" customFormat="1">
      <c r="A440" s="69"/>
      <c r="B440" s="69"/>
      <c r="C440" s="69"/>
      <c r="D440" s="71"/>
      <c r="E440" s="70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2"/>
      <c r="R440" s="72"/>
      <c r="S440" s="72"/>
      <c r="T440" s="72"/>
      <c r="U440" s="72"/>
      <c r="V440" s="64"/>
      <c r="BF440" s="68"/>
      <c r="BG440" s="68"/>
      <c r="BH440" s="68"/>
    </row>
    <row r="441" spans="1:60" s="65" customFormat="1">
      <c r="A441" s="69"/>
      <c r="B441" s="69"/>
      <c r="C441" s="69"/>
      <c r="D441" s="71"/>
      <c r="E441" s="70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2"/>
      <c r="R441" s="72"/>
      <c r="S441" s="72"/>
      <c r="T441" s="72"/>
      <c r="U441" s="72"/>
      <c r="V441" s="64"/>
      <c r="BF441" s="68"/>
      <c r="BG441" s="68"/>
      <c r="BH441" s="68"/>
    </row>
    <row r="442" spans="1:60" s="65" customFormat="1">
      <c r="A442" s="69"/>
      <c r="B442" s="69"/>
      <c r="C442" s="69"/>
      <c r="D442" s="71"/>
      <c r="E442" s="70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2"/>
      <c r="R442" s="72"/>
      <c r="S442" s="72"/>
      <c r="T442" s="72"/>
      <c r="U442" s="72"/>
      <c r="V442" s="64"/>
      <c r="BF442" s="68"/>
      <c r="BG442" s="68"/>
      <c r="BH442" s="68"/>
    </row>
    <row r="443" spans="1:60" s="65" customFormat="1">
      <c r="A443" s="69"/>
      <c r="B443" s="69"/>
      <c r="C443" s="69"/>
      <c r="D443" s="71"/>
      <c r="E443" s="70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2"/>
      <c r="R443" s="72"/>
      <c r="S443" s="72"/>
      <c r="T443" s="72"/>
      <c r="U443" s="72"/>
      <c r="V443" s="64"/>
      <c r="BF443" s="68"/>
      <c r="BG443" s="68"/>
      <c r="BH443" s="68"/>
    </row>
    <row r="444" spans="1:60" s="64" customFormat="1">
      <c r="A444" s="69"/>
      <c r="B444" s="69"/>
      <c r="C444" s="69"/>
      <c r="D444" s="71"/>
      <c r="E444" s="70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2"/>
      <c r="R444" s="72"/>
      <c r="S444" s="72"/>
      <c r="T444" s="72"/>
      <c r="U444" s="72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  <c r="AT444" s="65"/>
      <c r="AU444" s="65"/>
      <c r="AV444" s="65"/>
      <c r="AW444" s="65"/>
      <c r="AX444" s="65"/>
      <c r="AY444" s="65"/>
      <c r="AZ444" s="65"/>
      <c r="BA444" s="65"/>
      <c r="BB444" s="65"/>
      <c r="BC444" s="65"/>
      <c r="BD444" s="65"/>
      <c r="BE444" s="65"/>
      <c r="BF444" s="68"/>
      <c r="BG444" s="68"/>
      <c r="BH444" s="68"/>
    </row>
    <row r="445" spans="1:60" s="64" customFormat="1">
      <c r="A445" s="69"/>
      <c r="B445" s="69"/>
      <c r="C445" s="69"/>
      <c r="D445" s="71"/>
      <c r="E445" s="70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2"/>
      <c r="R445" s="72"/>
      <c r="S445" s="72"/>
      <c r="T445" s="72"/>
      <c r="U445" s="72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  <c r="AV445" s="65"/>
      <c r="AW445" s="65"/>
      <c r="AX445" s="65"/>
      <c r="AY445" s="65"/>
      <c r="AZ445" s="65"/>
      <c r="BA445" s="65"/>
      <c r="BB445" s="65"/>
      <c r="BC445" s="65"/>
      <c r="BD445" s="65"/>
      <c r="BE445" s="65"/>
      <c r="BF445" s="68"/>
      <c r="BG445" s="68"/>
      <c r="BH445" s="68"/>
    </row>
    <row r="446" spans="1:60" s="64" customFormat="1">
      <c r="A446" s="69"/>
      <c r="B446" s="69"/>
      <c r="C446" s="69"/>
      <c r="D446" s="71"/>
      <c r="E446" s="70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2"/>
      <c r="R446" s="72"/>
      <c r="S446" s="72"/>
      <c r="T446" s="72"/>
      <c r="U446" s="72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  <c r="AW446" s="65"/>
      <c r="AX446" s="65"/>
      <c r="AY446" s="65"/>
      <c r="AZ446" s="65"/>
      <c r="BA446" s="65"/>
      <c r="BB446" s="65"/>
      <c r="BC446" s="65"/>
      <c r="BD446" s="65"/>
      <c r="BE446" s="65"/>
      <c r="BF446" s="68"/>
      <c r="BG446" s="68"/>
      <c r="BH446" s="68"/>
    </row>
    <row r="447" spans="1:60" s="64" customFormat="1">
      <c r="A447" s="69"/>
      <c r="B447" s="69"/>
      <c r="C447" s="69"/>
      <c r="D447" s="71"/>
      <c r="E447" s="70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2"/>
      <c r="R447" s="72"/>
      <c r="S447" s="72"/>
      <c r="T447" s="72"/>
      <c r="U447" s="72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  <c r="AV447" s="65"/>
      <c r="AW447" s="65"/>
      <c r="AX447" s="65"/>
      <c r="AY447" s="65"/>
      <c r="AZ447" s="65"/>
      <c r="BA447" s="65"/>
      <c r="BB447" s="65"/>
      <c r="BC447" s="65"/>
      <c r="BD447" s="65"/>
      <c r="BE447" s="65"/>
      <c r="BF447" s="68"/>
      <c r="BG447" s="68"/>
      <c r="BH447" s="68"/>
    </row>
    <row r="448" spans="1:60" s="64" customFormat="1">
      <c r="A448" s="69"/>
      <c r="B448" s="69"/>
      <c r="C448" s="69"/>
      <c r="D448" s="71"/>
      <c r="E448" s="70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2"/>
      <c r="R448" s="72"/>
      <c r="S448" s="72"/>
      <c r="T448" s="72"/>
      <c r="U448" s="72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  <c r="AW448" s="65"/>
      <c r="AX448" s="65"/>
      <c r="AY448" s="65"/>
      <c r="AZ448" s="65"/>
      <c r="BA448" s="65"/>
      <c r="BB448" s="65"/>
      <c r="BC448" s="65"/>
      <c r="BD448" s="65"/>
      <c r="BE448" s="65"/>
      <c r="BF448" s="68"/>
      <c r="BG448" s="68"/>
      <c r="BH448" s="68"/>
    </row>
    <row r="449" spans="1:60" s="64" customFormat="1">
      <c r="A449" s="69"/>
      <c r="B449" s="69"/>
      <c r="C449" s="69"/>
      <c r="D449" s="71"/>
      <c r="E449" s="70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2"/>
      <c r="R449" s="72"/>
      <c r="S449" s="72"/>
      <c r="T449" s="72"/>
      <c r="U449" s="72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  <c r="AW449" s="65"/>
      <c r="AX449" s="65"/>
      <c r="AY449" s="65"/>
      <c r="AZ449" s="65"/>
      <c r="BA449" s="65"/>
      <c r="BB449" s="65"/>
      <c r="BC449" s="65"/>
      <c r="BD449" s="65"/>
      <c r="BE449" s="65"/>
      <c r="BF449" s="68"/>
      <c r="BG449" s="68"/>
      <c r="BH449" s="68"/>
    </row>
    <row r="450" spans="1:60" s="64" customFormat="1">
      <c r="A450" s="69"/>
      <c r="B450" s="69"/>
      <c r="C450" s="69"/>
      <c r="D450" s="71"/>
      <c r="E450" s="70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2"/>
      <c r="R450" s="72"/>
      <c r="S450" s="72"/>
      <c r="T450" s="72"/>
      <c r="U450" s="72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  <c r="AW450" s="65"/>
      <c r="AX450" s="65"/>
      <c r="AY450" s="65"/>
      <c r="AZ450" s="65"/>
      <c r="BA450" s="65"/>
      <c r="BB450" s="65"/>
      <c r="BC450" s="65"/>
      <c r="BD450" s="65"/>
      <c r="BE450" s="65"/>
      <c r="BF450" s="68"/>
      <c r="BG450" s="68"/>
      <c r="BH450" s="68"/>
    </row>
    <row r="451" spans="1:60" s="64" customFormat="1">
      <c r="A451" s="69"/>
      <c r="B451" s="69"/>
      <c r="C451" s="69"/>
      <c r="D451" s="71"/>
      <c r="E451" s="70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2"/>
      <c r="R451" s="72"/>
      <c r="S451" s="72"/>
      <c r="T451" s="72"/>
      <c r="U451" s="72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  <c r="BD451" s="65"/>
      <c r="BE451" s="65"/>
      <c r="BF451" s="68"/>
      <c r="BG451" s="68"/>
      <c r="BH451" s="68"/>
    </row>
    <row r="452" spans="1:60" s="64" customFormat="1">
      <c r="A452" s="69"/>
      <c r="B452" s="69"/>
      <c r="C452" s="69"/>
      <c r="D452" s="71"/>
      <c r="E452" s="70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2"/>
      <c r="R452" s="72"/>
      <c r="S452" s="72"/>
      <c r="T452" s="72"/>
      <c r="U452" s="72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  <c r="AT452" s="65"/>
      <c r="AU452" s="65"/>
      <c r="AV452" s="65"/>
      <c r="AW452" s="65"/>
      <c r="AX452" s="65"/>
      <c r="AY452" s="65"/>
      <c r="AZ452" s="65"/>
      <c r="BA452" s="65"/>
      <c r="BB452" s="65"/>
      <c r="BC452" s="65"/>
      <c r="BD452" s="65"/>
      <c r="BE452" s="65"/>
      <c r="BF452" s="68"/>
      <c r="BG452" s="68"/>
      <c r="BH452" s="68"/>
    </row>
    <row r="453" spans="1:60" s="64" customFormat="1">
      <c r="A453" s="69"/>
      <c r="B453" s="69"/>
      <c r="C453" s="69"/>
      <c r="D453" s="71"/>
      <c r="E453" s="70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2"/>
      <c r="R453" s="72"/>
      <c r="S453" s="72"/>
      <c r="T453" s="72"/>
      <c r="U453" s="72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  <c r="AT453" s="65"/>
      <c r="AU453" s="65"/>
      <c r="AV453" s="65"/>
      <c r="AW453" s="65"/>
      <c r="AX453" s="65"/>
      <c r="AY453" s="65"/>
      <c r="AZ453" s="65"/>
      <c r="BA453" s="65"/>
      <c r="BB453" s="65"/>
      <c r="BC453" s="65"/>
      <c r="BD453" s="65"/>
      <c r="BE453" s="65"/>
      <c r="BF453" s="68"/>
      <c r="BG453" s="68"/>
      <c r="BH453" s="68"/>
    </row>
    <row r="454" spans="1:60" s="64" customFormat="1">
      <c r="A454" s="69"/>
      <c r="B454" s="69"/>
      <c r="C454" s="69"/>
      <c r="D454" s="71"/>
      <c r="E454" s="70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2"/>
      <c r="R454" s="72"/>
      <c r="S454" s="72"/>
      <c r="T454" s="72"/>
      <c r="U454" s="72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5"/>
      <c r="AT454" s="65"/>
      <c r="AU454" s="65"/>
      <c r="AV454" s="65"/>
      <c r="AW454" s="65"/>
      <c r="AX454" s="65"/>
      <c r="AY454" s="65"/>
      <c r="AZ454" s="65"/>
      <c r="BA454" s="65"/>
      <c r="BB454" s="65"/>
      <c r="BC454" s="65"/>
      <c r="BD454" s="65"/>
      <c r="BE454" s="65"/>
      <c r="BF454" s="68"/>
      <c r="BG454" s="68"/>
      <c r="BH454" s="68"/>
    </row>
    <row r="455" spans="1:60" s="64" customFormat="1">
      <c r="A455" s="69"/>
      <c r="B455" s="69"/>
      <c r="C455" s="69"/>
      <c r="D455" s="71"/>
      <c r="E455" s="70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2"/>
      <c r="R455" s="72"/>
      <c r="S455" s="72"/>
      <c r="T455" s="72"/>
      <c r="U455" s="72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  <c r="AT455" s="65"/>
      <c r="AU455" s="65"/>
      <c r="AV455" s="65"/>
      <c r="AW455" s="65"/>
      <c r="AX455" s="65"/>
      <c r="AY455" s="65"/>
      <c r="AZ455" s="65"/>
      <c r="BA455" s="65"/>
      <c r="BB455" s="65"/>
      <c r="BC455" s="65"/>
      <c r="BD455" s="65"/>
      <c r="BE455" s="65"/>
      <c r="BF455" s="68"/>
      <c r="BG455" s="68"/>
      <c r="BH455" s="68"/>
    </row>
    <row r="456" spans="1:60" s="64" customFormat="1">
      <c r="A456" s="69"/>
      <c r="B456" s="69"/>
      <c r="C456" s="69"/>
      <c r="D456" s="71"/>
      <c r="E456" s="70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2"/>
      <c r="R456" s="72"/>
      <c r="S456" s="72"/>
      <c r="T456" s="72"/>
      <c r="U456" s="72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5"/>
      <c r="AT456" s="65"/>
      <c r="AU456" s="65"/>
      <c r="AV456" s="65"/>
      <c r="AW456" s="65"/>
      <c r="AX456" s="65"/>
      <c r="AY456" s="65"/>
      <c r="AZ456" s="65"/>
      <c r="BA456" s="65"/>
      <c r="BB456" s="65"/>
      <c r="BC456" s="65"/>
      <c r="BD456" s="65"/>
      <c r="BE456" s="65"/>
      <c r="BF456" s="68"/>
      <c r="BG456" s="68"/>
      <c r="BH456" s="68"/>
    </row>
    <row r="457" spans="1:60" s="64" customFormat="1">
      <c r="A457" s="69"/>
      <c r="B457" s="69"/>
      <c r="C457" s="69"/>
      <c r="D457" s="71"/>
      <c r="E457" s="70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2"/>
      <c r="R457" s="72"/>
      <c r="S457" s="72"/>
      <c r="T457" s="72"/>
      <c r="U457" s="72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5"/>
      <c r="AT457" s="65"/>
      <c r="AU457" s="65"/>
      <c r="AV457" s="65"/>
      <c r="AW457" s="65"/>
      <c r="AX457" s="65"/>
      <c r="AY457" s="65"/>
      <c r="AZ457" s="65"/>
      <c r="BA457" s="65"/>
      <c r="BB457" s="65"/>
      <c r="BC457" s="65"/>
      <c r="BD457" s="65"/>
      <c r="BE457" s="65"/>
      <c r="BF457" s="68"/>
      <c r="BG457" s="68"/>
      <c r="BH457" s="68"/>
    </row>
    <row r="458" spans="1:60" s="64" customFormat="1">
      <c r="A458" s="69"/>
      <c r="B458" s="69"/>
      <c r="C458" s="69"/>
      <c r="D458" s="71"/>
      <c r="E458" s="70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2"/>
      <c r="R458" s="72"/>
      <c r="S458" s="72"/>
      <c r="T458" s="72"/>
      <c r="U458" s="72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  <c r="AT458" s="65"/>
      <c r="AU458" s="65"/>
      <c r="AV458" s="65"/>
      <c r="AW458" s="65"/>
      <c r="AX458" s="65"/>
      <c r="AY458" s="65"/>
      <c r="AZ458" s="65"/>
      <c r="BA458" s="65"/>
      <c r="BB458" s="65"/>
      <c r="BC458" s="65"/>
      <c r="BD458" s="65"/>
      <c r="BE458" s="65"/>
      <c r="BF458" s="68"/>
      <c r="BG458" s="68"/>
      <c r="BH458" s="68"/>
    </row>
    <row r="459" spans="1:60" s="64" customFormat="1">
      <c r="A459" s="69"/>
      <c r="B459" s="69"/>
      <c r="C459" s="69"/>
      <c r="D459" s="71"/>
      <c r="E459" s="70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2"/>
      <c r="R459" s="72"/>
      <c r="S459" s="72"/>
      <c r="T459" s="72"/>
      <c r="U459" s="72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  <c r="AT459" s="65"/>
      <c r="AU459" s="65"/>
      <c r="AV459" s="65"/>
      <c r="AW459" s="65"/>
      <c r="AX459" s="65"/>
      <c r="AY459" s="65"/>
      <c r="AZ459" s="65"/>
      <c r="BA459" s="65"/>
      <c r="BB459" s="65"/>
      <c r="BC459" s="65"/>
      <c r="BD459" s="65"/>
      <c r="BE459" s="65"/>
      <c r="BF459" s="68"/>
      <c r="BG459" s="68"/>
      <c r="BH459" s="68"/>
    </row>
    <row r="460" spans="1:60" s="64" customFormat="1">
      <c r="A460" s="69"/>
      <c r="B460" s="69"/>
      <c r="C460" s="69"/>
      <c r="D460" s="71"/>
      <c r="E460" s="70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2"/>
      <c r="R460" s="72"/>
      <c r="S460" s="72"/>
      <c r="T460" s="72"/>
      <c r="U460" s="72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  <c r="AT460" s="65"/>
      <c r="AU460" s="65"/>
      <c r="AV460" s="65"/>
      <c r="AW460" s="65"/>
      <c r="AX460" s="65"/>
      <c r="AY460" s="65"/>
      <c r="AZ460" s="65"/>
      <c r="BA460" s="65"/>
      <c r="BB460" s="65"/>
      <c r="BC460" s="65"/>
      <c r="BD460" s="65"/>
      <c r="BE460" s="65"/>
      <c r="BF460" s="68"/>
      <c r="BG460" s="68"/>
      <c r="BH460" s="68"/>
    </row>
    <row r="461" spans="1:60" s="64" customFormat="1">
      <c r="A461" s="69"/>
      <c r="B461" s="69"/>
      <c r="C461" s="69"/>
      <c r="D461" s="71"/>
      <c r="E461" s="70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2"/>
      <c r="R461" s="72"/>
      <c r="S461" s="72"/>
      <c r="T461" s="72"/>
      <c r="U461" s="72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5"/>
      <c r="AT461" s="65"/>
      <c r="AU461" s="65"/>
      <c r="AV461" s="65"/>
      <c r="AW461" s="65"/>
      <c r="AX461" s="65"/>
      <c r="AY461" s="65"/>
      <c r="AZ461" s="65"/>
      <c r="BA461" s="65"/>
      <c r="BB461" s="65"/>
      <c r="BC461" s="65"/>
      <c r="BD461" s="65"/>
      <c r="BE461" s="65"/>
      <c r="BF461" s="68"/>
      <c r="BG461" s="68"/>
      <c r="BH461" s="68"/>
    </row>
    <row r="462" spans="1:60" s="64" customFormat="1">
      <c r="A462" s="69"/>
      <c r="B462" s="69"/>
      <c r="C462" s="69"/>
      <c r="D462" s="71"/>
      <c r="E462" s="70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2"/>
      <c r="R462" s="72"/>
      <c r="S462" s="72"/>
      <c r="T462" s="72"/>
      <c r="U462" s="72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  <c r="AV462" s="65"/>
      <c r="AW462" s="65"/>
      <c r="AX462" s="65"/>
      <c r="AY462" s="65"/>
      <c r="AZ462" s="65"/>
      <c r="BA462" s="65"/>
      <c r="BB462" s="65"/>
      <c r="BC462" s="65"/>
      <c r="BD462" s="65"/>
      <c r="BE462" s="65"/>
      <c r="BF462" s="68"/>
      <c r="BG462" s="68"/>
      <c r="BH462" s="68"/>
    </row>
    <row r="463" spans="1:60" s="64" customFormat="1">
      <c r="A463" s="69"/>
      <c r="B463" s="69"/>
      <c r="C463" s="69"/>
      <c r="D463" s="71"/>
      <c r="E463" s="70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2"/>
      <c r="R463" s="72"/>
      <c r="S463" s="72"/>
      <c r="T463" s="72"/>
      <c r="U463" s="72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5"/>
      <c r="AT463" s="65"/>
      <c r="AU463" s="65"/>
      <c r="AV463" s="65"/>
      <c r="AW463" s="65"/>
      <c r="AX463" s="65"/>
      <c r="AY463" s="65"/>
      <c r="AZ463" s="65"/>
      <c r="BA463" s="65"/>
      <c r="BB463" s="65"/>
      <c r="BC463" s="65"/>
      <c r="BD463" s="65"/>
      <c r="BE463" s="65"/>
      <c r="BF463" s="68"/>
      <c r="BG463" s="68"/>
      <c r="BH463" s="68"/>
    </row>
    <row r="464" spans="1:60" s="64" customFormat="1">
      <c r="A464" s="69"/>
      <c r="B464" s="69"/>
      <c r="C464" s="69"/>
      <c r="D464" s="71"/>
      <c r="E464" s="70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2"/>
      <c r="R464" s="72"/>
      <c r="S464" s="72"/>
      <c r="T464" s="72"/>
      <c r="U464" s="72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5"/>
      <c r="AT464" s="65"/>
      <c r="AU464" s="65"/>
      <c r="AV464" s="65"/>
      <c r="AW464" s="65"/>
      <c r="AX464" s="65"/>
      <c r="AY464" s="65"/>
      <c r="AZ464" s="65"/>
      <c r="BA464" s="65"/>
      <c r="BB464" s="65"/>
      <c r="BC464" s="65"/>
      <c r="BD464" s="65"/>
      <c r="BE464" s="65"/>
      <c r="BF464" s="68"/>
      <c r="BG464" s="68"/>
      <c r="BH464" s="68"/>
    </row>
    <row r="465" spans="1:60" s="64" customFormat="1">
      <c r="A465" s="69"/>
      <c r="B465" s="69"/>
      <c r="C465" s="69"/>
      <c r="D465" s="71"/>
      <c r="E465" s="70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2"/>
      <c r="R465" s="72"/>
      <c r="S465" s="72"/>
      <c r="T465" s="72"/>
      <c r="U465" s="72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5"/>
      <c r="AT465" s="65"/>
      <c r="AU465" s="65"/>
      <c r="AV465" s="65"/>
      <c r="AW465" s="65"/>
      <c r="AX465" s="65"/>
      <c r="AY465" s="65"/>
      <c r="AZ465" s="65"/>
      <c r="BA465" s="65"/>
      <c r="BB465" s="65"/>
      <c r="BC465" s="65"/>
      <c r="BD465" s="65"/>
      <c r="BE465" s="65"/>
      <c r="BF465" s="68"/>
      <c r="BG465" s="68"/>
      <c r="BH465" s="68"/>
    </row>
    <row r="466" spans="1:60" s="64" customFormat="1">
      <c r="A466" s="69"/>
      <c r="B466" s="69"/>
      <c r="C466" s="69"/>
      <c r="D466" s="71"/>
      <c r="E466" s="70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2"/>
      <c r="R466" s="72"/>
      <c r="S466" s="72"/>
      <c r="T466" s="72"/>
      <c r="U466" s="72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5"/>
      <c r="AT466" s="65"/>
      <c r="AU466" s="65"/>
      <c r="AV466" s="65"/>
      <c r="AW466" s="65"/>
      <c r="AX466" s="65"/>
      <c r="AY466" s="65"/>
      <c r="AZ466" s="65"/>
      <c r="BA466" s="65"/>
      <c r="BB466" s="65"/>
      <c r="BC466" s="65"/>
      <c r="BD466" s="65"/>
      <c r="BE466" s="65"/>
      <c r="BF466" s="68"/>
      <c r="BG466" s="68"/>
      <c r="BH466" s="68"/>
    </row>
    <row r="467" spans="1:60" s="64" customFormat="1">
      <c r="A467" s="69"/>
      <c r="B467" s="69"/>
      <c r="C467" s="69"/>
      <c r="D467" s="71"/>
      <c r="E467" s="70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2"/>
      <c r="R467" s="72"/>
      <c r="S467" s="72"/>
      <c r="T467" s="72"/>
      <c r="U467" s="72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5"/>
      <c r="AT467" s="65"/>
      <c r="AU467" s="65"/>
      <c r="AV467" s="65"/>
      <c r="AW467" s="65"/>
      <c r="AX467" s="65"/>
      <c r="AY467" s="65"/>
      <c r="AZ467" s="65"/>
      <c r="BA467" s="65"/>
      <c r="BB467" s="65"/>
      <c r="BC467" s="65"/>
      <c r="BD467" s="65"/>
      <c r="BE467" s="65"/>
      <c r="BF467" s="68"/>
      <c r="BG467" s="68"/>
      <c r="BH467" s="68"/>
    </row>
    <row r="468" spans="1:60" s="64" customFormat="1">
      <c r="A468" s="69"/>
      <c r="B468" s="69"/>
      <c r="C468" s="69"/>
      <c r="D468" s="71"/>
      <c r="E468" s="70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2"/>
      <c r="R468" s="72"/>
      <c r="S468" s="72"/>
      <c r="T468" s="72"/>
      <c r="U468" s="72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  <c r="AT468" s="65"/>
      <c r="AU468" s="65"/>
      <c r="AV468" s="65"/>
      <c r="AW468" s="65"/>
      <c r="AX468" s="65"/>
      <c r="AY468" s="65"/>
      <c r="AZ468" s="65"/>
      <c r="BA468" s="65"/>
      <c r="BB468" s="65"/>
      <c r="BC468" s="65"/>
      <c r="BD468" s="65"/>
      <c r="BE468" s="65"/>
      <c r="BF468" s="68"/>
      <c r="BG468" s="68"/>
      <c r="BH468" s="68"/>
    </row>
    <row r="469" spans="1:60" s="64" customFormat="1">
      <c r="A469" s="69"/>
      <c r="B469" s="69"/>
      <c r="C469" s="69"/>
      <c r="D469" s="71"/>
      <c r="E469" s="70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2"/>
      <c r="R469" s="72"/>
      <c r="S469" s="72"/>
      <c r="T469" s="72"/>
      <c r="U469" s="72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  <c r="AV469" s="65"/>
      <c r="AW469" s="65"/>
      <c r="AX469" s="65"/>
      <c r="AY469" s="65"/>
      <c r="AZ469" s="65"/>
      <c r="BA469" s="65"/>
      <c r="BB469" s="65"/>
      <c r="BC469" s="65"/>
      <c r="BD469" s="65"/>
      <c r="BE469" s="65"/>
      <c r="BF469" s="68"/>
      <c r="BG469" s="68"/>
      <c r="BH469" s="68"/>
    </row>
    <row r="470" spans="1:60" s="64" customFormat="1">
      <c r="A470" s="69"/>
      <c r="B470" s="69"/>
      <c r="C470" s="69"/>
      <c r="D470" s="71"/>
      <c r="E470" s="70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2"/>
      <c r="R470" s="72"/>
      <c r="S470" s="72"/>
      <c r="T470" s="72"/>
      <c r="U470" s="72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5"/>
      <c r="AT470" s="65"/>
      <c r="AU470" s="65"/>
      <c r="AV470" s="65"/>
      <c r="AW470" s="65"/>
      <c r="AX470" s="65"/>
      <c r="AY470" s="65"/>
      <c r="AZ470" s="65"/>
      <c r="BA470" s="65"/>
      <c r="BB470" s="65"/>
      <c r="BC470" s="65"/>
      <c r="BD470" s="65"/>
      <c r="BE470" s="65"/>
      <c r="BF470" s="68"/>
      <c r="BG470" s="68"/>
      <c r="BH470" s="68"/>
    </row>
    <row r="471" spans="1:60" s="64" customFormat="1">
      <c r="A471" s="69"/>
      <c r="B471" s="69"/>
      <c r="C471" s="69"/>
      <c r="D471" s="71"/>
      <c r="E471" s="70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2"/>
      <c r="R471" s="72"/>
      <c r="S471" s="72"/>
      <c r="T471" s="72"/>
      <c r="U471" s="72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  <c r="AV471" s="65"/>
      <c r="AW471" s="65"/>
      <c r="AX471" s="65"/>
      <c r="AY471" s="65"/>
      <c r="AZ471" s="65"/>
      <c r="BA471" s="65"/>
      <c r="BB471" s="65"/>
      <c r="BC471" s="65"/>
      <c r="BD471" s="65"/>
      <c r="BE471" s="65"/>
      <c r="BF471" s="68"/>
      <c r="BG471" s="68"/>
      <c r="BH471" s="68"/>
    </row>
    <row r="472" spans="1:60" s="64" customFormat="1">
      <c r="A472" s="69"/>
      <c r="B472" s="69"/>
      <c r="C472" s="69"/>
      <c r="D472" s="71"/>
      <c r="E472" s="70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2"/>
      <c r="R472" s="72"/>
      <c r="S472" s="72"/>
      <c r="T472" s="72"/>
      <c r="U472" s="72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5"/>
      <c r="AT472" s="65"/>
      <c r="AU472" s="65"/>
      <c r="AV472" s="65"/>
      <c r="AW472" s="65"/>
      <c r="AX472" s="65"/>
      <c r="AY472" s="65"/>
      <c r="AZ472" s="65"/>
      <c r="BA472" s="65"/>
      <c r="BB472" s="65"/>
      <c r="BC472" s="65"/>
      <c r="BD472" s="65"/>
      <c r="BE472" s="65"/>
      <c r="BF472" s="68"/>
      <c r="BG472" s="68"/>
      <c r="BH472" s="68"/>
    </row>
    <row r="473" spans="1:60" s="64" customFormat="1">
      <c r="A473" s="69"/>
      <c r="B473" s="69"/>
      <c r="C473" s="69"/>
      <c r="D473" s="71"/>
      <c r="E473" s="70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2"/>
      <c r="R473" s="72"/>
      <c r="S473" s="72"/>
      <c r="T473" s="72"/>
      <c r="U473" s="72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5"/>
      <c r="AT473" s="65"/>
      <c r="AU473" s="65"/>
      <c r="AV473" s="65"/>
      <c r="AW473" s="65"/>
      <c r="AX473" s="65"/>
      <c r="AY473" s="65"/>
      <c r="AZ473" s="65"/>
      <c r="BA473" s="65"/>
      <c r="BB473" s="65"/>
      <c r="BC473" s="65"/>
      <c r="BD473" s="65"/>
      <c r="BE473" s="65"/>
      <c r="BF473" s="68"/>
      <c r="BG473" s="68"/>
      <c r="BH473" s="68"/>
    </row>
    <row r="474" spans="1:60" s="64" customFormat="1">
      <c r="A474" s="69"/>
      <c r="B474" s="69"/>
      <c r="C474" s="69"/>
      <c r="D474" s="71"/>
      <c r="E474" s="70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2"/>
      <c r="R474" s="72"/>
      <c r="S474" s="72"/>
      <c r="T474" s="72"/>
      <c r="U474" s="72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  <c r="AT474" s="65"/>
      <c r="AU474" s="65"/>
      <c r="AV474" s="65"/>
      <c r="AW474" s="65"/>
      <c r="AX474" s="65"/>
      <c r="AY474" s="65"/>
      <c r="AZ474" s="65"/>
      <c r="BA474" s="65"/>
      <c r="BB474" s="65"/>
      <c r="BC474" s="65"/>
      <c r="BD474" s="65"/>
      <c r="BE474" s="65"/>
      <c r="BF474" s="68"/>
      <c r="BG474" s="68"/>
      <c r="BH474" s="68"/>
    </row>
    <row r="475" spans="1:60" s="64" customFormat="1">
      <c r="A475" s="69"/>
      <c r="B475" s="69"/>
      <c r="C475" s="69"/>
      <c r="D475" s="71"/>
      <c r="E475" s="70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2"/>
      <c r="R475" s="72"/>
      <c r="S475" s="72"/>
      <c r="T475" s="72"/>
      <c r="U475" s="72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  <c r="AT475" s="65"/>
      <c r="AU475" s="65"/>
      <c r="AV475" s="65"/>
      <c r="AW475" s="65"/>
      <c r="AX475" s="65"/>
      <c r="AY475" s="65"/>
      <c r="AZ475" s="65"/>
      <c r="BA475" s="65"/>
      <c r="BB475" s="65"/>
      <c r="BC475" s="65"/>
      <c r="BD475" s="65"/>
      <c r="BE475" s="65"/>
      <c r="BF475" s="68"/>
      <c r="BG475" s="68"/>
      <c r="BH475" s="68"/>
    </row>
    <row r="476" spans="1:60" s="64" customFormat="1">
      <c r="A476" s="69"/>
      <c r="B476" s="69"/>
      <c r="C476" s="69"/>
      <c r="D476" s="71"/>
      <c r="E476" s="70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2"/>
      <c r="R476" s="72"/>
      <c r="S476" s="72"/>
      <c r="T476" s="72"/>
      <c r="U476" s="72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  <c r="AV476" s="65"/>
      <c r="AW476" s="65"/>
      <c r="AX476" s="65"/>
      <c r="AY476" s="65"/>
      <c r="AZ476" s="65"/>
      <c r="BA476" s="65"/>
      <c r="BB476" s="65"/>
      <c r="BC476" s="65"/>
      <c r="BD476" s="65"/>
      <c r="BE476" s="65"/>
      <c r="BF476" s="68"/>
      <c r="BG476" s="68"/>
      <c r="BH476" s="68"/>
    </row>
    <row r="477" spans="1:60" s="64" customFormat="1">
      <c r="A477" s="69"/>
      <c r="B477" s="69"/>
      <c r="C477" s="69"/>
      <c r="D477" s="71"/>
      <c r="E477" s="70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2"/>
      <c r="R477" s="72"/>
      <c r="S477" s="72"/>
      <c r="T477" s="72"/>
      <c r="U477" s="72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5"/>
      <c r="AT477" s="65"/>
      <c r="AU477" s="65"/>
      <c r="AV477" s="65"/>
      <c r="AW477" s="65"/>
      <c r="AX477" s="65"/>
      <c r="AY477" s="65"/>
      <c r="AZ477" s="65"/>
      <c r="BA477" s="65"/>
      <c r="BB477" s="65"/>
      <c r="BC477" s="65"/>
      <c r="BD477" s="65"/>
      <c r="BE477" s="65"/>
      <c r="BF477" s="68"/>
      <c r="BG477" s="68"/>
      <c r="BH477" s="68"/>
    </row>
    <row r="478" spans="1:60" s="64" customFormat="1">
      <c r="A478" s="69"/>
      <c r="B478" s="69"/>
      <c r="C478" s="69"/>
      <c r="D478" s="71"/>
      <c r="E478" s="70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2"/>
      <c r="R478" s="72"/>
      <c r="S478" s="72"/>
      <c r="T478" s="72"/>
      <c r="U478" s="72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5"/>
      <c r="AT478" s="65"/>
      <c r="AU478" s="65"/>
      <c r="AV478" s="65"/>
      <c r="AW478" s="65"/>
      <c r="AX478" s="65"/>
      <c r="AY478" s="65"/>
      <c r="AZ478" s="65"/>
      <c r="BA478" s="65"/>
      <c r="BB478" s="65"/>
      <c r="BC478" s="65"/>
      <c r="BD478" s="65"/>
      <c r="BE478" s="65"/>
      <c r="BF478" s="68"/>
      <c r="BG478" s="68"/>
      <c r="BH478" s="68"/>
    </row>
    <row r="479" spans="1:60" s="64" customFormat="1">
      <c r="A479" s="69"/>
      <c r="B479" s="69"/>
      <c r="C479" s="69"/>
      <c r="D479" s="71"/>
      <c r="E479" s="70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2"/>
      <c r="R479" s="72"/>
      <c r="S479" s="72"/>
      <c r="T479" s="72"/>
      <c r="U479" s="72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  <c r="AT479" s="65"/>
      <c r="AU479" s="65"/>
      <c r="AV479" s="65"/>
      <c r="AW479" s="65"/>
      <c r="AX479" s="65"/>
      <c r="AY479" s="65"/>
      <c r="AZ479" s="65"/>
      <c r="BA479" s="65"/>
      <c r="BB479" s="65"/>
      <c r="BC479" s="65"/>
      <c r="BD479" s="65"/>
      <c r="BE479" s="65"/>
      <c r="BF479" s="68"/>
      <c r="BG479" s="68"/>
      <c r="BH479" s="68"/>
    </row>
    <row r="480" spans="1:60" s="64" customFormat="1">
      <c r="A480" s="69"/>
      <c r="B480" s="69"/>
      <c r="C480" s="69"/>
      <c r="D480" s="71"/>
      <c r="E480" s="70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2"/>
      <c r="R480" s="72"/>
      <c r="S480" s="72"/>
      <c r="T480" s="72"/>
      <c r="U480" s="72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5"/>
      <c r="AT480" s="65"/>
      <c r="AU480" s="65"/>
      <c r="AV480" s="65"/>
      <c r="AW480" s="65"/>
      <c r="AX480" s="65"/>
      <c r="AY480" s="65"/>
      <c r="AZ480" s="65"/>
      <c r="BA480" s="65"/>
      <c r="BB480" s="65"/>
      <c r="BC480" s="65"/>
      <c r="BD480" s="65"/>
      <c r="BE480" s="65"/>
      <c r="BF480" s="68"/>
      <c r="BG480" s="68"/>
      <c r="BH480" s="68"/>
    </row>
    <row r="481" spans="1:60" s="64" customFormat="1">
      <c r="A481" s="69"/>
      <c r="B481" s="69"/>
      <c r="C481" s="69"/>
      <c r="D481" s="71"/>
      <c r="E481" s="70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2"/>
      <c r="R481" s="72"/>
      <c r="S481" s="72"/>
      <c r="T481" s="72"/>
      <c r="U481" s="72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  <c r="AT481" s="65"/>
      <c r="AU481" s="65"/>
      <c r="AV481" s="65"/>
      <c r="AW481" s="65"/>
      <c r="AX481" s="65"/>
      <c r="AY481" s="65"/>
      <c r="AZ481" s="65"/>
      <c r="BA481" s="65"/>
      <c r="BB481" s="65"/>
      <c r="BC481" s="65"/>
      <c r="BD481" s="65"/>
      <c r="BE481" s="65"/>
      <c r="BF481" s="68"/>
      <c r="BG481" s="68"/>
      <c r="BH481" s="68"/>
    </row>
    <row r="482" spans="1:60" s="64" customFormat="1">
      <c r="A482" s="69"/>
      <c r="B482" s="69"/>
      <c r="C482" s="69"/>
      <c r="D482" s="71"/>
      <c r="E482" s="70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2"/>
      <c r="R482" s="72"/>
      <c r="S482" s="72"/>
      <c r="T482" s="72"/>
      <c r="U482" s="72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5"/>
      <c r="AT482" s="65"/>
      <c r="AU482" s="65"/>
      <c r="AV482" s="65"/>
      <c r="AW482" s="65"/>
      <c r="AX482" s="65"/>
      <c r="AY482" s="65"/>
      <c r="AZ482" s="65"/>
      <c r="BA482" s="65"/>
      <c r="BB482" s="65"/>
      <c r="BC482" s="65"/>
      <c r="BD482" s="65"/>
      <c r="BE482" s="65"/>
      <c r="BF482" s="68"/>
      <c r="BG482" s="68"/>
      <c r="BH482" s="68"/>
    </row>
    <row r="483" spans="1:60" s="64" customFormat="1">
      <c r="A483" s="69"/>
      <c r="B483" s="69"/>
      <c r="C483" s="69"/>
      <c r="D483" s="71"/>
      <c r="E483" s="70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2"/>
      <c r="R483" s="72"/>
      <c r="S483" s="72"/>
      <c r="T483" s="72"/>
      <c r="U483" s="72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5"/>
      <c r="AT483" s="65"/>
      <c r="AU483" s="65"/>
      <c r="AV483" s="65"/>
      <c r="AW483" s="65"/>
      <c r="AX483" s="65"/>
      <c r="AY483" s="65"/>
      <c r="AZ483" s="65"/>
      <c r="BA483" s="65"/>
      <c r="BB483" s="65"/>
      <c r="BC483" s="65"/>
      <c r="BD483" s="65"/>
      <c r="BE483" s="65"/>
      <c r="BF483" s="68"/>
      <c r="BG483" s="68"/>
      <c r="BH483" s="68"/>
    </row>
    <row r="484" spans="1:60">
      <c r="A484" s="69"/>
      <c r="B484" s="69"/>
      <c r="C484" s="69"/>
      <c r="D484" s="71"/>
      <c r="E484" s="70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2"/>
      <c r="R484" s="72"/>
      <c r="S484" s="72"/>
      <c r="T484" s="72"/>
      <c r="U484" s="72"/>
    </row>
    <row r="485" spans="1:60">
      <c r="A485" s="69"/>
      <c r="B485" s="69"/>
      <c r="C485" s="69"/>
      <c r="D485" s="71"/>
      <c r="E485" s="70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2"/>
      <c r="R485" s="72"/>
      <c r="S485" s="72"/>
      <c r="T485" s="72"/>
      <c r="U485" s="72"/>
    </row>
    <row r="486" spans="1:60">
      <c r="A486" s="69"/>
      <c r="B486" s="69"/>
      <c r="C486" s="69"/>
      <c r="D486" s="71"/>
      <c r="E486" s="70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2"/>
      <c r="R486" s="72"/>
      <c r="S486" s="72"/>
      <c r="T486" s="72"/>
      <c r="U486" s="72"/>
    </row>
    <row r="487" spans="1:60">
      <c r="A487" s="69"/>
      <c r="B487" s="69"/>
      <c r="C487" s="69"/>
      <c r="D487" s="71"/>
      <c r="E487" s="70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2"/>
      <c r="R487" s="72"/>
      <c r="S487" s="72"/>
      <c r="T487" s="72"/>
      <c r="U487" s="72"/>
    </row>
    <row r="488" spans="1:60">
      <c r="A488" s="69"/>
      <c r="B488" s="69"/>
      <c r="C488" s="69"/>
      <c r="D488" s="71"/>
      <c r="E488" s="70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2"/>
      <c r="R488" s="72"/>
      <c r="S488" s="72"/>
      <c r="T488" s="72"/>
      <c r="U488" s="72"/>
    </row>
    <row r="489" spans="1:60">
      <c r="A489" s="69"/>
      <c r="B489" s="69"/>
      <c r="C489" s="69"/>
      <c r="D489" s="71"/>
      <c r="E489" s="70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2"/>
      <c r="R489" s="72"/>
      <c r="S489" s="72"/>
      <c r="T489" s="72"/>
      <c r="U489" s="72"/>
    </row>
    <row r="490" spans="1:60">
      <c r="A490" s="69"/>
      <c r="B490" s="69"/>
      <c r="C490" s="69"/>
      <c r="D490" s="71"/>
      <c r="E490" s="70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2"/>
      <c r="R490" s="72"/>
      <c r="S490" s="72"/>
      <c r="T490" s="72"/>
      <c r="U490" s="72"/>
    </row>
    <row r="491" spans="1:60">
      <c r="A491" s="69"/>
      <c r="B491" s="69"/>
      <c r="C491" s="69"/>
      <c r="D491" s="71"/>
      <c r="E491" s="70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2"/>
      <c r="R491" s="72"/>
      <c r="S491" s="72"/>
      <c r="T491" s="72"/>
      <c r="U491" s="72"/>
    </row>
    <row r="492" spans="1:60">
      <c r="A492" s="69"/>
      <c r="B492" s="69"/>
      <c r="C492" s="69"/>
      <c r="D492" s="71"/>
      <c r="E492" s="70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2"/>
      <c r="R492" s="72"/>
      <c r="S492" s="72"/>
      <c r="T492" s="72"/>
      <c r="U492" s="72"/>
    </row>
    <row r="493" spans="1:60">
      <c r="A493" s="69"/>
      <c r="B493" s="69"/>
      <c r="C493" s="69"/>
      <c r="D493" s="71"/>
      <c r="E493" s="70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2"/>
      <c r="R493" s="72"/>
      <c r="S493" s="72"/>
      <c r="T493" s="72"/>
      <c r="U493" s="72"/>
    </row>
    <row r="494" spans="1:60">
      <c r="A494" s="69"/>
      <c r="B494" s="69"/>
      <c r="C494" s="69"/>
      <c r="D494" s="71"/>
      <c r="E494" s="70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2"/>
      <c r="R494" s="72"/>
      <c r="S494" s="72"/>
      <c r="T494" s="72"/>
      <c r="U494" s="72"/>
    </row>
    <row r="495" spans="1:60">
      <c r="A495" s="69"/>
      <c r="B495" s="69"/>
      <c r="C495" s="69"/>
      <c r="D495" s="71"/>
      <c r="E495" s="70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2"/>
      <c r="R495" s="72"/>
      <c r="S495" s="72"/>
      <c r="T495" s="72"/>
      <c r="U495" s="72"/>
    </row>
    <row r="496" spans="1:60">
      <c r="A496" s="69"/>
      <c r="B496" s="69"/>
      <c r="C496" s="69"/>
      <c r="D496" s="71"/>
      <c r="E496" s="70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2"/>
      <c r="R496" s="72"/>
      <c r="S496" s="72"/>
      <c r="T496" s="72"/>
      <c r="U496" s="72"/>
    </row>
    <row r="497" spans="1:21">
      <c r="A497" s="69"/>
      <c r="B497" s="69"/>
      <c r="C497" s="69"/>
      <c r="D497" s="71"/>
      <c r="E497" s="70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2"/>
      <c r="R497" s="72"/>
      <c r="S497" s="72"/>
      <c r="T497" s="72"/>
      <c r="U497" s="72"/>
    </row>
    <row r="498" spans="1:21">
      <c r="A498" s="69"/>
      <c r="B498" s="69"/>
      <c r="C498" s="69"/>
      <c r="D498" s="71"/>
      <c r="E498" s="70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2"/>
      <c r="R498" s="72"/>
      <c r="S498" s="72"/>
      <c r="T498" s="72"/>
      <c r="U498" s="72"/>
    </row>
  </sheetData>
  <autoFilter ref="A8:BH8" xr:uid="{B60EEF78-F52D-43A2-A031-C65CC708C0AC}"/>
  <mergeCells count="23">
    <mergeCell ref="AH3:AK3"/>
    <mergeCell ref="AL3:AO3"/>
    <mergeCell ref="Z4:AC4"/>
    <mergeCell ref="AD4:AG4"/>
    <mergeCell ref="AH4:AK4"/>
    <mergeCell ref="AL4:AO4"/>
    <mergeCell ref="Z3:AC3"/>
    <mergeCell ref="AD3:AG3"/>
    <mergeCell ref="L116:L203"/>
    <mergeCell ref="A1:S1"/>
    <mergeCell ref="W3:X3"/>
    <mergeCell ref="Y3:Y7"/>
    <mergeCell ref="A5:C7"/>
    <mergeCell ref="D5:E7"/>
    <mergeCell ref="F5:P5"/>
    <mergeCell ref="Q5:Q7"/>
    <mergeCell ref="R5:R7"/>
    <mergeCell ref="S5:S7"/>
    <mergeCell ref="U5:U7"/>
    <mergeCell ref="V4:V7"/>
    <mergeCell ref="W4:W7"/>
    <mergeCell ref="X4:X7"/>
    <mergeCell ref="T5:T7"/>
  </mergeCells>
  <phoneticPr fontId="83" type="noConversion"/>
  <conditionalFormatting sqref="N67:O71 N10:N19 N25:N66 N72:N203 N208:N236 N241:N242 N247 N252:N255 N261:N266">
    <cfRule type="notContainsBlanks" dxfId="3" priority="21">
      <formula>LEN(TRIM(N10))&gt;0</formula>
    </cfRule>
  </conditionalFormatting>
  <conditionalFormatting sqref="O10:O19 O25:O114 O208:O236 O241:O242 O247 O252:O255 O261:O266">
    <cfRule type="notContainsBlanks" dxfId="2" priority="7">
      <formula>LEN(TRIM(O10))&gt;0</formula>
    </cfRule>
  </conditionalFormatting>
  <conditionalFormatting sqref="P15 P29 P33 P37 P40:P41 P43 P70:P71 P87 P90 P103 P114">
    <cfRule type="notContainsBlanks" dxfId="1" priority="14">
      <formula>LEN(TRIM(P15))&gt;0</formula>
    </cfRule>
  </conditionalFormatting>
  <conditionalFormatting sqref="P247:P248">
    <cfRule type="notContainsBlanks" dxfId="0" priority="10">
      <formula>LEN(TRIM(P247))&gt;0</formula>
    </cfRule>
  </conditionalFormatting>
  <printOptions horizontalCentered="1"/>
  <pageMargins left="0.25" right="0.25" top="0.5" bottom="0.75" header="0.3" footer="0.3"/>
  <pageSetup paperSize="9" scale="68" fitToHeight="0" orientation="portrait" r:id="rId1"/>
  <headerFooter alignWithMargins="0">
    <oddFooter>&amp;R&amp;"Arial,Italic"&amp;9PMO-T-OPM-006-R00</oddFooter>
  </headerFooter>
  <rowBreaks count="4" manualBreakCount="4">
    <brk id="60" max="18" man="1"/>
    <brk id="134" max="18" man="1"/>
    <brk id="184" max="18" man="1"/>
    <brk id="239" max="18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D95C-0AA2-4F78-B96B-8A1C630DE3DD}">
  <sheetPr>
    <tabColor rgb="FFFFFF00"/>
    <pageSetUpPr fitToPage="1"/>
  </sheetPr>
  <dimension ref="A1:AB117"/>
  <sheetViews>
    <sheetView workbookViewId="0">
      <selection activeCell="Z13" sqref="Z13"/>
    </sheetView>
  </sheetViews>
  <sheetFormatPr defaultRowHeight="15"/>
  <cols>
    <col min="1" max="1" width="9.140625" style="286"/>
    <col min="2" max="2" width="3.7109375" style="286" customWidth="1"/>
    <col min="3" max="3" width="5.7109375" style="289" customWidth="1"/>
    <col min="4" max="4" width="3.7109375" style="286" customWidth="1"/>
    <col min="5" max="5" width="46.7109375" style="286" customWidth="1"/>
    <col min="6" max="6" width="3.7109375" style="290" customWidth="1"/>
    <col min="7" max="9" width="12.7109375" style="290" customWidth="1"/>
    <col min="10" max="10" width="3.7109375" style="291" customWidth="1"/>
    <col min="11" max="11" width="5.7109375" style="286" customWidth="1"/>
    <col min="12" max="12" width="3.7109375" style="286" customWidth="1"/>
    <col min="13" max="13" width="9.140625" style="286" bestFit="1"/>
    <col min="14" max="14" width="9.140625" style="286"/>
    <col min="15" max="262" width="9.140625" style="286" bestFit="1"/>
    <col min="263" max="263" width="3.42578125" style="286" customWidth="1"/>
    <col min="264" max="264" width="6.5703125" style="286" customWidth="1"/>
    <col min="265" max="265" width="55.5703125" style="286" customWidth="1"/>
    <col min="266" max="267" width="12.42578125" style="286" customWidth="1"/>
    <col min="268" max="268" width="9.140625" style="286" bestFit="1"/>
    <col min="269" max="269" width="3.42578125" style="286" customWidth="1"/>
    <col min="270" max="518" width="9.140625" style="286" bestFit="1"/>
    <col min="519" max="519" width="3.42578125" style="286" customWidth="1"/>
    <col min="520" max="520" width="6.5703125" style="286" customWidth="1"/>
    <col min="521" max="521" width="55.5703125" style="286" customWidth="1"/>
    <col min="522" max="523" width="12.42578125" style="286" customWidth="1"/>
    <col min="524" max="524" width="9.140625" style="286" bestFit="1"/>
    <col min="525" max="525" width="3.42578125" style="286" customWidth="1"/>
    <col min="526" max="774" width="9.140625" style="286" bestFit="1"/>
    <col min="775" max="775" width="3.42578125" style="286" customWidth="1"/>
    <col min="776" max="776" width="6.5703125" style="286" customWidth="1"/>
    <col min="777" max="777" width="55.5703125" style="286" customWidth="1"/>
    <col min="778" max="779" width="12.42578125" style="286" customWidth="1"/>
    <col min="780" max="780" width="9.140625" style="286" bestFit="1"/>
    <col min="781" max="781" width="3.42578125" style="286" customWidth="1"/>
    <col min="782" max="1030" width="9.140625" style="286" bestFit="1"/>
    <col min="1031" max="1031" width="3.42578125" style="286" customWidth="1"/>
    <col min="1032" max="1032" width="6.5703125" style="286" customWidth="1"/>
    <col min="1033" max="1033" width="55.5703125" style="286" customWidth="1"/>
    <col min="1034" max="1035" width="12.42578125" style="286" customWidth="1"/>
    <col min="1036" max="1036" width="9.140625" style="286" bestFit="1"/>
    <col min="1037" max="1037" width="3.42578125" style="286" customWidth="1"/>
    <col min="1038" max="1286" width="9.140625" style="286" bestFit="1"/>
    <col min="1287" max="1287" width="3.42578125" style="286" customWidth="1"/>
    <col min="1288" max="1288" width="6.5703125" style="286" customWidth="1"/>
    <col min="1289" max="1289" width="55.5703125" style="286" customWidth="1"/>
    <col min="1290" max="1291" width="12.42578125" style="286" customWidth="1"/>
    <col min="1292" max="1292" width="9.140625" style="286" bestFit="1"/>
    <col min="1293" max="1293" width="3.42578125" style="286" customWidth="1"/>
    <col min="1294" max="1542" width="9.140625" style="286" bestFit="1"/>
    <col min="1543" max="1543" width="3.42578125" style="286" customWidth="1"/>
    <col min="1544" max="1544" width="6.5703125" style="286" customWidth="1"/>
    <col min="1545" max="1545" width="55.5703125" style="286" customWidth="1"/>
    <col min="1546" max="1547" width="12.42578125" style="286" customWidth="1"/>
    <col min="1548" max="1548" width="9.140625" style="286" bestFit="1"/>
    <col min="1549" max="1549" width="3.42578125" style="286" customWidth="1"/>
    <col min="1550" max="1798" width="9.140625" style="286" bestFit="1"/>
    <col min="1799" max="1799" width="3.42578125" style="286" customWidth="1"/>
    <col min="1800" max="1800" width="6.5703125" style="286" customWidth="1"/>
    <col min="1801" max="1801" width="55.5703125" style="286" customWidth="1"/>
    <col min="1802" max="1803" width="12.42578125" style="286" customWidth="1"/>
    <col min="1804" max="1804" width="9.140625" style="286" bestFit="1"/>
    <col min="1805" max="1805" width="3.42578125" style="286" customWidth="1"/>
    <col min="1806" max="2054" width="9.140625" style="286" bestFit="1"/>
    <col min="2055" max="2055" width="3.42578125" style="286" customWidth="1"/>
    <col min="2056" max="2056" width="6.5703125" style="286" customWidth="1"/>
    <col min="2057" max="2057" width="55.5703125" style="286" customWidth="1"/>
    <col min="2058" max="2059" width="12.42578125" style="286" customWidth="1"/>
    <col min="2060" max="2060" width="9.140625" style="286" bestFit="1"/>
    <col min="2061" max="2061" width="3.42578125" style="286" customWidth="1"/>
    <col min="2062" max="2310" width="9.140625" style="286" bestFit="1"/>
    <col min="2311" max="2311" width="3.42578125" style="286" customWidth="1"/>
    <col min="2312" max="2312" width="6.5703125" style="286" customWidth="1"/>
    <col min="2313" max="2313" width="55.5703125" style="286" customWidth="1"/>
    <col min="2314" max="2315" width="12.42578125" style="286" customWidth="1"/>
    <col min="2316" max="2316" width="9.140625" style="286" bestFit="1"/>
    <col min="2317" max="2317" width="3.42578125" style="286" customWidth="1"/>
    <col min="2318" max="2566" width="9.140625" style="286" bestFit="1"/>
    <col min="2567" max="2567" width="3.42578125" style="286" customWidth="1"/>
    <col min="2568" max="2568" width="6.5703125" style="286" customWidth="1"/>
    <col min="2569" max="2569" width="55.5703125" style="286" customWidth="1"/>
    <col min="2570" max="2571" width="12.42578125" style="286" customWidth="1"/>
    <col min="2572" max="2572" width="9.140625" style="286" bestFit="1"/>
    <col min="2573" max="2573" width="3.42578125" style="286" customWidth="1"/>
    <col min="2574" max="2822" width="9.140625" style="286" bestFit="1"/>
    <col min="2823" max="2823" width="3.42578125" style="286" customWidth="1"/>
    <col min="2824" max="2824" width="6.5703125" style="286" customWidth="1"/>
    <col min="2825" max="2825" width="55.5703125" style="286" customWidth="1"/>
    <col min="2826" max="2827" width="12.42578125" style="286" customWidth="1"/>
    <col min="2828" max="2828" width="9.140625" style="286" bestFit="1"/>
    <col min="2829" max="2829" width="3.42578125" style="286" customWidth="1"/>
    <col min="2830" max="3078" width="9.140625" style="286" bestFit="1"/>
    <col min="3079" max="3079" width="3.42578125" style="286" customWidth="1"/>
    <col min="3080" max="3080" width="6.5703125" style="286" customWidth="1"/>
    <col min="3081" max="3081" width="55.5703125" style="286" customWidth="1"/>
    <col min="3082" max="3083" width="12.42578125" style="286" customWidth="1"/>
    <col min="3084" max="3084" width="9.140625" style="286" bestFit="1"/>
    <col min="3085" max="3085" width="3.42578125" style="286" customWidth="1"/>
    <col min="3086" max="3334" width="9.140625" style="286" bestFit="1"/>
    <col min="3335" max="3335" width="3.42578125" style="286" customWidth="1"/>
    <col min="3336" max="3336" width="6.5703125" style="286" customWidth="1"/>
    <col min="3337" max="3337" width="55.5703125" style="286" customWidth="1"/>
    <col min="3338" max="3339" width="12.42578125" style="286" customWidth="1"/>
    <col min="3340" max="3340" width="9.140625" style="286" bestFit="1"/>
    <col min="3341" max="3341" width="3.42578125" style="286" customWidth="1"/>
    <col min="3342" max="3590" width="9.140625" style="286" bestFit="1"/>
    <col min="3591" max="3591" width="3.42578125" style="286" customWidth="1"/>
    <col min="3592" max="3592" width="6.5703125" style="286" customWidth="1"/>
    <col min="3593" max="3593" width="55.5703125" style="286" customWidth="1"/>
    <col min="3594" max="3595" width="12.42578125" style="286" customWidth="1"/>
    <col min="3596" max="3596" width="9.140625" style="286" bestFit="1"/>
    <col min="3597" max="3597" width="3.42578125" style="286" customWidth="1"/>
    <col min="3598" max="3846" width="9.140625" style="286" bestFit="1"/>
    <col min="3847" max="3847" width="3.42578125" style="286" customWidth="1"/>
    <col min="3848" max="3848" width="6.5703125" style="286" customWidth="1"/>
    <col min="3849" max="3849" width="55.5703125" style="286" customWidth="1"/>
    <col min="3850" max="3851" width="12.42578125" style="286" customWidth="1"/>
    <col min="3852" max="3852" width="9.140625" style="286" bestFit="1"/>
    <col min="3853" max="3853" width="3.42578125" style="286" customWidth="1"/>
    <col min="3854" max="4102" width="9.140625" style="286" bestFit="1"/>
    <col min="4103" max="4103" width="3.42578125" style="286" customWidth="1"/>
    <col min="4104" max="4104" width="6.5703125" style="286" customWidth="1"/>
    <col min="4105" max="4105" width="55.5703125" style="286" customWidth="1"/>
    <col min="4106" max="4107" width="12.42578125" style="286" customWidth="1"/>
    <col min="4108" max="4108" width="9.140625" style="286" bestFit="1"/>
    <col min="4109" max="4109" width="3.42578125" style="286" customWidth="1"/>
    <col min="4110" max="4358" width="9.140625" style="286" bestFit="1"/>
    <col min="4359" max="4359" width="3.42578125" style="286" customWidth="1"/>
    <col min="4360" max="4360" width="6.5703125" style="286" customWidth="1"/>
    <col min="4361" max="4361" width="55.5703125" style="286" customWidth="1"/>
    <col min="4362" max="4363" width="12.42578125" style="286" customWidth="1"/>
    <col min="4364" max="4364" width="9.140625" style="286" bestFit="1"/>
    <col min="4365" max="4365" width="3.42578125" style="286" customWidth="1"/>
    <col min="4366" max="4614" width="9.140625" style="286" bestFit="1"/>
    <col min="4615" max="4615" width="3.42578125" style="286" customWidth="1"/>
    <col min="4616" max="4616" width="6.5703125" style="286" customWidth="1"/>
    <col min="4617" max="4617" width="55.5703125" style="286" customWidth="1"/>
    <col min="4618" max="4619" width="12.42578125" style="286" customWidth="1"/>
    <col min="4620" max="4620" width="9.140625" style="286" bestFit="1"/>
    <col min="4621" max="4621" width="3.42578125" style="286" customWidth="1"/>
    <col min="4622" max="4870" width="9.140625" style="286" bestFit="1"/>
    <col min="4871" max="4871" width="3.42578125" style="286" customWidth="1"/>
    <col min="4872" max="4872" width="6.5703125" style="286" customWidth="1"/>
    <col min="4873" max="4873" width="55.5703125" style="286" customWidth="1"/>
    <col min="4874" max="4875" width="12.42578125" style="286" customWidth="1"/>
    <col min="4876" max="4876" width="9.140625" style="286" bestFit="1"/>
    <col min="4877" max="4877" width="3.42578125" style="286" customWidth="1"/>
    <col min="4878" max="5126" width="9.140625" style="286" bestFit="1"/>
    <col min="5127" max="5127" width="3.42578125" style="286" customWidth="1"/>
    <col min="5128" max="5128" width="6.5703125" style="286" customWidth="1"/>
    <col min="5129" max="5129" width="55.5703125" style="286" customWidth="1"/>
    <col min="5130" max="5131" width="12.42578125" style="286" customWidth="1"/>
    <col min="5132" max="5132" width="9.140625" style="286" bestFit="1"/>
    <col min="5133" max="5133" width="3.42578125" style="286" customWidth="1"/>
    <col min="5134" max="5382" width="9.140625" style="286" bestFit="1"/>
    <col min="5383" max="5383" width="3.42578125" style="286" customWidth="1"/>
    <col min="5384" max="5384" width="6.5703125" style="286" customWidth="1"/>
    <col min="5385" max="5385" width="55.5703125" style="286" customWidth="1"/>
    <col min="5386" max="5387" width="12.42578125" style="286" customWidth="1"/>
    <col min="5388" max="5388" width="9.140625" style="286" bestFit="1"/>
    <col min="5389" max="5389" width="3.42578125" style="286" customWidth="1"/>
    <col min="5390" max="5638" width="9.140625" style="286" bestFit="1"/>
    <col min="5639" max="5639" width="3.42578125" style="286" customWidth="1"/>
    <col min="5640" max="5640" width="6.5703125" style="286" customWidth="1"/>
    <col min="5641" max="5641" width="55.5703125" style="286" customWidth="1"/>
    <col min="5642" max="5643" width="12.42578125" style="286" customWidth="1"/>
    <col min="5644" max="5644" width="9.140625" style="286" bestFit="1"/>
    <col min="5645" max="5645" width="3.42578125" style="286" customWidth="1"/>
    <col min="5646" max="5894" width="9.140625" style="286" bestFit="1"/>
    <col min="5895" max="5895" width="3.42578125" style="286" customWidth="1"/>
    <col min="5896" max="5896" width="6.5703125" style="286" customWidth="1"/>
    <col min="5897" max="5897" width="55.5703125" style="286" customWidth="1"/>
    <col min="5898" max="5899" width="12.42578125" style="286" customWidth="1"/>
    <col min="5900" max="5900" width="9.140625" style="286" bestFit="1"/>
    <col min="5901" max="5901" width="3.42578125" style="286" customWidth="1"/>
    <col min="5902" max="6150" width="9.140625" style="286" bestFit="1"/>
    <col min="6151" max="6151" width="3.42578125" style="286" customWidth="1"/>
    <col min="6152" max="6152" width="6.5703125" style="286" customWidth="1"/>
    <col min="6153" max="6153" width="55.5703125" style="286" customWidth="1"/>
    <col min="6154" max="6155" width="12.42578125" style="286" customWidth="1"/>
    <col min="6156" max="6156" width="9.140625" style="286" bestFit="1"/>
    <col min="6157" max="6157" width="3.42578125" style="286" customWidth="1"/>
    <col min="6158" max="6406" width="9.140625" style="286" bestFit="1"/>
    <col min="6407" max="6407" width="3.42578125" style="286" customWidth="1"/>
    <col min="6408" max="6408" width="6.5703125" style="286" customWidth="1"/>
    <col min="6409" max="6409" width="55.5703125" style="286" customWidth="1"/>
    <col min="6410" max="6411" width="12.42578125" style="286" customWidth="1"/>
    <col min="6412" max="6412" width="9.140625" style="286" bestFit="1"/>
    <col min="6413" max="6413" width="3.42578125" style="286" customWidth="1"/>
    <col min="6414" max="6662" width="9.140625" style="286" bestFit="1"/>
    <col min="6663" max="6663" width="3.42578125" style="286" customWidth="1"/>
    <col min="6664" max="6664" width="6.5703125" style="286" customWidth="1"/>
    <col min="6665" max="6665" width="55.5703125" style="286" customWidth="1"/>
    <col min="6666" max="6667" width="12.42578125" style="286" customWidth="1"/>
    <col min="6668" max="6668" width="9.140625" style="286" bestFit="1"/>
    <col min="6669" max="6669" width="3.42578125" style="286" customWidth="1"/>
    <col min="6670" max="6918" width="9.140625" style="286" bestFit="1"/>
    <col min="6919" max="6919" width="3.42578125" style="286" customWidth="1"/>
    <col min="6920" max="6920" width="6.5703125" style="286" customWidth="1"/>
    <col min="6921" max="6921" width="55.5703125" style="286" customWidth="1"/>
    <col min="6922" max="6923" width="12.42578125" style="286" customWidth="1"/>
    <col min="6924" max="6924" width="9.140625" style="286" bestFit="1"/>
    <col min="6925" max="6925" width="3.42578125" style="286" customWidth="1"/>
    <col min="6926" max="7174" width="9.140625" style="286" bestFit="1"/>
    <col min="7175" max="7175" width="3.42578125" style="286" customWidth="1"/>
    <col min="7176" max="7176" width="6.5703125" style="286" customWidth="1"/>
    <col min="7177" max="7177" width="55.5703125" style="286" customWidth="1"/>
    <col min="7178" max="7179" width="12.42578125" style="286" customWidth="1"/>
    <col min="7180" max="7180" width="9.140625" style="286" bestFit="1"/>
    <col min="7181" max="7181" width="3.42578125" style="286" customWidth="1"/>
    <col min="7182" max="7430" width="9.140625" style="286" bestFit="1"/>
    <col min="7431" max="7431" width="3.42578125" style="286" customWidth="1"/>
    <col min="7432" max="7432" width="6.5703125" style="286" customWidth="1"/>
    <col min="7433" max="7433" width="55.5703125" style="286" customWidth="1"/>
    <col min="7434" max="7435" width="12.42578125" style="286" customWidth="1"/>
    <col min="7436" max="7436" width="9.140625" style="286" bestFit="1"/>
    <col min="7437" max="7437" width="3.42578125" style="286" customWidth="1"/>
    <col min="7438" max="7686" width="9.140625" style="286" bestFit="1"/>
    <col min="7687" max="7687" width="3.42578125" style="286" customWidth="1"/>
    <col min="7688" max="7688" width="6.5703125" style="286" customWidth="1"/>
    <col min="7689" max="7689" width="55.5703125" style="286" customWidth="1"/>
    <col min="7690" max="7691" width="12.42578125" style="286" customWidth="1"/>
    <col min="7692" max="7692" width="9.140625" style="286" bestFit="1"/>
    <col min="7693" max="7693" width="3.42578125" style="286" customWidth="1"/>
    <col min="7694" max="7942" width="9.140625" style="286" bestFit="1"/>
    <col min="7943" max="7943" width="3.42578125" style="286" customWidth="1"/>
    <col min="7944" max="7944" width="6.5703125" style="286" customWidth="1"/>
    <col min="7945" max="7945" width="55.5703125" style="286" customWidth="1"/>
    <col min="7946" max="7947" width="12.42578125" style="286" customWidth="1"/>
    <col min="7948" max="7948" width="9.140625" style="286" bestFit="1"/>
    <col min="7949" max="7949" width="3.42578125" style="286" customWidth="1"/>
    <col min="7950" max="8198" width="9.140625" style="286" bestFit="1"/>
    <col min="8199" max="8199" width="3.42578125" style="286" customWidth="1"/>
    <col min="8200" max="8200" width="6.5703125" style="286" customWidth="1"/>
    <col min="8201" max="8201" width="55.5703125" style="286" customWidth="1"/>
    <col min="8202" max="8203" width="12.42578125" style="286" customWidth="1"/>
    <col min="8204" max="8204" width="9.140625" style="286" bestFit="1"/>
    <col min="8205" max="8205" width="3.42578125" style="286" customWidth="1"/>
    <col min="8206" max="8454" width="9.140625" style="286" bestFit="1"/>
    <col min="8455" max="8455" width="3.42578125" style="286" customWidth="1"/>
    <col min="8456" max="8456" width="6.5703125" style="286" customWidth="1"/>
    <col min="8457" max="8457" width="55.5703125" style="286" customWidth="1"/>
    <col min="8458" max="8459" width="12.42578125" style="286" customWidth="1"/>
    <col min="8460" max="8460" width="9.140625" style="286" bestFit="1"/>
    <col min="8461" max="8461" width="3.42578125" style="286" customWidth="1"/>
    <col min="8462" max="8710" width="9.140625" style="286" bestFit="1"/>
    <col min="8711" max="8711" width="3.42578125" style="286" customWidth="1"/>
    <col min="8712" max="8712" width="6.5703125" style="286" customWidth="1"/>
    <col min="8713" max="8713" width="55.5703125" style="286" customWidth="1"/>
    <col min="8714" max="8715" width="12.42578125" style="286" customWidth="1"/>
    <col min="8716" max="8716" width="9.140625" style="286" bestFit="1"/>
    <col min="8717" max="8717" width="3.42578125" style="286" customWidth="1"/>
    <col min="8718" max="8966" width="9.140625" style="286" bestFit="1"/>
    <col min="8967" max="8967" width="3.42578125" style="286" customWidth="1"/>
    <col min="8968" max="8968" width="6.5703125" style="286" customWidth="1"/>
    <col min="8969" max="8969" width="55.5703125" style="286" customWidth="1"/>
    <col min="8970" max="8971" width="12.42578125" style="286" customWidth="1"/>
    <col min="8972" max="8972" width="9.140625" style="286" bestFit="1"/>
    <col min="8973" max="8973" width="3.42578125" style="286" customWidth="1"/>
    <col min="8974" max="9222" width="9.140625" style="286" bestFit="1"/>
    <col min="9223" max="9223" width="3.42578125" style="286" customWidth="1"/>
    <col min="9224" max="9224" width="6.5703125" style="286" customWidth="1"/>
    <col min="9225" max="9225" width="55.5703125" style="286" customWidth="1"/>
    <col min="9226" max="9227" width="12.42578125" style="286" customWidth="1"/>
    <col min="9228" max="9228" width="9.140625" style="286" bestFit="1"/>
    <col min="9229" max="9229" width="3.42578125" style="286" customWidth="1"/>
    <col min="9230" max="9478" width="9.140625" style="286" bestFit="1"/>
    <col min="9479" max="9479" width="3.42578125" style="286" customWidth="1"/>
    <col min="9480" max="9480" width="6.5703125" style="286" customWidth="1"/>
    <col min="9481" max="9481" width="55.5703125" style="286" customWidth="1"/>
    <col min="9482" max="9483" width="12.42578125" style="286" customWidth="1"/>
    <col min="9484" max="9484" width="9.140625" style="286" bestFit="1"/>
    <col min="9485" max="9485" width="3.42578125" style="286" customWidth="1"/>
    <col min="9486" max="9734" width="9.140625" style="286" bestFit="1"/>
    <col min="9735" max="9735" width="3.42578125" style="286" customWidth="1"/>
    <col min="9736" max="9736" width="6.5703125" style="286" customWidth="1"/>
    <col min="9737" max="9737" width="55.5703125" style="286" customWidth="1"/>
    <col min="9738" max="9739" width="12.42578125" style="286" customWidth="1"/>
    <col min="9740" max="9740" width="9.140625" style="286" bestFit="1"/>
    <col min="9741" max="9741" width="3.42578125" style="286" customWidth="1"/>
    <col min="9742" max="9990" width="9.140625" style="286" bestFit="1"/>
    <col min="9991" max="9991" width="3.42578125" style="286" customWidth="1"/>
    <col min="9992" max="9992" width="6.5703125" style="286" customWidth="1"/>
    <col min="9993" max="9993" width="55.5703125" style="286" customWidth="1"/>
    <col min="9994" max="9995" width="12.42578125" style="286" customWidth="1"/>
    <col min="9996" max="9996" width="9.140625" style="286" bestFit="1"/>
    <col min="9997" max="9997" width="3.42578125" style="286" customWidth="1"/>
    <col min="9998" max="10246" width="9.140625" style="286" bestFit="1"/>
    <col min="10247" max="10247" width="3.42578125" style="286" customWidth="1"/>
    <col min="10248" max="10248" width="6.5703125" style="286" customWidth="1"/>
    <col min="10249" max="10249" width="55.5703125" style="286" customWidth="1"/>
    <col min="10250" max="10251" width="12.42578125" style="286" customWidth="1"/>
    <col min="10252" max="10252" width="9.140625" style="286" bestFit="1"/>
    <col min="10253" max="10253" width="3.42578125" style="286" customWidth="1"/>
    <col min="10254" max="10502" width="9.140625" style="286" bestFit="1"/>
    <col min="10503" max="10503" width="3.42578125" style="286" customWidth="1"/>
    <col min="10504" max="10504" width="6.5703125" style="286" customWidth="1"/>
    <col min="10505" max="10505" width="55.5703125" style="286" customWidth="1"/>
    <col min="10506" max="10507" width="12.42578125" style="286" customWidth="1"/>
    <col min="10508" max="10508" width="9.140625" style="286" bestFit="1"/>
    <col min="10509" max="10509" width="3.42578125" style="286" customWidth="1"/>
    <col min="10510" max="10758" width="9.140625" style="286" bestFit="1"/>
    <col min="10759" max="10759" width="3.42578125" style="286" customWidth="1"/>
    <col min="10760" max="10760" width="6.5703125" style="286" customWidth="1"/>
    <col min="10761" max="10761" width="55.5703125" style="286" customWidth="1"/>
    <col min="10762" max="10763" width="12.42578125" style="286" customWidth="1"/>
    <col min="10764" max="10764" width="9.140625" style="286" bestFit="1"/>
    <col min="10765" max="10765" width="3.42578125" style="286" customWidth="1"/>
    <col min="10766" max="11014" width="9.140625" style="286" bestFit="1"/>
    <col min="11015" max="11015" width="3.42578125" style="286" customWidth="1"/>
    <col min="11016" max="11016" width="6.5703125" style="286" customWidth="1"/>
    <col min="11017" max="11017" width="55.5703125" style="286" customWidth="1"/>
    <col min="11018" max="11019" width="12.42578125" style="286" customWidth="1"/>
    <col min="11020" max="11020" width="9.140625" style="286" bestFit="1"/>
    <col min="11021" max="11021" width="3.42578125" style="286" customWidth="1"/>
    <col min="11022" max="11270" width="9.140625" style="286" bestFit="1"/>
    <col min="11271" max="11271" width="3.42578125" style="286" customWidth="1"/>
    <col min="11272" max="11272" width="6.5703125" style="286" customWidth="1"/>
    <col min="11273" max="11273" width="55.5703125" style="286" customWidth="1"/>
    <col min="11274" max="11275" width="12.42578125" style="286" customWidth="1"/>
    <col min="11276" max="11276" width="9.140625" style="286" bestFit="1"/>
    <col min="11277" max="11277" width="3.42578125" style="286" customWidth="1"/>
    <col min="11278" max="11526" width="9.140625" style="286" bestFit="1"/>
    <col min="11527" max="11527" width="3.42578125" style="286" customWidth="1"/>
    <col min="11528" max="11528" width="6.5703125" style="286" customWidth="1"/>
    <col min="11529" max="11529" width="55.5703125" style="286" customWidth="1"/>
    <col min="11530" max="11531" width="12.42578125" style="286" customWidth="1"/>
    <col min="11532" max="11532" width="9.140625" style="286" bestFit="1"/>
    <col min="11533" max="11533" width="3.42578125" style="286" customWidth="1"/>
    <col min="11534" max="11782" width="9.140625" style="286" bestFit="1"/>
    <col min="11783" max="11783" width="3.42578125" style="286" customWidth="1"/>
    <col min="11784" max="11784" width="6.5703125" style="286" customWidth="1"/>
    <col min="11785" max="11785" width="55.5703125" style="286" customWidth="1"/>
    <col min="11786" max="11787" width="12.42578125" style="286" customWidth="1"/>
    <col min="11788" max="11788" width="9.140625" style="286" bestFit="1"/>
    <col min="11789" max="11789" width="3.42578125" style="286" customWidth="1"/>
    <col min="11790" max="12038" width="9.140625" style="286" bestFit="1"/>
    <col min="12039" max="12039" width="3.42578125" style="286" customWidth="1"/>
    <col min="12040" max="12040" width="6.5703125" style="286" customWidth="1"/>
    <col min="12041" max="12041" width="55.5703125" style="286" customWidth="1"/>
    <col min="12042" max="12043" width="12.42578125" style="286" customWidth="1"/>
    <col min="12044" max="12044" width="9.140625" style="286" bestFit="1"/>
    <col min="12045" max="12045" width="3.42578125" style="286" customWidth="1"/>
    <col min="12046" max="12294" width="9.140625" style="286" bestFit="1"/>
    <col min="12295" max="12295" width="3.42578125" style="286" customWidth="1"/>
    <col min="12296" max="12296" width="6.5703125" style="286" customWidth="1"/>
    <col min="12297" max="12297" width="55.5703125" style="286" customWidth="1"/>
    <col min="12298" max="12299" width="12.42578125" style="286" customWidth="1"/>
    <col min="12300" max="12300" width="9.140625" style="286" bestFit="1"/>
    <col min="12301" max="12301" width="3.42578125" style="286" customWidth="1"/>
    <col min="12302" max="12550" width="9.140625" style="286" bestFit="1"/>
    <col min="12551" max="12551" width="3.42578125" style="286" customWidth="1"/>
    <col min="12552" max="12552" width="6.5703125" style="286" customWidth="1"/>
    <col min="12553" max="12553" width="55.5703125" style="286" customWidth="1"/>
    <col min="12554" max="12555" width="12.42578125" style="286" customWidth="1"/>
    <col min="12556" max="12556" width="9.140625" style="286" bestFit="1"/>
    <col min="12557" max="12557" width="3.42578125" style="286" customWidth="1"/>
    <col min="12558" max="12806" width="9.140625" style="286" bestFit="1"/>
    <col min="12807" max="12807" width="3.42578125" style="286" customWidth="1"/>
    <col min="12808" max="12808" width="6.5703125" style="286" customWidth="1"/>
    <col min="12809" max="12809" width="55.5703125" style="286" customWidth="1"/>
    <col min="12810" max="12811" width="12.42578125" style="286" customWidth="1"/>
    <col min="12812" max="12812" width="9.140625" style="286" bestFit="1"/>
    <col min="12813" max="12813" width="3.42578125" style="286" customWidth="1"/>
    <col min="12814" max="13062" width="9.140625" style="286" bestFit="1"/>
    <col min="13063" max="13063" width="3.42578125" style="286" customWidth="1"/>
    <col min="13064" max="13064" width="6.5703125" style="286" customWidth="1"/>
    <col min="13065" max="13065" width="55.5703125" style="286" customWidth="1"/>
    <col min="13066" max="13067" width="12.42578125" style="286" customWidth="1"/>
    <col min="13068" max="13068" width="9.140625" style="286" bestFit="1"/>
    <col min="13069" max="13069" width="3.42578125" style="286" customWidth="1"/>
    <col min="13070" max="13318" width="9.140625" style="286" bestFit="1"/>
    <col min="13319" max="13319" width="3.42578125" style="286" customWidth="1"/>
    <col min="13320" max="13320" width="6.5703125" style="286" customWidth="1"/>
    <col min="13321" max="13321" width="55.5703125" style="286" customWidth="1"/>
    <col min="13322" max="13323" width="12.42578125" style="286" customWidth="1"/>
    <col min="13324" max="13324" width="9.140625" style="286" bestFit="1"/>
    <col min="13325" max="13325" width="3.42578125" style="286" customWidth="1"/>
    <col min="13326" max="13574" width="9.140625" style="286" bestFit="1"/>
    <col min="13575" max="13575" width="3.42578125" style="286" customWidth="1"/>
    <col min="13576" max="13576" width="6.5703125" style="286" customWidth="1"/>
    <col min="13577" max="13577" width="55.5703125" style="286" customWidth="1"/>
    <col min="13578" max="13579" width="12.42578125" style="286" customWidth="1"/>
    <col min="13580" max="13580" width="9.140625" style="286" bestFit="1"/>
    <col min="13581" max="13581" width="3.42578125" style="286" customWidth="1"/>
    <col min="13582" max="13830" width="9.140625" style="286" bestFit="1"/>
    <col min="13831" max="13831" width="3.42578125" style="286" customWidth="1"/>
    <col min="13832" max="13832" width="6.5703125" style="286" customWidth="1"/>
    <col min="13833" max="13833" width="55.5703125" style="286" customWidth="1"/>
    <col min="13834" max="13835" width="12.42578125" style="286" customWidth="1"/>
    <col min="13836" max="13836" width="9.140625" style="286" bestFit="1"/>
    <col min="13837" max="13837" width="3.42578125" style="286" customWidth="1"/>
    <col min="13838" max="14086" width="9.140625" style="286" bestFit="1"/>
    <col min="14087" max="14087" width="3.42578125" style="286" customWidth="1"/>
    <col min="14088" max="14088" width="6.5703125" style="286" customWidth="1"/>
    <col min="14089" max="14089" width="55.5703125" style="286" customWidth="1"/>
    <col min="14090" max="14091" width="12.42578125" style="286" customWidth="1"/>
    <col min="14092" max="14092" width="9.140625" style="286" bestFit="1"/>
    <col min="14093" max="14093" width="3.42578125" style="286" customWidth="1"/>
    <col min="14094" max="14342" width="9.140625" style="286" bestFit="1"/>
    <col min="14343" max="14343" width="3.42578125" style="286" customWidth="1"/>
    <col min="14344" max="14344" width="6.5703125" style="286" customWidth="1"/>
    <col min="14345" max="14345" width="55.5703125" style="286" customWidth="1"/>
    <col min="14346" max="14347" width="12.42578125" style="286" customWidth="1"/>
    <col min="14348" max="14348" width="9.140625" style="286" bestFit="1"/>
    <col min="14349" max="14349" width="3.42578125" style="286" customWidth="1"/>
    <col min="14350" max="14598" width="9.140625" style="286" bestFit="1"/>
    <col min="14599" max="14599" width="3.42578125" style="286" customWidth="1"/>
    <col min="14600" max="14600" width="6.5703125" style="286" customWidth="1"/>
    <col min="14601" max="14601" width="55.5703125" style="286" customWidth="1"/>
    <col min="14602" max="14603" width="12.42578125" style="286" customWidth="1"/>
    <col min="14604" max="14604" width="9.140625" style="286" bestFit="1"/>
    <col min="14605" max="14605" width="3.42578125" style="286" customWidth="1"/>
    <col min="14606" max="14854" width="9.140625" style="286" bestFit="1"/>
    <col min="14855" max="14855" width="3.42578125" style="286" customWidth="1"/>
    <col min="14856" max="14856" width="6.5703125" style="286" customWidth="1"/>
    <col min="14857" max="14857" width="55.5703125" style="286" customWidth="1"/>
    <col min="14858" max="14859" width="12.42578125" style="286" customWidth="1"/>
    <col min="14860" max="14860" width="9.140625" style="286" bestFit="1"/>
    <col min="14861" max="14861" width="3.42578125" style="286" customWidth="1"/>
    <col min="14862" max="15110" width="9.140625" style="286" bestFit="1"/>
    <col min="15111" max="15111" width="3.42578125" style="286" customWidth="1"/>
    <col min="15112" max="15112" width="6.5703125" style="286" customWidth="1"/>
    <col min="15113" max="15113" width="55.5703125" style="286" customWidth="1"/>
    <col min="15114" max="15115" width="12.42578125" style="286" customWidth="1"/>
    <col min="15116" max="15116" width="9.140625" style="286" bestFit="1"/>
    <col min="15117" max="15117" width="3.42578125" style="286" customWidth="1"/>
    <col min="15118" max="15366" width="9.140625" style="286" bestFit="1"/>
    <col min="15367" max="15367" width="3.42578125" style="286" customWidth="1"/>
    <col min="15368" max="15368" width="6.5703125" style="286" customWidth="1"/>
    <col min="15369" max="15369" width="55.5703125" style="286" customWidth="1"/>
    <col min="15370" max="15371" width="12.42578125" style="286" customWidth="1"/>
    <col min="15372" max="15372" width="9.140625" style="286" bestFit="1"/>
    <col min="15373" max="15373" width="3.42578125" style="286" customWidth="1"/>
    <col min="15374" max="15622" width="9.140625" style="286" bestFit="1"/>
    <col min="15623" max="15623" width="3.42578125" style="286" customWidth="1"/>
    <col min="15624" max="15624" width="6.5703125" style="286" customWidth="1"/>
    <col min="15625" max="15625" width="55.5703125" style="286" customWidth="1"/>
    <col min="15626" max="15627" width="12.42578125" style="286" customWidth="1"/>
    <col min="15628" max="15628" width="9.140625" style="286" bestFit="1"/>
    <col min="15629" max="15629" width="3.42578125" style="286" customWidth="1"/>
    <col min="15630" max="15878" width="9.140625" style="286" bestFit="1"/>
    <col min="15879" max="15879" width="3.42578125" style="286" customWidth="1"/>
    <col min="15880" max="15880" width="6.5703125" style="286" customWidth="1"/>
    <col min="15881" max="15881" width="55.5703125" style="286" customWidth="1"/>
    <col min="15882" max="15883" width="12.42578125" style="286" customWidth="1"/>
    <col min="15884" max="15884" width="9.140625" style="286" bestFit="1"/>
    <col min="15885" max="15885" width="3.42578125" style="286" customWidth="1"/>
    <col min="15886" max="16134" width="9.140625" style="286" bestFit="1"/>
    <col min="16135" max="16135" width="3.42578125" style="286" customWidth="1"/>
    <col min="16136" max="16136" width="6.5703125" style="286" customWidth="1"/>
    <col min="16137" max="16137" width="55.5703125" style="286" customWidth="1"/>
    <col min="16138" max="16139" width="12.42578125" style="286" customWidth="1"/>
    <col min="16140" max="16140" width="9.140625" style="286" bestFit="1"/>
    <col min="16141" max="16141" width="3.42578125" style="286" customWidth="1"/>
    <col min="16142" max="16382" width="9.140625" style="286" bestFit="1"/>
    <col min="16383" max="16384" width="9.42578125" style="286" customWidth="1"/>
  </cols>
  <sheetData>
    <row r="1" spans="2:28" ht="15.75" thickBot="1"/>
    <row r="2" spans="2:28" s="287" customFormat="1" ht="18" customHeight="1" thickTop="1" thickBot="1">
      <c r="B2" s="564"/>
      <c r="C2" s="565"/>
      <c r="D2" s="565"/>
      <c r="E2" s="565" t="s">
        <v>39</v>
      </c>
      <c r="F2" s="565"/>
      <c r="G2" s="565"/>
      <c r="H2" s="565"/>
      <c r="I2" s="565"/>
      <c r="J2" s="565"/>
      <c r="K2" s="565"/>
      <c r="L2" s="566"/>
    </row>
    <row r="3" spans="2:28" s="287" customFormat="1" ht="19.5" customHeight="1" thickTop="1">
      <c r="B3" s="292"/>
      <c r="C3" s="567"/>
      <c r="D3" s="567"/>
      <c r="E3" s="567"/>
      <c r="F3" s="567"/>
      <c r="G3" s="567"/>
      <c r="H3" s="567"/>
      <c r="I3" s="567"/>
      <c r="J3" s="293"/>
      <c r="K3" s="294"/>
    </row>
    <row r="4" spans="2:28" s="287" customFormat="1" ht="28.5" customHeight="1">
      <c r="C4" s="568"/>
      <c r="D4" s="568"/>
      <c r="E4" s="568"/>
      <c r="F4" s="568"/>
      <c r="G4" s="568"/>
      <c r="H4" s="568"/>
      <c r="I4" s="568"/>
      <c r="J4" s="295"/>
    </row>
    <row r="5" spans="2:28" s="287" customFormat="1">
      <c r="J5" s="295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A5" s="3"/>
      <c r="AB5" s="3"/>
    </row>
    <row r="6" spans="2:28" s="287" customFormat="1" ht="15" customHeight="1">
      <c r="L6" s="3"/>
      <c r="M6" s="3"/>
      <c r="N6" s="335" t="s">
        <v>2</v>
      </c>
      <c r="O6" s="3"/>
      <c r="P6" s="3"/>
      <c r="Q6" s="3"/>
      <c r="R6" s="3"/>
      <c r="S6" s="3"/>
      <c r="T6" s="3"/>
      <c r="U6" s="3"/>
      <c r="V6" s="3"/>
      <c r="W6" s="3"/>
      <c r="X6" s="3"/>
      <c r="AA6" s="3"/>
      <c r="AB6" s="3"/>
    </row>
    <row r="7" spans="2:28" s="287" customFormat="1" ht="15.75" customHeight="1">
      <c r="C7" s="562"/>
      <c r="D7" s="562"/>
      <c r="E7" s="562"/>
      <c r="F7" s="562"/>
      <c r="G7" s="562"/>
      <c r="H7" s="562"/>
      <c r="I7" s="562"/>
      <c r="J7" s="295"/>
      <c r="K7" s="2"/>
      <c r="L7" s="3"/>
      <c r="M7" s="3"/>
      <c r="N7" s="335" t="s">
        <v>3</v>
      </c>
      <c r="O7" s="3"/>
      <c r="P7" s="3"/>
      <c r="Q7" s="3"/>
      <c r="R7" s="3"/>
      <c r="S7" s="3"/>
      <c r="T7" s="3"/>
      <c r="U7" s="3"/>
      <c r="V7" s="3"/>
      <c r="W7" s="3"/>
      <c r="X7" s="3"/>
      <c r="AA7" s="3"/>
      <c r="AB7" s="3"/>
    </row>
    <row r="8" spans="2:28" s="287" customFormat="1" ht="15.75" customHeight="1">
      <c r="C8" s="562"/>
      <c r="D8" s="562"/>
      <c r="E8" s="562"/>
      <c r="F8" s="562"/>
      <c r="G8" s="562"/>
      <c r="H8" s="562"/>
      <c r="I8" s="562"/>
      <c r="J8" s="29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A8" s="3"/>
      <c r="AB8" s="3"/>
    </row>
    <row r="9" spans="2:28" s="287" customFormat="1" ht="15.75" customHeight="1">
      <c r="C9" s="562"/>
      <c r="D9" s="562"/>
      <c r="E9" s="562"/>
      <c r="F9" s="562"/>
      <c r="G9" s="562"/>
      <c r="H9" s="562"/>
      <c r="I9" s="562"/>
      <c r="J9" s="295"/>
      <c r="K9" s="2"/>
      <c r="L9" s="2"/>
      <c r="M9" s="2"/>
      <c r="N9" s="2"/>
      <c r="O9" s="2"/>
      <c r="P9" s="2"/>
      <c r="Q9" s="2"/>
      <c r="R9" s="3"/>
      <c r="S9" s="3"/>
      <c r="T9" s="3"/>
      <c r="U9" s="3"/>
      <c r="V9" s="3"/>
      <c r="W9" s="3"/>
      <c r="X9" s="3"/>
      <c r="AA9" s="3"/>
      <c r="AB9" s="3"/>
    </row>
    <row r="10" spans="2:28" s="287" customFormat="1" ht="15.75" customHeight="1">
      <c r="C10" s="562"/>
      <c r="D10" s="562"/>
      <c r="E10" s="562"/>
      <c r="F10" s="562"/>
      <c r="G10" s="562"/>
      <c r="H10" s="562"/>
      <c r="I10" s="562"/>
      <c r="J10" s="295"/>
      <c r="K10" s="2"/>
      <c r="L10" s="2"/>
      <c r="M10" s="2"/>
      <c r="N10" s="2"/>
      <c r="O10" s="2"/>
      <c r="P10" s="2"/>
      <c r="Q10" s="2"/>
      <c r="R10" s="5"/>
      <c r="S10" s="3"/>
      <c r="U10" s="3"/>
      <c r="V10" s="3"/>
      <c r="W10" s="3"/>
      <c r="X10" s="3"/>
      <c r="AA10" s="3"/>
      <c r="AB10" s="3"/>
    </row>
    <row r="11" spans="2:28" s="6" customFormat="1" ht="15.75" customHeight="1">
      <c r="C11" s="562"/>
      <c r="D11" s="562"/>
      <c r="E11" s="562"/>
      <c r="F11" s="562"/>
      <c r="G11" s="562"/>
      <c r="H11" s="562"/>
      <c r="I11" s="562"/>
      <c r="J11" s="297"/>
      <c r="K11" s="4"/>
      <c r="L11" s="4"/>
      <c r="M11" s="4"/>
      <c r="N11" s="4"/>
      <c r="O11" s="4"/>
      <c r="P11" s="4"/>
      <c r="Q11" s="4"/>
      <c r="R11" s="5"/>
      <c r="S11" s="5"/>
      <c r="T11" s="287"/>
      <c r="U11" s="5"/>
      <c r="V11" s="5"/>
      <c r="W11" s="5"/>
      <c r="X11" s="5"/>
      <c r="AA11" s="5"/>
      <c r="AB11" s="5"/>
    </row>
    <row r="12" spans="2:28" s="6" customFormat="1" ht="15.75">
      <c r="C12" s="296"/>
      <c r="D12" s="296"/>
      <c r="E12" s="296"/>
      <c r="F12" s="296"/>
      <c r="G12" s="296"/>
      <c r="H12" s="296"/>
      <c r="I12" s="296"/>
      <c r="J12" s="297"/>
      <c r="K12" s="4"/>
      <c r="L12" s="4"/>
      <c r="M12" s="4"/>
      <c r="N12" s="4"/>
      <c r="O12" s="4"/>
      <c r="P12" s="4"/>
      <c r="Q12" s="4"/>
      <c r="R12" s="5"/>
      <c r="S12" s="5"/>
      <c r="T12" s="4"/>
      <c r="U12" s="5"/>
      <c r="V12" s="5"/>
      <c r="W12" s="5"/>
      <c r="X12" s="5"/>
      <c r="AA12" s="5"/>
      <c r="AB12" s="5"/>
    </row>
    <row r="13" spans="2:28" s="6" customFormat="1" ht="15.75">
      <c r="C13" s="296"/>
      <c r="D13" s="296"/>
      <c r="E13" s="296"/>
      <c r="F13" s="296"/>
      <c r="G13" s="296"/>
      <c r="H13" s="296"/>
      <c r="I13" s="296"/>
      <c r="J13" s="297"/>
      <c r="K13" s="4"/>
      <c r="L13" s="4"/>
      <c r="M13" s="4"/>
      <c r="N13" s="4"/>
      <c r="O13" s="4"/>
      <c r="P13" s="4"/>
      <c r="Q13" s="4"/>
      <c r="R13" s="5"/>
      <c r="S13" s="5"/>
      <c r="T13" s="4"/>
      <c r="U13" s="5"/>
      <c r="V13" s="5"/>
      <c r="W13" s="5"/>
      <c r="X13" s="5"/>
      <c r="AA13" s="5"/>
      <c r="AB13" s="5"/>
    </row>
    <row r="14" spans="2:28" s="6" customFormat="1" ht="15.75">
      <c r="C14" s="296"/>
      <c r="D14" s="296"/>
      <c r="E14" s="296"/>
      <c r="F14" s="296"/>
      <c r="G14" s="296"/>
      <c r="H14" s="296"/>
      <c r="I14" s="296"/>
      <c r="J14" s="297"/>
      <c r="K14" s="4"/>
      <c r="L14" s="4"/>
      <c r="M14" s="4"/>
      <c r="N14" s="4"/>
      <c r="O14" s="4"/>
      <c r="P14" s="4"/>
      <c r="Q14" s="4"/>
      <c r="R14" s="5"/>
      <c r="S14" s="5"/>
      <c r="T14" s="4"/>
      <c r="U14" s="5"/>
      <c r="V14" s="5"/>
      <c r="W14" s="5"/>
      <c r="X14" s="5"/>
      <c r="AA14" s="5"/>
      <c r="AB14" s="5"/>
    </row>
    <row r="15" spans="2:28" s="6" customFormat="1" ht="12.75">
      <c r="L15" s="4"/>
      <c r="M15" s="4"/>
      <c r="N15" s="4"/>
      <c r="O15" s="4"/>
      <c r="P15" s="4"/>
      <c r="Q15" s="4"/>
      <c r="R15" s="5"/>
      <c r="S15" s="5"/>
      <c r="T15" s="4"/>
      <c r="U15" s="5"/>
      <c r="V15" s="5"/>
      <c r="W15" s="5"/>
      <c r="X15" s="5"/>
      <c r="AA15" s="5"/>
      <c r="AB15" s="5"/>
    </row>
    <row r="16" spans="2:28" s="6" customFormat="1" ht="15.75">
      <c r="C16" s="296"/>
      <c r="D16" s="296"/>
      <c r="E16" s="296"/>
      <c r="F16" s="296"/>
      <c r="G16" s="296"/>
      <c r="H16" s="296"/>
      <c r="I16" s="296"/>
      <c r="J16" s="297"/>
      <c r="K16" s="4"/>
      <c r="L16" s="4"/>
      <c r="M16" s="4"/>
      <c r="N16" s="4"/>
      <c r="O16" s="4"/>
      <c r="P16" s="4"/>
      <c r="Q16" s="4"/>
      <c r="R16" s="5"/>
      <c r="S16" s="5"/>
      <c r="T16" s="4"/>
      <c r="U16" s="5"/>
      <c r="V16" s="5"/>
      <c r="W16" s="5"/>
      <c r="X16" s="5"/>
      <c r="AA16" s="5"/>
      <c r="AB16" s="5"/>
    </row>
    <row r="17" spans="3:28" s="6" customFormat="1" ht="15.75">
      <c r="C17" s="296"/>
      <c r="D17" s="296"/>
      <c r="E17" s="296"/>
      <c r="F17" s="296"/>
      <c r="G17" s="296"/>
      <c r="H17" s="296"/>
      <c r="I17" s="296"/>
      <c r="J17" s="297"/>
      <c r="K17" s="4"/>
      <c r="L17" s="4"/>
      <c r="M17" s="4"/>
      <c r="N17" s="4"/>
      <c r="O17" s="4"/>
      <c r="P17" s="4"/>
      <c r="Q17" s="4"/>
      <c r="R17" s="5"/>
      <c r="S17" s="5"/>
      <c r="T17" s="4"/>
      <c r="U17" s="5"/>
      <c r="V17" s="5"/>
      <c r="W17" s="5"/>
      <c r="X17" s="5"/>
      <c r="AA17" s="5"/>
      <c r="AB17" s="5"/>
    </row>
    <row r="18" spans="3:28" s="6" customFormat="1" ht="15.75">
      <c r="C18" s="296"/>
      <c r="D18" s="296"/>
      <c r="E18" s="296"/>
      <c r="F18" s="296"/>
      <c r="G18" s="296"/>
      <c r="H18" s="296"/>
      <c r="I18" s="296"/>
      <c r="J18" s="297"/>
      <c r="K18" s="4"/>
      <c r="L18" s="4"/>
      <c r="M18" s="4"/>
      <c r="N18" s="4"/>
      <c r="O18" s="4"/>
      <c r="P18" s="4"/>
      <c r="Q18" s="4"/>
      <c r="R18" s="5"/>
      <c r="S18" s="5"/>
      <c r="T18" s="4"/>
      <c r="U18" s="5"/>
      <c r="V18" s="5"/>
      <c r="W18" s="5"/>
      <c r="X18" s="5"/>
      <c r="AA18" s="5"/>
      <c r="AB18" s="5"/>
    </row>
    <row r="19" spans="3:28" s="6" customFormat="1" ht="15.75">
      <c r="C19" s="296"/>
      <c r="D19" s="296"/>
      <c r="E19" s="296"/>
      <c r="F19" s="296"/>
      <c r="G19" s="296"/>
      <c r="H19" s="296"/>
      <c r="I19" s="296"/>
      <c r="J19" s="297"/>
      <c r="K19" s="4"/>
      <c r="L19" s="4"/>
      <c r="M19" s="4"/>
      <c r="N19" s="4"/>
      <c r="O19" s="4"/>
      <c r="P19" s="4"/>
      <c r="Q19" s="4"/>
      <c r="R19" s="5"/>
      <c r="S19" s="5"/>
      <c r="T19" s="4"/>
      <c r="U19" s="5"/>
      <c r="V19" s="5"/>
      <c r="W19" s="5"/>
      <c r="X19" s="5"/>
      <c r="AA19" s="5"/>
      <c r="AB19" s="5"/>
    </row>
    <row r="20" spans="3:28" s="6" customFormat="1" ht="28.5" customHeight="1">
      <c r="C20" s="563" t="s">
        <v>810</v>
      </c>
      <c r="D20" s="563"/>
      <c r="E20" s="563"/>
      <c r="F20" s="563"/>
      <c r="G20" s="563"/>
      <c r="H20" s="563"/>
      <c r="I20" s="563"/>
      <c r="J20" s="563"/>
      <c r="K20" s="563"/>
      <c r="L20" s="4"/>
      <c r="M20" s="4"/>
      <c r="N20" s="4"/>
      <c r="O20" s="4"/>
      <c r="P20" s="4"/>
      <c r="Q20" s="4"/>
      <c r="R20" s="5"/>
      <c r="S20" s="5"/>
      <c r="T20" s="4"/>
      <c r="U20" s="5"/>
      <c r="V20" s="5"/>
      <c r="W20" s="5"/>
      <c r="X20" s="5"/>
      <c r="AA20" s="5"/>
      <c r="AB20" s="5"/>
    </row>
    <row r="21" spans="3:28" s="6" customFormat="1" ht="15.75">
      <c r="C21" s="296"/>
      <c r="D21" s="296"/>
      <c r="E21" s="296"/>
      <c r="F21" s="296"/>
      <c r="G21" s="296"/>
      <c r="H21" s="296"/>
      <c r="I21" s="296"/>
      <c r="J21" s="297"/>
      <c r="K21" s="4"/>
      <c r="L21" s="4"/>
      <c r="M21" s="4"/>
      <c r="N21" s="4"/>
      <c r="O21" s="4"/>
      <c r="P21" s="4"/>
      <c r="Q21" s="4"/>
      <c r="R21" s="5"/>
      <c r="S21" s="5"/>
      <c r="T21" s="4"/>
      <c r="U21" s="5"/>
      <c r="V21" s="5"/>
      <c r="W21" s="5"/>
      <c r="X21" s="5"/>
      <c r="AA21" s="5"/>
      <c r="AB21" s="5"/>
    </row>
    <row r="22" spans="3:28" s="6" customFormat="1" ht="15.75">
      <c r="C22" s="296"/>
      <c r="D22" s="296"/>
      <c r="E22" s="296"/>
      <c r="F22" s="296"/>
      <c r="G22" s="296"/>
      <c r="H22" s="296"/>
      <c r="I22" s="296"/>
      <c r="J22" s="297"/>
      <c r="K22" s="4"/>
      <c r="L22" s="4"/>
      <c r="M22" s="4"/>
      <c r="N22" s="4"/>
      <c r="O22" s="4"/>
      <c r="P22" s="4"/>
      <c r="Q22" s="4"/>
      <c r="R22" s="5"/>
      <c r="S22" s="5"/>
      <c r="T22" s="4"/>
      <c r="U22" s="5"/>
      <c r="V22" s="5"/>
      <c r="W22" s="5"/>
      <c r="X22" s="5"/>
      <c r="AA22" s="5"/>
      <c r="AB22" s="5"/>
    </row>
    <row r="23" spans="3:28" s="6" customFormat="1" ht="15.75">
      <c r="C23" s="296"/>
      <c r="D23" s="296"/>
      <c r="E23" s="296"/>
      <c r="F23" s="296"/>
      <c r="G23" s="296"/>
      <c r="H23" s="296"/>
      <c r="I23" s="296"/>
      <c r="J23" s="297"/>
      <c r="K23" s="4"/>
      <c r="L23" s="4"/>
      <c r="M23" s="4"/>
      <c r="N23" s="4"/>
      <c r="O23" s="4"/>
      <c r="P23" s="4"/>
      <c r="Q23" s="4"/>
      <c r="R23" s="5"/>
      <c r="S23" s="5"/>
      <c r="T23" s="4"/>
      <c r="U23" s="5"/>
      <c r="V23" s="5"/>
      <c r="W23" s="5"/>
      <c r="X23" s="5"/>
      <c r="AA23" s="5"/>
      <c r="AB23" s="5"/>
    </row>
    <row r="24" spans="3:28" s="6" customFormat="1" ht="15.75">
      <c r="C24" s="296"/>
      <c r="D24" s="296"/>
      <c r="E24" s="296"/>
      <c r="F24" s="296"/>
      <c r="G24" s="296"/>
      <c r="H24" s="296"/>
      <c r="I24" s="296"/>
      <c r="J24" s="297"/>
      <c r="K24" s="4"/>
      <c r="L24" s="4"/>
      <c r="M24" s="4"/>
      <c r="N24" s="4"/>
      <c r="O24" s="4"/>
      <c r="P24" s="4"/>
      <c r="Q24" s="4"/>
      <c r="R24" s="5"/>
      <c r="S24" s="5"/>
      <c r="T24" s="4"/>
      <c r="U24" s="5"/>
      <c r="V24" s="5"/>
      <c r="W24" s="5"/>
      <c r="X24" s="5"/>
      <c r="AA24" s="5"/>
      <c r="AB24" s="5"/>
    </row>
    <row r="25" spans="3:28" s="6" customFormat="1" ht="15.75">
      <c r="C25" s="296"/>
      <c r="D25" s="296"/>
      <c r="E25" s="296"/>
      <c r="F25" s="296"/>
      <c r="G25" s="296"/>
      <c r="H25" s="296"/>
      <c r="I25" s="296"/>
      <c r="J25" s="297"/>
      <c r="K25" s="4"/>
      <c r="L25" s="4"/>
      <c r="M25" s="4"/>
      <c r="N25" s="4"/>
      <c r="O25" s="4"/>
      <c r="P25" s="4"/>
      <c r="Q25" s="4"/>
      <c r="R25" s="5"/>
      <c r="S25" s="5"/>
      <c r="T25" s="4"/>
      <c r="U25" s="5"/>
      <c r="V25" s="5"/>
      <c r="W25" s="5"/>
      <c r="X25" s="5"/>
      <c r="AA25" s="5"/>
      <c r="AB25" s="5"/>
    </row>
    <row r="26" spans="3:28" s="6" customFormat="1" ht="15.75">
      <c r="C26" s="296"/>
      <c r="D26" s="296"/>
      <c r="E26" s="296"/>
      <c r="F26" s="296"/>
      <c r="G26" s="296"/>
      <c r="H26" s="296"/>
      <c r="I26" s="296"/>
      <c r="J26" s="297"/>
      <c r="K26" s="4"/>
      <c r="L26" s="4"/>
      <c r="M26" s="4"/>
      <c r="N26" s="4"/>
      <c r="O26" s="4"/>
      <c r="P26" s="4"/>
      <c r="Q26" s="4"/>
      <c r="R26" s="5"/>
      <c r="S26" s="5"/>
      <c r="T26" s="4"/>
      <c r="U26" s="5"/>
      <c r="V26" s="5"/>
      <c r="W26" s="5"/>
      <c r="X26" s="5"/>
      <c r="AA26" s="5"/>
      <c r="AB26" s="5"/>
    </row>
    <row r="27" spans="3:28" s="6" customFormat="1" ht="15.75">
      <c r="C27" s="296"/>
      <c r="D27" s="296"/>
      <c r="E27" s="296"/>
      <c r="F27" s="296"/>
      <c r="G27" s="296"/>
      <c r="H27" s="296"/>
      <c r="I27" s="296"/>
      <c r="J27" s="297"/>
      <c r="K27" s="4"/>
      <c r="L27" s="4"/>
      <c r="M27" s="4"/>
      <c r="N27" s="4"/>
      <c r="O27" s="4"/>
      <c r="P27" s="4"/>
      <c r="Q27" s="4"/>
      <c r="R27" s="5"/>
      <c r="S27" s="5"/>
      <c r="T27" s="4"/>
      <c r="U27" s="5"/>
      <c r="V27" s="5"/>
      <c r="W27" s="5"/>
      <c r="X27" s="5"/>
      <c r="AA27" s="5"/>
      <c r="AB27" s="5"/>
    </row>
    <row r="28" spans="3:28" s="6" customFormat="1" ht="15.75">
      <c r="C28" s="296"/>
      <c r="D28" s="296"/>
      <c r="E28" s="296"/>
      <c r="F28" s="296"/>
      <c r="G28" s="296"/>
      <c r="H28" s="296"/>
      <c r="I28" s="296"/>
      <c r="J28" s="297"/>
      <c r="K28" s="4"/>
      <c r="L28" s="4"/>
      <c r="M28" s="4"/>
      <c r="N28" s="4"/>
      <c r="O28" s="4"/>
      <c r="P28" s="4"/>
      <c r="Q28" s="4"/>
      <c r="R28" s="5"/>
      <c r="S28" s="5"/>
      <c r="T28" s="4"/>
      <c r="U28" s="5"/>
      <c r="V28" s="5"/>
      <c r="W28" s="5"/>
      <c r="X28" s="5"/>
      <c r="AA28" s="5"/>
      <c r="AB28" s="5"/>
    </row>
    <row r="29" spans="3:28" s="6" customFormat="1" ht="15.75" customHeight="1">
      <c r="C29" s="562"/>
      <c r="D29" s="562"/>
      <c r="E29" s="562"/>
      <c r="F29" s="562"/>
      <c r="G29" s="562"/>
      <c r="H29" s="562"/>
      <c r="I29" s="562"/>
      <c r="J29" s="297"/>
      <c r="K29" s="4"/>
      <c r="L29" s="4"/>
      <c r="M29" s="5"/>
      <c r="N29" s="5"/>
      <c r="O29" s="4"/>
      <c r="P29" s="5"/>
      <c r="Q29" s="4"/>
      <c r="R29" s="5"/>
      <c r="S29" s="5"/>
      <c r="T29" s="5"/>
      <c r="U29" s="5"/>
      <c r="V29" s="5"/>
      <c r="W29" s="5"/>
      <c r="X29" s="5"/>
      <c r="AA29" s="5"/>
      <c r="AB29" s="5"/>
    </row>
    <row r="30" spans="3:28" s="6" customFormat="1" ht="15.75" customHeight="1">
      <c r="C30" s="562"/>
      <c r="D30" s="562"/>
      <c r="E30" s="562"/>
      <c r="F30" s="562"/>
      <c r="G30" s="562"/>
      <c r="H30" s="562"/>
      <c r="I30" s="562"/>
      <c r="J30" s="297"/>
      <c r="K30" s="4"/>
      <c r="L30" s="4"/>
      <c r="M30" s="4"/>
      <c r="N30" s="4"/>
      <c r="O30" s="4"/>
      <c r="P30" s="4"/>
      <c r="Q30" s="4"/>
      <c r="R30" s="5"/>
      <c r="S30" s="5"/>
      <c r="T30" s="5"/>
      <c r="U30" s="5"/>
      <c r="V30" s="5"/>
      <c r="W30" s="5"/>
      <c r="X30" s="5"/>
      <c r="AA30" s="5"/>
      <c r="AB30" s="5"/>
    </row>
    <row r="31" spans="3:28" s="6" customFormat="1" ht="15.75" customHeight="1">
      <c r="C31" s="562"/>
      <c r="D31" s="562"/>
      <c r="E31" s="562"/>
      <c r="F31" s="562"/>
      <c r="G31" s="562"/>
      <c r="H31" s="562"/>
      <c r="I31" s="562"/>
      <c r="J31" s="297"/>
      <c r="K31" s="4"/>
      <c r="L31" s="4"/>
      <c r="M31" s="4"/>
      <c r="N31" s="4"/>
      <c r="O31" s="4"/>
      <c r="P31" s="4"/>
      <c r="Q31" s="4"/>
      <c r="R31" s="5"/>
      <c r="S31" s="298"/>
      <c r="T31" s="4"/>
      <c r="U31" s="5"/>
      <c r="V31" s="5"/>
      <c r="W31" s="5"/>
      <c r="X31" s="5"/>
      <c r="AA31" s="5"/>
      <c r="AB31" s="5"/>
    </row>
    <row r="32" spans="3:28" s="6" customFormat="1" ht="15.75" customHeight="1">
      <c r="C32" s="562"/>
      <c r="D32" s="562"/>
      <c r="E32" s="562"/>
      <c r="F32" s="562"/>
      <c r="G32" s="562"/>
      <c r="H32" s="562"/>
      <c r="I32" s="562"/>
      <c r="J32" s="297"/>
      <c r="K32" s="4"/>
      <c r="L32" s="4"/>
      <c r="M32" s="4"/>
      <c r="N32" s="4"/>
      <c r="O32" s="4"/>
      <c r="P32" s="4"/>
      <c r="Q32" s="4"/>
      <c r="R32" s="5"/>
      <c r="S32" s="298"/>
      <c r="T32" s="4"/>
      <c r="U32" s="5"/>
      <c r="V32" s="5"/>
      <c r="W32" s="5"/>
      <c r="X32" s="5"/>
      <c r="AA32" s="5"/>
      <c r="AB32" s="5"/>
    </row>
    <row r="33" spans="2:28" s="6" customFormat="1" ht="15.75" customHeight="1">
      <c r="C33" s="562"/>
      <c r="D33" s="562"/>
      <c r="E33" s="562"/>
      <c r="F33" s="562"/>
      <c r="G33" s="562"/>
      <c r="H33" s="562"/>
      <c r="I33" s="562"/>
      <c r="J33" s="297"/>
      <c r="K33" s="4"/>
      <c r="L33" s="4"/>
      <c r="M33" s="4"/>
      <c r="N33" s="4"/>
      <c r="O33" s="4"/>
      <c r="P33" s="4"/>
      <c r="Q33" s="4"/>
      <c r="R33" s="5"/>
      <c r="S33" s="5"/>
      <c r="T33" s="5"/>
      <c r="U33" s="5"/>
      <c r="V33" s="5"/>
      <c r="W33" s="5"/>
      <c r="X33" s="5"/>
      <c r="AA33" s="5"/>
      <c r="AB33" s="5"/>
    </row>
    <row r="34" spans="2:28" s="6" customFormat="1" ht="15.75" customHeight="1">
      <c r="C34" s="562"/>
      <c r="D34" s="562"/>
      <c r="E34" s="562"/>
      <c r="F34" s="562"/>
      <c r="G34" s="562"/>
      <c r="H34" s="562"/>
      <c r="I34" s="562"/>
      <c r="J34" s="297"/>
      <c r="K34" s="4"/>
      <c r="L34" s="4"/>
      <c r="M34" s="4"/>
      <c r="N34" s="4"/>
      <c r="O34" s="4"/>
      <c r="P34" s="4"/>
      <c r="Q34" s="4"/>
      <c r="R34" s="5"/>
      <c r="S34" s="5"/>
      <c r="T34" s="5"/>
      <c r="U34" s="5"/>
      <c r="V34" s="5"/>
      <c r="W34" s="5"/>
      <c r="X34" s="5"/>
      <c r="AA34" s="5"/>
      <c r="AB34" s="5"/>
    </row>
    <row r="35" spans="2:28" s="6" customFormat="1" ht="15.75" customHeight="1">
      <c r="C35" s="562"/>
      <c r="D35" s="562"/>
      <c r="E35" s="562"/>
      <c r="F35" s="562"/>
      <c r="G35" s="562"/>
      <c r="H35" s="562"/>
      <c r="I35" s="562"/>
      <c r="J35" s="297"/>
      <c r="K35" s="4"/>
      <c r="L35" s="4"/>
      <c r="M35" s="4"/>
      <c r="N35" s="4"/>
      <c r="O35" s="4"/>
      <c r="P35" s="4"/>
      <c r="Q35" s="4"/>
      <c r="R35" s="5"/>
      <c r="S35" s="5"/>
      <c r="T35" s="5"/>
      <c r="U35" s="5"/>
      <c r="V35" s="5"/>
      <c r="W35" s="5"/>
      <c r="X35" s="5"/>
      <c r="AA35" s="5"/>
      <c r="AB35" s="5"/>
    </row>
    <row r="36" spans="2:28" s="6" customFormat="1" ht="15.75" customHeight="1">
      <c r="C36" s="562"/>
      <c r="D36" s="562"/>
      <c r="E36" s="562"/>
      <c r="F36" s="562"/>
      <c r="G36" s="562"/>
      <c r="H36" s="562"/>
      <c r="I36" s="562"/>
      <c r="J36" s="297"/>
      <c r="K36" s="4"/>
      <c r="L36" s="4"/>
      <c r="M36" s="4"/>
      <c r="N36" s="4"/>
      <c r="O36" s="4"/>
      <c r="P36" s="4"/>
      <c r="Q36" s="4"/>
      <c r="R36" s="5"/>
      <c r="S36" s="5"/>
      <c r="T36" s="5"/>
      <c r="U36" s="5"/>
      <c r="V36" s="5"/>
      <c r="W36" s="5"/>
      <c r="X36" s="5"/>
      <c r="AA36" s="5"/>
      <c r="AB36" s="5"/>
    </row>
    <row r="37" spans="2:28" s="6" customFormat="1" ht="15.75" customHeight="1">
      <c r="C37" s="562"/>
      <c r="D37" s="562"/>
      <c r="E37" s="562"/>
      <c r="F37" s="562"/>
      <c r="G37" s="562"/>
      <c r="H37" s="562"/>
      <c r="I37" s="562"/>
      <c r="J37" s="297"/>
      <c r="K37" s="4"/>
      <c r="L37" s="4"/>
      <c r="M37" s="343"/>
      <c r="N37" s="343"/>
      <c r="O37" s="343"/>
      <c r="P37" s="343"/>
      <c r="Q37" s="343"/>
      <c r="R37" s="344"/>
      <c r="S37" s="344"/>
      <c r="T37" s="344"/>
      <c r="U37" s="5"/>
      <c r="V37" s="5"/>
      <c r="W37" s="5"/>
      <c r="X37" s="5"/>
      <c r="AA37" s="5"/>
      <c r="AB37" s="5"/>
    </row>
    <row r="38" spans="2:28" s="6" customFormat="1" ht="15.75" customHeight="1">
      <c r="C38" s="562"/>
      <c r="D38" s="562"/>
      <c r="E38" s="562"/>
      <c r="F38" s="562"/>
      <c r="G38" s="562"/>
      <c r="H38" s="562"/>
      <c r="I38" s="562"/>
      <c r="J38" s="297"/>
      <c r="K38" s="4"/>
      <c r="L38" s="4"/>
      <c r="M38" s="343"/>
      <c r="N38" s="343"/>
      <c r="O38" s="343"/>
      <c r="P38" s="343"/>
      <c r="Q38" s="343"/>
      <c r="R38" s="344"/>
      <c r="S38" s="344"/>
      <c r="T38" s="344"/>
      <c r="U38" s="5"/>
      <c r="V38" s="5"/>
      <c r="W38" s="5"/>
      <c r="X38" s="5"/>
      <c r="AA38" s="5"/>
      <c r="AB38" s="5"/>
    </row>
    <row r="39" spans="2:28" s="6" customFormat="1" ht="15.75" customHeight="1">
      <c r="C39" s="562"/>
      <c r="D39" s="562"/>
      <c r="E39" s="562"/>
      <c r="F39" s="562"/>
      <c r="G39" s="562"/>
      <c r="H39" s="562"/>
      <c r="I39" s="562"/>
      <c r="J39" s="297"/>
      <c r="K39" s="4"/>
      <c r="L39" s="4"/>
      <c r="M39" s="343"/>
      <c r="N39" s="343"/>
      <c r="O39" s="343"/>
      <c r="P39" s="343"/>
      <c r="Q39" s="343"/>
      <c r="R39" s="344"/>
      <c r="S39" s="344"/>
      <c r="T39" s="343"/>
      <c r="U39" s="5"/>
      <c r="V39" s="5"/>
      <c r="W39" s="5"/>
      <c r="X39" s="5"/>
      <c r="AA39" s="5"/>
      <c r="AB39" s="5"/>
    </row>
    <row r="40" spans="2:28" s="288" customFormat="1" ht="15.75" customHeight="1">
      <c r="C40" s="562"/>
      <c r="D40" s="562"/>
      <c r="E40" s="562"/>
      <c r="F40" s="562"/>
      <c r="G40" s="562"/>
      <c r="H40" s="562"/>
      <c r="I40" s="562"/>
      <c r="J40" s="299"/>
      <c r="M40" s="345"/>
      <c r="N40" s="345"/>
      <c r="O40" s="345"/>
      <c r="P40" s="345"/>
      <c r="Q40" s="345"/>
      <c r="R40" s="345"/>
      <c r="S40" s="345"/>
      <c r="T40" s="343"/>
    </row>
    <row r="41" spans="2:28" s="287" customFormat="1" ht="15" customHeight="1">
      <c r="C41" s="300"/>
      <c r="D41" s="300"/>
      <c r="E41" s="300"/>
      <c r="F41" s="300"/>
      <c r="G41" s="300"/>
      <c r="H41" s="300"/>
      <c r="I41" s="300"/>
      <c r="J41" s="294"/>
      <c r="M41" s="346"/>
      <c r="N41" s="346"/>
      <c r="O41" s="346"/>
      <c r="P41" s="346"/>
      <c r="Q41" s="346"/>
      <c r="R41" s="346"/>
      <c r="S41" s="346"/>
      <c r="T41" s="343"/>
    </row>
    <row r="42" spans="2:28" s="287" customFormat="1" ht="15" customHeight="1">
      <c r="C42" s="300"/>
      <c r="D42" s="300"/>
      <c r="E42" s="300"/>
      <c r="F42" s="300"/>
      <c r="G42" s="300"/>
      <c r="H42" s="300"/>
      <c r="I42" s="300"/>
      <c r="J42" s="294"/>
      <c r="M42" s="346"/>
      <c r="N42" s="346"/>
      <c r="O42" s="346"/>
      <c r="P42" s="346"/>
      <c r="Q42" s="346"/>
      <c r="R42" s="346"/>
      <c r="S42" s="346"/>
      <c r="T42" s="343"/>
    </row>
    <row r="43" spans="2:28" s="287" customFormat="1" ht="15" customHeight="1">
      <c r="C43" s="300"/>
      <c r="D43" s="300"/>
      <c r="E43" s="300"/>
      <c r="F43" s="300"/>
      <c r="G43" s="300"/>
      <c r="H43" s="300"/>
      <c r="I43" s="300"/>
      <c r="J43" s="294"/>
      <c r="M43" s="346"/>
      <c r="N43" s="346"/>
      <c r="O43" s="346"/>
      <c r="P43" s="346"/>
      <c r="Q43" s="346"/>
      <c r="R43" s="346"/>
      <c r="S43" s="346"/>
      <c r="T43" s="343"/>
    </row>
    <row r="44" spans="2:28" s="287" customFormat="1" ht="15" customHeight="1">
      <c r="C44" s="300"/>
      <c r="D44" s="300"/>
      <c r="E44" s="300"/>
      <c r="F44" s="300"/>
      <c r="G44" s="300"/>
      <c r="H44" s="300"/>
      <c r="I44" s="300"/>
      <c r="J44" s="300"/>
      <c r="K44" s="300"/>
      <c r="M44" s="346"/>
      <c r="N44" s="346"/>
      <c r="O44" s="346"/>
      <c r="P44" s="346"/>
      <c r="Q44" s="346"/>
      <c r="R44" s="346"/>
      <c r="S44" s="346"/>
      <c r="T44" s="343"/>
    </row>
    <row r="45" spans="2:28" s="287" customFormat="1">
      <c r="C45" s="300"/>
      <c r="D45" s="300"/>
      <c r="E45" s="300"/>
      <c r="F45" s="300"/>
      <c r="G45" s="300"/>
      <c r="H45" s="300"/>
      <c r="I45" s="300"/>
      <c r="J45" s="300"/>
      <c r="K45" s="300"/>
      <c r="M45" s="346"/>
      <c r="N45" s="346"/>
      <c r="O45" s="346"/>
      <c r="P45" s="346"/>
      <c r="Q45" s="346"/>
      <c r="R45" s="346"/>
      <c r="S45" s="346"/>
      <c r="T45" s="346"/>
    </row>
    <row r="46" spans="2:28" s="287" customFormat="1"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M46" s="346"/>
      <c r="N46" s="346"/>
      <c r="O46" s="346"/>
      <c r="P46" s="346"/>
      <c r="Q46" s="346"/>
      <c r="R46" s="346"/>
      <c r="S46" s="346"/>
      <c r="T46" s="346"/>
    </row>
    <row r="47" spans="2:28" s="287" customFormat="1"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M47" s="346"/>
      <c r="N47" s="346"/>
      <c r="O47" s="346"/>
      <c r="P47" s="346"/>
      <c r="Q47" s="346"/>
      <c r="R47" s="346"/>
      <c r="S47" s="346"/>
      <c r="T47" s="346"/>
    </row>
    <row r="48" spans="2:28" s="287" customFormat="1"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M48" s="346"/>
      <c r="N48" s="346"/>
      <c r="O48" s="346"/>
      <c r="P48" s="346"/>
      <c r="Q48" s="346"/>
      <c r="R48" s="346"/>
      <c r="S48" s="346"/>
      <c r="T48" s="346"/>
    </row>
    <row r="49" spans="2:20" s="287" customFormat="1">
      <c r="B49" s="300"/>
      <c r="C49" s="300"/>
      <c r="D49" s="300"/>
      <c r="E49" s="300"/>
      <c r="F49" s="300"/>
      <c r="G49" s="300"/>
      <c r="H49" s="300"/>
      <c r="I49" s="300"/>
      <c r="J49" s="300"/>
      <c r="M49" s="346"/>
      <c r="N49" s="346"/>
      <c r="O49" s="346"/>
      <c r="P49" s="346"/>
      <c r="Q49" s="346"/>
      <c r="R49" s="346"/>
      <c r="S49" s="346"/>
      <c r="T49" s="346"/>
    </row>
    <row r="50" spans="2:20">
      <c r="B50" s="287"/>
      <c r="M50" s="347"/>
      <c r="N50" s="347"/>
      <c r="O50" s="347"/>
      <c r="P50" s="347"/>
      <c r="Q50" s="347"/>
      <c r="R50" s="347"/>
      <c r="S50" s="347"/>
      <c r="T50" s="347"/>
    </row>
    <row r="51" spans="2:20">
      <c r="B51" s="287"/>
      <c r="M51" s="347"/>
      <c r="N51" s="347"/>
      <c r="O51" s="347"/>
      <c r="P51" s="347"/>
      <c r="Q51" s="347"/>
      <c r="R51" s="347"/>
      <c r="S51" s="348"/>
      <c r="T51" s="343"/>
    </row>
    <row r="52" spans="2:20">
      <c r="B52" s="287"/>
      <c r="M52" s="347"/>
      <c r="N52" s="347"/>
      <c r="O52" s="347"/>
      <c r="P52" s="347"/>
      <c r="Q52" s="347"/>
      <c r="R52" s="347"/>
      <c r="S52" s="348"/>
      <c r="T52" s="343"/>
    </row>
    <row r="53" spans="2:20">
      <c r="M53" s="347"/>
      <c r="N53" s="347"/>
      <c r="O53" s="347"/>
      <c r="P53" s="347"/>
      <c r="Q53" s="347"/>
      <c r="R53" s="347"/>
      <c r="S53" s="348"/>
      <c r="T53" s="343"/>
    </row>
    <row r="54" spans="2:20">
      <c r="M54" s="347"/>
      <c r="N54" s="347"/>
      <c r="O54" s="347"/>
      <c r="P54" s="347"/>
      <c r="Q54" s="347"/>
      <c r="R54" s="347"/>
      <c r="S54" s="348"/>
      <c r="T54" s="343"/>
    </row>
    <row r="55" spans="2:20">
      <c r="M55" s="347"/>
      <c r="N55" s="347"/>
      <c r="O55" s="347"/>
      <c r="P55" s="347"/>
      <c r="Q55" s="347"/>
      <c r="R55" s="347"/>
      <c r="S55" s="348"/>
      <c r="T55" s="343"/>
    </row>
    <row r="56" spans="2:20">
      <c r="S56" s="302"/>
      <c r="T56" s="4"/>
    </row>
    <row r="57" spans="2:20">
      <c r="S57" s="302"/>
      <c r="T57" s="4"/>
    </row>
    <row r="58" spans="2:20">
      <c r="S58" s="302"/>
      <c r="T58" s="4"/>
    </row>
    <row r="59" spans="2:20">
      <c r="S59" s="302"/>
      <c r="T59" s="4"/>
    </row>
    <row r="60" spans="2:20">
      <c r="S60" s="302"/>
      <c r="T60" s="4"/>
    </row>
    <row r="64" spans="2:20">
      <c r="S64" s="302"/>
      <c r="T64" s="4"/>
    </row>
    <row r="65" spans="19:20">
      <c r="S65" s="302"/>
      <c r="T65" s="4"/>
    </row>
    <row r="66" spans="19:20">
      <c r="S66" s="302"/>
      <c r="T66" s="4"/>
    </row>
    <row r="67" spans="19:20">
      <c r="S67" s="302"/>
      <c r="T67" s="4"/>
    </row>
    <row r="68" spans="19:20">
      <c r="S68" s="302"/>
      <c r="T68" s="4"/>
    </row>
    <row r="69" spans="19:20">
      <c r="S69" s="302"/>
      <c r="T69" s="4"/>
    </row>
    <row r="70" spans="19:20">
      <c r="S70" s="302"/>
      <c r="T70" s="4"/>
    </row>
    <row r="71" spans="19:20">
      <c r="S71" s="302"/>
      <c r="T71" s="4"/>
    </row>
    <row r="72" spans="19:20">
      <c r="S72" s="302"/>
      <c r="T72" s="4"/>
    </row>
    <row r="73" spans="19:20">
      <c r="S73" s="302"/>
      <c r="T73" s="4"/>
    </row>
    <row r="74" spans="19:20">
      <c r="S74" s="302"/>
      <c r="T74" s="4"/>
    </row>
    <row r="75" spans="19:20">
      <c r="S75" s="302"/>
      <c r="T75" s="4"/>
    </row>
    <row r="76" spans="19:20">
      <c r="S76" s="302"/>
      <c r="T76" s="4"/>
    </row>
    <row r="77" spans="19:20">
      <c r="S77" s="302"/>
      <c r="T77" s="4"/>
    </row>
    <row r="78" spans="19:20">
      <c r="S78" s="302"/>
      <c r="T78" s="4"/>
    </row>
    <row r="79" spans="19:20">
      <c r="S79" s="302"/>
      <c r="T79" s="4"/>
    </row>
    <row r="80" spans="19:20">
      <c r="S80" s="302"/>
      <c r="T80" s="4"/>
    </row>
    <row r="81" spans="19:20">
      <c r="S81" s="302"/>
      <c r="T81" s="4"/>
    </row>
    <row r="82" spans="19:20">
      <c r="S82" s="302"/>
      <c r="T82" s="4"/>
    </row>
    <row r="83" spans="19:20">
      <c r="S83" s="302"/>
      <c r="T83" s="4"/>
    </row>
    <row r="84" spans="19:20">
      <c r="S84" s="302"/>
      <c r="T84" s="4"/>
    </row>
    <row r="85" spans="19:20">
      <c r="S85" s="302"/>
      <c r="T85" s="4"/>
    </row>
    <row r="86" spans="19:20">
      <c r="S86" s="302"/>
      <c r="T86" s="4"/>
    </row>
    <row r="87" spans="19:20">
      <c r="S87" s="302"/>
      <c r="T87" s="4"/>
    </row>
    <row r="88" spans="19:20">
      <c r="S88" s="302"/>
      <c r="T88" s="4"/>
    </row>
    <row r="89" spans="19:20">
      <c r="S89" s="302"/>
      <c r="T89" s="4"/>
    </row>
    <row r="90" spans="19:20">
      <c r="S90" s="302"/>
      <c r="T90" s="4"/>
    </row>
    <row r="91" spans="19:20">
      <c r="S91" s="302"/>
      <c r="T91" s="4"/>
    </row>
    <row r="97" spans="14:20">
      <c r="N97" s="286" t="s">
        <v>34</v>
      </c>
    </row>
    <row r="98" spans="14:20">
      <c r="S98" s="302"/>
      <c r="T98" s="4"/>
    </row>
    <row r="99" spans="14:20">
      <c r="S99" s="302"/>
      <c r="T99" s="4"/>
    </row>
    <row r="100" spans="14:20">
      <c r="N100" s="286" t="s">
        <v>34</v>
      </c>
      <c r="S100" s="302"/>
      <c r="T100" s="4"/>
    </row>
    <row r="101" spans="14:20">
      <c r="N101" s="286" t="s">
        <v>34</v>
      </c>
      <c r="T101" s="4"/>
    </row>
    <row r="102" spans="14:20">
      <c r="T102" s="4"/>
    </row>
    <row r="103" spans="14:20">
      <c r="N103" s="286" t="s">
        <v>34</v>
      </c>
      <c r="S103" s="286">
        <f>SUBTOTAL(9,(S11:S102))</f>
        <v>0</v>
      </c>
      <c r="T103" s="4"/>
    </row>
    <row r="104" spans="14:20">
      <c r="T104" s="4"/>
    </row>
    <row r="105" spans="14:20">
      <c r="T105" s="4"/>
    </row>
    <row r="106" spans="14:20">
      <c r="T106" s="4"/>
    </row>
    <row r="107" spans="14:20">
      <c r="T107" s="4"/>
    </row>
    <row r="114" spans="1:20">
      <c r="T114" s="4"/>
    </row>
    <row r="115" spans="1:20">
      <c r="E115" s="286" t="s">
        <v>35</v>
      </c>
      <c r="N115" s="286" t="s">
        <v>31</v>
      </c>
    </row>
    <row r="117" spans="1:20">
      <c r="A117" s="286" t="s">
        <v>36</v>
      </c>
      <c r="E117" s="286" t="s">
        <v>37</v>
      </c>
      <c r="N117" s="286" t="s">
        <v>38</v>
      </c>
    </row>
  </sheetData>
  <mergeCells count="23">
    <mergeCell ref="C7:I7"/>
    <mergeCell ref="B2:D2"/>
    <mergeCell ref="E2:I2"/>
    <mergeCell ref="J2:L2"/>
    <mergeCell ref="C3:I3"/>
    <mergeCell ref="C4:I4"/>
    <mergeCell ref="C35:I35"/>
    <mergeCell ref="C8:I8"/>
    <mergeCell ref="C9:I9"/>
    <mergeCell ref="C10:I10"/>
    <mergeCell ref="C11:I11"/>
    <mergeCell ref="C20:K20"/>
    <mergeCell ref="C29:I29"/>
    <mergeCell ref="C30:I30"/>
    <mergeCell ref="C31:I31"/>
    <mergeCell ref="C32:I32"/>
    <mergeCell ref="C33:I33"/>
    <mergeCell ref="C34:I34"/>
    <mergeCell ref="C36:I36"/>
    <mergeCell ref="C37:I37"/>
    <mergeCell ref="C38:I38"/>
    <mergeCell ref="C39:I39"/>
    <mergeCell ref="C40:I40"/>
  </mergeCells>
  <dataValidations count="3">
    <dataValidation allowBlank="1" showInputMessage="1" showErrorMessage="1" promptTitle="SYSTEM" prompt="SELECT FROM DROP DOWN LIST" sqref="WVP983075:WVT983075 AMR10:AMV39 AWN10:AWR39 BGJ10:BGN39 BQF10:BQJ39 CAB10:CAF39 CJX10:CKB39 CTT10:CTX39 DDP10:DDT39 DNL10:DNP39 DXH10:DXL39 EHD10:EHH39 EQZ10:ERD39 FAV10:FAZ39 FKR10:FKV39 FUN10:FUR39 GEJ10:GEN39 GOF10:GOJ39 GYB10:GYF39 HHX10:HIB39 HRT10:HRX39 IBP10:IBT39 ILL10:ILP39 IVH10:IVL39 JFD10:JFH39 JOZ10:JPD39 JYV10:JYZ39 KIR10:KIV39 KSN10:KSR39 LCJ10:LCN39 LMF10:LMJ39 LWB10:LWF39 MFX10:MGB39 MPT10:MPX39 MZP10:MZT39 NJL10:NJP39 NTH10:NTL39 ODD10:ODH39 OMZ10:OND39 OWV10:OWZ39 PGR10:PGV39 PQN10:PQR39 QAJ10:QAN39 QKF10:QKJ39 QUB10:QUF39 RDX10:REB39 RNT10:RNX39 RXP10:RXT39 SHL10:SHP39 SRH10:SRL39 TBD10:TBH39 TKZ10:TLD39 TUV10:TUZ39 UER10:UEV39 UON10:UOR39 UYJ10:UYN39 VIF10:VIJ39 VSB10:VSF39 WBX10:WCB39 WLT10:WLX39 WVP10:WVT39 JD10:JH39 SZ10:TD39 WLT983075:WLX983075 JD65571:JH65571 SZ65571:TD65571 ACV65571:ACZ65571 AMR65571:AMV65571 AWN65571:AWR65571 BGJ65571:BGN65571 BQF65571:BQJ65571 CAB65571:CAF65571 CJX65571:CKB65571 CTT65571:CTX65571 DDP65571:DDT65571 DNL65571:DNP65571 DXH65571:DXL65571 EHD65571:EHH65571 EQZ65571:ERD65571 FAV65571:FAZ65571 FKR65571:FKV65571 FUN65571:FUR65571 GEJ65571:GEN65571 GOF65571:GOJ65571 GYB65571:GYF65571 HHX65571:HIB65571 HRT65571:HRX65571 IBP65571:IBT65571 ILL65571:ILP65571 IVH65571:IVL65571 JFD65571:JFH65571 JOZ65571:JPD65571 JYV65571:JYZ65571 KIR65571:KIV65571 KSN65571:KSR65571 LCJ65571:LCN65571 LMF65571:LMJ65571 LWB65571:LWF65571 MFX65571:MGB65571 MPT65571:MPX65571 MZP65571:MZT65571 NJL65571:NJP65571 NTH65571:NTL65571 ODD65571:ODH65571 OMZ65571:OND65571 OWV65571:OWZ65571 PGR65571:PGV65571 PQN65571:PQR65571 QAJ65571:QAN65571 QKF65571:QKJ65571 QUB65571:QUF65571 RDX65571:REB65571 RNT65571:RNX65571 RXP65571:RXT65571 SHL65571:SHP65571 SRH65571:SRL65571 TBD65571:TBH65571 TKZ65571:TLD65571 TUV65571:TUZ65571 UER65571:UEV65571 UON65571:UOR65571 UYJ65571:UYN65571 VIF65571:VIJ65571 VSB65571:VSF65571 WBX65571:WCB65571 WLT65571:WLX65571 WVP65571:WVT65571 JD131107:JH131107 SZ131107:TD131107 ACV131107:ACZ131107 AMR131107:AMV131107 AWN131107:AWR131107 BGJ131107:BGN131107 BQF131107:BQJ131107 CAB131107:CAF131107 CJX131107:CKB131107 CTT131107:CTX131107 DDP131107:DDT131107 DNL131107:DNP131107 DXH131107:DXL131107 EHD131107:EHH131107 EQZ131107:ERD131107 FAV131107:FAZ131107 FKR131107:FKV131107 FUN131107:FUR131107 GEJ131107:GEN131107 GOF131107:GOJ131107 GYB131107:GYF131107 HHX131107:HIB131107 HRT131107:HRX131107 IBP131107:IBT131107 ILL131107:ILP131107 IVH131107:IVL131107 JFD131107:JFH131107 JOZ131107:JPD131107 JYV131107:JYZ131107 KIR131107:KIV131107 KSN131107:KSR131107 LCJ131107:LCN131107 LMF131107:LMJ131107 LWB131107:LWF131107 MFX131107:MGB131107 MPT131107:MPX131107 MZP131107:MZT131107 NJL131107:NJP131107 NTH131107:NTL131107 ODD131107:ODH131107 OMZ131107:OND131107 OWV131107:OWZ131107 PGR131107:PGV131107 PQN131107:PQR131107 QAJ131107:QAN131107 QKF131107:QKJ131107 QUB131107:QUF131107 RDX131107:REB131107 RNT131107:RNX131107 RXP131107:RXT131107 SHL131107:SHP131107 SRH131107:SRL131107 TBD131107:TBH131107 TKZ131107:TLD131107 TUV131107:TUZ131107 UER131107:UEV131107 UON131107:UOR131107 UYJ131107:UYN131107 VIF131107:VIJ131107 VSB131107:VSF131107 WBX131107:WCB131107 WLT131107:WLX131107 WVP131107:WVT131107 JD196643:JH196643 SZ196643:TD196643 ACV196643:ACZ196643 AMR196643:AMV196643 AWN196643:AWR196643 BGJ196643:BGN196643 BQF196643:BQJ196643 CAB196643:CAF196643 CJX196643:CKB196643 CTT196643:CTX196643 DDP196643:DDT196643 DNL196643:DNP196643 DXH196643:DXL196643 EHD196643:EHH196643 EQZ196643:ERD196643 FAV196643:FAZ196643 FKR196643:FKV196643 FUN196643:FUR196643 GEJ196643:GEN196643 GOF196643:GOJ196643 GYB196643:GYF196643 HHX196643:HIB196643 HRT196643:HRX196643 IBP196643:IBT196643 ILL196643:ILP196643 IVH196643:IVL196643 JFD196643:JFH196643 JOZ196643:JPD196643 JYV196643:JYZ196643 KIR196643:KIV196643 KSN196643:KSR196643 LCJ196643:LCN196643 LMF196643:LMJ196643 LWB196643:LWF196643 MFX196643:MGB196643 MPT196643:MPX196643 MZP196643:MZT196643 NJL196643:NJP196643 NTH196643:NTL196643 ODD196643:ODH196643 OMZ196643:OND196643 OWV196643:OWZ196643 PGR196643:PGV196643 PQN196643:PQR196643 QAJ196643:QAN196643 QKF196643:QKJ196643 QUB196643:QUF196643 RDX196643:REB196643 RNT196643:RNX196643 RXP196643:RXT196643 SHL196643:SHP196643 SRH196643:SRL196643 TBD196643:TBH196643 TKZ196643:TLD196643 TUV196643:TUZ196643 UER196643:UEV196643 UON196643:UOR196643 UYJ196643:UYN196643 VIF196643:VIJ196643 VSB196643:VSF196643 WBX196643:WCB196643 WLT196643:WLX196643 WVP196643:WVT196643 JD262179:JH262179 SZ262179:TD262179 ACV262179:ACZ262179 AMR262179:AMV262179 AWN262179:AWR262179 BGJ262179:BGN262179 BQF262179:BQJ262179 CAB262179:CAF262179 CJX262179:CKB262179 CTT262179:CTX262179 DDP262179:DDT262179 DNL262179:DNP262179 DXH262179:DXL262179 EHD262179:EHH262179 EQZ262179:ERD262179 FAV262179:FAZ262179 FKR262179:FKV262179 FUN262179:FUR262179 GEJ262179:GEN262179 GOF262179:GOJ262179 GYB262179:GYF262179 HHX262179:HIB262179 HRT262179:HRX262179 IBP262179:IBT262179 ILL262179:ILP262179 IVH262179:IVL262179 JFD262179:JFH262179 JOZ262179:JPD262179 JYV262179:JYZ262179 KIR262179:KIV262179 KSN262179:KSR262179 LCJ262179:LCN262179 LMF262179:LMJ262179 LWB262179:LWF262179 MFX262179:MGB262179 MPT262179:MPX262179 MZP262179:MZT262179 NJL262179:NJP262179 NTH262179:NTL262179 ODD262179:ODH262179 OMZ262179:OND262179 OWV262179:OWZ262179 PGR262179:PGV262179 PQN262179:PQR262179 QAJ262179:QAN262179 QKF262179:QKJ262179 QUB262179:QUF262179 RDX262179:REB262179 RNT262179:RNX262179 RXP262179:RXT262179 SHL262179:SHP262179 SRH262179:SRL262179 TBD262179:TBH262179 TKZ262179:TLD262179 TUV262179:TUZ262179 UER262179:UEV262179 UON262179:UOR262179 UYJ262179:UYN262179 VIF262179:VIJ262179 VSB262179:VSF262179 WBX262179:WCB262179 WLT262179:WLX262179 WVP262179:WVT262179 JD327715:JH327715 SZ327715:TD327715 ACV327715:ACZ327715 AMR327715:AMV327715 AWN327715:AWR327715 BGJ327715:BGN327715 BQF327715:BQJ327715 CAB327715:CAF327715 CJX327715:CKB327715 CTT327715:CTX327715 DDP327715:DDT327715 DNL327715:DNP327715 DXH327715:DXL327715 EHD327715:EHH327715 EQZ327715:ERD327715 FAV327715:FAZ327715 FKR327715:FKV327715 FUN327715:FUR327715 GEJ327715:GEN327715 GOF327715:GOJ327715 GYB327715:GYF327715 HHX327715:HIB327715 HRT327715:HRX327715 IBP327715:IBT327715 ILL327715:ILP327715 IVH327715:IVL327715 JFD327715:JFH327715 JOZ327715:JPD327715 JYV327715:JYZ327715 KIR327715:KIV327715 KSN327715:KSR327715 LCJ327715:LCN327715 LMF327715:LMJ327715 LWB327715:LWF327715 MFX327715:MGB327715 MPT327715:MPX327715 MZP327715:MZT327715 NJL327715:NJP327715 NTH327715:NTL327715 ODD327715:ODH327715 OMZ327715:OND327715 OWV327715:OWZ327715 PGR327715:PGV327715 PQN327715:PQR327715 QAJ327715:QAN327715 QKF327715:QKJ327715 QUB327715:QUF327715 RDX327715:REB327715 RNT327715:RNX327715 RXP327715:RXT327715 SHL327715:SHP327715 SRH327715:SRL327715 TBD327715:TBH327715 TKZ327715:TLD327715 TUV327715:TUZ327715 UER327715:UEV327715 UON327715:UOR327715 UYJ327715:UYN327715 VIF327715:VIJ327715 VSB327715:VSF327715 WBX327715:WCB327715 WLT327715:WLX327715 WVP327715:WVT327715 JD393251:JH393251 SZ393251:TD393251 ACV393251:ACZ393251 AMR393251:AMV393251 AWN393251:AWR393251 BGJ393251:BGN393251 BQF393251:BQJ393251 CAB393251:CAF393251 CJX393251:CKB393251 CTT393251:CTX393251 DDP393251:DDT393251 DNL393251:DNP393251 DXH393251:DXL393251 EHD393251:EHH393251 EQZ393251:ERD393251 FAV393251:FAZ393251 FKR393251:FKV393251 FUN393251:FUR393251 GEJ393251:GEN393251 GOF393251:GOJ393251 GYB393251:GYF393251 HHX393251:HIB393251 HRT393251:HRX393251 IBP393251:IBT393251 ILL393251:ILP393251 IVH393251:IVL393251 JFD393251:JFH393251 JOZ393251:JPD393251 JYV393251:JYZ393251 KIR393251:KIV393251 KSN393251:KSR393251 LCJ393251:LCN393251 LMF393251:LMJ393251 LWB393251:LWF393251 MFX393251:MGB393251 MPT393251:MPX393251 MZP393251:MZT393251 NJL393251:NJP393251 NTH393251:NTL393251 ODD393251:ODH393251 OMZ393251:OND393251 OWV393251:OWZ393251 PGR393251:PGV393251 PQN393251:PQR393251 QAJ393251:QAN393251 QKF393251:QKJ393251 QUB393251:QUF393251 RDX393251:REB393251 RNT393251:RNX393251 RXP393251:RXT393251 SHL393251:SHP393251 SRH393251:SRL393251 TBD393251:TBH393251 TKZ393251:TLD393251 TUV393251:TUZ393251 UER393251:UEV393251 UON393251:UOR393251 UYJ393251:UYN393251 VIF393251:VIJ393251 VSB393251:VSF393251 WBX393251:WCB393251 WLT393251:WLX393251 WVP393251:WVT393251 JD458787:JH458787 SZ458787:TD458787 ACV458787:ACZ458787 AMR458787:AMV458787 AWN458787:AWR458787 BGJ458787:BGN458787 BQF458787:BQJ458787 CAB458787:CAF458787 CJX458787:CKB458787 CTT458787:CTX458787 DDP458787:DDT458787 DNL458787:DNP458787 DXH458787:DXL458787 EHD458787:EHH458787 EQZ458787:ERD458787 FAV458787:FAZ458787 FKR458787:FKV458787 FUN458787:FUR458787 GEJ458787:GEN458787 GOF458787:GOJ458787 GYB458787:GYF458787 HHX458787:HIB458787 HRT458787:HRX458787 IBP458787:IBT458787 ILL458787:ILP458787 IVH458787:IVL458787 JFD458787:JFH458787 JOZ458787:JPD458787 JYV458787:JYZ458787 KIR458787:KIV458787 KSN458787:KSR458787 LCJ458787:LCN458787 LMF458787:LMJ458787 LWB458787:LWF458787 MFX458787:MGB458787 MPT458787:MPX458787 MZP458787:MZT458787 NJL458787:NJP458787 NTH458787:NTL458787 ODD458787:ODH458787 OMZ458787:OND458787 OWV458787:OWZ458787 PGR458787:PGV458787 PQN458787:PQR458787 QAJ458787:QAN458787 QKF458787:QKJ458787 QUB458787:QUF458787 RDX458787:REB458787 RNT458787:RNX458787 RXP458787:RXT458787 SHL458787:SHP458787 SRH458787:SRL458787 TBD458787:TBH458787 TKZ458787:TLD458787 TUV458787:TUZ458787 UER458787:UEV458787 UON458787:UOR458787 UYJ458787:UYN458787 VIF458787:VIJ458787 VSB458787:VSF458787 WBX458787:WCB458787 WLT458787:WLX458787 WVP458787:WVT458787 JD524323:JH524323 SZ524323:TD524323 ACV524323:ACZ524323 AMR524323:AMV524323 AWN524323:AWR524323 BGJ524323:BGN524323 BQF524323:BQJ524323 CAB524323:CAF524323 CJX524323:CKB524323 CTT524323:CTX524323 DDP524323:DDT524323 DNL524323:DNP524323 DXH524323:DXL524323 EHD524323:EHH524323 EQZ524323:ERD524323 FAV524323:FAZ524323 FKR524323:FKV524323 FUN524323:FUR524323 GEJ524323:GEN524323 GOF524323:GOJ524323 GYB524323:GYF524323 HHX524323:HIB524323 HRT524323:HRX524323 IBP524323:IBT524323 ILL524323:ILP524323 IVH524323:IVL524323 JFD524323:JFH524323 JOZ524323:JPD524323 JYV524323:JYZ524323 KIR524323:KIV524323 KSN524323:KSR524323 LCJ524323:LCN524323 LMF524323:LMJ524323 LWB524323:LWF524323 MFX524323:MGB524323 MPT524323:MPX524323 MZP524323:MZT524323 NJL524323:NJP524323 NTH524323:NTL524323 ODD524323:ODH524323 OMZ524323:OND524323 OWV524323:OWZ524323 PGR524323:PGV524323 PQN524323:PQR524323 QAJ524323:QAN524323 QKF524323:QKJ524323 QUB524323:QUF524323 RDX524323:REB524323 RNT524323:RNX524323 RXP524323:RXT524323 SHL524323:SHP524323 SRH524323:SRL524323 TBD524323:TBH524323 TKZ524323:TLD524323 TUV524323:TUZ524323 UER524323:UEV524323 UON524323:UOR524323 UYJ524323:UYN524323 VIF524323:VIJ524323 VSB524323:VSF524323 WBX524323:WCB524323 WLT524323:WLX524323 WVP524323:WVT524323 JD589859:JH589859 SZ589859:TD589859 ACV589859:ACZ589859 AMR589859:AMV589859 AWN589859:AWR589859 BGJ589859:BGN589859 BQF589859:BQJ589859 CAB589859:CAF589859 CJX589859:CKB589859 CTT589859:CTX589859 DDP589859:DDT589859 DNL589859:DNP589859 DXH589859:DXL589859 EHD589859:EHH589859 EQZ589859:ERD589859 FAV589859:FAZ589859 FKR589859:FKV589859 FUN589859:FUR589859 GEJ589859:GEN589859 GOF589859:GOJ589859 GYB589859:GYF589859 HHX589859:HIB589859 HRT589859:HRX589859 IBP589859:IBT589859 ILL589859:ILP589859 IVH589859:IVL589859 JFD589859:JFH589859 JOZ589859:JPD589859 JYV589859:JYZ589859 KIR589859:KIV589859 KSN589859:KSR589859 LCJ589859:LCN589859 LMF589859:LMJ589859 LWB589859:LWF589859 MFX589859:MGB589859 MPT589859:MPX589859 MZP589859:MZT589859 NJL589859:NJP589859 NTH589859:NTL589859 ODD589859:ODH589859 OMZ589859:OND589859 OWV589859:OWZ589859 PGR589859:PGV589859 PQN589859:PQR589859 QAJ589859:QAN589859 QKF589859:QKJ589859 QUB589859:QUF589859 RDX589859:REB589859 RNT589859:RNX589859 RXP589859:RXT589859 SHL589859:SHP589859 SRH589859:SRL589859 TBD589859:TBH589859 TKZ589859:TLD589859 TUV589859:TUZ589859 UER589859:UEV589859 UON589859:UOR589859 UYJ589859:UYN589859 VIF589859:VIJ589859 VSB589859:VSF589859 WBX589859:WCB589859 WLT589859:WLX589859 WVP589859:WVT589859 JD655395:JH655395 SZ655395:TD655395 ACV655395:ACZ655395 AMR655395:AMV655395 AWN655395:AWR655395 BGJ655395:BGN655395 BQF655395:BQJ655395 CAB655395:CAF655395 CJX655395:CKB655395 CTT655395:CTX655395 DDP655395:DDT655395 DNL655395:DNP655395 DXH655395:DXL655395 EHD655395:EHH655395 EQZ655395:ERD655395 FAV655395:FAZ655395 FKR655395:FKV655395 FUN655395:FUR655395 GEJ655395:GEN655395 GOF655395:GOJ655395 GYB655395:GYF655395 HHX655395:HIB655395 HRT655395:HRX655395 IBP655395:IBT655395 ILL655395:ILP655395 IVH655395:IVL655395 JFD655395:JFH655395 JOZ655395:JPD655395 JYV655395:JYZ655395 KIR655395:KIV655395 KSN655395:KSR655395 LCJ655395:LCN655395 LMF655395:LMJ655395 LWB655395:LWF655395 MFX655395:MGB655395 MPT655395:MPX655395 MZP655395:MZT655395 NJL655395:NJP655395 NTH655395:NTL655395 ODD655395:ODH655395 OMZ655395:OND655395 OWV655395:OWZ655395 PGR655395:PGV655395 PQN655395:PQR655395 QAJ655395:QAN655395 QKF655395:QKJ655395 QUB655395:QUF655395 RDX655395:REB655395 RNT655395:RNX655395 RXP655395:RXT655395 SHL655395:SHP655395 SRH655395:SRL655395 TBD655395:TBH655395 TKZ655395:TLD655395 TUV655395:TUZ655395 UER655395:UEV655395 UON655395:UOR655395 UYJ655395:UYN655395 VIF655395:VIJ655395 VSB655395:VSF655395 WBX655395:WCB655395 WLT655395:WLX655395 WVP655395:WVT655395 JD720931:JH720931 SZ720931:TD720931 ACV720931:ACZ720931 AMR720931:AMV720931 AWN720931:AWR720931 BGJ720931:BGN720931 BQF720931:BQJ720931 CAB720931:CAF720931 CJX720931:CKB720931 CTT720931:CTX720931 DDP720931:DDT720931 DNL720931:DNP720931 DXH720931:DXL720931 EHD720931:EHH720931 EQZ720931:ERD720931 FAV720931:FAZ720931 FKR720931:FKV720931 FUN720931:FUR720931 GEJ720931:GEN720931 GOF720931:GOJ720931 GYB720931:GYF720931 HHX720931:HIB720931 HRT720931:HRX720931 IBP720931:IBT720931 ILL720931:ILP720931 IVH720931:IVL720931 JFD720931:JFH720931 JOZ720931:JPD720931 JYV720931:JYZ720931 KIR720931:KIV720931 KSN720931:KSR720931 LCJ720931:LCN720931 LMF720931:LMJ720931 LWB720931:LWF720931 MFX720931:MGB720931 MPT720931:MPX720931 MZP720931:MZT720931 NJL720931:NJP720931 NTH720931:NTL720931 ODD720931:ODH720931 OMZ720931:OND720931 OWV720931:OWZ720931 PGR720931:PGV720931 PQN720931:PQR720931 QAJ720931:QAN720931 QKF720931:QKJ720931 QUB720931:QUF720931 RDX720931:REB720931 RNT720931:RNX720931 RXP720931:RXT720931 SHL720931:SHP720931 SRH720931:SRL720931 TBD720931:TBH720931 TKZ720931:TLD720931 TUV720931:TUZ720931 UER720931:UEV720931 UON720931:UOR720931 UYJ720931:UYN720931 VIF720931:VIJ720931 VSB720931:VSF720931 WBX720931:WCB720931 WLT720931:WLX720931 WVP720931:WVT720931 JD786467:JH786467 SZ786467:TD786467 ACV786467:ACZ786467 AMR786467:AMV786467 AWN786467:AWR786467 BGJ786467:BGN786467 BQF786467:BQJ786467 CAB786467:CAF786467 CJX786467:CKB786467 CTT786467:CTX786467 DDP786467:DDT786467 DNL786467:DNP786467 DXH786467:DXL786467 EHD786467:EHH786467 EQZ786467:ERD786467 FAV786467:FAZ786467 FKR786467:FKV786467 FUN786467:FUR786467 GEJ786467:GEN786467 GOF786467:GOJ786467 GYB786467:GYF786467 HHX786467:HIB786467 HRT786467:HRX786467 IBP786467:IBT786467 ILL786467:ILP786467 IVH786467:IVL786467 JFD786467:JFH786467 JOZ786467:JPD786467 JYV786467:JYZ786467 KIR786467:KIV786467 KSN786467:KSR786467 LCJ786467:LCN786467 LMF786467:LMJ786467 LWB786467:LWF786467 MFX786467:MGB786467 MPT786467:MPX786467 MZP786467:MZT786467 NJL786467:NJP786467 NTH786467:NTL786467 ODD786467:ODH786467 OMZ786467:OND786467 OWV786467:OWZ786467 PGR786467:PGV786467 PQN786467:PQR786467 QAJ786467:QAN786467 QKF786467:QKJ786467 QUB786467:QUF786467 RDX786467:REB786467 RNT786467:RNX786467 RXP786467:RXT786467 SHL786467:SHP786467 SRH786467:SRL786467 TBD786467:TBH786467 TKZ786467:TLD786467 TUV786467:TUZ786467 UER786467:UEV786467 UON786467:UOR786467 UYJ786467:UYN786467 VIF786467:VIJ786467 VSB786467:VSF786467 WBX786467:WCB786467 WLT786467:WLX786467 WVP786467:WVT786467 JD852003:JH852003 SZ852003:TD852003 ACV852003:ACZ852003 AMR852003:AMV852003 AWN852003:AWR852003 BGJ852003:BGN852003 BQF852003:BQJ852003 CAB852003:CAF852003 CJX852003:CKB852003 CTT852003:CTX852003 DDP852003:DDT852003 DNL852003:DNP852003 DXH852003:DXL852003 EHD852003:EHH852003 EQZ852003:ERD852003 FAV852003:FAZ852003 FKR852003:FKV852003 FUN852003:FUR852003 GEJ852003:GEN852003 GOF852003:GOJ852003 GYB852003:GYF852003 HHX852003:HIB852003 HRT852003:HRX852003 IBP852003:IBT852003 ILL852003:ILP852003 IVH852003:IVL852003 JFD852003:JFH852003 JOZ852003:JPD852003 JYV852003:JYZ852003 KIR852003:KIV852003 KSN852003:KSR852003 LCJ852003:LCN852003 LMF852003:LMJ852003 LWB852003:LWF852003 MFX852003:MGB852003 MPT852003:MPX852003 MZP852003:MZT852003 NJL852003:NJP852003 NTH852003:NTL852003 ODD852003:ODH852003 OMZ852003:OND852003 OWV852003:OWZ852003 PGR852003:PGV852003 PQN852003:PQR852003 QAJ852003:QAN852003 QKF852003:QKJ852003 QUB852003:QUF852003 RDX852003:REB852003 RNT852003:RNX852003 RXP852003:RXT852003 SHL852003:SHP852003 SRH852003:SRL852003 TBD852003:TBH852003 TKZ852003:TLD852003 TUV852003:TUZ852003 UER852003:UEV852003 UON852003:UOR852003 UYJ852003:UYN852003 VIF852003:VIJ852003 VSB852003:VSF852003 WBX852003:WCB852003 WLT852003:WLX852003 WVP852003:WVT852003 JD917539:JH917539 SZ917539:TD917539 ACV917539:ACZ917539 AMR917539:AMV917539 AWN917539:AWR917539 BGJ917539:BGN917539 BQF917539:BQJ917539 CAB917539:CAF917539 CJX917539:CKB917539 CTT917539:CTX917539 DDP917539:DDT917539 DNL917539:DNP917539 DXH917539:DXL917539 EHD917539:EHH917539 EQZ917539:ERD917539 FAV917539:FAZ917539 FKR917539:FKV917539 FUN917539:FUR917539 GEJ917539:GEN917539 GOF917539:GOJ917539 GYB917539:GYF917539 HHX917539:HIB917539 HRT917539:HRX917539 IBP917539:IBT917539 ILL917539:ILP917539 IVH917539:IVL917539 JFD917539:JFH917539 JOZ917539:JPD917539 JYV917539:JYZ917539 KIR917539:KIV917539 KSN917539:KSR917539 LCJ917539:LCN917539 LMF917539:LMJ917539 LWB917539:LWF917539 MFX917539:MGB917539 MPT917539:MPX917539 MZP917539:MZT917539 NJL917539:NJP917539 NTH917539:NTL917539 ODD917539:ODH917539 OMZ917539:OND917539 OWV917539:OWZ917539 PGR917539:PGV917539 PQN917539:PQR917539 QAJ917539:QAN917539 QKF917539:QKJ917539 QUB917539:QUF917539 RDX917539:REB917539 RNT917539:RNX917539 RXP917539:RXT917539 SHL917539:SHP917539 SRH917539:SRL917539 TBD917539:TBH917539 TKZ917539:TLD917539 TUV917539:TUZ917539 UER917539:UEV917539 UON917539:UOR917539 UYJ917539:UYN917539 VIF917539:VIJ917539 VSB917539:VSF917539 WBX917539:WCB917539 WLT917539:WLX917539 WVP917539:WVT917539 JD983075:JH983075 SZ983075:TD983075 ACV983075:ACZ983075 AMR983075:AMV983075 AWN983075:AWR983075 BGJ983075:BGN983075 BQF983075:BQJ983075 CAB983075:CAF983075 CJX983075:CKB983075 CTT983075:CTX983075 DDP983075:DDT983075 DNL983075:DNP983075 DXH983075:DXL983075 EHD983075:EHH983075 EQZ983075:ERD983075 FAV983075:FAZ983075 FKR983075:FKV983075 FUN983075:FUR983075 GEJ983075:GEN983075 GOF983075:GOJ983075 GYB983075:GYF983075 HHX983075:HIB983075 HRT983075:HRX983075 IBP983075:IBT983075 ILL983075:ILP983075 IVH983075:IVL983075 JFD983075:JFH983075 JOZ983075:JPD983075 JYV983075:JYZ983075 KIR983075:KIV983075 KSN983075:KSR983075 LCJ983075:LCN983075 LMF983075:LMJ983075 LWB983075:LWF983075 MFX983075:MGB983075 MPT983075:MPX983075 MZP983075:MZT983075 NJL983075:NJP983075 NTH983075:NTL983075 ODD983075:ODH983075 OMZ983075:OND983075 OWV983075:OWZ983075 PGR983075:PGV983075 PQN983075:PQR983075 QAJ983075:QAN983075 QKF983075:QKJ983075 QUB983075:QUF983075 RDX983075:REB983075 RNT983075:RNX983075 RXP983075:RXT983075 SHL983075:SHP983075 SRH983075:SRL983075 TBD983075:TBH983075 TKZ983075:TLD983075 TUV983075:TUZ983075 UER983075:UEV983075 UON983075:UOR983075 UYJ983075:UYN983075 VIF983075:VIJ983075 VSB983075:VSF983075 WBX983075:WCB983075 ACV10:ACZ39 C983075:I983075 C917539:I917539 C852003:I852003 C786467:I786467 C720931:I720931 C655395:I655395 C589859:I589859 C524323:I524323 C458787:I458787 C393251:I393251 C327715:I327715 C262179:I262179 C196643:I196643 C131107:I131107 C65571:I65571" xr:uid="{6CF9961D-C87A-4D64-A434-36532297B45F}"/>
    <dataValidation type="list" allowBlank="1" showInputMessage="1" showErrorMessage="1" promptTitle="WORK" prompt="SELECT FROM DROP DOWN LIST" sqref="WVP983073:WVT983073 JD65569:JH65569 SZ65569:TD65569 ACV65569:ACZ65569 AMR65569:AMV65569 AWN65569:AWR65569 BGJ65569:BGN65569 BQF65569:BQJ65569 CAB65569:CAF65569 CJX65569:CKB65569 CTT65569:CTX65569 DDP65569:DDT65569 DNL65569:DNP65569 DXH65569:DXL65569 EHD65569:EHH65569 EQZ65569:ERD65569 FAV65569:FAZ65569 FKR65569:FKV65569 FUN65569:FUR65569 GEJ65569:GEN65569 GOF65569:GOJ65569 GYB65569:GYF65569 HHX65569:HIB65569 HRT65569:HRX65569 IBP65569:IBT65569 ILL65569:ILP65569 IVH65569:IVL65569 JFD65569:JFH65569 JOZ65569:JPD65569 JYV65569:JYZ65569 KIR65569:KIV65569 KSN65569:KSR65569 LCJ65569:LCN65569 LMF65569:LMJ65569 LWB65569:LWF65569 MFX65569:MGB65569 MPT65569:MPX65569 MZP65569:MZT65569 NJL65569:NJP65569 NTH65569:NTL65569 ODD65569:ODH65569 OMZ65569:OND65569 OWV65569:OWZ65569 PGR65569:PGV65569 PQN65569:PQR65569 QAJ65569:QAN65569 QKF65569:QKJ65569 QUB65569:QUF65569 RDX65569:REB65569 RNT65569:RNX65569 RXP65569:RXT65569 SHL65569:SHP65569 SRH65569:SRL65569 TBD65569:TBH65569 TKZ65569:TLD65569 TUV65569:TUZ65569 UER65569:UEV65569 UON65569:UOR65569 UYJ65569:UYN65569 VIF65569:VIJ65569 VSB65569:VSF65569 WBX65569:WCB65569 WLT65569:WLX65569 WVP65569:WVT65569 JD131105:JH131105 SZ131105:TD131105 ACV131105:ACZ131105 AMR131105:AMV131105 AWN131105:AWR131105 BGJ131105:BGN131105 BQF131105:BQJ131105 CAB131105:CAF131105 CJX131105:CKB131105 CTT131105:CTX131105 DDP131105:DDT131105 DNL131105:DNP131105 DXH131105:DXL131105 EHD131105:EHH131105 EQZ131105:ERD131105 FAV131105:FAZ131105 FKR131105:FKV131105 FUN131105:FUR131105 GEJ131105:GEN131105 GOF131105:GOJ131105 GYB131105:GYF131105 HHX131105:HIB131105 HRT131105:HRX131105 IBP131105:IBT131105 ILL131105:ILP131105 IVH131105:IVL131105 JFD131105:JFH131105 JOZ131105:JPD131105 JYV131105:JYZ131105 KIR131105:KIV131105 KSN131105:KSR131105 LCJ131105:LCN131105 LMF131105:LMJ131105 LWB131105:LWF131105 MFX131105:MGB131105 MPT131105:MPX131105 MZP131105:MZT131105 NJL131105:NJP131105 NTH131105:NTL131105 ODD131105:ODH131105 OMZ131105:OND131105 OWV131105:OWZ131105 PGR131105:PGV131105 PQN131105:PQR131105 QAJ131105:QAN131105 QKF131105:QKJ131105 QUB131105:QUF131105 RDX131105:REB131105 RNT131105:RNX131105 RXP131105:RXT131105 SHL131105:SHP131105 SRH131105:SRL131105 TBD131105:TBH131105 TKZ131105:TLD131105 TUV131105:TUZ131105 UER131105:UEV131105 UON131105:UOR131105 UYJ131105:UYN131105 VIF131105:VIJ131105 VSB131105:VSF131105 WBX131105:WCB131105 WLT131105:WLX131105 WVP131105:WVT131105 JD196641:JH196641 SZ196641:TD196641 ACV196641:ACZ196641 AMR196641:AMV196641 AWN196641:AWR196641 BGJ196641:BGN196641 BQF196641:BQJ196641 CAB196641:CAF196641 CJX196641:CKB196641 CTT196641:CTX196641 DDP196641:DDT196641 DNL196641:DNP196641 DXH196641:DXL196641 EHD196641:EHH196641 EQZ196641:ERD196641 FAV196641:FAZ196641 FKR196641:FKV196641 FUN196641:FUR196641 GEJ196641:GEN196641 GOF196641:GOJ196641 GYB196641:GYF196641 HHX196641:HIB196641 HRT196641:HRX196641 IBP196641:IBT196641 ILL196641:ILP196641 IVH196641:IVL196641 JFD196641:JFH196641 JOZ196641:JPD196641 JYV196641:JYZ196641 KIR196641:KIV196641 KSN196641:KSR196641 LCJ196641:LCN196641 LMF196641:LMJ196641 LWB196641:LWF196641 MFX196641:MGB196641 MPT196641:MPX196641 MZP196641:MZT196641 NJL196641:NJP196641 NTH196641:NTL196641 ODD196641:ODH196641 OMZ196641:OND196641 OWV196641:OWZ196641 PGR196641:PGV196641 PQN196641:PQR196641 QAJ196641:QAN196641 QKF196641:QKJ196641 QUB196641:QUF196641 RDX196641:REB196641 RNT196641:RNX196641 RXP196641:RXT196641 SHL196641:SHP196641 SRH196641:SRL196641 TBD196641:TBH196641 TKZ196641:TLD196641 TUV196641:TUZ196641 UER196641:UEV196641 UON196641:UOR196641 UYJ196641:UYN196641 VIF196641:VIJ196641 VSB196641:VSF196641 WBX196641:WCB196641 WLT196641:WLX196641 WVP196641:WVT196641 JD262177:JH262177 SZ262177:TD262177 ACV262177:ACZ262177 AMR262177:AMV262177 AWN262177:AWR262177 BGJ262177:BGN262177 BQF262177:BQJ262177 CAB262177:CAF262177 CJX262177:CKB262177 CTT262177:CTX262177 DDP262177:DDT262177 DNL262177:DNP262177 DXH262177:DXL262177 EHD262177:EHH262177 EQZ262177:ERD262177 FAV262177:FAZ262177 FKR262177:FKV262177 FUN262177:FUR262177 GEJ262177:GEN262177 GOF262177:GOJ262177 GYB262177:GYF262177 HHX262177:HIB262177 HRT262177:HRX262177 IBP262177:IBT262177 ILL262177:ILP262177 IVH262177:IVL262177 JFD262177:JFH262177 JOZ262177:JPD262177 JYV262177:JYZ262177 KIR262177:KIV262177 KSN262177:KSR262177 LCJ262177:LCN262177 LMF262177:LMJ262177 LWB262177:LWF262177 MFX262177:MGB262177 MPT262177:MPX262177 MZP262177:MZT262177 NJL262177:NJP262177 NTH262177:NTL262177 ODD262177:ODH262177 OMZ262177:OND262177 OWV262177:OWZ262177 PGR262177:PGV262177 PQN262177:PQR262177 QAJ262177:QAN262177 QKF262177:QKJ262177 QUB262177:QUF262177 RDX262177:REB262177 RNT262177:RNX262177 RXP262177:RXT262177 SHL262177:SHP262177 SRH262177:SRL262177 TBD262177:TBH262177 TKZ262177:TLD262177 TUV262177:TUZ262177 UER262177:UEV262177 UON262177:UOR262177 UYJ262177:UYN262177 VIF262177:VIJ262177 VSB262177:VSF262177 WBX262177:WCB262177 WLT262177:WLX262177 WVP262177:WVT262177 JD327713:JH327713 SZ327713:TD327713 ACV327713:ACZ327713 AMR327713:AMV327713 AWN327713:AWR327713 BGJ327713:BGN327713 BQF327713:BQJ327713 CAB327713:CAF327713 CJX327713:CKB327713 CTT327713:CTX327713 DDP327713:DDT327713 DNL327713:DNP327713 DXH327713:DXL327713 EHD327713:EHH327713 EQZ327713:ERD327713 FAV327713:FAZ327713 FKR327713:FKV327713 FUN327713:FUR327713 GEJ327713:GEN327713 GOF327713:GOJ327713 GYB327713:GYF327713 HHX327713:HIB327713 HRT327713:HRX327713 IBP327713:IBT327713 ILL327713:ILP327713 IVH327713:IVL327713 JFD327713:JFH327713 JOZ327713:JPD327713 JYV327713:JYZ327713 KIR327713:KIV327713 KSN327713:KSR327713 LCJ327713:LCN327713 LMF327713:LMJ327713 LWB327713:LWF327713 MFX327713:MGB327713 MPT327713:MPX327713 MZP327713:MZT327713 NJL327713:NJP327713 NTH327713:NTL327713 ODD327713:ODH327713 OMZ327713:OND327713 OWV327713:OWZ327713 PGR327713:PGV327713 PQN327713:PQR327713 QAJ327713:QAN327713 QKF327713:QKJ327713 QUB327713:QUF327713 RDX327713:REB327713 RNT327713:RNX327713 RXP327713:RXT327713 SHL327713:SHP327713 SRH327713:SRL327713 TBD327713:TBH327713 TKZ327713:TLD327713 TUV327713:TUZ327713 UER327713:UEV327713 UON327713:UOR327713 UYJ327713:UYN327713 VIF327713:VIJ327713 VSB327713:VSF327713 WBX327713:WCB327713 WLT327713:WLX327713 WVP327713:WVT327713 JD393249:JH393249 SZ393249:TD393249 ACV393249:ACZ393249 AMR393249:AMV393249 AWN393249:AWR393249 BGJ393249:BGN393249 BQF393249:BQJ393249 CAB393249:CAF393249 CJX393249:CKB393249 CTT393249:CTX393249 DDP393249:DDT393249 DNL393249:DNP393249 DXH393249:DXL393249 EHD393249:EHH393249 EQZ393249:ERD393249 FAV393249:FAZ393249 FKR393249:FKV393249 FUN393249:FUR393249 GEJ393249:GEN393249 GOF393249:GOJ393249 GYB393249:GYF393249 HHX393249:HIB393249 HRT393249:HRX393249 IBP393249:IBT393249 ILL393249:ILP393249 IVH393249:IVL393249 JFD393249:JFH393249 JOZ393249:JPD393249 JYV393249:JYZ393249 KIR393249:KIV393249 KSN393249:KSR393249 LCJ393249:LCN393249 LMF393249:LMJ393249 LWB393249:LWF393249 MFX393249:MGB393249 MPT393249:MPX393249 MZP393249:MZT393249 NJL393249:NJP393249 NTH393249:NTL393249 ODD393249:ODH393249 OMZ393249:OND393249 OWV393249:OWZ393249 PGR393249:PGV393249 PQN393249:PQR393249 QAJ393249:QAN393249 QKF393249:QKJ393249 QUB393249:QUF393249 RDX393249:REB393249 RNT393249:RNX393249 RXP393249:RXT393249 SHL393249:SHP393249 SRH393249:SRL393249 TBD393249:TBH393249 TKZ393249:TLD393249 TUV393249:TUZ393249 UER393249:UEV393249 UON393249:UOR393249 UYJ393249:UYN393249 VIF393249:VIJ393249 VSB393249:VSF393249 WBX393249:WCB393249 WLT393249:WLX393249 WVP393249:WVT393249 JD458785:JH458785 SZ458785:TD458785 ACV458785:ACZ458785 AMR458785:AMV458785 AWN458785:AWR458785 BGJ458785:BGN458785 BQF458785:BQJ458785 CAB458785:CAF458785 CJX458785:CKB458785 CTT458785:CTX458785 DDP458785:DDT458785 DNL458785:DNP458785 DXH458785:DXL458785 EHD458785:EHH458785 EQZ458785:ERD458785 FAV458785:FAZ458785 FKR458785:FKV458785 FUN458785:FUR458785 GEJ458785:GEN458785 GOF458785:GOJ458785 GYB458785:GYF458785 HHX458785:HIB458785 HRT458785:HRX458785 IBP458785:IBT458785 ILL458785:ILP458785 IVH458785:IVL458785 JFD458785:JFH458785 JOZ458785:JPD458785 JYV458785:JYZ458785 KIR458785:KIV458785 KSN458785:KSR458785 LCJ458785:LCN458785 LMF458785:LMJ458785 LWB458785:LWF458785 MFX458785:MGB458785 MPT458785:MPX458785 MZP458785:MZT458785 NJL458785:NJP458785 NTH458785:NTL458785 ODD458785:ODH458785 OMZ458785:OND458785 OWV458785:OWZ458785 PGR458785:PGV458785 PQN458785:PQR458785 QAJ458785:QAN458785 QKF458785:QKJ458785 QUB458785:QUF458785 RDX458785:REB458785 RNT458785:RNX458785 RXP458785:RXT458785 SHL458785:SHP458785 SRH458785:SRL458785 TBD458785:TBH458785 TKZ458785:TLD458785 TUV458785:TUZ458785 UER458785:UEV458785 UON458785:UOR458785 UYJ458785:UYN458785 VIF458785:VIJ458785 VSB458785:VSF458785 WBX458785:WCB458785 WLT458785:WLX458785 WVP458785:WVT458785 JD524321:JH524321 SZ524321:TD524321 ACV524321:ACZ524321 AMR524321:AMV524321 AWN524321:AWR524321 BGJ524321:BGN524321 BQF524321:BQJ524321 CAB524321:CAF524321 CJX524321:CKB524321 CTT524321:CTX524321 DDP524321:DDT524321 DNL524321:DNP524321 DXH524321:DXL524321 EHD524321:EHH524321 EQZ524321:ERD524321 FAV524321:FAZ524321 FKR524321:FKV524321 FUN524321:FUR524321 GEJ524321:GEN524321 GOF524321:GOJ524321 GYB524321:GYF524321 HHX524321:HIB524321 HRT524321:HRX524321 IBP524321:IBT524321 ILL524321:ILP524321 IVH524321:IVL524321 JFD524321:JFH524321 JOZ524321:JPD524321 JYV524321:JYZ524321 KIR524321:KIV524321 KSN524321:KSR524321 LCJ524321:LCN524321 LMF524321:LMJ524321 LWB524321:LWF524321 MFX524321:MGB524321 MPT524321:MPX524321 MZP524321:MZT524321 NJL524321:NJP524321 NTH524321:NTL524321 ODD524321:ODH524321 OMZ524321:OND524321 OWV524321:OWZ524321 PGR524321:PGV524321 PQN524321:PQR524321 QAJ524321:QAN524321 QKF524321:QKJ524321 QUB524321:QUF524321 RDX524321:REB524321 RNT524321:RNX524321 RXP524321:RXT524321 SHL524321:SHP524321 SRH524321:SRL524321 TBD524321:TBH524321 TKZ524321:TLD524321 TUV524321:TUZ524321 UER524321:UEV524321 UON524321:UOR524321 UYJ524321:UYN524321 VIF524321:VIJ524321 VSB524321:VSF524321 WBX524321:WCB524321 WLT524321:WLX524321 WVP524321:WVT524321 JD589857:JH589857 SZ589857:TD589857 ACV589857:ACZ589857 AMR589857:AMV589857 AWN589857:AWR589857 BGJ589857:BGN589857 BQF589857:BQJ589857 CAB589857:CAF589857 CJX589857:CKB589857 CTT589857:CTX589857 DDP589857:DDT589857 DNL589857:DNP589857 DXH589857:DXL589857 EHD589857:EHH589857 EQZ589857:ERD589857 FAV589857:FAZ589857 FKR589857:FKV589857 FUN589857:FUR589857 GEJ589857:GEN589857 GOF589857:GOJ589857 GYB589857:GYF589857 HHX589857:HIB589857 HRT589857:HRX589857 IBP589857:IBT589857 ILL589857:ILP589857 IVH589857:IVL589857 JFD589857:JFH589857 JOZ589857:JPD589857 JYV589857:JYZ589857 KIR589857:KIV589857 KSN589857:KSR589857 LCJ589857:LCN589857 LMF589857:LMJ589857 LWB589857:LWF589857 MFX589857:MGB589857 MPT589857:MPX589857 MZP589857:MZT589857 NJL589857:NJP589857 NTH589857:NTL589857 ODD589857:ODH589857 OMZ589857:OND589857 OWV589857:OWZ589857 PGR589857:PGV589857 PQN589857:PQR589857 QAJ589857:QAN589857 QKF589857:QKJ589857 QUB589857:QUF589857 RDX589857:REB589857 RNT589857:RNX589857 RXP589857:RXT589857 SHL589857:SHP589857 SRH589857:SRL589857 TBD589857:TBH589857 TKZ589857:TLD589857 TUV589857:TUZ589857 UER589857:UEV589857 UON589857:UOR589857 UYJ589857:UYN589857 VIF589857:VIJ589857 VSB589857:VSF589857 WBX589857:WCB589857 WLT589857:WLX589857 WVP589857:WVT589857 JD655393:JH655393 SZ655393:TD655393 ACV655393:ACZ655393 AMR655393:AMV655393 AWN655393:AWR655393 BGJ655393:BGN655393 BQF655393:BQJ655393 CAB655393:CAF655393 CJX655393:CKB655393 CTT655393:CTX655393 DDP655393:DDT655393 DNL655393:DNP655393 DXH655393:DXL655393 EHD655393:EHH655393 EQZ655393:ERD655393 FAV655393:FAZ655393 FKR655393:FKV655393 FUN655393:FUR655393 GEJ655393:GEN655393 GOF655393:GOJ655393 GYB655393:GYF655393 HHX655393:HIB655393 HRT655393:HRX655393 IBP655393:IBT655393 ILL655393:ILP655393 IVH655393:IVL655393 JFD655393:JFH655393 JOZ655393:JPD655393 JYV655393:JYZ655393 KIR655393:KIV655393 KSN655393:KSR655393 LCJ655393:LCN655393 LMF655393:LMJ655393 LWB655393:LWF655393 MFX655393:MGB655393 MPT655393:MPX655393 MZP655393:MZT655393 NJL655393:NJP655393 NTH655393:NTL655393 ODD655393:ODH655393 OMZ655393:OND655393 OWV655393:OWZ655393 PGR655393:PGV655393 PQN655393:PQR655393 QAJ655393:QAN655393 QKF655393:QKJ655393 QUB655393:QUF655393 RDX655393:REB655393 RNT655393:RNX655393 RXP655393:RXT655393 SHL655393:SHP655393 SRH655393:SRL655393 TBD655393:TBH655393 TKZ655393:TLD655393 TUV655393:TUZ655393 UER655393:UEV655393 UON655393:UOR655393 UYJ655393:UYN655393 VIF655393:VIJ655393 VSB655393:VSF655393 WBX655393:WCB655393 WLT655393:WLX655393 WVP655393:WVT655393 JD720929:JH720929 SZ720929:TD720929 ACV720929:ACZ720929 AMR720929:AMV720929 AWN720929:AWR720929 BGJ720929:BGN720929 BQF720929:BQJ720929 CAB720929:CAF720929 CJX720929:CKB720929 CTT720929:CTX720929 DDP720929:DDT720929 DNL720929:DNP720929 DXH720929:DXL720929 EHD720929:EHH720929 EQZ720929:ERD720929 FAV720929:FAZ720929 FKR720929:FKV720929 FUN720929:FUR720929 GEJ720929:GEN720929 GOF720929:GOJ720929 GYB720929:GYF720929 HHX720929:HIB720929 HRT720929:HRX720929 IBP720929:IBT720929 ILL720929:ILP720929 IVH720929:IVL720929 JFD720929:JFH720929 JOZ720929:JPD720929 JYV720929:JYZ720929 KIR720929:KIV720929 KSN720929:KSR720929 LCJ720929:LCN720929 LMF720929:LMJ720929 LWB720929:LWF720929 MFX720929:MGB720929 MPT720929:MPX720929 MZP720929:MZT720929 NJL720929:NJP720929 NTH720929:NTL720929 ODD720929:ODH720929 OMZ720929:OND720929 OWV720929:OWZ720929 PGR720929:PGV720929 PQN720929:PQR720929 QAJ720929:QAN720929 QKF720929:QKJ720929 QUB720929:QUF720929 RDX720929:REB720929 RNT720929:RNX720929 RXP720929:RXT720929 SHL720929:SHP720929 SRH720929:SRL720929 TBD720929:TBH720929 TKZ720929:TLD720929 TUV720929:TUZ720929 UER720929:UEV720929 UON720929:UOR720929 UYJ720929:UYN720929 VIF720929:VIJ720929 VSB720929:VSF720929 WBX720929:WCB720929 WLT720929:WLX720929 WVP720929:WVT720929 JD786465:JH786465 SZ786465:TD786465 ACV786465:ACZ786465 AMR786465:AMV786465 AWN786465:AWR786465 BGJ786465:BGN786465 BQF786465:BQJ786465 CAB786465:CAF786465 CJX786465:CKB786465 CTT786465:CTX786465 DDP786465:DDT786465 DNL786465:DNP786465 DXH786465:DXL786465 EHD786465:EHH786465 EQZ786465:ERD786465 FAV786465:FAZ786465 FKR786465:FKV786465 FUN786465:FUR786465 GEJ786465:GEN786465 GOF786465:GOJ786465 GYB786465:GYF786465 HHX786465:HIB786465 HRT786465:HRX786465 IBP786465:IBT786465 ILL786465:ILP786465 IVH786465:IVL786465 JFD786465:JFH786465 JOZ786465:JPD786465 JYV786465:JYZ786465 KIR786465:KIV786465 KSN786465:KSR786465 LCJ786465:LCN786465 LMF786465:LMJ786465 LWB786465:LWF786465 MFX786465:MGB786465 MPT786465:MPX786465 MZP786465:MZT786465 NJL786465:NJP786465 NTH786465:NTL786465 ODD786465:ODH786465 OMZ786465:OND786465 OWV786465:OWZ786465 PGR786465:PGV786465 PQN786465:PQR786465 QAJ786465:QAN786465 QKF786465:QKJ786465 QUB786465:QUF786465 RDX786465:REB786465 RNT786465:RNX786465 RXP786465:RXT786465 SHL786465:SHP786465 SRH786465:SRL786465 TBD786465:TBH786465 TKZ786465:TLD786465 TUV786465:TUZ786465 UER786465:UEV786465 UON786465:UOR786465 UYJ786465:UYN786465 VIF786465:VIJ786465 VSB786465:VSF786465 WBX786465:WCB786465 WLT786465:WLX786465 WVP786465:WVT786465 JD852001:JH852001 SZ852001:TD852001 ACV852001:ACZ852001 AMR852001:AMV852001 AWN852001:AWR852001 BGJ852001:BGN852001 BQF852001:BQJ852001 CAB852001:CAF852001 CJX852001:CKB852001 CTT852001:CTX852001 DDP852001:DDT852001 DNL852001:DNP852001 DXH852001:DXL852001 EHD852001:EHH852001 EQZ852001:ERD852001 FAV852001:FAZ852001 FKR852001:FKV852001 FUN852001:FUR852001 GEJ852001:GEN852001 GOF852001:GOJ852001 GYB852001:GYF852001 HHX852001:HIB852001 HRT852001:HRX852001 IBP852001:IBT852001 ILL852001:ILP852001 IVH852001:IVL852001 JFD852001:JFH852001 JOZ852001:JPD852001 JYV852001:JYZ852001 KIR852001:KIV852001 KSN852001:KSR852001 LCJ852001:LCN852001 LMF852001:LMJ852001 LWB852001:LWF852001 MFX852001:MGB852001 MPT852001:MPX852001 MZP852001:MZT852001 NJL852001:NJP852001 NTH852001:NTL852001 ODD852001:ODH852001 OMZ852001:OND852001 OWV852001:OWZ852001 PGR852001:PGV852001 PQN852001:PQR852001 QAJ852001:QAN852001 QKF852001:QKJ852001 QUB852001:QUF852001 RDX852001:REB852001 RNT852001:RNX852001 RXP852001:RXT852001 SHL852001:SHP852001 SRH852001:SRL852001 TBD852001:TBH852001 TKZ852001:TLD852001 TUV852001:TUZ852001 UER852001:UEV852001 UON852001:UOR852001 UYJ852001:UYN852001 VIF852001:VIJ852001 VSB852001:VSF852001 WBX852001:WCB852001 WLT852001:WLX852001 WVP852001:WVT852001 JD917537:JH917537 SZ917537:TD917537 ACV917537:ACZ917537 AMR917537:AMV917537 AWN917537:AWR917537 BGJ917537:BGN917537 BQF917537:BQJ917537 CAB917537:CAF917537 CJX917537:CKB917537 CTT917537:CTX917537 DDP917537:DDT917537 DNL917537:DNP917537 DXH917537:DXL917537 EHD917537:EHH917537 EQZ917537:ERD917537 FAV917537:FAZ917537 FKR917537:FKV917537 FUN917537:FUR917537 GEJ917537:GEN917537 GOF917537:GOJ917537 GYB917537:GYF917537 HHX917537:HIB917537 HRT917537:HRX917537 IBP917537:IBT917537 ILL917537:ILP917537 IVH917537:IVL917537 JFD917537:JFH917537 JOZ917537:JPD917537 JYV917537:JYZ917537 KIR917537:KIV917537 KSN917537:KSR917537 LCJ917537:LCN917537 LMF917537:LMJ917537 LWB917537:LWF917537 MFX917537:MGB917537 MPT917537:MPX917537 MZP917537:MZT917537 NJL917537:NJP917537 NTH917537:NTL917537 ODD917537:ODH917537 OMZ917537:OND917537 OWV917537:OWZ917537 PGR917537:PGV917537 PQN917537:PQR917537 QAJ917537:QAN917537 QKF917537:QKJ917537 QUB917537:QUF917537 RDX917537:REB917537 RNT917537:RNX917537 RXP917537:RXT917537 SHL917537:SHP917537 SRH917537:SRL917537 TBD917537:TBH917537 TKZ917537:TLD917537 TUV917537:TUZ917537 UER917537:UEV917537 UON917537:UOR917537 UYJ917537:UYN917537 VIF917537:VIJ917537 VSB917537:VSF917537 WBX917537:WCB917537 WLT917537:WLX917537 WVP917537:WVT917537 JD983073:JH983073 SZ983073:TD983073 ACV983073:ACZ983073 AMR983073:AMV983073 AWN983073:AWR983073 BGJ983073:BGN983073 BQF983073:BQJ983073 CAB983073:CAF983073 CJX983073:CKB983073 CTT983073:CTX983073 DDP983073:DDT983073 DNL983073:DNP983073 DXH983073:DXL983073 EHD983073:EHH983073 EQZ983073:ERD983073 FAV983073:FAZ983073 FKR983073:FKV983073 FUN983073:FUR983073 GEJ983073:GEN983073 GOF983073:GOJ983073 GYB983073:GYF983073 HHX983073:HIB983073 HRT983073:HRX983073 IBP983073:IBT983073 ILL983073:ILP983073 IVH983073:IVL983073 JFD983073:JFH983073 JOZ983073:JPD983073 JYV983073:JYZ983073 KIR983073:KIV983073 KSN983073:KSR983073 LCJ983073:LCN983073 LMF983073:LMJ983073 LWB983073:LWF983073 MFX983073:MGB983073 MPT983073:MPX983073 MZP983073:MZT983073 NJL983073:NJP983073 NTH983073:NTL983073 ODD983073:ODH983073 OMZ983073:OND983073 OWV983073:OWZ983073 PGR983073:PGV983073 PQN983073:PQR983073 QAJ983073:QAN983073 QKF983073:QKJ983073 QUB983073:QUF983073 RDX983073:REB983073 RNT983073:RNX983073 RXP983073:RXT983073 SHL983073:SHP983073 SRH983073:SRL983073 TBD983073:TBH983073 TKZ983073:TLD983073 TUV983073:TUZ983073 UER983073:UEV983073 UON983073:UOR983073 UYJ983073:UYN983073 VIF983073:VIJ983073 VSB983073:VSF983073 WBX983073:WCB983073 WLT983073:WLX983073 C983073:I983073 C917537:I917537 C852001:I852001 C786465:I786465 C720929:I720929 C655393:I655393 C589857:I589857 C524321:I524321 C458785:I458785 C393249:I393249 C327713:I327713 C262177:I262177 C196641:I196641 C131105:I131105 C65569:I65569" xr:uid="{5B5DB982-EDD7-4BB2-B462-CFB1921E6616}">
      <formula1>#REF!</formula1>
    </dataValidation>
    <dataValidation type="list" allowBlank="1" showInputMessage="1" showErrorMessage="1" promptTitle="SYSTEM" prompt="SELECT FROM DROP DOWN LIST" sqref="WVP983074:WVT983074 SZ9:TD9 ACV9:ACZ9 AMR9:AMV9 AWN9:AWR9 BGJ9:BGN9 BQF9:BQJ9 CAB9:CAF9 CJX9:CKB9 CTT9:CTX9 DDP9:DDT9 DNL9:DNP9 DXH9:DXL9 EHD9:EHH9 EQZ9:ERD9 FAV9:FAZ9 FKR9:FKV9 FUN9:FUR9 GEJ9:GEN9 GOF9:GOJ9 GYB9:GYF9 HHX9:HIB9 HRT9:HRX9 IBP9:IBT9 ILL9:ILP9 IVH9:IVL9 JFD9:JFH9 JOZ9:JPD9 JYV9:JYZ9 KIR9:KIV9 KSN9:KSR9 LCJ9:LCN9 LMF9:LMJ9 LWB9:LWF9 MFX9:MGB9 MPT9:MPX9 MZP9:MZT9 NJL9:NJP9 NTH9:NTL9 ODD9:ODH9 OMZ9:OND9 OWV9:OWZ9 PGR9:PGV9 PQN9:PQR9 QAJ9:QAN9 QKF9:QKJ9 QUB9:QUF9 RDX9:REB9 RNT9:RNX9 RXP9:RXT9 SHL9:SHP9 SRH9:SRL9 TBD9:TBH9 TKZ9:TLD9 TUV9:TUZ9 UER9:UEV9 UON9:UOR9 UYJ9:UYN9 VIF9:VIJ9 VSB9:VSF9 WBX9:WCB9 WLT9:WLX9 WVP9:WVT9 C65570:I65570 JD65570:JH65570 SZ65570:TD65570 ACV65570:ACZ65570 AMR65570:AMV65570 AWN65570:AWR65570 BGJ65570:BGN65570 BQF65570:BQJ65570 CAB65570:CAF65570 CJX65570:CKB65570 CTT65570:CTX65570 DDP65570:DDT65570 DNL65570:DNP65570 DXH65570:DXL65570 EHD65570:EHH65570 EQZ65570:ERD65570 FAV65570:FAZ65570 FKR65570:FKV65570 FUN65570:FUR65570 GEJ65570:GEN65570 GOF65570:GOJ65570 GYB65570:GYF65570 HHX65570:HIB65570 HRT65570:HRX65570 IBP65570:IBT65570 ILL65570:ILP65570 IVH65570:IVL65570 JFD65570:JFH65570 JOZ65570:JPD65570 JYV65570:JYZ65570 KIR65570:KIV65570 KSN65570:KSR65570 LCJ65570:LCN65570 LMF65570:LMJ65570 LWB65570:LWF65570 MFX65570:MGB65570 MPT65570:MPX65570 MZP65570:MZT65570 NJL65570:NJP65570 NTH65570:NTL65570 ODD65570:ODH65570 OMZ65570:OND65570 OWV65570:OWZ65570 PGR65570:PGV65570 PQN65570:PQR65570 QAJ65570:QAN65570 QKF65570:QKJ65570 QUB65570:QUF65570 RDX65570:REB65570 RNT65570:RNX65570 RXP65570:RXT65570 SHL65570:SHP65570 SRH65570:SRL65570 TBD65570:TBH65570 TKZ65570:TLD65570 TUV65570:TUZ65570 UER65570:UEV65570 UON65570:UOR65570 UYJ65570:UYN65570 VIF65570:VIJ65570 VSB65570:VSF65570 WBX65570:WCB65570 WLT65570:WLX65570 WVP65570:WVT65570 C131106:I131106 JD131106:JH131106 SZ131106:TD131106 ACV131106:ACZ131106 AMR131106:AMV131106 AWN131106:AWR131106 BGJ131106:BGN131106 BQF131106:BQJ131106 CAB131106:CAF131106 CJX131106:CKB131106 CTT131106:CTX131106 DDP131106:DDT131106 DNL131106:DNP131106 DXH131106:DXL131106 EHD131106:EHH131106 EQZ131106:ERD131106 FAV131106:FAZ131106 FKR131106:FKV131106 FUN131106:FUR131106 GEJ131106:GEN131106 GOF131106:GOJ131106 GYB131106:GYF131106 HHX131106:HIB131106 HRT131106:HRX131106 IBP131106:IBT131106 ILL131106:ILP131106 IVH131106:IVL131106 JFD131106:JFH131106 JOZ131106:JPD131106 JYV131106:JYZ131106 KIR131106:KIV131106 KSN131106:KSR131106 LCJ131106:LCN131106 LMF131106:LMJ131106 LWB131106:LWF131106 MFX131106:MGB131106 MPT131106:MPX131106 MZP131106:MZT131106 NJL131106:NJP131106 NTH131106:NTL131106 ODD131106:ODH131106 OMZ131106:OND131106 OWV131106:OWZ131106 PGR131106:PGV131106 PQN131106:PQR131106 QAJ131106:QAN131106 QKF131106:QKJ131106 QUB131106:QUF131106 RDX131106:REB131106 RNT131106:RNX131106 RXP131106:RXT131106 SHL131106:SHP131106 SRH131106:SRL131106 TBD131106:TBH131106 TKZ131106:TLD131106 TUV131106:TUZ131106 UER131106:UEV131106 UON131106:UOR131106 UYJ131106:UYN131106 VIF131106:VIJ131106 VSB131106:VSF131106 WBX131106:WCB131106 WLT131106:WLX131106 WVP131106:WVT131106 C196642:I196642 JD196642:JH196642 SZ196642:TD196642 ACV196642:ACZ196642 AMR196642:AMV196642 AWN196642:AWR196642 BGJ196642:BGN196642 BQF196642:BQJ196642 CAB196642:CAF196642 CJX196642:CKB196642 CTT196642:CTX196642 DDP196642:DDT196642 DNL196642:DNP196642 DXH196642:DXL196642 EHD196642:EHH196642 EQZ196642:ERD196642 FAV196642:FAZ196642 FKR196642:FKV196642 FUN196642:FUR196642 GEJ196642:GEN196642 GOF196642:GOJ196642 GYB196642:GYF196642 HHX196642:HIB196642 HRT196642:HRX196642 IBP196642:IBT196642 ILL196642:ILP196642 IVH196642:IVL196642 JFD196642:JFH196642 JOZ196642:JPD196642 JYV196642:JYZ196642 KIR196642:KIV196642 KSN196642:KSR196642 LCJ196642:LCN196642 LMF196642:LMJ196642 LWB196642:LWF196642 MFX196642:MGB196642 MPT196642:MPX196642 MZP196642:MZT196642 NJL196642:NJP196642 NTH196642:NTL196642 ODD196642:ODH196642 OMZ196642:OND196642 OWV196642:OWZ196642 PGR196642:PGV196642 PQN196642:PQR196642 QAJ196642:QAN196642 QKF196642:QKJ196642 QUB196642:QUF196642 RDX196642:REB196642 RNT196642:RNX196642 RXP196642:RXT196642 SHL196642:SHP196642 SRH196642:SRL196642 TBD196642:TBH196642 TKZ196642:TLD196642 TUV196642:TUZ196642 UER196642:UEV196642 UON196642:UOR196642 UYJ196642:UYN196642 VIF196642:VIJ196642 VSB196642:VSF196642 WBX196642:WCB196642 WLT196642:WLX196642 WVP196642:WVT196642 C262178:I262178 JD262178:JH262178 SZ262178:TD262178 ACV262178:ACZ262178 AMR262178:AMV262178 AWN262178:AWR262178 BGJ262178:BGN262178 BQF262178:BQJ262178 CAB262178:CAF262178 CJX262178:CKB262178 CTT262178:CTX262178 DDP262178:DDT262178 DNL262178:DNP262178 DXH262178:DXL262178 EHD262178:EHH262178 EQZ262178:ERD262178 FAV262178:FAZ262178 FKR262178:FKV262178 FUN262178:FUR262178 GEJ262178:GEN262178 GOF262178:GOJ262178 GYB262178:GYF262178 HHX262178:HIB262178 HRT262178:HRX262178 IBP262178:IBT262178 ILL262178:ILP262178 IVH262178:IVL262178 JFD262178:JFH262178 JOZ262178:JPD262178 JYV262178:JYZ262178 KIR262178:KIV262178 KSN262178:KSR262178 LCJ262178:LCN262178 LMF262178:LMJ262178 LWB262178:LWF262178 MFX262178:MGB262178 MPT262178:MPX262178 MZP262178:MZT262178 NJL262178:NJP262178 NTH262178:NTL262178 ODD262178:ODH262178 OMZ262178:OND262178 OWV262178:OWZ262178 PGR262178:PGV262178 PQN262178:PQR262178 QAJ262178:QAN262178 QKF262178:QKJ262178 QUB262178:QUF262178 RDX262178:REB262178 RNT262178:RNX262178 RXP262178:RXT262178 SHL262178:SHP262178 SRH262178:SRL262178 TBD262178:TBH262178 TKZ262178:TLD262178 TUV262178:TUZ262178 UER262178:UEV262178 UON262178:UOR262178 UYJ262178:UYN262178 VIF262178:VIJ262178 VSB262178:VSF262178 WBX262178:WCB262178 WLT262178:WLX262178 WVP262178:WVT262178 C327714:I327714 JD327714:JH327714 SZ327714:TD327714 ACV327714:ACZ327714 AMR327714:AMV327714 AWN327714:AWR327714 BGJ327714:BGN327714 BQF327714:BQJ327714 CAB327714:CAF327714 CJX327714:CKB327714 CTT327714:CTX327714 DDP327714:DDT327714 DNL327714:DNP327714 DXH327714:DXL327714 EHD327714:EHH327714 EQZ327714:ERD327714 FAV327714:FAZ327714 FKR327714:FKV327714 FUN327714:FUR327714 GEJ327714:GEN327714 GOF327714:GOJ327714 GYB327714:GYF327714 HHX327714:HIB327714 HRT327714:HRX327714 IBP327714:IBT327714 ILL327714:ILP327714 IVH327714:IVL327714 JFD327714:JFH327714 JOZ327714:JPD327714 JYV327714:JYZ327714 KIR327714:KIV327714 KSN327714:KSR327714 LCJ327714:LCN327714 LMF327714:LMJ327714 LWB327714:LWF327714 MFX327714:MGB327714 MPT327714:MPX327714 MZP327714:MZT327714 NJL327714:NJP327714 NTH327714:NTL327714 ODD327714:ODH327714 OMZ327714:OND327714 OWV327714:OWZ327714 PGR327714:PGV327714 PQN327714:PQR327714 QAJ327714:QAN327714 QKF327714:QKJ327714 QUB327714:QUF327714 RDX327714:REB327714 RNT327714:RNX327714 RXP327714:RXT327714 SHL327714:SHP327714 SRH327714:SRL327714 TBD327714:TBH327714 TKZ327714:TLD327714 TUV327714:TUZ327714 UER327714:UEV327714 UON327714:UOR327714 UYJ327714:UYN327714 VIF327714:VIJ327714 VSB327714:VSF327714 WBX327714:WCB327714 WLT327714:WLX327714 WVP327714:WVT327714 C393250:I393250 JD393250:JH393250 SZ393250:TD393250 ACV393250:ACZ393250 AMR393250:AMV393250 AWN393250:AWR393250 BGJ393250:BGN393250 BQF393250:BQJ393250 CAB393250:CAF393250 CJX393250:CKB393250 CTT393250:CTX393250 DDP393250:DDT393250 DNL393250:DNP393250 DXH393250:DXL393250 EHD393250:EHH393250 EQZ393250:ERD393250 FAV393250:FAZ393250 FKR393250:FKV393250 FUN393250:FUR393250 GEJ393250:GEN393250 GOF393250:GOJ393250 GYB393250:GYF393250 HHX393250:HIB393250 HRT393250:HRX393250 IBP393250:IBT393250 ILL393250:ILP393250 IVH393250:IVL393250 JFD393250:JFH393250 JOZ393250:JPD393250 JYV393250:JYZ393250 KIR393250:KIV393250 KSN393250:KSR393250 LCJ393250:LCN393250 LMF393250:LMJ393250 LWB393250:LWF393250 MFX393250:MGB393250 MPT393250:MPX393250 MZP393250:MZT393250 NJL393250:NJP393250 NTH393250:NTL393250 ODD393250:ODH393250 OMZ393250:OND393250 OWV393250:OWZ393250 PGR393250:PGV393250 PQN393250:PQR393250 QAJ393250:QAN393250 QKF393250:QKJ393250 QUB393250:QUF393250 RDX393250:REB393250 RNT393250:RNX393250 RXP393250:RXT393250 SHL393250:SHP393250 SRH393250:SRL393250 TBD393250:TBH393250 TKZ393250:TLD393250 TUV393250:TUZ393250 UER393250:UEV393250 UON393250:UOR393250 UYJ393250:UYN393250 VIF393250:VIJ393250 VSB393250:VSF393250 WBX393250:WCB393250 WLT393250:WLX393250 WVP393250:WVT393250 C458786:I458786 JD458786:JH458786 SZ458786:TD458786 ACV458786:ACZ458786 AMR458786:AMV458786 AWN458786:AWR458786 BGJ458786:BGN458786 BQF458786:BQJ458786 CAB458786:CAF458786 CJX458786:CKB458786 CTT458786:CTX458786 DDP458786:DDT458786 DNL458786:DNP458786 DXH458786:DXL458786 EHD458786:EHH458786 EQZ458786:ERD458786 FAV458786:FAZ458786 FKR458786:FKV458786 FUN458786:FUR458786 GEJ458786:GEN458786 GOF458786:GOJ458786 GYB458786:GYF458786 HHX458786:HIB458786 HRT458786:HRX458786 IBP458786:IBT458786 ILL458786:ILP458786 IVH458786:IVL458786 JFD458786:JFH458786 JOZ458786:JPD458786 JYV458786:JYZ458786 KIR458786:KIV458786 KSN458786:KSR458786 LCJ458786:LCN458786 LMF458786:LMJ458786 LWB458786:LWF458786 MFX458786:MGB458786 MPT458786:MPX458786 MZP458786:MZT458786 NJL458786:NJP458786 NTH458786:NTL458786 ODD458786:ODH458786 OMZ458786:OND458786 OWV458786:OWZ458786 PGR458786:PGV458786 PQN458786:PQR458786 QAJ458786:QAN458786 QKF458786:QKJ458786 QUB458786:QUF458786 RDX458786:REB458786 RNT458786:RNX458786 RXP458786:RXT458786 SHL458786:SHP458786 SRH458786:SRL458786 TBD458786:TBH458786 TKZ458786:TLD458786 TUV458786:TUZ458786 UER458786:UEV458786 UON458786:UOR458786 UYJ458786:UYN458786 VIF458786:VIJ458786 VSB458786:VSF458786 WBX458786:WCB458786 WLT458786:WLX458786 WVP458786:WVT458786 C524322:I524322 JD524322:JH524322 SZ524322:TD524322 ACV524322:ACZ524322 AMR524322:AMV524322 AWN524322:AWR524322 BGJ524322:BGN524322 BQF524322:BQJ524322 CAB524322:CAF524322 CJX524322:CKB524322 CTT524322:CTX524322 DDP524322:DDT524322 DNL524322:DNP524322 DXH524322:DXL524322 EHD524322:EHH524322 EQZ524322:ERD524322 FAV524322:FAZ524322 FKR524322:FKV524322 FUN524322:FUR524322 GEJ524322:GEN524322 GOF524322:GOJ524322 GYB524322:GYF524322 HHX524322:HIB524322 HRT524322:HRX524322 IBP524322:IBT524322 ILL524322:ILP524322 IVH524322:IVL524322 JFD524322:JFH524322 JOZ524322:JPD524322 JYV524322:JYZ524322 KIR524322:KIV524322 KSN524322:KSR524322 LCJ524322:LCN524322 LMF524322:LMJ524322 LWB524322:LWF524322 MFX524322:MGB524322 MPT524322:MPX524322 MZP524322:MZT524322 NJL524322:NJP524322 NTH524322:NTL524322 ODD524322:ODH524322 OMZ524322:OND524322 OWV524322:OWZ524322 PGR524322:PGV524322 PQN524322:PQR524322 QAJ524322:QAN524322 QKF524322:QKJ524322 QUB524322:QUF524322 RDX524322:REB524322 RNT524322:RNX524322 RXP524322:RXT524322 SHL524322:SHP524322 SRH524322:SRL524322 TBD524322:TBH524322 TKZ524322:TLD524322 TUV524322:TUZ524322 UER524322:UEV524322 UON524322:UOR524322 UYJ524322:UYN524322 VIF524322:VIJ524322 VSB524322:VSF524322 WBX524322:WCB524322 WLT524322:WLX524322 WVP524322:WVT524322 C589858:I589858 JD589858:JH589858 SZ589858:TD589858 ACV589858:ACZ589858 AMR589858:AMV589858 AWN589858:AWR589858 BGJ589858:BGN589858 BQF589858:BQJ589858 CAB589858:CAF589858 CJX589858:CKB589858 CTT589858:CTX589858 DDP589858:DDT589858 DNL589858:DNP589858 DXH589858:DXL589858 EHD589858:EHH589858 EQZ589858:ERD589858 FAV589858:FAZ589858 FKR589858:FKV589858 FUN589858:FUR589858 GEJ589858:GEN589858 GOF589858:GOJ589858 GYB589858:GYF589858 HHX589858:HIB589858 HRT589858:HRX589858 IBP589858:IBT589858 ILL589858:ILP589858 IVH589858:IVL589858 JFD589858:JFH589858 JOZ589858:JPD589858 JYV589858:JYZ589858 KIR589858:KIV589858 KSN589858:KSR589858 LCJ589858:LCN589858 LMF589858:LMJ589858 LWB589858:LWF589858 MFX589858:MGB589858 MPT589858:MPX589858 MZP589858:MZT589858 NJL589858:NJP589858 NTH589858:NTL589858 ODD589858:ODH589858 OMZ589858:OND589858 OWV589858:OWZ589858 PGR589858:PGV589858 PQN589858:PQR589858 QAJ589858:QAN589858 QKF589858:QKJ589858 QUB589858:QUF589858 RDX589858:REB589858 RNT589858:RNX589858 RXP589858:RXT589858 SHL589858:SHP589858 SRH589858:SRL589858 TBD589858:TBH589858 TKZ589858:TLD589858 TUV589858:TUZ589858 UER589858:UEV589858 UON589858:UOR589858 UYJ589858:UYN589858 VIF589858:VIJ589858 VSB589858:VSF589858 WBX589858:WCB589858 WLT589858:WLX589858 WVP589858:WVT589858 C655394:I655394 JD655394:JH655394 SZ655394:TD655394 ACV655394:ACZ655394 AMR655394:AMV655394 AWN655394:AWR655394 BGJ655394:BGN655394 BQF655394:BQJ655394 CAB655394:CAF655394 CJX655394:CKB655394 CTT655394:CTX655394 DDP655394:DDT655394 DNL655394:DNP655394 DXH655394:DXL655394 EHD655394:EHH655394 EQZ655394:ERD655394 FAV655394:FAZ655394 FKR655394:FKV655394 FUN655394:FUR655394 GEJ655394:GEN655394 GOF655394:GOJ655394 GYB655394:GYF655394 HHX655394:HIB655394 HRT655394:HRX655394 IBP655394:IBT655394 ILL655394:ILP655394 IVH655394:IVL655394 JFD655394:JFH655394 JOZ655394:JPD655394 JYV655394:JYZ655394 KIR655394:KIV655394 KSN655394:KSR655394 LCJ655394:LCN655394 LMF655394:LMJ655394 LWB655394:LWF655394 MFX655394:MGB655394 MPT655394:MPX655394 MZP655394:MZT655394 NJL655394:NJP655394 NTH655394:NTL655394 ODD655394:ODH655394 OMZ655394:OND655394 OWV655394:OWZ655394 PGR655394:PGV655394 PQN655394:PQR655394 QAJ655394:QAN655394 QKF655394:QKJ655394 QUB655394:QUF655394 RDX655394:REB655394 RNT655394:RNX655394 RXP655394:RXT655394 SHL655394:SHP655394 SRH655394:SRL655394 TBD655394:TBH655394 TKZ655394:TLD655394 TUV655394:TUZ655394 UER655394:UEV655394 UON655394:UOR655394 UYJ655394:UYN655394 VIF655394:VIJ655394 VSB655394:VSF655394 WBX655394:WCB655394 WLT655394:WLX655394 WVP655394:WVT655394 C720930:I720930 JD720930:JH720930 SZ720930:TD720930 ACV720930:ACZ720930 AMR720930:AMV720930 AWN720930:AWR720930 BGJ720930:BGN720930 BQF720930:BQJ720930 CAB720930:CAF720930 CJX720930:CKB720930 CTT720930:CTX720930 DDP720930:DDT720930 DNL720930:DNP720930 DXH720930:DXL720930 EHD720930:EHH720930 EQZ720930:ERD720930 FAV720930:FAZ720930 FKR720930:FKV720930 FUN720930:FUR720930 GEJ720930:GEN720930 GOF720930:GOJ720930 GYB720930:GYF720930 HHX720930:HIB720930 HRT720930:HRX720930 IBP720930:IBT720930 ILL720930:ILP720930 IVH720930:IVL720930 JFD720930:JFH720930 JOZ720930:JPD720930 JYV720930:JYZ720930 KIR720930:KIV720930 KSN720930:KSR720930 LCJ720930:LCN720930 LMF720930:LMJ720930 LWB720930:LWF720930 MFX720930:MGB720930 MPT720930:MPX720930 MZP720930:MZT720930 NJL720930:NJP720930 NTH720930:NTL720930 ODD720930:ODH720930 OMZ720930:OND720930 OWV720930:OWZ720930 PGR720930:PGV720930 PQN720930:PQR720930 QAJ720930:QAN720930 QKF720930:QKJ720930 QUB720930:QUF720930 RDX720930:REB720930 RNT720930:RNX720930 RXP720930:RXT720930 SHL720930:SHP720930 SRH720930:SRL720930 TBD720930:TBH720930 TKZ720930:TLD720930 TUV720930:TUZ720930 UER720930:UEV720930 UON720930:UOR720930 UYJ720930:UYN720930 VIF720930:VIJ720930 VSB720930:VSF720930 WBX720930:WCB720930 WLT720930:WLX720930 WVP720930:WVT720930 C786466:I786466 JD786466:JH786466 SZ786466:TD786466 ACV786466:ACZ786466 AMR786466:AMV786466 AWN786466:AWR786466 BGJ786466:BGN786466 BQF786466:BQJ786466 CAB786466:CAF786466 CJX786466:CKB786466 CTT786466:CTX786466 DDP786466:DDT786466 DNL786466:DNP786466 DXH786466:DXL786466 EHD786466:EHH786466 EQZ786466:ERD786466 FAV786466:FAZ786466 FKR786466:FKV786466 FUN786466:FUR786466 GEJ786466:GEN786466 GOF786466:GOJ786466 GYB786466:GYF786466 HHX786466:HIB786466 HRT786466:HRX786466 IBP786466:IBT786466 ILL786466:ILP786466 IVH786466:IVL786466 JFD786466:JFH786466 JOZ786466:JPD786466 JYV786466:JYZ786466 KIR786466:KIV786466 KSN786466:KSR786466 LCJ786466:LCN786466 LMF786466:LMJ786466 LWB786466:LWF786466 MFX786466:MGB786466 MPT786466:MPX786466 MZP786466:MZT786466 NJL786466:NJP786466 NTH786466:NTL786466 ODD786466:ODH786466 OMZ786466:OND786466 OWV786466:OWZ786466 PGR786466:PGV786466 PQN786466:PQR786466 QAJ786466:QAN786466 QKF786466:QKJ786466 QUB786466:QUF786466 RDX786466:REB786466 RNT786466:RNX786466 RXP786466:RXT786466 SHL786466:SHP786466 SRH786466:SRL786466 TBD786466:TBH786466 TKZ786466:TLD786466 TUV786466:TUZ786466 UER786466:UEV786466 UON786466:UOR786466 UYJ786466:UYN786466 VIF786466:VIJ786466 VSB786466:VSF786466 WBX786466:WCB786466 WLT786466:WLX786466 WVP786466:WVT786466 C852002:I852002 JD852002:JH852002 SZ852002:TD852002 ACV852002:ACZ852002 AMR852002:AMV852002 AWN852002:AWR852002 BGJ852002:BGN852002 BQF852002:BQJ852002 CAB852002:CAF852002 CJX852002:CKB852002 CTT852002:CTX852002 DDP852002:DDT852002 DNL852002:DNP852002 DXH852002:DXL852002 EHD852002:EHH852002 EQZ852002:ERD852002 FAV852002:FAZ852002 FKR852002:FKV852002 FUN852002:FUR852002 GEJ852002:GEN852002 GOF852002:GOJ852002 GYB852002:GYF852002 HHX852002:HIB852002 HRT852002:HRX852002 IBP852002:IBT852002 ILL852002:ILP852002 IVH852002:IVL852002 JFD852002:JFH852002 JOZ852002:JPD852002 JYV852002:JYZ852002 KIR852002:KIV852002 KSN852002:KSR852002 LCJ852002:LCN852002 LMF852002:LMJ852002 LWB852002:LWF852002 MFX852002:MGB852002 MPT852002:MPX852002 MZP852002:MZT852002 NJL852002:NJP852002 NTH852002:NTL852002 ODD852002:ODH852002 OMZ852002:OND852002 OWV852002:OWZ852002 PGR852002:PGV852002 PQN852002:PQR852002 QAJ852002:QAN852002 QKF852002:QKJ852002 QUB852002:QUF852002 RDX852002:REB852002 RNT852002:RNX852002 RXP852002:RXT852002 SHL852002:SHP852002 SRH852002:SRL852002 TBD852002:TBH852002 TKZ852002:TLD852002 TUV852002:TUZ852002 UER852002:UEV852002 UON852002:UOR852002 UYJ852002:UYN852002 VIF852002:VIJ852002 VSB852002:VSF852002 WBX852002:WCB852002 WLT852002:WLX852002 WVP852002:WVT852002 C917538:I917538 JD917538:JH917538 SZ917538:TD917538 ACV917538:ACZ917538 AMR917538:AMV917538 AWN917538:AWR917538 BGJ917538:BGN917538 BQF917538:BQJ917538 CAB917538:CAF917538 CJX917538:CKB917538 CTT917538:CTX917538 DDP917538:DDT917538 DNL917538:DNP917538 DXH917538:DXL917538 EHD917538:EHH917538 EQZ917538:ERD917538 FAV917538:FAZ917538 FKR917538:FKV917538 FUN917538:FUR917538 GEJ917538:GEN917538 GOF917538:GOJ917538 GYB917538:GYF917538 HHX917538:HIB917538 HRT917538:HRX917538 IBP917538:IBT917538 ILL917538:ILP917538 IVH917538:IVL917538 JFD917538:JFH917538 JOZ917538:JPD917538 JYV917538:JYZ917538 KIR917538:KIV917538 KSN917538:KSR917538 LCJ917538:LCN917538 LMF917538:LMJ917538 LWB917538:LWF917538 MFX917538:MGB917538 MPT917538:MPX917538 MZP917538:MZT917538 NJL917538:NJP917538 NTH917538:NTL917538 ODD917538:ODH917538 OMZ917538:OND917538 OWV917538:OWZ917538 PGR917538:PGV917538 PQN917538:PQR917538 QAJ917538:QAN917538 QKF917538:QKJ917538 QUB917538:QUF917538 RDX917538:REB917538 RNT917538:RNX917538 RXP917538:RXT917538 SHL917538:SHP917538 SRH917538:SRL917538 TBD917538:TBH917538 TKZ917538:TLD917538 TUV917538:TUZ917538 UER917538:UEV917538 UON917538:UOR917538 UYJ917538:UYN917538 VIF917538:VIJ917538 VSB917538:VSF917538 WBX917538:WCB917538 WLT917538:WLX917538 WVP917538:WVT917538 C983074:I983074 JD983074:JH983074 SZ983074:TD983074 ACV983074:ACZ983074 AMR983074:AMV983074 AWN983074:AWR983074 BGJ983074:BGN983074 BQF983074:BQJ983074 CAB983074:CAF983074 CJX983074:CKB983074 CTT983074:CTX983074 DDP983074:DDT983074 DNL983074:DNP983074 DXH983074:DXL983074 EHD983074:EHH983074 EQZ983074:ERD983074 FAV983074:FAZ983074 FKR983074:FKV983074 FUN983074:FUR983074 GEJ983074:GEN983074 GOF983074:GOJ983074 GYB983074:GYF983074 HHX983074:HIB983074 HRT983074:HRX983074 IBP983074:IBT983074 ILL983074:ILP983074 IVH983074:IVL983074 JFD983074:JFH983074 JOZ983074:JPD983074 JYV983074:JYZ983074 KIR983074:KIV983074 KSN983074:KSR983074 LCJ983074:LCN983074 LMF983074:LMJ983074 LWB983074:LWF983074 MFX983074:MGB983074 MPT983074:MPX983074 MZP983074:MZT983074 NJL983074:NJP983074 NTH983074:NTL983074 ODD983074:ODH983074 OMZ983074:OND983074 OWV983074:OWZ983074 PGR983074:PGV983074 PQN983074:PQR983074 QAJ983074:QAN983074 QKF983074:QKJ983074 QUB983074:QUF983074 RDX983074:REB983074 RNT983074:RNX983074 RXP983074:RXT983074 SHL983074:SHP983074 SRH983074:SRL983074 TBD983074:TBH983074 TKZ983074:TLD983074 TUV983074:TUZ983074 UER983074:UEV983074 UON983074:UOR983074 UYJ983074:UYN983074 VIF983074:VIJ983074 VSB983074:VSF983074 WBX983074:WCB983074 WLT983074:WLX983074 JD9:JH9" xr:uid="{199B67BF-D257-4FA9-AF14-76EFD7ADC644}">
      <formula1>$K$9:$Q$9</formula1>
    </dataValidation>
  </dataValidations>
  <printOptions horizontalCentered="1"/>
  <pageMargins left="0.25" right="0.25" top="0.5" bottom="0.75" header="0.3" footer="0.3"/>
  <pageSetup paperSize="9" scale="86" fitToHeight="0" orientation="portrait" r:id="rId1"/>
  <headerFooter alignWithMargins="0">
    <oddFooter>&amp;R&amp;"Arial,Italic"&amp;9PMO-T-OPM-006-R00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AFAF-A73A-4943-A44A-D50C9EBD2D46}">
  <sheetPr>
    <tabColor rgb="FF92D050"/>
    <pageSetUpPr fitToPage="1"/>
  </sheetPr>
  <dimension ref="A1:AX448"/>
  <sheetViews>
    <sheetView tabSelected="1" view="pageBreakPreview" zoomScaleNormal="100" zoomScaleSheetLayoutView="100" workbookViewId="0">
      <pane ySplit="7" topLeftCell="A118" activePane="bottomLeft" state="frozen"/>
      <selection pane="bottomLeft" activeCell="E72" sqref="E72"/>
      <selection activeCell="Z13" sqref="Z13"/>
    </sheetView>
  </sheetViews>
  <sheetFormatPr defaultColWidth="9.140625" defaultRowHeight="14.25" customHeight="1" outlineLevelRow="1" outlineLevelCol="1"/>
  <cols>
    <col min="1" max="1" width="20.7109375" style="73" customWidth="1"/>
    <col min="2" max="2" width="2.42578125" style="75" hidden="1" customWidth="1"/>
    <col min="3" max="3" width="5.5703125" style="73" hidden="1" customWidth="1"/>
    <col min="4" max="4" width="2.42578125" style="75" customWidth="1"/>
    <col min="5" max="5" width="85.7109375" style="74" customWidth="1"/>
    <col min="6" max="6" width="5.5703125" style="75" hidden="1" customWidth="1" outlineLevel="1"/>
    <col min="7" max="7" width="4.7109375" style="75" hidden="1" customWidth="1" outlineLevel="1"/>
    <col min="8" max="8" width="6.7109375" style="75" hidden="1" customWidth="1" outlineLevel="1"/>
    <col min="9" max="14" width="4.7109375" style="75" hidden="1" customWidth="1" outlineLevel="1"/>
    <col min="15" max="15" width="9.140625" style="75" hidden="1" customWidth="1" outlineLevel="1"/>
    <col min="16" max="18" width="4.7109375" style="75" hidden="1" customWidth="1" outlineLevel="1"/>
    <col min="19" max="19" width="4.7109375" style="44" customWidth="1" outlineLevel="1"/>
    <col min="20" max="21" width="9.140625" style="76" customWidth="1"/>
    <col min="22" max="23" width="20.42578125" style="76" customWidth="1"/>
    <col min="24" max="24" width="15.7109375" style="281" customWidth="1"/>
    <col min="25" max="25" width="8.5703125" style="63" customWidth="1" outlineLevel="1"/>
    <col min="26" max="26" width="8.85546875" style="64" customWidth="1" outlineLevel="1"/>
    <col min="27" max="27" width="9.140625" style="65" customWidth="1" outlineLevel="1"/>
    <col min="28" max="29" width="11.5703125" style="65" customWidth="1" outlineLevel="1"/>
    <col min="30" max="30" width="12.42578125" style="65" customWidth="1" outlineLevel="1"/>
    <col min="31" max="32" width="9.140625" style="65" customWidth="1" outlineLevel="1"/>
    <col min="33" max="34" width="9.140625" style="65" customWidth="1"/>
    <col min="35" max="38" width="7.5703125" style="65" customWidth="1"/>
    <col min="39" max="39" width="9.140625" style="68" customWidth="1"/>
    <col min="40" max="40" width="36.5703125" style="68" bestFit="1" customWidth="1"/>
    <col min="41" max="46" width="9.140625" style="68"/>
    <col min="47" max="47" width="36.5703125" style="68" bestFit="1" customWidth="1"/>
    <col min="48" max="16384" width="9.140625" style="68"/>
  </cols>
  <sheetData>
    <row r="1" spans="1:50" s="50" customFormat="1" ht="45" customHeight="1">
      <c r="A1" s="533" t="s">
        <v>420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5"/>
      <c r="W1" s="271"/>
      <c r="X1" s="272"/>
      <c r="Y1" s="167"/>
      <c r="Z1" s="131" t="s">
        <v>421</v>
      </c>
      <c r="AA1" s="47"/>
      <c r="AB1" s="47"/>
      <c r="AC1" s="47"/>
      <c r="AD1" s="47"/>
      <c r="AE1" s="48"/>
      <c r="AF1" s="49"/>
      <c r="AG1" s="48"/>
      <c r="AH1" s="48"/>
      <c r="AI1" s="48"/>
      <c r="AJ1" s="49"/>
      <c r="AK1" s="49"/>
      <c r="AL1" s="4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</row>
    <row r="2" spans="1:50" s="50" customFormat="1" ht="15" customHeight="1">
      <c r="A2" s="174"/>
      <c r="B2" s="142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470"/>
      <c r="Q2" s="174"/>
      <c r="R2" s="174"/>
      <c r="S2" s="174"/>
      <c r="T2" s="174"/>
      <c r="U2" s="174"/>
      <c r="V2" s="142"/>
      <c r="W2" s="142"/>
      <c r="X2" s="273"/>
      <c r="Y2" s="168"/>
      <c r="Z2" s="51"/>
      <c r="AA2" s="51"/>
      <c r="AB2" s="51"/>
      <c r="AC2" s="51"/>
      <c r="AD2" s="52">
        <f>SUM(AD8:AD215)</f>
        <v>0</v>
      </c>
      <c r="AE2" s="51"/>
      <c r="AF2" s="51"/>
      <c r="AG2" s="51"/>
      <c r="AH2" s="51"/>
      <c r="AI2" s="51"/>
      <c r="AJ2" s="51"/>
      <c r="AK2" s="51"/>
      <c r="AL2" s="51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0" s="50" customFormat="1" ht="18" customHeight="1">
      <c r="A3" s="166" t="e" cm="1">
        <f t="array" aca="1" ref="A3" ca="1">MID(CELL("filename", A1), FIND("]", CELL("filename", A1)) + 1, LEN(CELL("filename", A1)))</f>
        <v>#VALUE!</v>
      </c>
      <c r="B3" s="234"/>
      <c r="C3" s="166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471"/>
      <c r="Q3" s="35"/>
      <c r="R3" s="35"/>
      <c r="S3" s="35"/>
      <c r="T3" s="36"/>
      <c r="U3" s="36"/>
      <c r="V3" s="143"/>
      <c r="W3" s="143"/>
      <c r="X3" s="274"/>
      <c r="Y3" s="169"/>
      <c r="Z3" s="198" t="s">
        <v>45</v>
      </c>
      <c r="AA3" s="518" t="s">
        <v>46</v>
      </c>
      <c r="AB3" s="519"/>
      <c r="AC3" s="520"/>
      <c r="AD3" s="504" t="s">
        <v>47</v>
      </c>
      <c r="AE3" s="507" t="s">
        <v>811</v>
      </c>
      <c r="AF3" s="507"/>
      <c r="AG3" s="507"/>
      <c r="AH3" s="507"/>
      <c r="AI3" s="508" t="s">
        <v>51</v>
      </c>
      <c r="AJ3" s="508"/>
      <c r="AK3" s="508"/>
      <c r="AL3" s="509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</row>
    <row r="4" spans="1:50" s="50" customFormat="1" ht="18" customHeight="1">
      <c r="A4" s="33"/>
      <c r="B4" s="34"/>
      <c r="C4" s="33"/>
      <c r="D4" s="34"/>
      <c r="E4" s="35"/>
      <c r="F4" s="34"/>
      <c r="G4" s="34"/>
      <c r="H4" s="34"/>
      <c r="I4" s="34"/>
      <c r="J4" s="34"/>
      <c r="K4" s="34"/>
      <c r="L4" s="34"/>
      <c r="M4" s="34"/>
      <c r="N4" s="34"/>
      <c r="O4" s="34"/>
      <c r="P4" s="433"/>
      <c r="Q4" s="34"/>
      <c r="R4" s="34"/>
      <c r="S4" s="34"/>
      <c r="T4" s="36"/>
      <c r="U4" s="36"/>
      <c r="V4" s="36"/>
      <c r="W4" s="36"/>
      <c r="X4" s="275"/>
      <c r="Y4" s="510" t="s">
        <v>812</v>
      </c>
      <c r="Z4" s="513" t="s">
        <v>54</v>
      </c>
      <c r="AA4" s="513" t="s">
        <v>55</v>
      </c>
      <c r="AB4" s="513" t="s">
        <v>56</v>
      </c>
      <c r="AC4" s="513" t="s">
        <v>813</v>
      </c>
      <c r="AD4" s="505"/>
      <c r="AE4" s="516">
        <v>45807</v>
      </c>
      <c r="AF4" s="516"/>
      <c r="AG4" s="516"/>
      <c r="AH4" s="516"/>
      <c r="AI4" s="517">
        <v>45473</v>
      </c>
      <c r="AJ4" s="516"/>
      <c r="AK4" s="516"/>
      <c r="AL4" s="516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</row>
    <row r="5" spans="1:50" s="50" customFormat="1" ht="18" customHeight="1">
      <c r="A5" s="524" t="s">
        <v>57</v>
      </c>
      <c r="B5" s="530"/>
      <c r="C5" s="525"/>
      <c r="D5" s="524" t="s">
        <v>58</v>
      </c>
      <c r="E5" s="525"/>
      <c r="F5" s="521" t="s">
        <v>59</v>
      </c>
      <c r="G5" s="522"/>
      <c r="H5" s="522"/>
      <c r="I5" s="522"/>
      <c r="J5" s="522"/>
      <c r="K5" s="522"/>
      <c r="L5" s="522"/>
      <c r="M5" s="522"/>
      <c r="N5" s="522"/>
      <c r="O5" s="522"/>
      <c r="P5" s="522"/>
      <c r="Q5" s="522"/>
      <c r="R5" s="522"/>
      <c r="S5" s="523"/>
      <c r="T5" s="501" t="s">
        <v>60</v>
      </c>
      <c r="U5" s="499" t="s">
        <v>61</v>
      </c>
      <c r="V5" s="499" t="s">
        <v>62</v>
      </c>
      <c r="W5" s="468"/>
      <c r="X5" s="499" t="s">
        <v>65</v>
      </c>
      <c r="Y5" s="511"/>
      <c r="Z5" s="514"/>
      <c r="AA5" s="514"/>
      <c r="AB5" s="514"/>
      <c r="AC5" s="514"/>
      <c r="AD5" s="505"/>
      <c r="AE5" s="201"/>
      <c r="AF5" s="199"/>
      <c r="AG5" s="199"/>
      <c r="AH5" s="199"/>
      <c r="AI5" s="200"/>
      <c r="AJ5" s="199"/>
      <c r="AK5" s="199"/>
      <c r="AL5" s="199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</row>
    <row r="6" spans="1:50" s="50" customFormat="1" ht="45" customHeight="1">
      <c r="A6" s="526"/>
      <c r="B6" s="531"/>
      <c r="C6" s="527"/>
      <c r="D6" s="526"/>
      <c r="E6" s="527"/>
      <c r="F6" s="307" t="s">
        <v>814</v>
      </c>
      <c r="G6" s="260" t="s">
        <v>66</v>
      </c>
      <c r="H6" s="202" t="s">
        <v>815</v>
      </c>
      <c r="I6" s="260" t="s">
        <v>68</v>
      </c>
      <c r="J6" s="260" t="s">
        <v>69</v>
      </c>
      <c r="K6" s="260" t="s">
        <v>70</v>
      </c>
      <c r="L6" s="260" t="s">
        <v>71</v>
      </c>
      <c r="M6" s="260" t="s">
        <v>816</v>
      </c>
      <c r="N6" s="260" t="s">
        <v>2</v>
      </c>
      <c r="O6" s="260" t="s">
        <v>67</v>
      </c>
      <c r="P6" s="260" t="s">
        <v>72</v>
      </c>
      <c r="Q6" s="260" t="s">
        <v>817</v>
      </c>
      <c r="R6" s="260" t="s">
        <v>73</v>
      </c>
      <c r="S6" s="409" t="s">
        <v>74</v>
      </c>
      <c r="T6" s="502"/>
      <c r="U6" s="537"/>
      <c r="V6" s="537"/>
      <c r="W6" s="469"/>
      <c r="X6" s="500"/>
      <c r="Y6" s="512"/>
      <c r="Z6" s="515"/>
      <c r="AA6" s="515"/>
      <c r="AB6" s="515"/>
      <c r="AC6" s="515"/>
      <c r="AD6" s="506"/>
      <c r="AE6" s="203" t="s">
        <v>75</v>
      </c>
      <c r="AF6" s="204" t="e">
        <f>AF216/$AD216</f>
        <v>#DIV/0!</v>
      </c>
      <c r="AG6" s="204" t="s">
        <v>76</v>
      </c>
      <c r="AH6" s="204" t="e">
        <f>AH216/$AD216</f>
        <v>#DIV/0!</v>
      </c>
      <c r="AI6" s="205" t="s">
        <v>75</v>
      </c>
      <c r="AJ6" s="204" t="e">
        <f>AJ216/$AD216</f>
        <v>#DIV/0!</v>
      </c>
      <c r="AK6" s="204" t="s">
        <v>76</v>
      </c>
      <c r="AL6" s="204" t="e">
        <f>AL216/$AD216</f>
        <v>#DIV/0!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</row>
    <row r="7" spans="1:50" s="50" customFormat="1" ht="30" customHeight="1">
      <c r="A7" s="528"/>
      <c r="B7" s="532"/>
      <c r="C7" s="529"/>
      <c r="D7" s="528"/>
      <c r="E7" s="529"/>
      <c r="F7" s="307" t="s">
        <v>818</v>
      </c>
      <c r="G7" s="202" t="s">
        <v>78</v>
      </c>
      <c r="H7" s="202" t="s">
        <v>79</v>
      </c>
      <c r="I7" s="202" t="s">
        <v>80</v>
      </c>
      <c r="J7" s="202" t="s">
        <v>428</v>
      </c>
      <c r="K7" s="202" t="s">
        <v>819</v>
      </c>
      <c r="L7" s="202" t="s">
        <v>819</v>
      </c>
      <c r="M7" s="202" t="s">
        <v>820</v>
      </c>
      <c r="N7" s="202" t="s">
        <v>84</v>
      </c>
      <c r="O7" s="411" t="s">
        <v>85</v>
      </c>
      <c r="P7" s="459" t="s">
        <v>86</v>
      </c>
      <c r="Q7" s="202" t="s">
        <v>821</v>
      </c>
      <c r="R7" s="465" t="s">
        <v>430</v>
      </c>
      <c r="S7" s="410" t="s">
        <v>822</v>
      </c>
      <c r="T7" s="503"/>
      <c r="U7" s="500"/>
      <c r="V7" s="500"/>
      <c r="W7" s="467"/>
      <c r="X7" s="333"/>
      <c r="Y7" s="330"/>
      <c r="Z7" s="266"/>
      <c r="AA7" s="266"/>
      <c r="AB7" s="266"/>
      <c r="AC7" s="266"/>
      <c r="AD7" s="267"/>
      <c r="AE7" s="159"/>
      <c r="AF7" s="135"/>
      <c r="AG7" s="135"/>
      <c r="AH7" s="135"/>
      <c r="AI7" s="159"/>
      <c r="AJ7" s="135"/>
      <c r="AK7" s="135"/>
      <c r="AL7" s="135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</row>
    <row r="8" spans="1:50" s="165" customFormat="1" ht="18" customHeight="1">
      <c r="A8" s="160" t="s">
        <v>431</v>
      </c>
      <c r="B8" s="160"/>
      <c r="C8" s="160"/>
      <c r="D8" s="162"/>
      <c r="E8" s="162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496"/>
      <c r="T8" s="162"/>
      <c r="U8" s="162"/>
      <c r="V8" s="162"/>
      <c r="W8" s="162"/>
      <c r="X8" s="276"/>
      <c r="Y8" s="163"/>
      <c r="Z8" s="163"/>
      <c r="AA8" s="163"/>
      <c r="AB8" s="163"/>
      <c r="AC8" s="163"/>
      <c r="AD8" s="164"/>
      <c r="AE8" s="159"/>
      <c r="AF8" s="135"/>
      <c r="AG8" s="135"/>
      <c r="AH8" s="135"/>
      <c r="AI8" s="159"/>
      <c r="AJ8" s="135"/>
      <c r="AK8" s="135"/>
      <c r="AL8" s="135"/>
    </row>
    <row r="9" spans="1:50" s="50" customFormat="1" ht="18" customHeight="1">
      <c r="A9" s="32" t="s">
        <v>823</v>
      </c>
      <c r="B9" s="32"/>
      <c r="C9" s="3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472"/>
      <c r="Q9" s="11"/>
      <c r="R9" s="11"/>
      <c r="S9" s="11"/>
      <c r="T9" s="11"/>
      <c r="U9" s="11"/>
      <c r="V9" s="11"/>
      <c r="W9" s="11"/>
      <c r="X9" s="277"/>
      <c r="Y9" s="170"/>
      <c r="Z9" s="53"/>
      <c r="AA9" s="53"/>
      <c r="AB9" s="53"/>
      <c r="AC9" s="53"/>
      <c r="AD9" s="54"/>
      <c r="AE9" s="79"/>
      <c r="AF9" s="51"/>
      <c r="AG9" s="79"/>
      <c r="AH9" s="51"/>
      <c r="AI9" s="51"/>
      <c r="AJ9" s="51"/>
      <c r="AK9" s="51"/>
      <c r="AL9" s="51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</row>
    <row r="10" spans="1:50" s="50" customFormat="1" ht="15" customHeight="1" outlineLevel="1">
      <c r="A10" s="37" t="s">
        <v>824</v>
      </c>
      <c r="B10" s="38" t="s">
        <v>94</v>
      </c>
      <c r="C10" s="41"/>
      <c r="D10" s="38"/>
      <c r="E10" s="213" t="s">
        <v>825</v>
      </c>
      <c r="F10" s="38"/>
      <c r="G10" s="38" t="s">
        <v>97</v>
      </c>
      <c r="H10" s="38"/>
      <c r="I10" s="38"/>
      <c r="J10" s="38" t="s">
        <v>34</v>
      </c>
      <c r="K10" s="38"/>
      <c r="L10" s="38"/>
      <c r="M10" s="38"/>
      <c r="N10" s="38"/>
      <c r="O10" s="38"/>
      <c r="P10" s="383"/>
      <c r="Q10" s="38"/>
      <c r="R10" s="38"/>
      <c r="S10" s="38">
        <v>0</v>
      </c>
      <c r="T10" s="38" t="s">
        <v>98</v>
      </c>
      <c r="U10" s="40"/>
      <c r="V10" s="40"/>
      <c r="W10" s="40" t="str" cm="1">
        <f t="array" ref="W10">IF(A10&lt;&gt;"",_xlfn.XLOOKUP(_xlfn.XLOOKUP(TRUE,F10:P10&lt;&gt;"",F10:P10,"-",-1,-1),F10:P10,$F$6:$P$6,,,-1),"")</f>
        <v>Add2</v>
      </c>
      <c r="X10" s="278"/>
      <c r="Y10" s="171"/>
      <c r="Z10" s="141" t="s">
        <v>117</v>
      </c>
      <c r="AA10" s="55" t="s">
        <v>826</v>
      </c>
      <c r="AB10" s="55" t="s">
        <v>827</v>
      </c>
      <c r="AC10" s="55" t="s">
        <v>828</v>
      </c>
      <c r="AD10" s="52"/>
      <c r="AE10" s="56"/>
      <c r="AF10" s="51"/>
      <c r="AG10" s="56"/>
      <c r="AH10" s="51"/>
      <c r="AI10" s="56"/>
      <c r="AJ10" s="51"/>
      <c r="AK10" s="56"/>
      <c r="AL10" s="51"/>
      <c r="AM10" s="37"/>
      <c r="AN10" s="41" t="s">
        <v>829</v>
      </c>
      <c r="AO10" s="37"/>
      <c r="AP10" s="37"/>
      <c r="AQ10" s="37"/>
      <c r="AR10" s="37"/>
      <c r="AS10" s="37"/>
      <c r="AT10" s="37"/>
      <c r="AU10" s="37"/>
      <c r="AV10" s="37"/>
      <c r="AW10" s="37"/>
      <c r="AX10" s="37"/>
    </row>
    <row r="11" spans="1:50" s="50" customFormat="1" ht="15" customHeight="1" outlineLevel="1">
      <c r="A11" s="37" t="s">
        <v>830</v>
      </c>
      <c r="B11" s="40" t="s">
        <v>94</v>
      </c>
      <c r="C11" s="41"/>
      <c r="D11" s="38"/>
      <c r="E11" s="213" t="s">
        <v>831</v>
      </c>
      <c r="F11" s="38"/>
      <c r="G11" s="38" t="s">
        <v>97</v>
      </c>
      <c r="H11" s="38"/>
      <c r="I11" s="38"/>
      <c r="J11" s="38"/>
      <c r="K11" s="38"/>
      <c r="L11" s="38"/>
      <c r="M11" s="38"/>
      <c r="N11" s="38"/>
      <c r="O11" s="38"/>
      <c r="P11" s="383"/>
      <c r="Q11" s="38"/>
      <c r="R11" s="38"/>
      <c r="S11" s="38">
        <v>0</v>
      </c>
      <c r="T11" s="38" t="s">
        <v>98</v>
      </c>
      <c r="U11" s="40"/>
      <c r="V11" s="40"/>
      <c r="W11" s="40" t="str" cm="1">
        <f t="array" ref="W11">IF(A11&lt;&gt;"",_xlfn.XLOOKUP(_xlfn.XLOOKUP(TRUE,F11:P11&lt;&gt;"",F11:P11,"-",-1,-1),F11:P11,$F$6:$P$6,,,-1),"")</f>
        <v>For Bid</v>
      </c>
      <c r="X11" s="278"/>
      <c r="Y11" s="171"/>
      <c r="Z11" s="141" t="s">
        <v>117</v>
      </c>
      <c r="AA11" s="55" t="s">
        <v>826</v>
      </c>
      <c r="AB11" s="55" t="s">
        <v>827</v>
      </c>
      <c r="AC11" s="55" t="s">
        <v>828</v>
      </c>
      <c r="AD11" s="52"/>
      <c r="AE11" s="56"/>
      <c r="AF11" s="51"/>
      <c r="AG11" s="56"/>
      <c r="AH11" s="51"/>
      <c r="AI11" s="56"/>
      <c r="AJ11" s="51"/>
      <c r="AK11" s="56"/>
      <c r="AL11" s="51"/>
      <c r="AM11" s="37"/>
      <c r="AN11" s="41" t="s">
        <v>832</v>
      </c>
      <c r="AO11" s="37"/>
      <c r="AP11" s="37"/>
      <c r="AQ11" s="37"/>
      <c r="AR11" s="37"/>
      <c r="AS11" s="37"/>
      <c r="AT11" s="37"/>
      <c r="AU11" s="37"/>
      <c r="AV11" s="37"/>
      <c r="AW11" s="37"/>
      <c r="AX11" s="37"/>
    </row>
    <row r="12" spans="1:50" s="50" customFormat="1" ht="15" customHeight="1" outlineLevel="1">
      <c r="A12" s="37"/>
      <c r="B12" s="38"/>
      <c r="C12" s="41"/>
      <c r="D12" s="38"/>
      <c r="E12" s="213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3"/>
      <c r="Q12" s="38"/>
      <c r="R12" s="38"/>
      <c r="S12" s="38"/>
      <c r="T12" s="38"/>
      <c r="U12" s="40"/>
      <c r="V12" s="40"/>
      <c r="W12" s="40" t="str" cm="1">
        <f t="array" ref="W12">IF(A12&lt;&gt;"",_xlfn.XLOOKUP(_xlfn.XLOOKUP(TRUE,F12:P12&lt;&gt;"",F12:P12,"-",-1,-1),F12:P12,$F$6:$P$6,,,-1),"")</f>
        <v/>
      </c>
      <c r="X12" s="278"/>
      <c r="Y12" s="171"/>
      <c r="Z12" s="141"/>
      <c r="AA12" s="55"/>
      <c r="AB12" s="55"/>
      <c r="AC12" s="55"/>
      <c r="AD12" s="52"/>
      <c r="AE12" s="56"/>
      <c r="AF12" s="51"/>
      <c r="AG12" s="56"/>
      <c r="AH12" s="51"/>
      <c r="AI12" s="56"/>
      <c r="AJ12" s="51"/>
      <c r="AK12" s="56"/>
      <c r="AL12" s="51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</row>
    <row r="13" spans="1:50" s="50" customFormat="1" ht="15" customHeight="1" outlineLevel="1">
      <c r="A13" s="37" t="str">
        <f>"18043-"&amp;LEFT(AN13,11)</f>
        <v>18043-LMBMS 08214</v>
      </c>
      <c r="B13" s="38" t="s">
        <v>94</v>
      </c>
      <c r="C13" s="41"/>
      <c r="D13" s="38"/>
      <c r="E13" s="213" t="str">
        <f>MID(AN13,FIND(" ",AN13,15)+2,100)</f>
        <v>Typical Details Sheet 1</v>
      </c>
      <c r="F13" s="38"/>
      <c r="G13" s="38" t="s">
        <v>97</v>
      </c>
      <c r="H13" s="38"/>
      <c r="I13" s="38"/>
      <c r="J13" s="38"/>
      <c r="K13" s="38"/>
      <c r="L13" s="38"/>
      <c r="M13" s="38"/>
      <c r="N13" s="38" t="s">
        <v>34</v>
      </c>
      <c r="O13" s="38"/>
      <c r="P13" s="383"/>
      <c r="Q13" s="38"/>
      <c r="R13" s="38"/>
      <c r="S13" s="38">
        <v>0</v>
      </c>
      <c r="T13" s="38" t="s">
        <v>98</v>
      </c>
      <c r="U13" s="40"/>
      <c r="V13" s="40"/>
      <c r="W13" s="40" t="str" cm="1">
        <f t="array" ref="W13">IF(A13&lt;&gt;"",_xlfn.XLOOKUP(_xlfn.XLOOKUP(TRUE,F13:P13&lt;&gt;"",F13:P13,"-",-1,-1),F13:P13,$F$6:$P$6,,,-1),"")</f>
        <v>Add7</v>
      </c>
      <c r="X13" s="278"/>
      <c r="Y13" s="171"/>
      <c r="Z13" s="141" t="s">
        <v>117</v>
      </c>
      <c r="AA13" s="55" t="s">
        <v>826</v>
      </c>
      <c r="AB13" s="55" t="s">
        <v>827</v>
      </c>
      <c r="AC13" s="55" t="s">
        <v>828</v>
      </c>
      <c r="AD13" s="52"/>
      <c r="AE13" s="56"/>
      <c r="AF13" s="51"/>
      <c r="AG13" s="56"/>
      <c r="AH13" s="51"/>
      <c r="AI13" s="56"/>
      <c r="AJ13" s="51"/>
      <c r="AK13" s="56"/>
      <c r="AL13" s="51"/>
      <c r="AM13" s="37"/>
      <c r="AN13" s="41" t="s">
        <v>833</v>
      </c>
      <c r="AO13" s="37"/>
      <c r="AP13" s="37"/>
      <c r="AQ13" s="37"/>
      <c r="AR13" s="37"/>
      <c r="AS13" s="37"/>
      <c r="AT13" s="37"/>
      <c r="AU13" s="37"/>
      <c r="AV13" s="37"/>
      <c r="AW13" s="37"/>
      <c r="AX13" s="37"/>
    </row>
    <row r="14" spans="1:50" s="50" customFormat="1" ht="15" customHeight="1" outlineLevel="1">
      <c r="A14" s="37" t="str">
        <f>"18043-"&amp;LEFT(AN14,11)</f>
        <v>18043-LMBMS 08215</v>
      </c>
      <c r="B14" s="40" t="s">
        <v>94</v>
      </c>
      <c r="C14" s="41"/>
      <c r="D14" s="38"/>
      <c r="E14" s="213" t="str">
        <f>MID(AN14,FIND(" ",AN14,15)+2,100)</f>
        <v>Typical Details Sheet 2</v>
      </c>
      <c r="F14" s="38"/>
      <c r="G14" s="38" t="s">
        <v>97</v>
      </c>
      <c r="H14" s="38"/>
      <c r="I14" s="38"/>
      <c r="J14" s="38"/>
      <c r="K14" s="38"/>
      <c r="L14" s="38"/>
      <c r="M14" s="38"/>
      <c r="N14" s="38"/>
      <c r="O14" s="38"/>
      <c r="P14" s="383"/>
      <c r="Q14" s="38"/>
      <c r="R14" s="38"/>
      <c r="S14" s="38">
        <v>0</v>
      </c>
      <c r="T14" s="38" t="s">
        <v>98</v>
      </c>
      <c r="U14" s="40"/>
      <c r="V14" s="40"/>
      <c r="W14" s="40" t="str" cm="1">
        <f t="array" ref="W14">IF(A14&lt;&gt;"",_xlfn.XLOOKUP(_xlfn.XLOOKUP(TRUE,F14:P14&lt;&gt;"",F14:P14,"-",-1,-1),F14:P14,$F$6:$P$6,,,-1),"")</f>
        <v>For Bid</v>
      </c>
      <c r="X14" s="278"/>
      <c r="Y14" s="171"/>
      <c r="Z14" s="141" t="s">
        <v>117</v>
      </c>
      <c r="AA14" s="55" t="s">
        <v>826</v>
      </c>
      <c r="AB14" s="55" t="s">
        <v>827</v>
      </c>
      <c r="AC14" s="55" t="s">
        <v>828</v>
      </c>
      <c r="AD14" s="52"/>
      <c r="AE14" s="56"/>
      <c r="AF14" s="51"/>
      <c r="AG14" s="56"/>
      <c r="AH14" s="51"/>
      <c r="AI14" s="56"/>
      <c r="AJ14" s="51"/>
      <c r="AK14" s="56"/>
      <c r="AL14" s="51"/>
      <c r="AM14" s="37"/>
      <c r="AN14" s="41" t="s">
        <v>832</v>
      </c>
      <c r="AO14" s="37"/>
      <c r="AP14" s="37"/>
      <c r="AQ14" s="37"/>
      <c r="AR14" s="37"/>
      <c r="AS14" s="37"/>
      <c r="AT14" s="37"/>
      <c r="AU14" s="37"/>
      <c r="AV14" s="37"/>
      <c r="AW14" s="37"/>
      <c r="AX14" s="37"/>
    </row>
    <row r="15" spans="1:50" s="50" customFormat="1" ht="15" customHeight="1" outlineLevel="1">
      <c r="A15" s="37" t="str">
        <f>"18043-"&amp;LEFT(AN15,11)</f>
        <v>18043-LMBMS 08217</v>
      </c>
      <c r="B15" s="40" t="s">
        <v>94</v>
      </c>
      <c r="C15" s="41"/>
      <c r="D15" s="38"/>
      <c r="E15" s="213" t="str">
        <f>MID(AN15,FIND(" ",AN15,15)+2,100)</f>
        <v>Fire Door Operation Typical Details</v>
      </c>
      <c r="F15" s="38"/>
      <c r="G15" s="38" t="s">
        <v>97</v>
      </c>
      <c r="H15" s="38"/>
      <c r="I15" s="38"/>
      <c r="J15" s="38"/>
      <c r="K15" s="38"/>
      <c r="L15" s="38"/>
      <c r="M15" s="38"/>
      <c r="N15" s="38"/>
      <c r="O15" s="38"/>
      <c r="P15" s="383"/>
      <c r="Q15" s="38"/>
      <c r="R15" s="38"/>
      <c r="S15" s="38">
        <v>0</v>
      </c>
      <c r="T15" s="38" t="s">
        <v>98</v>
      </c>
      <c r="U15" s="40"/>
      <c r="V15" s="40"/>
      <c r="W15" s="40" t="str" cm="1">
        <f t="array" ref="W15">IF(A15&lt;&gt;"",_xlfn.XLOOKUP(_xlfn.XLOOKUP(TRUE,F15:P15&lt;&gt;"",F15:P15,"-",-1,-1),F15:P15,$F$6:$P$6,,,-1),"")</f>
        <v>For Bid</v>
      </c>
      <c r="X15" s="278"/>
      <c r="Y15" s="171"/>
      <c r="Z15" s="141" t="s">
        <v>117</v>
      </c>
      <c r="AA15" s="55" t="s">
        <v>826</v>
      </c>
      <c r="AB15" s="55" t="s">
        <v>827</v>
      </c>
      <c r="AC15" s="55" t="s">
        <v>828</v>
      </c>
      <c r="AD15" s="52"/>
      <c r="AE15" s="56"/>
      <c r="AF15" s="51"/>
      <c r="AG15" s="56"/>
      <c r="AH15" s="51"/>
      <c r="AI15" s="56"/>
      <c r="AJ15" s="51"/>
      <c r="AK15" s="56"/>
      <c r="AL15" s="51"/>
      <c r="AM15" s="37"/>
      <c r="AN15" s="41" t="s">
        <v>834</v>
      </c>
      <c r="AO15" s="37"/>
      <c r="AP15" s="37"/>
      <c r="AQ15" s="37"/>
      <c r="AR15" s="37"/>
      <c r="AS15" s="37"/>
      <c r="AT15" s="37"/>
      <c r="AU15" s="37"/>
      <c r="AV15" s="37"/>
      <c r="AW15" s="37"/>
      <c r="AX15" s="37"/>
    </row>
    <row r="16" spans="1:50" s="50" customFormat="1" ht="15" customHeight="1" outlineLevel="1">
      <c r="A16" s="37" t="str">
        <f>"18043-"&amp;LEFT(AN16,11)</f>
        <v>18043-LMBMS 08218</v>
      </c>
      <c r="B16" s="38" t="s">
        <v>94</v>
      </c>
      <c r="C16" s="41"/>
      <c r="D16" s="38"/>
      <c r="E16" s="213" t="str">
        <f>MID(AN16,FIND(" ",AN16,15)+2,100)</f>
        <v>Fire Protection Abbreviation and General Note</v>
      </c>
      <c r="F16" s="38"/>
      <c r="G16" s="38" t="s">
        <v>97</v>
      </c>
      <c r="H16" s="38"/>
      <c r="I16" s="38"/>
      <c r="J16" s="38"/>
      <c r="K16" s="38"/>
      <c r="L16" s="38"/>
      <c r="M16" s="38"/>
      <c r="N16" s="38"/>
      <c r="O16" s="38"/>
      <c r="P16" s="383"/>
      <c r="Q16" s="38"/>
      <c r="R16" s="38"/>
      <c r="S16" s="38">
        <v>0</v>
      </c>
      <c r="T16" s="38" t="s">
        <v>98</v>
      </c>
      <c r="U16" s="40"/>
      <c r="V16" s="40"/>
      <c r="W16" s="40" t="str" cm="1">
        <f t="array" ref="W16">IF(A16&lt;&gt;"",_xlfn.XLOOKUP(_xlfn.XLOOKUP(TRUE,F16:P16&lt;&gt;"",F16:P16,"-",-1,-1),F16:P16,$F$6:$P$6,,,-1),"")</f>
        <v>For Bid</v>
      </c>
      <c r="X16" s="278"/>
      <c r="Y16" s="171"/>
      <c r="Z16" s="141" t="s">
        <v>117</v>
      </c>
      <c r="AA16" s="55" t="s">
        <v>826</v>
      </c>
      <c r="AB16" s="55" t="s">
        <v>827</v>
      </c>
      <c r="AC16" s="55" t="s">
        <v>828</v>
      </c>
      <c r="AD16" s="52"/>
      <c r="AE16" s="56"/>
      <c r="AF16" s="51"/>
      <c r="AG16" s="56"/>
      <c r="AH16" s="51"/>
      <c r="AI16" s="56"/>
      <c r="AJ16" s="51"/>
      <c r="AK16" s="56"/>
      <c r="AL16" s="51"/>
      <c r="AM16" s="37"/>
      <c r="AN16" s="41" t="s">
        <v>835</v>
      </c>
      <c r="AO16" s="37"/>
      <c r="AP16" s="37"/>
      <c r="AQ16" s="37"/>
      <c r="AR16" s="37"/>
      <c r="AS16" s="37"/>
      <c r="AT16" s="37"/>
      <c r="AU16" s="37"/>
      <c r="AV16" s="37"/>
      <c r="AW16" s="37"/>
      <c r="AX16" s="37"/>
    </row>
    <row r="17" spans="1:50" s="50" customFormat="1" ht="15" customHeight="1" outlineLevel="1">
      <c r="A17" s="37" t="str">
        <f>"18043-"&amp;LEFT(AN17,11)</f>
        <v>18043-LMBMS 08219</v>
      </c>
      <c r="B17" s="38" t="s">
        <v>94</v>
      </c>
      <c r="C17" s="41"/>
      <c r="D17" s="38"/>
      <c r="E17" s="213" t="str">
        <f>MID(AN17,FIND(" ",AN17,15)+2,100)</f>
        <v>Typical Details Sheet 3</v>
      </c>
      <c r="F17" s="38"/>
      <c r="G17" s="38" t="s">
        <v>97</v>
      </c>
      <c r="H17" s="38"/>
      <c r="I17" s="38"/>
      <c r="J17" s="38"/>
      <c r="K17" s="38"/>
      <c r="L17" s="38"/>
      <c r="M17" s="38"/>
      <c r="N17" s="38"/>
      <c r="O17" s="38"/>
      <c r="P17" s="383"/>
      <c r="Q17" s="38"/>
      <c r="R17" s="38"/>
      <c r="S17" s="38">
        <v>0</v>
      </c>
      <c r="T17" s="38" t="s">
        <v>98</v>
      </c>
      <c r="U17" s="40"/>
      <c r="V17" s="40"/>
      <c r="W17" s="40" t="str" cm="1">
        <f t="array" ref="W17">IF(A17&lt;&gt;"",_xlfn.XLOOKUP(_xlfn.XLOOKUP(TRUE,F17:P17&lt;&gt;"",F17:P17,"-",-1,-1),F17:P17,$F$6:$P$6,,,-1),"")</f>
        <v>For Bid</v>
      </c>
      <c r="X17" s="278"/>
      <c r="Y17" s="171"/>
      <c r="Z17" s="141" t="s">
        <v>117</v>
      </c>
      <c r="AA17" s="55" t="s">
        <v>826</v>
      </c>
      <c r="AB17" s="55" t="s">
        <v>827</v>
      </c>
      <c r="AC17" s="55" t="s">
        <v>828</v>
      </c>
      <c r="AD17" s="52"/>
      <c r="AE17" s="56"/>
      <c r="AF17" s="51"/>
      <c r="AG17" s="56"/>
      <c r="AH17" s="51"/>
      <c r="AI17" s="56"/>
      <c r="AJ17" s="51"/>
      <c r="AK17" s="56"/>
      <c r="AL17" s="51"/>
      <c r="AM17" s="37"/>
      <c r="AN17" s="41" t="s">
        <v>836</v>
      </c>
      <c r="AO17" s="37"/>
      <c r="AP17" s="37"/>
      <c r="AQ17" s="37"/>
      <c r="AR17" s="37"/>
      <c r="AS17" s="37"/>
      <c r="AT17" s="37"/>
      <c r="AU17" s="37"/>
      <c r="AV17" s="37"/>
      <c r="AW17" s="37"/>
      <c r="AX17" s="37"/>
    </row>
    <row r="18" spans="1:50" s="50" customFormat="1" ht="15" customHeight="1" outlineLevel="1">
      <c r="A18" s="37"/>
      <c r="B18" s="38"/>
      <c r="C18" s="41"/>
      <c r="D18" s="38"/>
      <c r="E18" s="213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3"/>
      <c r="Q18" s="38"/>
      <c r="R18" s="38"/>
      <c r="S18" s="38"/>
      <c r="T18" s="38"/>
      <c r="U18" s="40"/>
      <c r="V18" s="40"/>
      <c r="W18" s="40" t="str" cm="1">
        <f t="array" ref="W18">IF(A18&lt;&gt;"",_xlfn.XLOOKUP(_xlfn.XLOOKUP(TRUE,F18:P18&lt;&gt;"",F18:P18,"-",-1,-1),F18:P18,$F$6:$P$6,,,-1),"")</f>
        <v/>
      </c>
      <c r="X18" s="278"/>
      <c r="Y18" s="171"/>
      <c r="Z18" s="141"/>
      <c r="AA18" s="55"/>
      <c r="AB18" s="55"/>
      <c r="AC18" s="55"/>
      <c r="AD18" s="52"/>
      <c r="AE18" s="56"/>
      <c r="AF18" s="51"/>
      <c r="AG18" s="56"/>
      <c r="AH18" s="51"/>
      <c r="AI18" s="56"/>
      <c r="AJ18" s="51"/>
      <c r="AK18" s="56"/>
      <c r="AL18" s="51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</row>
    <row r="19" spans="1:50" s="50" customFormat="1" ht="15" customHeight="1" outlineLevel="1">
      <c r="A19" s="37" t="str">
        <f>"18043-"&amp;LEFT(AN19,11)</f>
        <v>18043-LMBMS 08311</v>
      </c>
      <c r="B19" s="38" t="s">
        <v>94</v>
      </c>
      <c r="C19" s="233"/>
      <c r="D19" s="38"/>
      <c r="E19" s="213" t="str">
        <f>MID(AN19,FIND(" ",AN19,15)+1,100)</f>
        <v>Typical Details Sheet 1</v>
      </c>
      <c r="F19" s="38"/>
      <c r="G19" s="38" t="s">
        <v>97</v>
      </c>
      <c r="H19" s="38"/>
      <c r="I19" s="38"/>
      <c r="J19" s="38"/>
      <c r="K19" s="38"/>
      <c r="L19" s="38"/>
      <c r="M19" s="38"/>
      <c r="N19" s="38"/>
      <c r="O19" s="38"/>
      <c r="P19" s="383"/>
      <c r="Q19" s="38"/>
      <c r="R19" s="38"/>
      <c r="S19" s="38">
        <v>0</v>
      </c>
      <c r="T19" s="38" t="s">
        <v>98</v>
      </c>
      <c r="U19" s="40"/>
      <c r="V19" s="40"/>
      <c r="W19" s="40" t="str" cm="1">
        <f t="array" ref="W19">IF(A19&lt;&gt;"",_xlfn.XLOOKUP(_xlfn.XLOOKUP(TRUE,F19:P19&lt;&gt;"",F19:P19,"-",-1,-1),F19:P19,$F$6:$P$6,,,-1),"")</f>
        <v>For Bid</v>
      </c>
      <c r="X19" s="278"/>
      <c r="Y19" s="171"/>
      <c r="Z19" s="141" t="s">
        <v>117</v>
      </c>
      <c r="AA19" s="55" t="s">
        <v>826</v>
      </c>
      <c r="AB19" s="55" t="s">
        <v>827</v>
      </c>
      <c r="AC19" s="55" t="s">
        <v>828</v>
      </c>
      <c r="AD19" s="52"/>
      <c r="AE19" s="56"/>
      <c r="AF19" s="51"/>
      <c r="AG19" s="56"/>
      <c r="AH19" s="51"/>
      <c r="AI19" s="56"/>
      <c r="AJ19" s="51"/>
      <c r="AK19" s="56"/>
      <c r="AL19" s="51"/>
      <c r="AM19" s="37"/>
      <c r="AN19" s="37" t="s">
        <v>837</v>
      </c>
      <c r="AO19" s="37"/>
      <c r="AP19" s="37"/>
      <c r="AQ19" s="37"/>
      <c r="AR19" s="37"/>
      <c r="AS19" s="37"/>
      <c r="AT19" s="37"/>
      <c r="AU19" s="37"/>
      <c r="AV19" s="37"/>
      <c r="AW19" s="37"/>
      <c r="AX19" s="37"/>
    </row>
    <row r="20" spans="1:50" s="50" customFormat="1" ht="15" customHeight="1" outlineLevel="1">
      <c r="A20" s="37" t="str">
        <f t="shared" ref="A20:A30" si="0">"18043-"&amp;LEFT(AN20,11)</f>
        <v>18043-LMBMS 08312</v>
      </c>
      <c r="B20" s="38" t="s">
        <v>94</v>
      </c>
      <c r="C20" s="233"/>
      <c r="D20" s="38"/>
      <c r="E20" s="213" t="str">
        <f t="shared" ref="E20:E23" si="1">MID(AN20,FIND(" ",AN20,15)+1,100)</f>
        <v>Typical Details Sheet 2</v>
      </c>
      <c r="F20" s="38"/>
      <c r="G20" s="38" t="s">
        <v>97</v>
      </c>
      <c r="H20" s="38"/>
      <c r="I20" s="38"/>
      <c r="J20" s="38"/>
      <c r="K20" s="38"/>
      <c r="L20" s="38"/>
      <c r="M20" s="38"/>
      <c r="N20" s="38"/>
      <c r="O20" s="38"/>
      <c r="P20" s="383"/>
      <c r="Q20" s="38"/>
      <c r="R20" s="38"/>
      <c r="S20" s="38">
        <v>0</v>
      </c>
      <c r="T20" s="38" t="s">
        <v>98</v>
      </c>
      <c r="U20" s="40"/>
      <c r="V20" s="40"/>
      <c r="W20" s="40" t="str" cm="1">
        <f t="array" ref="W20">IF(A20&lt;&gt;"",_xlfn.XLOOKUP(_xlfn.XLOOKUP(TRUE,F20:P20&lt;&gt;"",F20:P20,"-",-1,-1),F20:P20,$F$6:$P$6,,,-1),"")</f>
        <v>For Bid</v>
      </c>
      <c r="X20" s="278"/>
      <c r="Y20" s="171"/>
      <c r="Z20" s="141" t="s">
        <v>117</v>
      </c>
      <c r="AA20" s="55" t="s">
        <v>826</v>
      </c>
      <c r="AB20" s="55" t="s">
        <v>827</v>
      </c>
      <c r="AC20" s="55" t="s">
        <v>828</v>
      </c>
      <c r="AD20" s="52"/>
      <c r="AE20" s="56"/>
      <c r="AF20" s="51"/>
      <c r="AG20" s="56"/>
      <c r="AH20" s="51"/>
      <c r="AI20" s="56"/>
      <c r="AJ20" s="51"/>
      <c r="AK20" s="56"/>
      <c r="AL20" s="51"/>
      <c r="AM20" s="37"/>
      <c r="AN20" s="37" t="s">
        <v>838</v>
      </c>
      <c r="AO20" s="37"/>
      <c r="AP20" s="37"/>
      <c r="AQ20" s="37"/>
      <c r="AR20" s="37"/>
      <c r="AS20" s="37"/>
      <c r="AT20" s="37"/>
      <c r="AU20" s="37"/>
      <c r="AV20" s="37"/>
      <c r="AW20" s="37"/>
      <c r="AX20" s="37"/>
    </row>
    <row r="21" spans="1:50" s="50" customFormat="1" ht="15" customHeight="1" outlineLevel="1">
      <c r="A21" s="37" t="str">
        <f t="shared" si="0"/>
        <v>18043-LMBMS 08313</v>
      </c>
      <c r="B21" s="38" t="s">
        <v>94</v>
      </c>
      <c r="C21" s="233"/>
      <c r="D21" s="38"/>
      <c r="E21" s="213" t="str">
        <f t="shared" si="1"/>
        <v>Typical Details Sheet 3</v>
      </c>
      <c r="F21" s="38"/>
      <c r="G21" s="38" t="s">
        <v>97</v>
      </c>
      <c r="H21" s="38"/>
      <c r="I21" s="38"/>
      <c r="J21" s="38"/>
      <c r="K21" s="38"/>
      <c r="L21" s="38"/>
      <c r="M21" s="38"/>
      <c r="N21" s="38"/>
      <c r="O21" s="38"/>
      <c r="P21" s="383"/>
      <c r="Q21" s="38"/>
      <c r="R21" s="38"/>
      <c r="S21" s="38">
        <v>0</v>
      </c>
      <c r="T21" s="38" t="s">
        <v>98</v>
      </c>
      <c r="U21" s="40"/>
      <c r="V21" s="40"/>
      <c r="W21" s="40" t="str" cm="1">
        <f t="array" ref="W21">IF(A21&lt;&gt;"",_xlfn.XLOOKUP(_xlfn.XLOOKUP(TRUE,F21:P21&lt;&gt;"",F21:P21,"-",-1,-1),F21:P21,$F$6:$P$6,,,-1),"")</f>
        <v>For Bid</v>
      </c>
      <c r="X21" s="278"/>
      <c r="Y21" s="171"/>
      <c r="Z21" s="141" t="s">
        <v>117</v>
      </c>
      <c r="AA21" s="55" t="s">
        <v>826</v>
      </c>
      <c r="AB21" s="55" t="s">
        <v>827</v>
      </c>
      <c r="AC21" s="55" t="s">
        <v>828</v>
      </c>
      <c r="AD21" s="52"/>
      <c r="AE21" s="56"/>
      <c r="AF21" s="51"/>
      <c r="AG21" s="56"/>
      <c r="AH21" s="51"/>
      <c r="AI21" s="56"/>
      <c r="AJ21" s="51"/>
      <c r="AK21" s="56"/>
      <c r="AL21" s="51"/>
      <c r="AM21" s="37"/>
      <c r="AN21" s="37" t="s">
        <v>839</v>
      </c>
      <c r="AO21" s="37"/>
      <c r="AP21" s="37"/>
      <c r="AQ21" s="37"/>
      <c r="AR21" s="37"/>
      <c r="AS21" s="37"/>
      <c r="AT21" s="37"/>
      <c r="AU21" s="37"/>
      <c r="AV21" s="37"/>
      <c r="AW21" s="37"/>
      <c r="AX21" s="37"/>
    </row>
    <row r="22" spans="1:50" s="50" customFormat="1" ht="15" customHeight="1" outlineLevel="1">
      <c r="A22" s="37" t="str">
        <f t="shared" si="0"/>
        <v>18043-LMBMS 08314</v>
      </c>
      <c r="B22" s="38" t="s">
        <v>94</v>
      </c>
      <c r="C22" s="233"/>
      <c r="D22" s="38"/>
      <c r="E22" s="213" t="str">
        <f t="shared" si="1"/>
        <v xml:space="preserve">Typical Details Sheet 4 </v>
      </c>
      <c r="F22" s="38"/>
      <c r="G22" s="38" t="s">
        <v>97</v>
      </c>
      <c r="H22" s="38"/>
      <c r="I22" s="38"/>
      <c r="J22" s="38"/>
      <c r="K22" s="38"/>
      <c r="L22" s="38"/>
      <c r="M22" s="38"/>
      <c r="N22" s="38"/>
      <c r="O22" s="38"/>
      <c r="P22" s="383"/>
      <c r="Q22" s="38"/>
      <c r="R22" s="38"/>
      <c r="S22" s="38">
        <v>0</v>
      </c>
      <c r="T22" s="38" t="s">
        <v>98</v>
      </c>
      <c r="U22" s="40"/>
      <c r="V22" s="40"/>
      <c r="W22" s="40" t="str" cm="1">
        <f t="array" ref="W22">IF(A22&lt;&gt;"",_xlfn.XLOOKUP(_xlfn.XLOOKUP(TRUE,F22:P22&lt;&gt;"",F22:P22,"-",-1,-1),F22:P22,$F$6:$P$6,,,-1),"")</f>
        <v>For Bid</v>
      </c>
      <c r="X22" s="278"/>
      <c r="Y22" s="171"/>
      <c r="Z22" s="141" t="s">
        <v>117</v>
      </c>
      <c r="AA22" s="55" t="s">
        <v>826</v>
      </c>
      <c r="AB22" s="55" t="s">
        <v>827</v>
      </c>
      <c r="AC22" s="55" t="s">
        <v>828</v>
      </c>
      <c r="AD22" s="52"/>
      <c r="AE22" s="56"/>
      <c r="AF22" s="51"/>
      <c r="AG22" s="56"/>
      <c r="AH22" s="51"/>
      <c r="AI22" s="56"/>
      <c r="AJ22" s="51"/>
      <c r="AK22" s="56"/>
      <c r="AL22" s="51"/>
      <c r="AM22" s="37"/>
      <c r="AN22" s="37" t="s">
        <v>840</v>
      </c>
      <c r="AO22" s="37"/>
      <c r="AP22" s="37"/>
      <c r="AQ22" s="37"/>
      <c r="AR22" s="37"/>
      <c r="AS22" s="37"/>
      <c r="AT22" s="37"/>
      <c r="AU22" s="37"/>
      <c r="AV22" s="37"/>
      <c r="AW22" s="37"/>
      <c r="AX22" s="37"/>
    </row>
    <row r="23" spans="1:50" s="50" customFormat="1" ht="15" customHeight="1" outlineLevel="1">
      <c r="A23" s="37" t="str">
        <f t="shared" si="0"/>
        <v>18043-LMBMS 08315</v>
      </c>
      <c r="B23" s="38" t="s">
        <v>94</v>
      </c>
      <c r="C23" s="233"/>
      <c r="D23" s="38"/>
      <c r="E23" s="213" t="str">
        <f t="shared" si="1"/>
        <v>Typical Details Sheet 5</v>
      </c>
      <c r="F23" s="38"/>
      <c r="G23" s="38" t="s">
        <v>97</v>
      </c>
      <c r="H23" s="38"/>
      <c r="I23" s="38"/>
      <c r="J23" s="38"/>
      <c r="K23" s="38"/>
      <c r="L23" s="38"/>
      <c r="M23" s="38"/>
      <c r="N23" s="38"/>
      <c r="O23" s="38"/>
      <c r="P23" s="383"/>
      <c r="Q23" s="38"/>
      <c r="R23" s="38"/>
      <c r="S23" s="38">
        <v>0</v>
      </c>
      <c r="T23" s="38" t="s">
        <v>98</v>
      </c>
      <c r="U23" s="40"/>
      <c r="V23" s="40"/>
      <c r="W23" s="40" t="str" cm="1">
        <f t="array" ref="W23">IF(A23&lt;&gt;"",_xlfn.XLOOKUP(_xlfn.XLOOKUP(TRUE,F23:P23&lt;&gt;"",F23:P23,"-",-1,-1),F23:P23,$F$6:$P$6,,,-1),"")</f>
        <v>For Bid</v>
      </c>
      <c r="X23" s="278"/>
      <c r="Y23" s="171"/>
      <c r="Z23" s="141" t="s">
        <v>117</v>
      </c>
      <c r="AA23" s="55" t="s">
        <v>826</v>
      </c>
      <c r="AB23" s="55" t="s">
        <v>827</v>
      </c>
      <c r="AC23" s="55" t="s">
        <v>828</v>
      </c>
      <c r="AD23" s="52"/>
      <c r="AE23" s="56"/>
      <c r="AF23" s="51"/>
      <c r="AG23" s="56"/>
      <c r="AH23" s="51"/>
      <c r="AI23" s="56"/>
      <c r="AJ23" s="51"/>
      <c r="AK23" s="56"/>
      <c r="AL23" s="51"/>
      <c r="AM23" s="37"/>
      <c r="AN23" s="37" t="s">
        <v>841</v>
      </c>
      <c r="AO23" s="37"/>
      <c r="AP23" s="37"/>
      <c r="AQ23" s="37"/>
      <c r="AR23" s="37"/>
      <c r="AS23" s="37"/>
      <c r="AT23" s="37"/>
      <c r="AU23" s="37"/>
      <c r="AV23" s="37"/>
      <c r="AW23" s="37"/>
      <c r="AX23" s="37"/>
    </row>
    <row r="24" spans="1:50" s="50" customFormat="1" ht="15" customHeight="1" outlineLevel="1">
      <c r="A24" s="37"/>
      <c r="B24" s="38"/>
      <c r="C24" s="233"/>
      <c r="D24" s="38"/>
      <c r="E24" s="213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3"/>
      <c r="Q24" s="38"/>
      <c r="R24" s="38"/>
      <c r="S24" s="38"/>
      <c r="T24" s="38"/>
      <c r="U24" s="40"/>
      <c r="V24" s="40"/>
      <c r="W24" s="40" t="str" cm="1">
        <f t="array" ref="W24">IF(A24&lt;&gt;"",_xlfn.XLOOKUP(_xlfn.XLOOKUP(TRUE,F24:P24&lt;&gt;"",F24:P24,"-",-1,-1),F24:P24,$F$6:$P$6,,,-1),"")</f>
        <v/>
      </c>
      <c r="X24" s="278"/>
      <c r="Y24" s="171"/>
      <c r="Z24" s="141"/>
      <c r="AA24" s="55"/>
      <c r="AB24" s="55"/>
      <c r="AC24" s="55"/>
      <c r="AD24" s="52"/>
      <c r="AE24" s="56"/>
      <c r="AF24" s="51"/>
      <c r="AG24" s="56"/>
      <c r="AH24" s="51"/>
      <c r="AI24" s="56"/>
      <c r="AJ24" s="51"/>
      <c r="AK24" s="56"/>
      <c r="AL24" s="51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</row>
    <row r="25" spans="1:50" s="50" customFormat="1" ht="15" customHeight="1" outlineLevel="1">
      <c r="A25" s="37" t="str">
        <f t="shared" si="0"/>
        <v>18043-LMBMS 08513</v>
      </c>
      <c r="B25" s="38" t="s">
        <v>94</v>
      </c>
      <c r="C25" s="233"/>
      <c r="D25" s="38"/>
      <c r="E25" s="213" t="str">
        <f>MID(AN25,FIND(" ",AN25,15)+1,100)</f>
        <v>Typical Details Sheet 1</v>
      </c>
      <c r="F25" s="38"/>
      <c r="G25" s="38" t="s">
        <v>97</v>
      </c>
      <c r="H25" s="38"/>
      <c r="I25" s="38"/>
      <c r="J25" s="38"/>
      <c r="K25" s="38"/>
      <c r="L25" s="38"/>
      <c r="M25" s="38"/>
      <c r="N25" s="38"/>
      <c r="O25" s="38"/>
      <c r="P25" s="383"/>
      <c r="Q25" s="38"/>
      <c r="R25" s="38"/>
      <c r="S25" s="38">
        <v>0</v>
      </c>
      <c r="T25" s="38" t="s">
        <v>98</v>
      </c>
      <c r="U25" s="40"/>
      <c r="V25" s="40"/>
      <c r="W25" s="40" t="str" cm="1">
        <f t="array" ref="W25">IF(A25&lt;&gt;"",_xlfn.XLOOKUP(_xlfn.XLOOKUP(TRUE,F25:P25&lt;&gt;"",F25:P25,"-",-1,-1),F25:P25,$F$6:$P$6,,,-1),"")</f>
        <v>For Bid</v>
      </c>
      <c r="X25" s="278"/>
      <c r="Y25" s="171"/>
      <c r="Z25" s="141" t="s">
        <v>117</v>
      </c>
      <c r="AA25" s="55" t="s">
        <v>826</v>
      </c>
      <c r="AB25" s="55" t="s">
        <v>827</v>
      </c>
      <c r="AC25" s="55" t="s">
        <v>828</v>
      </c>
      <c r="AD25" s="52"/>
      <c r="AE25" s="56"/>
      <c r="AF25" s="51"/>
      <c r="AG25" s="56"/>
      <c r="AH25" s="51"/>
      <c r="AI25" s="56"/>
      <c r="AJ25" s="51"/>
      <c r="AK25" s="56"/>
      <c r="AL25" s="51"/>
      <c r="AM25" s="37"/>
      <c r="AN25" s="37" t="s">
        <v>842</v>
      </c>
      <c r="AO25" s="37"/>
      <c r="AP25" s="37"/>
      <c r="AQ25" s="37"/>
      <c r="AR25" s="37"/>
      <c r="AS25" s="37"/>
      <c r="AT25" s="37"/>
      <c r="AU25" s="37"/>
      <c r="AV25" s="37"/>
      <c r="AW25" s="37"/>
      <c r="AX25" s="37"/>
    </row>
    <row r="26" spans="1:50" s="50" customFormat="1" ht="15" customHeight="1" outlineLevel="1">
      <c r="A26" s="37" t="str">
        <f t="shared" si="0"/>
        <v>18043-LMBMS 08514</v>
      </c>
      <c r="B26" s="38" t="s">
        <v>94</v>
      </c>
      <c r="C26" s="233"/>
      <c r="D26" s="38"/>
      <c r="E26" s="213" t="str">
        <f t="shared" ref="E26:E28" si="2">MID(AN26,FIND(" ",AN26,15)+1,100)</f>
        <v>Typical Details Sheet 2</v>
      </c>
      <c r="F26" s="38"/>
      <c r="G26" s="38" t="s">
        <v>97</v>
      </c>
      <c r="H26" s="38"/>
      <c r="I26" s="38"/>
      <c r="J26" s="38"/>
      <c r="K26" s="38"/>
      <c r="L26" s="38"/>
      <c r="M26" s="38"/>
      <c r="N26" s="38"/>
      <c r="O26" s="38"/>
      <c r="P26" s="383"/>
      <c r="Q26" s="38"/>
      <c r="R26" s="38"/>
      <c r="S26" s="38">
        <v>0</v>
      </c>
      <c r="T26" s="38" t="s">
        <v>98</v>
      </c>
      <c r="U26" s="40"/>
      <c r="V26" s="40"/>
      <c r="W26" s="40" t="str" cm="1">
        <f t="array" ref="W26">IF(A26&lt;&gt;"",_xlfn.XLOOKUP(_xlfn.XLOOKUP(TRUE,F26:P26&lt;&gt;"",F26:P26,"-",-1,-1),F26:P26,$F$6:$P$6,,,-1),"")</f>
        <v>For Bid</v>
      </c>
      <c r="X26" s="278"/>
      <c r="Y26" s="171"/>
      <c r="Z26" s="141" t="s">
        <v>117</v>
      </c>
      <c r="AA26" s="55" t="s">
        <v>826</v>
      </c>
      <c r="AB26" s="55" t="s">
        <v>827</v>
      </c>
      <c r="AC26" s="55" t="s">
        <v>828</v>
      </c>
      <c r="AD26" s="52"/>
      <c r="AE26" s="56"/>
      <c r="AF26" s="51"/>
      <c r="AG26" s="56"/>
      <c r="AH26" s="51"/>
      <c r="AI26" s="56"/>
      <c r="AJ26" s="51"/>
      <c r="AK26" s="56"/>
      <c r="AL26" s="51"/>
      <c r="AM26" s="37"/>
      <c r="AN26" s="37" t="s">
        <v>843</v>
      </c>
      <c r="AO26" s="37"/>
      <c r="AP26" s="37"/>
      <c r="AQ26" s="37"/>
      <c r="AR26" s="37"/>
      <c r="AS26" s="37"/>
      <c r="AT26" s="37"/>
      <c r="AU26" s="37"/>
      <c r="AV26" s="37"/>
      <c r="AW26" s="37"/>
      <c r="AX26" s="37"/>
    </row>
    <row r="27" spans="1:50" s="50" customFormat="1" ht="15" customHeight="1" outlineLevel="1">
      <c r="A27" s="37" t="str">
        <f t="shared" si="0"/>
        <v>18043-LMBMS 08515</v>
      </c>
      <c r="B27" s="38" t="s">
        <v>94</v>
      </c>
      <c r="C27" s="233"/>
      <c r="D27" s="38"/>
      <c r="E27" s="213" t="str">
        <f t="shared" si="2"/>
        <v>Typical Details Sheet 3</v>
      </c>
      <c r="F27" s="38"/>
      <c r="G27" s="38" t="s">
        <v>97</v>
      </c>
      <c r="H27" s="38"/>
      <c r="I27" s="38"/>
      <c r="J27" s="38"/>
      <c r="K27" s="38"/>
      <c r="L27" s="38"/>
      <c r="M27" s="38"/>
      <c r="N27" s="38"/>
      <c r="O27" s="38"/>
      <c r="P27" s="383"/>
      <c r="Q27" s="38"/>
      <c r="R27" s="38"/>
      <c r="S27" s="38">
        <v>0</v>
      </c>
      <c r="T27" s="38" t="s">
        <v>98</v>
      </c>
      <c r="U27" s="40"/>
      <c r="V27" s="40"/>
      <c r="W27" s="40" t="str" cm="1">
        <f t="array" ref="W27">IF(A27&lt;&gt;"",_xlfn.XLOOKUP(_xlfn.XLOOKUP(TRUE,F27:P27&lt;&gt;"",F27:P27,"-",-1,-1),F27:P27,$F$6:$P$6,,,-1),"")</f>
        <v>For Bid</v>
      </c>
      <c r="X27" s="278"/>
      <c r="Y27" s="171"/>
      <c r="Z27" s="141" t="s">
        <v>117</v>
      </c>
      <c r="AA27" s="55" t="s">
        <v>826</v>
      </c>
      <c r="AB27" s="55" t="s">
        <v>827</v>
      </c>
      <c r="AC27" s="55" t="s">
        <v>828</v>
      </c>
      <c r="AD27" s="52"/>
      <c r="AE27" s="56"/>
      <c r="AF27" s="51"/>
      <c r="AG27" s="56"/>
      <c r="AH27" s="51"/>
      <c r="AI27" s="56"/>
      <c r="AJ27" s="51"/>
      <c r="AK27" s="56"/>
      <c r="AL27" s="51"/>
      <c r="AM27" s="37"/>
      <c r="AN27" s="37" t="s">
        <v>844</v>
      </c>
      <c r="AO27" s="37"/>
      <c r="AP27" s="37"/>
      <c r="AQ27" s="37"/>
      <c r="AR27" s="37"/>
      <c r="AS27" s="37"/>
      <c r="AT27" s="37"/>
      <c r="AU27" s="37"/>
      <c r="AV27" s="37"/>
      <c r="AW27" s="37"/>
      <c r="AX27" s="37"/>
    </row>
    <row r="28" spans="1:50" s="50" customFormat="1" ht="15" customHeight="1" outlineLevel="1">
      <c r="A28" s="37" t="str">
        <f t="shared" si="0"/>
        <v>18043-LMBMS 08517</v>
      </c>
      <c r="B28" s="38" t="s">
        <v>94</v>
      </c>
      <c r="C28" s="233"/>
      <c r="D28" s="38"/>
      <c r="E28" s="213" t="str">
        <f t="shared" si="2"/>
        <v>Fluids Abbreviation and General Note</v>
      </c>
      <c r="F28" s="38"/>
      <c r="G28" s="38" t="s">
        <v>97</v>
      </c>
      <c r="H28" s="38"/>
      <c r="I28" s="38"/>
      <c r="J28" s="38"/>
      <c r="K28" s="38"/>
      <c r="L28" s="38"/>
      <c r="M28" s="38"/>
      <c r="N28" s="38"/>
      <c r="O28" s="38"/>
      <c r="P28" s="383"/>
      <c r="Q28" s="38"/>
      <c r="R28" s="38"/>
      <c r="S28" s="38">
        <v>0</v>
      </c>
      <c r="T28" s="38" t="s">
        <v>98</v>
      </c>
      <c r="U28" s="40"/>
      <c r="V28" s="40"/>
      <c r="W28" s="40" t="str" cm="1">
        <f t="array" ref="W28">IF(A28&lt;&gt;"",_xlfn.XLOOKUP(_xlfn.XLOOKUP(TRUE,F28:P28&lt;&gt;"",F28:P28,"-",-1,-1),F28:P28,$F$6:$P$6,,,-1),"")</f>
        <v>For Bid</v>
      </c>
      <c r="X28" s="278"/>
      <c r="Y28" s="171"/>
      <c r="Z28" s="141" t="s">
        <v>117</v>
      </c>
      <c r="AA28" s="55" t="s">
        <v>826</v>
      </c>
      <c r="AB28" s="55" t="s">
        <v>827</v>
      </c>
      <c r="AC28" s="55" t="s">
        <v>828</v>
      </c>
      <c r="AD28" s="52"/>
      <c r="AE28" s="56"/>
      <c r="AF28" s="51"/>
      <c r="AG28" s="56"/>
      <c r="AH28" s="51"/>
      <c r="AI28" s="56"/>
      <c r="AJ28" s="51"/>
      <c r="AK28" s="56"/>
      <c r="AL28" s="51"/>
      <c r="AM28" s="37"/>
      <c r="AN28" s="37" t="s">
        <v>845</v>
      </c>
      <c r="AO28" s="37"/>
      <c r="AP28" s="37"/>
      <c r="AQ28" s="37"/>
      <c r="AR28" s="37"/>
      <c r="AS28" s="37"/>
      <c r="AT28" s="37"/>
      <c r="AU28" s="37"/>
      <c r="AV28" s="37"/>
      <c r="AW28" s="37"/>
      <c r="AX28" s="37"/>
    </row>
    <row r="29" spans="1:50" s="50" customFormat="1" ht="15" customHeight="1" outlineLevel="1">
      <c r="A29" s="37"/>
      <c r="B29" s="38"/>
      <c r="C29" s="233"/>
      <c r="D29" s="38"/>
      <c r="E29" s="213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3"/>
      <c r="Q29" s="38"/>
      <c r="R29" s="38"/>
      <c r="S29" s="38"/>
      <c r="T29" s="38"/>
      <c r="U29" s="40"/>
      <c r="V29" s="40"/>
      <c r="W29" s="40" t="str" cm="1">
        <f t="array" ref="W29">IF(A29&lt;&gt;"",_xlfn.XLOOKUP(_xlfn.XLOOKUP(TRUE,F29:P29&lt;&gt;"",F29:P29,"-",-1,-1),F29:P29,$F$6:$P$6,,,-1),"")</f>
        <v/>
      </c>
      <c r="X29" s="278"/>
      <c r="Y29" s="171"/>
      <c r="Z29" s="141"/>
      <c r="AA29" s="55"/>
      <c r="AB29" s="55"/>
      <c r="AC29" s="55"/>
      <c r="AD29" s="52"/>
      <c r="AE29" s="56"/>
      <c r="AF29" s="51"/>
      <c r="AG29" s="56"/>
      <c r="AH29" s="51"/>
      <c r="AI29" s="56"/>
      <c r="AJ29" s="51"/>
      <c r="AK29" s="56"/>
      <c r="AL29" s="51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</row>
    <row r="30" spans="1:50" s="50" customFormat="1" ht="15" customHeight="1" outlineLevel="1">
      <c r="A30" s="37" t="str">
        <f t="shared" si="0"/>
        <v>18043-LMBMS 09301</v>
      </c>
      <c r="B30" s="38" t="s">
        <v>94</v>
      </c>
      <c r="C30" s="233"/>
      <c r="D30" s="38"/>
      <c r="E30" s="213" t="str">
        <f>MID(AN30,FIND(" ",AN30,15)+1,100)</f>
        <v>Control Unit and Wiring Typical Details Sheet 1</v>
      </c>
      <c r="F30" s="38"/>
      <c r="G30" s="38" t="s">
        <v>97</v>
      </c>
      <c r="H30" s="38"/>
      <c r="I30" s="38"/>
      <c r="J30" s="38"/>
      <c r="K30" s="38"/>
      <c r="L30" s="38"/>
      <c r="M30" s="38"/>
      <c r="N30" s="38"/>
      <c r="O30" s="38"/>
      <c r="P30" s="383"/>
      <c r="Q30" s="38"/>
      <c r="R30" s="38"/>
      <c r="S30" s="38">
        <v>0</v>
      </c>
      <c r="T30" s="38" t="s">
        <v>846</v>
      </c>
      <c r="U30" s="40"/>
      <c r="V30" s="40"/>
      <c r="W30" s="40" t="str" cm="1">
        <f t="array" ref="W30">IF(A30&lt;&gt;"",_xlfn.XLOOKUP(_xlfn.XLOOKUP(TRUE,F30:P30&lt;&gt;"",F30:P30,"-",-1,-1),F30:P30,$F$6:$P$6,,,-1),"")</f>
        <v>For Bid</v>
      </c>
      <c r="X30" s="278"/>
      <c r="Y30" s="171"/>
      <c r="Z30" s="141" t="s">
        <v>117</v>
      </c>
      <c r="AA30" s="55" t="s">
        <v>826</v>
      </c>
      <c r="AB30" s="55" t="s">
        <v>827</v>
      </c>
      <c r="AC30" s="55" t="s">
        <v>828</v>
      </c>
      <c r="AD30" s="52"/>
      <c r="AE30" s="56"/>
      <c r="AF30" s="51"/>
      <c r="AG30" s="56"/>
      <c r="AH30" s="51"/>
      <c r="AI30" s="56"/>
      <c r="AJ30" s="51"/>
      <c r="AK30" s="56"/>
      <c r="AL30" s="51"/>
      <c r="AM30" s="37"/>
      <c r="AN30" s="37" t="s">
        <v>847</v>
      </c>
      <c r="AO30" s="37"/>
      <c r="AP30" s="37"/>
      <c r="AQ30" s="37"/>
      <c r="AR30" s="37"/>
      <c r="AS30" s="37"/>
      <c r="AT30" s="37"/>
      <c r="AU30" s="37"/>
      <c r="AV30" s="37"/>
      <c r="AW30" s="37"/>
      <c r="AX30" s="37"/>
    </row>
    <row r="31" spans="1:50" s="50" customFormat="1" ht="15" customHeight="1" outlineLevel="1">
      <c r="A31" s="37" t="s">
        <v>848</v>
      </c>
      <c r="B31" s="38" t="s">
        <v>94</v>
      </c>
      <c r="C31" s="233"/>
      <c r="D31" s="38"/>
      <c r="E31" s="213" t="s">
        <v>849</v>
      </c>
      <c r="F31" s="38"/>
      <c r="G31" s="38" t="s">
        <v>97</v>
      </c>
      <c r="H31" s="38"/>
      <c r="I31" s="38"/>
      <c r="J31" s="38"/>
      <c r="K31" s="38"/>
      <c r="L31" s="38"/>
      <c r="M31" s="38"/>
      <c r="N31" s="38"/>
      <c r="O31" s="38"/>
      <c r="P31" s="383"/>
      <c r="Q31" s="38"/>
      <c r="R31" s="38"/>
      <c r="S31" s="38">
        <v>0</v>
      </c>
      <c r="T31" s="38" t="s">
        <v>846</v>
      </c>
      <c r="U31" s="40"/>
      <c r="V31" s="40"/>
      <c r="W31" s="40" t="str" cm="1">
        <f t="array" ref="W31">IF(A31&lt;&gt;"",_xlfn.XLOOKUP(_xlfn.XLOOKUP(TRUE,F31:P31&lt;&gt;"",F31:P31,"-",-1,-1),F31:P31,$F$6:$P$6,,,-1),"")</f>
        <v>For Bid</v>
      </c>
      <c r="X31" s="278"/>
      <c r="Y31" s="171"/>
      <c r="Z31" s="141" t="s">
        <v>117</v>
      </c>
      <c r="AA31" s="55" t="s">
        <v>826</v>
      </c>
      <c r="AB31" s="55" t="s">
        <v>827</v>
      </c>
      <c r="AC31" s="55" t="s">
        <v>828</v>
      </c>
      <c r="AD31" s="52"/>
      <c r="AE31" s="56"/>
      <c r="AF31" s="51"/>
      <c r="AG31" s="56"/>
      <c r="AH31" s="51"/>
      <c r="AI31" s="56"/>
      <c r="AJ31" s="51"/>
      <c r="AK31" s="56"/>
      <c r="AL31" s="51"/>
      <c r="AM31" s="37"/>
      <c r="AN31" s="37" t="s">
        <v>850</v>
      </c>
      <c r="AO31" s="37"/>
      <c r="AP31" s="37"/>
      <c r="AQ31" s="37"/>
      <c r="AR31" s="37"/>
      <c r="AS31" s="37"/>
      <c r="AT31" s="37"/>
      <c r="AU31" s="37"/>
      <c r="AV31" s="37"/>
      <c r="AW31" s="37"/>
      <c r="AX31" s="37"/>
    </row>
    <row r="32" spans="1:50" s="50" customFormat="1" ht="15" customHeight="1" outlineLevel="1">
      <c r="A32" s="37"/>
      <c r="B32" s="38"/>
      <c r="C32" s="233"/>
      <c r="D32" s="38"/>
      <c r="E32" s="213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3"/>
      <c r="Q32" s="38"/>
      <c r="R32" s="38"/>
      <c r="S32" s="38"/>
      <c r="T32" s="38"/>
      <c r="U32" s="40"/>
      <c r="V32" s="40"/>
      <c r="W32" s="40" t="str" cm="1">
        <f t="array" ref="W32">IF(A32&lt;&gt;"",_xlfn.XLOOKUP(_xlfn.XLOOKUP(TRUE,F32:P32&lt;&gt;"",F32:P32,"-",-1,-1),F32:P32,$F$6:$P$6,,,-1),"")</f>
        <v/>
      </c>
      <c r="X32" s="278"/>
      <c r="Y32" s="171"/>
      <c r="Z32" s="141"/>
      <c r="AA32" s="55"/>
      <c r="AB32" s="55"/>
      <c r="AC32" s="55"/>
      <c r="AD32" s="52"/>
      <c r="AE32" s="56"/>
      <c r="AF32" s="51"/>
      <c r="AG32" s="56"/>
      <c r="AH32" s="51"/>
      <c r="AI32" s="56"/>
      <c r="AJ32" s="51"/>
      <c r="AK32" s="56"/>
      <c r="AL32" s="51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</row>
    <row r="33" spans="1:50" s="50" customFormat="1" ht="15" customHeight="1" outlineLevel="1">
      <c r="A33" s="37" t="str">
        <f>"18043-"&amp;LEFT(AN33,11)</f>
        <v>18043-LM000 08251</v>
      </c>
      <c r="B33" s="38" t="s">
        <v>94</v>
      </c>
      <c r="C33" s="233"/>
      <c r="D33" s="38"/>
      <c r="E33" s="213" t="str">
        <f>MID(AN33,FIND(" ",AN33,15)+1,100)</f>
        <v xml:space="preserve">Outside Building - Fire Protection System - Modification Plan </v>
      </c>
      <c r="F33" s="38" t="s">
        <v>97</v>
      </c>
      <c r="G33" s="38" t="s">
        <v>34</v>
      </c>
      <c r="H33" s="38" t="s">
        <v>34</v>
      </c>
      <c r="I33" s="38"/>
      <c r="J33" s="38" t="s">
        <v>31</v>
      </c>
      <c r="K33" s="38" t="s">
        <v>116</v>
      </c>
      <c r="L33" s="38"/>
      <c r="M33" s="38" t="s">
        <v>38</v>
      </c>
      <c r="N33" s="38" t="s">
        <v>28</v>
      </c>
      <c r="O33" s="364" t="s">
        <v>28</v>
      </c>
      <c r="P33" s="383"/>
      <c r="Q33" s="38"/>
      <c r="R33" s="38"/>
      <c r="S33" s="38">
        <v>0</v>
      </c>
      <c r="T33" s="38" t="s">
        <v>98</v>
      </c>
      <c r="U33" s="40"/>
      <c r="V33" s="308"/>
      <c r="W33" s="40" t="str" cm="1">
        <f t="array" ref="W33">IF(A33&lt;&gt;"",_xlfn.XLOOKUP(_xlfn.XLOOKUP(TRUE,F33:P33&lt;&gt;"",F33:P33,"-",-1,-1),F33:P33,$F$6:$P$6,,,-1),"")</f>
        <v>Permit</v>
      </c>
      <c r="X33" s="278"/>
      <c r="Y33" s="171"/>
      <c r="Z33" s="141" t="s">
        <v>117</v>
      </c>
      <c r="AA33" s="55" t="s">
        <v>826</v>
      </c>
      <c r="AB33" s="55" t="s">
        <v>827</v>
      </c>
      <c r="AC33" s="55" t="s">
        <v>828</v>
      </c>
      <c r="AD33" s="52"/>
      <c r="AE33" s="56"/>
      <c r="AF33" s="51"/>
      <c r="AG33" s="56"/>
      <c r="AH33" s="51"/>
      <c r="AI33" s="56"/>
      <c r="AJ33" s="51"/>
      <c r="AK33" s="56"/>
      <c r="AL33" s="51"/>
      <c r="AM33" s="37"/>
      <c r="AN33" s="37" t="s">
        <v>851</v>
      </c>
      <c r="AO33" s="37"/>
      <c r="AP33" s="37"/>
      <c r="AQ33" s="37"/>
      <c r="AR33" s="37"/>
      <c r="AS33" s="37"/>
      <c r="AT33" s="37"/>
      <c r="AU33" s="37" t="s">
        <v>852</v>
      </c>
      <c r="AV33" s="37"/>
      <c r="AW33" s="37"/>
      <c r="AX33" s="37"/>
    </row>
    <row r="34" spans="1:50" s="50" customFormat="1" ht="15" customHeight="1" outlineLevel="1">
      <c r="A34" s="37"/>
      <c r="B34" s="236"/>
      <c r="C34" s="37"/>
      <c r="D34" s="38"/>
      <c r="E34" s="213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3"/>
      <c r="Q34" s="38"/>
      <c r="R34" s="38"/>
      <c r="S34" s="38"/>
      <c r="T34" s="38"/>
      <c r="U34" s="40"/>
      <c r="V34" s="40"/>
      <c r="W34" s="40" t="str" cm="1">
        <f t="array" ref="W34">IF(A34&lt;&gt;"",_xlfn.XLOOKUP(_xlfn.XLOOKUP(TRUE,F34:P34&lt;&gt;"",F34:P34,"-",-1,-1),F34:P34,$F$6:$P$6,,,-1),"")</f>
        <v/>
      </c>
      <c r="X34" s="278"/>
      <c r="Y34" s="171"/>
      <c r="Z34" s="141"/>
      <c r="AA34" s="55"/>
      <c r="AB34" s="55"/>
      <c r="AC34" s="55"/>
      <c r="AD34" s="52"/>
      <c r="AE34" s="56"/>
      <c r="AF34" s="51"/>
      <c r="AG34" s="56"/>
      <c r="AH34" s="51"/>
      <c r="AI34" s="56"/>
      <c r="AJ34" s="51"/>
      <c r="AK34" s="56"/>
      <c r="AL34" s="51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</row>
    <row r="35" spans="1:50" s="50" customFormat="1" ht="15" customHeight="1" outlineLevel="1">
      <c r="A35" s="37" t="str">
        <f t="shared" ref="A35" si="3">"18043-"&amp;LEFT(AN35,11)</f>
        <v>18043-LMBME 08553</v>
      </c>
      <c r="B35" s="38" t="s">
        <v>94</v>
      </c>
      <c r="C35" s="233"/>
      <c r="D35" s="38"/>
      <c r="E35" s="213" t="str">
        <f>MID(AN35,FIND(" ",AN35,15)+1,100)</f>
        <v xml:space="preserve">Main Pipe Racks Fluid Distribution Diagram </v>
      </c>
      <c r="F35" s="38" t="s">
        <v>97</v>
      </c>
      <c r="G35" s="38" t="s">
        <v>34</v>
      </c>
      <c r="H35" s="38"/>
      <c r="I35" s="38"/>
      <c r="J35" s="38" t="s">
        <v>31</v>
      </c>
      <c r="K35" s="38" t="s">
        <v>116</v>
      </c>
      <c r="L35" s="38"/>
      <c r="M35" s="38"/>
      <c r="N35" s="38" t="s">
        <v>38</v>
      </c>
      <c r="O35" s="38"/>
      <c r="P35" s="383"/>
      <c r="Q35" s="38"/>
      <c r="R35" s="466" t="s">
        <v>28</v>
      </c>
      <c r="S35" s="38">
        <v>0</v>
      </c>
      <c r="T35" s="38" t="s">
        <v>98</v>
      </c>
      <c r="U35" s="40"/>
      <c r="V35" s="308"/>
      <c r="W35" s="40" t="str" cm="1">
        <f t="array" ref="W35">IF(A35&lt;&gt;"",_xlfn.XLOOKUP(_xlfn.XLOOKUP(TRUE,F35:P35&lt;&gt;"",F35:P35,"-",-1,-1),F35:P35,$F$6:$P$6,,,-1),"")</f>
        <v>Add7</v>
      </c>
      <c r="X35" s="278" t="s">
        <v>853</v>
      </c>
      <c r="Y35" s="171"/>
      <c r="Z35" s="141" t="s">
        <v>117</v>
      </c>
      <c r="AA35" s="55" t="s">
        <v>826</v>
      </c>
      <c r="AB35" s="55" t="s">
        <v>827</v>
      </c>
      <c r="AC35" s="55" t="s">
        <v>828</v>
      </c>
      <c r="AD35" s="52"/>
      <c r="AE35" s="56"/>
      <c r="AF35" s="51"/>
      <c r="AG35" s="56"/>
      <c r="AH35" s="51"/>
      <c r="AI35" s="56"/>
      <c r="AJ35" s="51"/>
      <c r="AK35" s="56"/>
      <c r="AL35" s="51"/>
      <c r="AM35" s="37"/>
      <c r="AN35" s="37" t="s">
        <v>854</v>
      </c>
      <c r="AO35" s="37"/>
      <c r="AP35" s="37"/>
      <c r="AQ35" s="37"/>
      <c r="AR35" s="37"/>
      <c r="AS35" s="37"/>
      <c r="AT35" s="37"/>
      <c r="AU35" s="37"/>
      <c r="AV35" s="37"/>
      <c r="AW35" s="37"/>
      <c r="AX35" s="37"/>
    </row>
    <row r="36" spans="1:50" s="50" customFormat="1" ht="15" customHeight="1" outlineLevel="1">
      <c r="A36" s="37"/>
      <c r="B36" s="38"/>
      <c r="C36" s="233"/>
      <c r="D36" s="38"/>
      <c r="E36" s="213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3"/>
      <c r="Q36" s="38"/>
      <c r="R36" s="38"/>
      <c r="S36" s="38"/>
      <c r="T36" s="38"/>
      <c r="U36" s="40"/>
      <c r="V36" s="40"/>
      <c r="W36" s="40" t="str" cm="1">
        <f t="array" ref="W36">IF(A36&lt;&gt;"",_xlfn.XLOOKUP(_xlfn.XLOOKUP(TRUE,F36:P36&lt;&gt;"",F36:P36,"-",-1,-1),F36:P36,$F$6:$P$6,,,-1),"")</f>
        <v/>
      </c>
      <c r="X36" s="278"/>
      <c r="Y36" s="171"/>
      <c r="Z36" s="141"/>
      <c r="AA36" s="55"/>
      <c r="AB36" s="55"/>
      <c r="AC36" s="55"/>
      <c r="AD36" s="52"/>
      <c r="AE36" s="56"/>
      <c r="AF36" s="51"/>
      <c r="AG36" s="56"/>
      <c r="AH36" s="51"/>
      <c r="AI36" s="56"/>
      <c r="AJ36" s="51"/>
      <c r="AK36" s="56"/>
      <c r="AL36" s="51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</row>
    <row r="37" spans="1:50" s="50" customFormat="1" ht="15" customHeight="1" outlineLevel="1">
      <c r="A37" s="37"/>
      <c r="B37" s="38"/>
      <c r="C37" s="233"/>
      <c r="D37" s="38"/>
      <c r="E37" s="213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3"/>
      <c r="Q37" s="38"/>
      <c r="R37" s="38"/>
      <c r="S37" s="38"/>
      <c r="T37" s="38"/>
      <c r="U37" s="40"/>
      <c r="V37" s="40"/>
      <c r="W37" s="40"/>
      <c r="X37" s="278"/>
      <c r="Y37" s="171"/>
      <c r="Z37" s="141"/>
      <c r="AA37" s="55"/>
      <c r="AB37" s="55"/>
      <c r="AC37" s="55"/>
      <c r="AD37" s="52"/>
      <c r="AE37" s="56"/>
      <c r="AF37" s="51"/>
      <c r="AG37" s="56"/>
      <c r="AH37" s="51"/>
      <c r="AI37" s="56"/>
      <c r="AJ37" s="51"/>
      <c r="AK37" s="56"/>
      <c r="AL37" s="51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</row>
    <row r="38" spans="1:50" s="50" customFormat="1" ht="15" customHeight="1" outlineLevel="1">
      <c r="A38" s="37"/>
      <c r="B38" s="38"/>
      <c r="C38" s="233"/>
      <c r="D38" s="38"/>
      <c r="E38" s="213"/>
      <c r="F38" s="38"/>
      <c r="G38" s="38"/>
      <c r="H38" s="38"/>
      <c r="I38" s="38"/>
      <c r="J38" s="38"/>
      <c r="K38" s="38"/>
      <c r="L38" s="38"/>
      <c r="M38" s="37"/>
      <c r="N38" s="37"/>
      <c r="O38" s="37"/>
      <c r="P38" s="390"/>
      <c r="Q38" s="37"/>
      <c r="R38" s="37"/>
      <c r="S38" s="37"/>
      <c r="T38" s="38"/>
      <c r="U38" s="40"/>
      <c r="V38" s="40"/>
      <c r="W38" s="40"/>
      <c r="X38" s="278"/>
      <c r="Y38" s="171"/>
      <c r="Z38" s="141"/>
      <c r="AA38" s="55"/>
      <c r="AB38" s="55"/>
      <c r="AC38" s="55"/>
      <c r="AD38" s="52"/>
      <c r="AE38" s="56"/>
      <c r="AF38" s="51"/>
      <c r="AG38" s="56"/>
      <c r="AH38" s="51"/>
      <c r="AI38" s="56"/>
      <c r="AJ38" s="51"/>
      <c r="AK38" s="56"/>
      <c r="AL38" s="51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</row>
    <row r="39" spans="1:50" s="50" customFormat="1" ht="15" customHeight="1" thickBot="1">
      <c r="A39" s="41"/>
      <c r="B39" s="38"/>
      <c r="C39" s="233"/>
      <c r="D39" s="38"/>
      <c r="E39" s="43" t="str">
        <f>"SUB-TOTAL "&amp;UPPER(A9)&amp;" DRAWINGS"</f>
        <v>SUB-TOTAL GENERAL DRAWING DRAWINGS</v>
      </c>
      <c r="F39" s="133">
        <f t="shared" ref="F39:L39" si="4">COUNTA(F10:F38)</f>
        <v>2</v>
      </c>
      <c r="G39" s="133">
        <f t="shared" si="4"/>
        <v>20</v>
      </c>
      <c r="H39" s="133">
        <f t="shared" si="4"/>
        <v>1</v>
      </c>
      <c r="I39" s="133">
        <f t="shared" si="4"/>
        <v>0</v>
      </c>
      <c r="J39" s="133">
        <f t="shared" si="4"/>
        <v>3</v>
      </c>
      <c r="K39" s="133">
        <f t="shared" si="4"/>
        <v>2</v>
      </c>
      <c r="L39" s="133">
        <f t="shared" si="4"/>
        <v>0</v>
      </c>
      <c r="M39" s="133">
        <f>COUNTA(M10:M37)</f>
        <v>1</v>
      </c>
      <c r="N39" s="133">
        <f>COUNTA(N10:N37)</f>
        <v>3</v>
      </c>
      <c r="O39" s="133"/>
      <c r="P39" s="473">
        <f>COUNTA(P10:P37)</f>
        <v>0</v>
      </c>
      <c r="Q39" s="133">
        <f>COUNTA(Q10:Q37)</f>
        <v>0</v>
      </c>
      <c r="R39" s="133">
        <f>COUNTA(R10:R37)</f>
        <v>1</v>
      </c>
      <c r="S39" s="133">
        <f>COUNTA(S10:S37)</f>
        <v>20</v>
      </c>
      <c r="T39"/>
      <c r="U39" s="36"/>
      <c r="V39" s="36"/>
      <c r="W39" s="36"/>
      <c r="X39" s="275"/>
      <c r="Y39" s="172"/>
      <c r="Z39" s="55"/>
      <c r="AA39" s="55"/>
      <c r="AB39" s="55"/>
      <c r="AC39" s="55"/>
      <c r="AD39" s="52"/>
      <c r="AE39" s="56"/>
      <c r="AF39" s="51"/>
      <c r="AG39" s="56"/>
      <c r="AH39" s="51"/>
      <c r="AI39" s="56"/>
      <c r="AJ39" s="51"/>
      <c r="AK39" s="56"/>
      <c r="AL39" s="51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</row>
    <row r="40" spans="1:50" s="77" customFormat="1" ht="15" thickTop="1">
      <c r="A40" s="33"/>
      <c r="B40" s="38"/>
      <c r="C40" s="41"/>
      <c r="D40" s="36"/>
      <c r="E40" s="78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474"/>
      <c r="Q40" s="36"/>
      <c r="R40" s="36"/>
      <c r="S40" s="36"/>
      <c r="T40" s="36"/>
      <c r="U40" s="36"/>
      <c r="V40" s="36"/>
      <c r="W40" s="36"/>
      <c r="X40" s="275"/>
      <c r="Y40" s="63"/>
      <c r="Z40" s="64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</row>
    <row r="41" spans="1:50" s="50" customFormat="1" ht="18" customHeight="1">
      <c r="A41" s="32" t="s">
        <v>189</v>
      </c>
      <c r="B41" s="235"/>
      <c r="C41" s="32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472"/>
      <c r="Q41" s="11"/>
      <c r="R41" s="11"/>
      <c r="S41" s="11"/>
      <c r="T41" s="11"/>
      <c r="U41" s="11"/>
      <c r="V41" s="11"/>
      <c r="W41" s="11"/>
      <c r="X41" s="277"/>
      <c r="Y41" s="170"/>
      <c r="Z41" s="53"/>
      <c r="AA41" s="53"/>
      <c r="AB41" s="53"/>
      <c r="AC41" s="53"/>
      <c r="AD41" s="54"/>
      <c r="AE41" s="79"/>
      <c r="AF41" s="51"/>
      <c r="AG41" s="79"/>
      <c r="AH41" s="51"/>
      <c r="AI41" s="51"/>
      <c r="AJ41" s="51"/>
      <c r="AK41" s="51"/>
      <c r="AL41" s="51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</row>
    <row r="42" spans="1:50" s="50" customFormat="1" outlineLevel="1">
      <c r="A42" s="37" t="str">
        <f>"18043-"&amp;LEFT(AN42,11)</f>
        <v>18043-LM000 08253</v>
      </c>
      <c r="B42" s="38" t="s">
        <v>94</v>
      </c>
      <c r="C42" s="233"/>
      <c r="D42" s="38"/>
      <c r="E42" s="213" t="str">
        <f>MID(AN42,FIND(" ",AN42,15)+1,100)</f>
        <v>Covered Passageway (190-642) - Fire Protection Plan &amp; Sections</v>
      </c>
      <c r="F42" s="38"/>
      <c r="G42" s="38"/>
      <c r="H42" s="38"/>
      <c r="I42" s="38" t="s">
        <v>97</v>
      </c>
      <c r="J42" s="38"/>
      <c r="K42" s="38"/>
      <c r="L42" s="38"/>
      <c r="M42" s="38"/>
      <c r="N42" s="38"/>
      <c r="O42" s="38"/>
      <c r="P42" s="383"/>
      <c r="Q42" s="38"/>
      <c r="R42" s="38"/>
      <c r="S42" s="38">
        <v>0</v>
      </c>
      <c r="T42" s="38" t="s">
        <v>98</v>
      </c>
      <c r="U42" s="38"/>
      <c r="V42" s="38"/>
      <c r="W42" s="40" t="str" cm="1">
        <f t="array" ref="W42">IF(A42&lt;&gt;"",_xlfn.XLOOKUP(_xlfn.XLOOKUP(TRUE,F42:P42&lt;&gt;"",F42:P42,"-",-1,-1),F42:P42,$F$6:$P$6,,,-1),"")</f>
        <v>Add1</v>
      </c>
      <c r="X42" s="233"/>
      <c r="Y42" s="171"/>
      <c r="Z42" s="141"/>
      <c r="AA42" s="55" t="s">
        <v>826</v>
      </c>
      <c r="AB42" s="264" t="s">
        <v>855</v>
      </c>
      <c r="AC42" s="55" t="s">
        <v>828</v>
      </c>
      <c r="AD42" s="55"/>
      <c r="AE42" s="56"/>
      <c r="AF42" s="51"/>
      <c r="AG42" s="56"/>
      <c r="AH42" s="51"/>
      <c r="AI42" s="56"/>
      <c r="AJ42" s="51"/>
      <c r="AK42" s="56"/>
      <c r="AL42" s="51"/>
      <c r="AM42" s="37"/>
      <c r="AN42" s="37" t="s">
        <v>856</v>
      </c>
      <c r="AO42" s="37"/>
      <c r="AP42" s="37"/>
      <c r="AQ42" s="37"/>
      <c r="AR42" s="37"/>
      <c r="AS42" s="37"/>
      <c r="AT42" s="37"/>
      <c r="AU42" s="37"/>
      <c r="AV42" s="37"/>
      <c r="AW42" s="37"/>
      <c r="AX42" s="37"/>
    </row>
    <row r="43" spans="1:50" s="50" customFormat="1" outlineLevel="1">
      <c r="A43" s="37" t="str">
        <f>"18043-"&amp;LEFT(AN43,11)</f>
        <v>18043-LM000 08504</v>
      </c>
      <c r="B43" s="38" t="s">
        <v>94</v>
      </c>
      <c r="C43" s="233"/>
      <c r="D43" s="38"/>
      <c r="E43" s="213" t="str">
        <f>MID(AN43,FIND(" ",AN43,15)+1,100)</f>
        <v>Bladder Post, AFC Workshop &amp; TBM Workshop - Piping Plans &amp; Details</v>
      </c>
      <c r="F43" s="38" t="s">
        <v>97</v>
      </c>
      <c r="G43" s="38" t="s">
        <v>34</v>
      </c>
      <c r="H43" s="38"/>
      <c r="I43" s="38"/>
      <c r="J43" s="38"/>
      <c r="K43" s="38"/>
      <c r="L43" s="38"/>
      <c r="M43" s="38"/>
      <c r="N43" s="38"/>
      <c r="O43" s="38"/>
      <c r="P43" s="383"/>
      <c r="Q43" s="38"/>
      <c r="R43" s="38"/>
      <c r="S43" s="38">
        <v>0</v>
      </c>
      <c r="T43" s="38" t="s">
        <v>98</v>
      </c>
      <c r="U43" s="38"/>
      <c r="V43" s="38"/>
      <c r="W43" s="40" t="str" cm="1">
        <f t="array" ref="W43">IF(A43&lt;&gt;"",_xlfn.XLOOKUP(_xlfn.XLOOKUP(TRUE,F43:P43&lt;&gt;"",F43:P43,"-",-1,-1),F43:P43,$F$6:$P$6,,,-1),"")</f>
        <v>For Bid</v>
      </c>
      <c r="X43" s="233"/>
      <c r="Y43" s="171"/>
      <c r="Z43" s="141"/>
      <c r="AA43" s="55" t="s">
        <v>826</v>
      </c>
      <c r="AB43" s="55" t="s">
        <v>827</v>
      </c>
      <c r="AC43" s="55" t="s">
        <v>828</v>
      </c>
      <c r="AD43" s="55"/>
      <c r="AE43" s="56"/>
      <c r="AF43" s="51"/>
      <c r="AG43" s="56"/>
      <c r="AH43" s="51"/>
      <c r="AI43" s="56"/>
      <c r="AJ43" s="51"/>
      <c r="AK43" s="56"/>
      <c r="AL43" s="51"/>
      <c r="AM43" s="37"/>
      <c r="AN43" s="37" t="s">
        <v>857</v>
      </c>
      <c r="AO43" s="37"/>
      <c r="AP43" s="37"/>
      <c r="AQ43" s="37"/>
      <c r="AR43" s="37"/>
      <c r="AS43" s="37"/>
      <c r="AT43" s="37"/>
      <c r="AU43" s="37"/>
      <c r="AV43" s="37"/>
      <c r="AW43" s="37"/>
      <c r="AX43" s="37"/>
    </row>
    <row r="44" spans="1:50" s="50" customFormat="1" ht="15" customHeight="1" outlineLevel="1">
      <c r="A44" s="37" t="str">
        <f t="shared" ref="A44" si="5">"18043-"&amp;LEFT(AN44,11)</f>
        <v>18043-LMBME 08560</v>
      </c>
      <c r="B44" s="38" t="s">
        <v>94</v>
      </c>
      <c r="C44" s="233"/>
      <c r="D44" s="38"/>
      <c r="E44" s="213" t="str">
        <f>MID(AN44,FIND(" ",AN44,15)+1,100)</f>
        <v>Main Pipes Rack Piping Layout</v>
      </c>
      <c r="F44" s="38" t="s">
        <v>97</v>
      </c>
      <c r="G44" s="38" t="s">
        <v>34</v>
      </c>
      <c r="H44" s="38" t="s">
        <v>31</v>
      </c>
      <c r="I44" s="38"/>
      <c r="J44" s="38" t="s">
        <v>31</v>
      </c>
      <c r="K44" s="38" t="s">
        <v>116</v>
      </c>
      <c r="L44" s="38"/>
      <c r="M44" s="38"/>
      <c r="N44" s="38" t="s">
        <v>38</v>
      </c>
      <c r="O44" s="364" t="s">
        <v>38</v>
      </c>
      <c r="P44" s="383"/>
      <c r="Q44" s="38" t="s">
        <v>28</v>
      </c>
      <c r="R44" s="466" t="s">
        <v>289</v>
      </c>
      <c r="S44" s="38">
        <v>0</v>
      </c>
      <c r="T44" s="38" t="s">
        <v>98</v>
      </c>
      <c r="U44" s="38"/>
      <c r="V44" s="308"/>
      <c r="W44" s="40" t="str" cm="1">
        <f t="array" ref="W44">IF(A44&lt;&gt;"",_xlfn.XLOOKUP(_xlfn.XLOOKUP(TRUE,F44:P44&lt;&gt;"",F44:P44,"-",-1,-1),F44:P44,$F$6:$P$6,,,-1),"")</f>
        <v>Permit</v>
      </c>
      <c r="X44" s="278" t="s">
        <v>858</v>
      </c>
      <c r="Y44" s="171"/>
      <c r="Z44" s="141"/>
      <c r="AA44" s="55" t="s">
        <v>826</v>
      </c>
      <c r="AB44" s="55" t="s">
        <v>827</v>
      </c>
      <c r="AC44" s="55" t="s">
        <v>828</v>
      </c>
      <c r="AD44" s="55"/>
      <c r="AE44" s="56"/>
      <c r="AF44" s="51"/>
      <c r="AG44" s="56"/>
      <c r="AH44" s="51"/>
      <c r="AI44" s="56"/>
      <c r="AJ44" s="51"/>
      <c r="AK44" s="56"/>
      <c r="AL44" s="51"/>
      <c r="AM44" s="37"/>
      <c r="AN44" s="37" t="s">
        <v>859</v>
      </c>
      <c r="AO44" s="37"/>
      <c r="AP44" s="37"/>
      <c r="AQ44" s="37"/>
      <c r="AR44" s="37"/>
      <c r="AS44" s="37"/>
      <c r="AT44" s="37"/>
      <c r="AU44" s="37"/>
      <c r="AV44" s="37"/>
      <c r="AW44" s="37"/>
      <c r="AX44" s="37"/>
    </row>
    <row r="45" spans="1:50" s="50" customFormat="1" ht="18" customHeight="1" outlineLevel="1">
      <c r="A45" s="37"/>
      <c r="B45" s="38"/>
      <c r="C45" s="233"/>
      <c r="D45" s="38"/>
      <c r="E45" s="213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3"/>
      <c r="Q45" s="38"/>
      <c r="R45" s="38"/>
      <c r="S45" s="38"/>
      <c r="T45" s="38"/>
      <c r="U45" s="38"/>
      <c r="V45" s="38"/>
      <c r="W45" s="40" t="str" cm="1">
        <f t="array" ref="W45">IF(A45&lt;&gt;"",_xlfn.XLOOKUP(_xlfn.XLOOKUP(TRUE,F45:P45&lt;&gt;"",F45:P45,"-",-1,-1),F45:P45,$F$6:$P$6,,,-1),"")</f>
        <v/>
      </c>
      <c r="X45" s="233"/>
      <c r="Y45" s="171"/>
      <c r="Z45" s="141"/>
      <c r="AA45" s="55"/>
      <c r="AB45" s="52"/>
      <c r="AC45" s="52"/>
      <c r="AD45" s="52"/>
      <c r="AE45" s="56"/>
      <c r="AF45" s="51"/>
      <c r="AG45" s="56"/>
      <c r="AH45" s="51"/>
      <c r="AI45" s="56"/>
      <c r="AJ45" s="51"/>
      <c r="AK45" s="56"/>
      <c r="AL45" s="51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</row>
    <row r="46" spans="1:50" s="50" customFormat="1" ht="15" customHeight="1" outlineLevel="1">
      <c r="A46" s="37" t="str">
        <f t="shared" ref="A46:A50" si="6">"18043-"&amp;LEFT(AN46,11)</f>
        <v>18043-LM103 08201</v>
      </c>
      <c r="B46" s="38" t="s">
        <v>94</v>
      </c>
      <c r="C46" s="233"/>
      <c r="D46" s="38"/>
      <c r="E46" s="213" t="str">
        <f>MID(AN46,FIND(" ",AN46,15)+1,100)</f>
        <v>Fire Water System - Plans</v>
      </c>
      <c r="F46" s="38" t="s">
        <v>97</v>
      </c>
      <c r="G46" s="38" t="s">
        <v>34</v>
      </c>
      <c r="H46" s="38"/>
      <c r="I46" s="38"/>
      <c r="J46" s="38"/>
      <c r="K46" s="38"/>
      <c r="L46" s="38"/>
      <c r="M46" s="38"/>
      <c r="N46" s="38"/>
      <c r="O46" s="38"/>
      <c r="P46" s="383"/>
      <c r="Q46" s="38"/>
      <c r="R46" s="466" t="s">
        <v>31</v>
      </c>
      <c r="S46" s="38">
        <v>0</v>
      </c>
      <c r="T46" s="38" t="s">
        <v>98</v>
      </c>
      <c r="U46" s="40"/>
      <c r="V46" s="40"/>
      <c r="W46" s="40" t="str" cm="1">
        <f t="array" ref="W46">IF(A46&lt;&gt;"",_xlfn.XLOOKUP(_xlfn.XLOOKUP(TRUE,F46:P46&lt;&gt;"",F46:P46,"-",-1,-1),F46:P46,$F$6:$P$6,,,-1),"")</f>
        <v>For Bid</v>
      </c>
      <c r="X46" s="278"/>
      <c r="Y46" s="171"/>
      <c r="Z46" s="141"/>
      <c r="AA46" s="55" t="s">
        <v>826</v>
      </c>
      <c r="AB46" s="55" t="s">
        <v>860</v>
      </c>
      <c r="AC46" s="55" t="s">
        <v>828</v>
      </c>
      <c r="AD46" s="55"/>
      <c r="AE46" s="56"/>
      <c r="AF46" s="51"/>
      <c r="AG46" s="56"/>
      <c r="AH46" s="51"/>
      <c r="AI46" s="56"/>
      <c r="AJ46" s="51"/>
      <c r="AK46" s="56"/>
      <c r="AL46" s="51"/>
      <c r="AM46" s="37"/>
      <c r="AN46" s="37" t="s">
        <v>861</v>
      </c>
      <c r="AO46" s="37"/>
      <c r="AP46" s="37"/>
      <c r="AQ46" s="37"/>
      <c r="AR46" s="37"/>
      <c r="AS46" s="37"/>
      <c r="AT46" s="37"/>
      <c r="AU46" s="37"/>
      <c r="AV46" s="37"/>
      <c r="AW46" s="37"/>
      <c r="AX46" s="37"/>
    </row>
    <row r="47" spans="1:50" s="50" customFormat="1" ht="15" customHeight="1" outlineLevel="1">
      <c r="A47" s="37" t="str">
        <f t="shared" si="6"/>
        <v>18043-LM103 08202</v>
      </c>
      <c r="B47" s="38" t="s">
        <v>94</v>
      </c>
      <c r="C47" s="233"/>
      <c r="D47" s="38"/>
      <c r="E47" s="213" t="str">
        <f>MID(AN47,FIND(" ",AN47,15)+1,100)</f>
        <v>Fire Water System - Sections</v>
      </c>
      <c r="F47" s="38" t="s">
        <v>97</v>
      </c>
      <c r="G47" s="38" t="s">
        <v>34</v>
      </c>
      <c r="H47" s="38"/>
      <c r="I47" s="38"/>
      <c r="J47" s="38"/>
      <c r="K47" s="38"/>
      <c r="L47" s="38"/>
      <c r="M47" s="38"/>
      <c r="N47" s="38"/>
      <c r="O47" s="38"/>
      <c r="P47" s="383"/>
      <c r="Q47" s="38"/>
      <c r="R47" s="38"/>
      <c r="S47" s="38">
        <v>0</v>
      </c>
      <c r="T47" s="38" t="s">
        <v>98</v>
      </c>
      <c r="U47" s="40"/>
      <c r="V47" s="40"/>
      <c r="W47" s="40" t="str" cm="1">
        <f t="array" ref="W47">IF(A47&lt;&gt;"",_xlfn.XLOOKUP(_xlfn.XLOOKUP(TRUE,F47:P47&lt;&gt;"",F47:P47,"-",-1,-1),F47:P47,$F$6:$P$6,,,-1),"")</f>
        <v>For Bid</v>
      </c>
      <c r="X47" s="278"/>
      <c r="Y47" s="171"/>
      <c r="Z47" s="55"/>
      <c r="AA47" s="55" t="s">
        <v>826</v>
      </c>
      <c r="AB47" s="55" t="s">
        <v>860</v>
      </c>
      <c r="AC47" s="55" t="s">
        <v>828</v>
      </c>
      <c r="AD47" s="55"/>
      <c r="AE47" s="56"/>
      <c r="AF47" s="51"/>
      <c r="AG47" s="56"/>
      <c r="AH47" s="51"/>
      <c r="AI47" s="56"/>
      <c r="AJ47" s="51"/>
      <c r="AK47" s="56"/>
      <c r="AL47" s="51"/>
      <c r="AM47" s="37"/>
      <c r="AN47" s="37" t="s">
        <v>862</v>
      </c>
      <c r="AO47" s="37"/>
      <c r="AP47" s="37"/>
      <c r="AQ47" s="37"/>
      <c r="AR47" s="37"/>
      <c r="AS47" s="37"/>
      <c r="AT47" s="37"/>
      <c r="AU47" s="37"/>
      <c r="AV47" s="37"/>
      <c r="AW47" s="37"/>
      <c r="AX47" s="37"/>
    </row>
    <row r="48" spans="1:50" s="50" customFormat="1" ht="15" customHeight="1" outlineLevel="1">
      <c r="A48" s="37" t="str">
        <f t="shared" si="6"/>
        <v>18043-LM103 08203</v>
      </c>
      <c r="B48" s="38" t="s">
        <v>94</v>
      </c>
      <c r="C48" s="233"/>
      <c r="D48" s="38"/>
      <c r="E48" s="213" t="str">
        <f>MID(AN48,FIND(" ",AN48,15)+1,100)</f>
        <v>LV2 Room - Plans &amp; Diagram</v>
      </c>
      <c r="F48" s="38" t="s">
        <v>97</v>
      </c>
      <c r="G48" s="38" t="s">
        <v>34</v>
      </c>
      <c r="H48" s="38"/>
      <c r="I48" s="38"/>
      <c r="J48" s="38"/>
      <c r="K48" s="38"/>
      <c r="L48" s="38"/>
      <c r="M48" s="38"/>
      <c r="N48" s="38"/>
      <c r="O48" s="38"/>
      <c r="P48" s="383"/>
      <c r="Q48" s="38"/>
      <c r="R48" s="466" t="s">
        <v>31</v>
      </c>
      <c r="S48" s="38">
        <v>0</v>
      </c>
      <c r="T48" s="38" t="s">
        <v>98</v>
      </c>
      <c r="U48" s="40"/>
      <c r="V48" s="40"/>
      <c r="W48" s="40" t="str" cm="1">
        <f t="array" ref="W48">IF(A48&lt;&gt;"",_xlfn.XLOOKUP(_xlfn.XLOOKUP(TRUE,F48:P48&lt;&gt;"",F48:P48,"-",-1,-1),F48:P48,$F$6:$P$6,,,-1),"")</f>
        <v>For Bid</v>
      </c>
      <c r="X48" s="278"/>
      <c r="Y48" s="171"/>
      <c r="Z48" s="55"/>
      <c r="AA48" s="55" t="s">
        <v>826</v>
      </c>
      <c r="AB48" s="55" t="s">
        <v>827</v>
      </c>
      <c r="AC48" s="55" t="s">
        <v>828</v>
      </c>
      <c r="AD48" s="55"/>
      <c r="AE48" s="56"/>
      <c r="AF48" s="51"/>
      <c r="AG48" s="56"/>
      <c r="AH48" s="51"/>
      <c r="AI48" s="56"/>
      <c r="AJ48" s="51"/>
      <c r="AK48" s="56"/>
      <c r="AL48" s="51"/>
      <c r="AM48" s="37"/>
      <c r="AN48" s="37" t="s">
        <v>863</v>
      </c>
      <c r="AO48" s="37"/>
      <c r="AP48" s="37"/>
      <c r="AQ48" s="37"/>
      <c r="AR48" s="37"/>
      <c r="AS48" s="37"/>
      <c r="AT48" s="37"/>
      <c r="AU48" s="37"/>
      <c r="AV48" s="37"/>
      <c r="AW48" s="37"/>
      <c r="AX48" s="37"/>
    </row>
    <row r="49" spans="1:50" s="50" customFormat="1" ht="15" customHeight="1" outlineLevel="1">
      <c r="A49" s="37" t="str">
        <f t="shared" si="6"/>
        <v>18043-LM103 08301</v>
      </c>
      <c r="B49" s="38" t="s">
        <v>94</v>
      </c>
      <c r="C49" s="233"/>
      <c r="D49" s="38"/>
      <c r="E49" s="213" t="str">
        <f>MID(AN49,FIND(" ",AN49,15)+1,100)</f>
        <v>Air Conditioning &amp; Ventilation System - P&amp;I Diagram</v>
      </c>
      <c r="F49" s="38" t="s">
        <v>97</v>
      </c>
      <c r="G49" s="38" t="s">
        <v>34</v>
      </c>
      <c r="H49" s="38"/>
      <c r="I49" s="38"/>
      <c r="J49" s="38" t="s">
        <v>31</v>
      </c>
      <c r="K49" s="38"/>
      <c r="L49" s="38"/>
      <c r="M49" s="38"/>
      <c r="N49" s="38"/>
      <c r="O49" s="38"/>
      <c r="P49" s="383"/>
      <c r="Q49" s="38"/>
      <c r="R49" s="38"/>
      <c r="S49" s="38">
        <v>0</v>
      </c>
      <c r="T49" s="38" t="s">
        <v>98</v>
      </c>
      <c r="U49" s="40"/>
      <c r="V49" s="308"/>
      <c r="W49" s="40" t="str" cm="1">
        <f t="array" ref="W49">IF(A49&lt;&gt;"",_xlfn.XLOOKUP(_xlfn.XLOOKUP(TRUE,F49:P49&lt;&gt;"",F49:P49,"-",-1,-1),F49:P49,$F$6:$P$6,,,-1),"")</f>
        <v>Add2</v>
      </c>
      <c r="X49" s="278"/>
      <c r="Y49" s="171"/>
      <c r="Z49" s="141"/>
      <c r="AA49" s="55" t="s">
        <v>826</v>
      </c>
      <c r="AB49" s="264" t="s">
        <v>855</v>
      </c>
      <c r="AC49" s="55" t="s">
        <v>828</v>
      </c>
      <c r="AD49" s="52"/>
      <c r="AE49" s="56"/>
      <c r="AF49" s="51"/>
      <c r="AG49" s="56"/>
      <c r="AH49" s="51"/>
      <c r="AI49" s="56"/>
      <c r="AJ49" s="51"/>
      <c r="AK49" s="56"/>
      <c r="AL49" s="51"/>
      <c r="AM49" s="37"/>
      <c r="AN49" s="37" t="s">
        <v>864</v>
      </c>
      <c r="AO49" s="37"/>
      <c r="AP49" s="37"/>
      <c r="AQ49" s="37"/>
      <c r="AR49" s="37"/>
      <c r="AS49" s="37"/>
      <c r="AT49" s="37"/>
      <c r="AU49" s="37"/>
      <c r="AV49" s="37"/>
      <c r="AW49" s="37"/>
      <c r="AX49" s="37"/>
    </row>
    <row r="50" spans="1:50" s="50" customFormat="1" ht="15" customHeight="1" outlineLevel="1">
      <c r="A50" s="37" t="str">
        <f t="shared" si="6"/>
        <v>18043-LM103 08302</v>
      </c>
      <c r="B50" s="38" t="s">
        <v>94</v>
      </c>
      <c r="C50" s="233"/>
      <c r="D50" s="38"/>
      <c r="E50" s="213" t="str">
        <f>MID(AN50,FIND(" ",AN50,15)+1,100)</f>
        <v>Air Conditioning &amp; Ventilation System - Plan &amp; Section</v>
      </c>
      <c r="F50" s="38" t="s">
        <v>97</v>
      </c>
      <c r="G50" s="38" t="s">
        <v>34</v>
      </c>
      <c r="H50" s="38"/>
      <c r="I50" s="38"/>
      <c r="J50" s="38"/>
      <c r="K50" s="38"/>
      <c r="L50" s="38"/>
      <c r="M50" s="38"/>
      <c r="N50" s="38"/>
      <c r="O50" s="38"/>
      <c r="P50" s="383"/>
      <c r="Q50" s="38"/>
      <c r="R50" s="38"/>
      <c r="S50" s="38">
        <v>0</v>
      </c>
      <c r="T50" s="38" t="s">
        <v>98</v>
      </c>
      <c r="U50" s="40"/>
      <c r="V50" s="40"/>
      <c r="W50" s="40" t="str" cm="1">
        <f t="array" ref="W50">IF(A50&lt;&gt;"",_xlfn.XLOOKUP(_xlfn.XLOOKUP(TRUE,F50:P50&lt;&gt;"",F50:P50,"-",-1,-1),F50:P50,$F$6:$P$6,,,-1),"")</f>
        <v>For Bid</v>
      </c>
      <c r="X50" s="278" t="s">
        <v>865</v>
      </c>
      <c r="Y50" s="171"/>
      <c r="Z50" s="141"/>
      <c r="AA50" s="55" t="s">
        <v>826</v>
      </c>
      <c r="AB50" s="264" t="s">
        <v>855</v>
      </c>
      <c r="AC50" s="55" t="s">
        <v>828</v>
      </c>
      <c r="AD50" s="52"/>
      <c r="AE50" s="56"/>
      <c r="AF50" s="51"/>
      <c r="AG50" s="56"/>
      <c r="AH50" s="51"/>
      <c r="AI50" s="56"/>
      <c r="AJ50" s="51"/>
      <c r="AK50" s="56"/>
      <c r="AL50" s="51"/>
      <c r="AM50" s="37"/>
      <c r="AN50" s="37" t="s">
        <v>866</v>
      </c>
      <c r="AO50" s="37"/>
      <c r="AP50" s="37"/>
      <c r="AQ50" s="37"/>
      <c r="AR50" s="37"/>
      <c r="AS50" s="37"/>
      <c r="AT50" s="37"/>
      <c r="AU50" s="37"/>
      <c r="AV50" s="37"/>
      <c r="AW50" s="37"/>
      <c r="AX50" s="37"/>
    </row>
    <row r="51" spans="1:50" s="50" customFormat="1" ht="15" customHeight="1" outlineLevel="1">
      <c r="A51" s="37"/>
      <c r="B51" s="38"/>
      <c r="C51" s="233"/>
      <c r="D51" s="38"/>
      <c r="E51" s="213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3"/>
      <c r="Q51" s="38"/>
      <c r="R51" s="38"/>
      <c r="S51" s="38"/>
      <c r="T51" s="38"/>
      <c r="U51" s="40"/>
      <c r="V51" s="40"/>
      <c r="W51" s="40" t="str" cm="1">
        <f t="array" ref="W51">IF(A51&lt;&gt;"",_xlfn.XLOOKUP(_xlfn.XLOOKUP(TRUE,F51:P51&lt;&gt;"",F51:P51,"-",-1,-1),F51:P51,$F$6:$P$6,,,-1),"")</f>
        <v/>
      </c>
      <c r="X51" s="278"/>
      <c r="Y51" s="171"/>
      <c r="Z51" s="141"/>
      <c r="AA51" s="55"/>
      <c r="AB51" s="52"/>
      <c r="AC51" s="52"/>
      <c r="AD51" s="52"/>
      <c r="AE51" s="56"/>
      <c r="AF51" s="51"/>
      <c r="AG51" s="56"/>
      <c r="AH51" s="51"/>
      <c r="AI51" s="56"/>
      <c r="AJ51" s="51"/>
      <c r="AK51" s="56"/>
      <c r="AL51" s="51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</row>
    <row r="52" spans="1:50" s="50" customFormat="1" ht="15" customHeight="1" outlineLevel="1">
      <c r="A52" s="37" t="str">
        <f t="shared" ref="A52:A53" si="7">"18043-"&amp;LEFT(AN52,11)</f>
        <v>18043-LM263 08101</v>
      </c>
      <c r="B52" s="38" t="s">
        <v>94</v>
      </c>
      <c r="C52" s="233"/>
      <c r="D52" s="38"/>
      <c r="E52" s="213" t="str">
        <f>MID(AN52,FIND(" ",AN52,15)+1,100)</f>
        <v>Plumbing Plan and Details</v>
      </c>
      <c r="F52" s="38" t="s">
        <v>97</v>
      </c>
      <c r="G52" s="38" t="s">
        <v>34</v>
      </c>
      <c r="H52" s="38"/>
      <c r="I52" s="38"/>
      <c r="J52" s="38"/>
      <c r="K52" s="38"/>
      <c r="L52" s="38"/>
      <c r="M52" s="38"/>
      <c r="N52" s="38" t="s">
        <v>116</v>
      </c>
      <c r="O52" s="38"/>
      <c r="P52" s="383"/>
      <c r="Q52" s="38" t="s">
        <v>38</v>
      </c>
      <c r="R52" s="466" t="s">
        <v>28</v>
      </c>
      <c r="S52" s="38">
        <v>0</v>
      </c>
      <c r="T52" s="38" t="s">
        <v>98</v>
      </c>
      <c r="U52" s="40"/>
      <c r="V52" s="308"/>
      <c r="W52" s="40" t="str" cm="1">
        <f t="array" ref="W52">IF(A52&lt;&gt;"",_xlfn.XLOOKUP(_xlfn.XLOOKUP(TRUE,F52:P52&lt;&gt;"",F52:P52,"-",-1,-1),F52:P52,$F$6:$P$6,,,-1),"")</f>
        <v>Add7</v>
      </c>
      <c r="X52" s="278"/>
      <c r="Y52" s="171"/>
      <c r="Z52" s="141"/>
      <c r="AA52" s="55" t="s">
        <v>826</v>
      </c>
      <c r="AB52" s="55" t="s">
        <v>827</v>
      </c>
      <c r="AC52" s="55" t="s">
        <v>828</v>
      </c>
      <c r="AD52" s="55"/>
      <c r="AE52" s="56"/>
      <c r="AF52" s="51"/>
      <c r="AG52" s="56"/>
      <c r="AH52" s="51"/>
      <c r="AI52" s="56"/>
      <c r="AJ52" s="51"/>
      <c r="AK52" s="56"/>
      <c r="AL52" s="51"/>
      <c r="AM52" s="37"/>
      <c r="AN52" s="37" t="s">
        <v>867</v>
      </c>
      <c r="AO52" s="37"/>
      <c r="AP52" s="37"/>
      <c r="AQ52" s="37"/>
      <c r="AR52" s="37"/>
      <c r="AS52" s="37"/>
      <c r="AT52" s="37"/>
      <c r="AU52" s="37"/>
      <c r="AV52" s="37"/>
      <c r="AW52" s="37"/>
      <c r="AX52" s="37"/>
    </row>
    <row r="53" spans="1:50" s="50" customFormat="1" ht="15" customHeight="1" outlineLevel="1">
      <c r="A53" s="37" t="str">
        <f t="shared" si="7"/>
        <v>18043-LM263 08301</v>
      </c>
      <c r="B53" s="38" t="s">
        <v>94</v>
      </c>
      <c r="C53" s="233"/>
      <c r="D53" s="38"/>
      <c r="E53" s="213" t="str">
        <f>MID(AN53,FIND(" ",AN53,15)+1,100)</f>
        <v>Ventilation Plans</v>
      </c>
      <c r="F53" s="38" t="s">
        <v>97</v>
      </c>
      <c r="G53" s="38" t="s">
        <v>34</v>
      </c>
      <c r="H53" s="38"/>
      <c r="I53" s="38"/>
      <c r="J53" s="38"/>
      <c r="K53" s="38"/>
      <c r="L53" s="38"/>
      <c r="M53" s="38"/>
      <c r="N53" s="38"/>
      <c r="O53" s="38"/>
      <c r="P53" s="383"/>
      <c r="Q53" s="38"/>
      <c r="R53" s="38"/>
      <c r="S53" s="38">
        <v>0</v>
      </c>
      <c r="T53" s="38" t="s">
        <v>98</v>
      </c>
      <c r="U53" s="40"/>
      <c r="V53" s="40"/>
      <c r="W53" s="40" t="str" cm="1">
        <f t="array" ref="W53">IF(A53&lt;&gt;"",_xlfn.XLOOKUP(_xlfn.XLOOKUP(TRUE,F53:P53&lt;&gt;"",F53:P53,"-",-1,-1),F53:P53,$F$6:$P$6,,,-1),"")</f>
        <v>For Bid</v>
      </c>
      <c r="X53" s="278"/>
      <c r="Y53" s="171"/>
      <c r="Z53" s="141"/>
      <c r="AA53" s="55" t="s">
        <v>826</v>
      </c>
      <c r="AB53" s="264" t="s">
        <v>827</v>
      </c>
      <c r="AC53" s="55" t="s">
        <v>828</v>
      </c>
      <c r="AD53" s="52"/>
      <c r="AE53" s="56"/>
      <c r="AF53" s="51"/>
      <c r="AG53" s="56"/>
      <c r="AH53" s="51"/>
      <c r="AI53" s="56"/>
      <c r="AJ53" s="51"/>
      <c r="AK53" s="56"/>
      <c r="AL53" s="51"/>
      <c r="AM53" s="37"/>
      <c r="AN53" s="37" t="s">
        <v>868</v>
      </c>
      <c r="AO53" s="37"/>
      <c r="AP53" s="37"/>
      <c r="AQ53" s="37"/>
      <c r="AR53" s="37"/>
      <c r="AS53" s="37"/>
      <c r="AT53" s="37"/>
      <c r="AU53" s="37"/>
      <c r="AV53" s="37"/>
      <c r="AW53" s="37"/>
      <c r="AX53" s="37"/>
    </row>
    <row r="54" spans="1:50" s="50" customFormat="1" ht="15" customHeight="1" outlineLevel="1">
      <c r="A54" s="37"/>
      <c r="B54" s="38"/>
      <c r="C54" s="233"/>
      <c r="D54" s="38"/>
      <c r="E54" s="213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3"/>
      <c r="Q54" s="38"/>
      <c r="R54" s="38"/>
      <c r="S54" s="38"/>
      <c r="T54" s="38"/>
      <c r="U54" s="40"/>
      <c r="V54" s="40"/>
      <c r="W54" s="40" t="str" cm="1">
        <f t="array" ref="W54">IF(A54&lt;&gt;"",_xlfn.XLOOKUP(_xlfn.XLOOKUP(TRUE,F54:P54&lt;&gt;"",F54:P54,"-",-1,-1),F54:P54,$F$6:$P$6,,,-1),"")</f>
        <v/>
      </c>
      <c r="X54" s="278"/>
      <c r="Y54" s="171"/>
      <c r="Z54" s="141"/>
      <c r="AA54" s="55"/>
      <c r="AB54" s="52"/>
      <c r="AC54" s="52"/>
      <c r="AD54" s="52"/>
      <c r="AE54" s="56"/>
      <c r="AF54" s="51"/>
      <c r="AG54" s="56"/>
      <c r="AH54" s="51"/>
      <c r="AI54" s="56"/>
      <c r="AJ54" s="51"/>
      <c r="AK54" s="56"/>
      <c r="AL54" s="51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</row>
    <row r="55" spans="1:50" s="50" customFormat="1" ht="15" customHeight="1" outlineLevel="1">
      <c r="A55" s="37" t="str">
        <f t="shared" ref="A55" si="8">"18043-"&amp;LEFT(AN55,11)</f>
        <v>18043-LM642 08251</v>
      </c>
      <c r="B55" s="38" t="s">
        <v>94</v>
      </c>
      <c r="C55" s="233"/>
      <c r="D55" s="38"/>
      <c r="E55" s="213" t="str">
        <f>MID(AN55,FIND(" ",AN55,15)+1,100)</f>
        <v>Fire Protection Plan &amp; Section</v>
      </c>
      <c r="F55" s="38" t="s">
        <v>97</v>
      </c>
      <c r="G55" s="38" t="s">
        <v>34</v>
      </c>
      <c r="H55" s="38"/>
      <c r="I55" s="38"/>
      <c r="J55" s="38"/>
      <c r="K55" s="38" t="s">
        <v>31</v>
      </c>
      <c r="L55" s="38"/>
      <c r="M55" s="38"/>
      <c r="N55" s="38"/>
      <c r="O55" s="38"/>
      <c r="P55" s="383"/>
      <c r="Q55" s="38"/>
      <c r="R55" s="38"/>
      <c r="S55" s="38">
        <v>0</v>
      </c>
      <c r="T55" s="38" t="s">
        <v>98</v>
      </c>
      <c r="U55" s="40"/>
      <c r="V55" s="40"/>
      <c r="W55" s="40" t="str" cm="1">
        <f t="array" ref="W55">IF(A55&lt;&gt;"",_xlfn.XLOOKUP(_xlfn.XLOOKUP(TRUE,F55:P55&lt;&gt;"",F55:P55,"-",-1,-1),F55:P55,$F$6:$P$6,,,-1),"")</f>
        <v>Add3</v>
      </c>
      <c r="X55" s="278" t="s">
        <v>869</v>
      </c>
      <c r="Y55" s="171"/>
      <c r="Z55" s="141"/>
      <c r="AA55" s="55" t="s">
        <v>826</v>
      </c>
      <c r="AB55" s="55" t="s">
        <v>860</v>
      </c>
      <c r="AC55" s="55" t="s">
        <v>828</v>
      </c>
      <c r="AD55" s="55"/>
      <c r="AE55" s="56"/>
      <c r="AF55" s="51"/>
      <c r="AG55" s="56"/>
      <c r="AH55" s="51"/>
      <c r="AI55" s="56"/>
      <c r="AJ55" s="51"/>
      <c r="AK55" s="56"/>
      <c r="AL55" s="51"/>
      <c r="AM55" s="37"/>
      <c r="AN55" s="37" t="s">
        <v>870</v>
      </c>
      <c r="AO55" s="37"/>
      <c r="AP55" s="37"/>
      <c r="AQ55" s="37"/>
      <c r="AR55" s="37"/>
      <c r="AS55" s="37"/>
      <c r="AT55" s="37"/>
      <c r="AU55" s="37"/>
      <c r="AV55" s="37"/>
      <c r="AW55" s="37"/>
      <c r="AX55" s="37"/>
    </row>
    <row r="56" spans="1:50" s="50" customFormat="1" ht="15" customHeight="1" outlineLevel="1">
      <c r="A56" s="37" t="str">
        <f>"18043-"&amp;LEFT(AN56,11)</f>
        <v>18043-LM642 08302</v>
      </c>
      <c r="B56" s="38" t="s">
        <v>94</v>
      </c>
      <c r="C56" s="233"/>
      <c r="D56" s="38"/>
      <c r="E56" s="213" t="s">
        <v>871</v>
      </c>
      <c r="F56" s="38" t="s">
        <v>97</v>
      </c>
      <c r="G56" s="38" t="s">
        <v>34</v>
      </c>
      <c r="H56" s="38"/>
      <c r="I56" s="38"/>
      <c r="J56" s="38" t="s">
        <v>31</v>
      </c>
      <c r="K56" s="38"/>
      <c r="L56" s="38" t="s">
        <v>116</v>
      </c>
      <c r="M56" s="38"/>
      <c r="N56" s="38" t="s">
        <v>38</v>
      </c>
      <c r="O56" s="38"/>
      <c r="P56" s="383"/>
      <c r="Q56" s="38"/>
      <c r="R56" s="38"/>
      <c r="S56" s="38">
        <v>0</v>
      </c>
      <c r="T56" s="38" t="s">
        <v>98</v>
      </c>
      <c r="U56" s="40"/>
      <c r="V56" s="308"/>
      <c r="W56" s="40" t="str" cm="1">
        <f t="array" ref="W56">IF(A56&lt;&gt;"",_xlfn.XLOOKUP(_xlfn.XLOOKUP(TRUE,F56:P56&lt;&gt;"",F56:P56,"-",-1,-1),F56:P56,$F$6:$P$6,,,-1),"")</f>
        <v>Add7</v>
      </c>
      <c r="X56" s="278" t="s">
        <v>872</v>
      </c>
      <c r="Y56" s="171"/>
      <c r="Z56" s="141"/>
      <c r="AA56" s="55" t="s">
        <v>826</v>
      </c>
      <c r="AB56" s="264" t="s">
        <v>827</v>
      </c>
      <c r="AC56" s="55" t="s">
        <v>828</v>
      </c>
      <c r="AD56" s="52"/>
      <c r="AE56" s="56"/>
      <c r="AF56" s="51"/>
      <c r="AG56" s="56"/>
      <c r="AH56" s="51"/>
      <c r="AI56" s="56"/>
      <c r="AJ56" s="51"/>
      <c r="AK56" s="56"/>
      <c r="AL56" s="51"/>
      <c r="AM56" s="37"/>
      <c r="AN56" s="37" t="s">
        <v>873</v>
      </c>
      <c r="AO56" s="37"/>
      <c r="AP56" s="37"/>
      <c r="AQ56" s="37"/>
      <c r="AR56" s="37"/>
      <c r="AS56" s="37"/>
      <c r="AT56" s="37"/>
      <c r="AU56" s="37"/>
      <c r="AV56" s="37"/>
      <c r="AW56" s="37"/>
      <c r="AX56" s="37"/>
    </row>
    <row r="57" spans="1:50" s="50" customFormat="1" ht="15" customHeight="1" outlineLevel="1">
      <c r="A57" s="41"/>
      <c r="B57" s="38"/>
      <c r="C57" s="233"/>
      <c r="D57" s="38"/>
      <c r="E57" s="41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3"/>
      <c r="Q57" s="38"/>
      <c r="R57" s="38"/>
      <c r="S57" s="38"/>
      <c r="T57" s="38"/>
      <c r="U57" s="40"/>
      <c r="V57" s="40"/>
      <c r="W57" s="40" t="str" cm="1">
        <f t="array" ref="W57">IF(A57&lt;&gt;"",_xlfn.XLOOKUP(_xlfn.XLOOKUP(TRUE,F57:P57&lt;&gt;"",F57:P57,"-",-1,-1),F57:P57,$F$6:$P$6,,,-1),"")</f>
        <v/>
      </c>
      <c r="X57" s="278"/>
      <c r="Y57" s="171"/>
      <c r="Z57" s="55"/>
      <c r="AA57" s="55"/>
      <c r="AB57" s="52"/>
      <c r="AC57" s="52"/>
      <c r="AD57" s="52"/>
      <c r="AE57" s="56"/>
      <c r="AF57" s="51"/>
      <c r="AG57" s="56"/>
      <c r="AH57" s="51"/>
      <c r="AI57" s="56"/>
      <c r="AJ57" s="51"/>
      <c r="AK57" s="56"/>
      <c r="AL57" s="51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</row>
    <row r="58" spans="1:50" s="50" customFormat="1" ht="15" customHeight="1" outlineLevel="1">
      <c r="A58" s="37" t="str">
        <f t="shared" ref="A58:A59" si="9">"18043-"&amp;LEFT(AN58,11)</f>
        <v>18043-LM651 08201</v>
      </c>
      <c r="B58" s="38" t="s">
        <v>94</v>
      </c>
      <c r="C58" s="233"/>
      <c r="D58" s="38"/>
      <c r="E58" s="213" t="str">
        <f>MID(AN58,FIND(" ",AN58,15)+1,100)</f>
        <v>Fire Water System - Plan &amp; Sections</v>
      </c>
      <c r="F58" s="38" t="s">
        <v>97</v>
      </c>
      <c r="G58" s="38" t="s">
        <v>34</v>
      </c>
      <c r="H58" s="38"/>
      <c r="I58" s="38"/>
      <c r="J58" s="38"/>
      <c r="K58" s="38"/>
      <c r="L58" s="38"/>
      <c r="M58" s="38"/>
      <c r="N58" s="38"/>
      <c r="O58" s="38"/>
      <c r="P58" s="383"/>
      <c r="Q58" s="38"/>
      <c r="R58" s="38"/>
      <c r="S58" s="38">
        <v>0</v>
      </c>
      <c r="T58" s="38" t="s">
        <v>98</v>
      </c>
      <c r="U58" s="40"/>
      <c r="V58" s="40"/>
      <c r="W58" s="40" t="str" cm="1">
        <f t="array" ref="W58">IF(A58&lt;&gt;"",_xlfn.XLOOKUP(_xlfn.XLOOKUP(TRUE,F58:P58&lt;&gt;"",F58:P58,"-",-1,-1),F58:P58,$F$6:$P$6,,,-1),"")</f>
        <v>For Bid</v>
      </c>
      <c r="X58" s="278"/>
      <c r="Y58" s="171"/>
      <c r="Z58" s="141"/>
      <c r="AA58" s="55" t="s">
        <v>826</v>
      </c>
      <c r="AB58" s="264" t="s">
        <v>827</v>
      </c>
      <c r="AC58" s="55" t="s">
        <v>828</v>
      </c>
      <c r="AD58" s="55"/>
      <c r="AE58" s="56"/>
      <c r="AF58" s="51"/>
      <c r="AG58" s="56"/>
      <c r="AH58" s="51"/>
      <c r="AI58" s="56"/>
      <c r="AJ58" s="51"/>
      <c r="AK58" s="56"/>
      <c r="AL58" s="51"/>
      <c r="AM58" s="37"/>
      <c r="AN58" s="37" t="s">
        <v>874</v>
      </c>
      <c r="AO58" s="37"/>
      <c r="AP58" s="37"/>
      <c r="AQ58" s="37"/>
      <c r="AR58" s="37"/>
      <c r="AS58" s="37"/>
      <c r="AT58" s="37"/>
      <c r="AU58" s="37"/>
      <c r="AV58" s="37"/>
      <c r="AW58" s="37"/>
      <c r="AX58" s="37"/>
    </row>
    <row r="59" spans="1:50" s="50" customFormat="1" ht="15" customHeight="1" outlineLevel="1">
      <c r="A59" s="37" t="str">
        <f t="shared" si="9"/>
        <v>18043-LM651 08301</v>
      </c>
      <c r="B59" s="38" t="s">
        <v>94</v>
      </c>
      <c r="C59" s="233"/>
      <c r="D59" s="38"/>
      <c r="E59" s="213" t="str">
        <f>MID(AN59,FIND(" ",AN59,15)+1,100)</f>
        <v>Air Conditioning System - Plan, Section And P&amp;I Diagram</v>
      </c>
      <c r="F59" s="38" t="s">
        <v>97</v>
      </c>
      <c r="G59" s="38" t="s">
        <v>34</v>
      </c>
      <c r="H59" s="38"/>
      <c r="I59" s="38"/>
      <c r="J59" s="38"/>
      <c r="K59" s="38"/>
      <c r="L59" s="38"/>
      <c r="M59" s="38"/>
      <c r="N59" s="38"/>
      <c r="O59" s="38"/>
      <c r="P59" s="383"/>
      <c r="Q59" s="38"/>
      <c r="R59" s="38"/>
      <c r="S59" s="38">
        <v>0</v>
      </c>
      <c r="T59" s="38" t="s">
        <v>98</v>
      </c>
      <c r="U59" s="40"/>
      <c r="V59" s="40"/>
      <c r="W59" s="40" t="str" cm="1">
        <f t="array" ref="W59">IF(A59&lt;&gt;"",_xlfn.XLOOKUP(_xlfn.XLOOKUP(TRUE,F59:P59&lt;&gt;"",F59:P59,"-",-1,-1),F59:P59,$F$6:$P$6,,,-1),"")</f>
        <v>For Bid</v>
      </c>
      <c r="X59" s="278" t="s">
        <v>875</v>
      </c>
      <c r="Y59" s="171"/>
      <c r="Z59" s="132"/>
      <c r="AA59" s="55" t="s">
        <v>826</v>
      </c>
      <c r="AB59" s="264" t="s">
        <v>827</v>
      </c>
      <c r="AC59" s="55" t="s">
        <v>828</v>
      </c>
      <c r="AD59" s="52"/>
      <c r="AE59" s="56"/>
      <c r="AF59" s="51"/>
      <c r="AG59" s="56"/>
      <c r="AH59" s="51"/>
      <c r="AI59" s="56"/>
      <c r="AJ59" s="51"/>
      <c r="AK59" s="56"/>
      <c r="AL59" s="51"/>
      <c r="AM59" s="37"/>
      <c r="AN59" s="37" t="s">
        <v>876</v>
      </c>
      <c r="AO59" s="37"/>
      <c r="AP59" s="37"/>
      <c r="AQ59" s="37"/>
      <c r="AR59" s="37"/>
      <c r="AS59" s="37"/>
      <c r="AT59" s="37"/>
      <c r="AU59" s="37"/>
      <c r="AV59" s="37"/>
      <c r="AW59" s="37"/>
      <c r="AX59" s="37"/>
    </row>
    <row r="60" spans="1:50" s="50" customFormat="1" ht="15" customHeight="1" outlineLevel="1">
      <c r="A60" s="41"/>
      <c r="B60" s="38"/>
      <c r="C60" s="233"/>
      <c r="D60" s="38"/>
      <c r="E60" s="41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3"/>
      <c r="Q60" s="38"/>
      <c r="R60" s="38"/>
      <c r="S60" s="38"/>
      <c r="T60" s="38"/>
      <c r="U60" s="40"/>
      <c r="V60" s="40"/>
      <c r="W60" s="40"/>
      <c r="X60" s="278"/>
      <c r="Y60" s="171"/>
      <c r="Z60" s="132"/>
      <c r="AA60" s="55"/>
      <c r="AB60" s="55"/>
      <c r="AC60" s="55"/>
      <c r="AD60" s="52"/>
      <c r="AE60" s="56"/>
      <c r="AF60" s="51"/>
      <c r="AG60" s="56"/>
      <c r="AH60" s="51"/>
      <c r="AI60" s="56"/>
      <c r="AJ60" s="51"/>
      <c r="AK60" s="56"/>
      <c r="AL60" s="51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</row>
    <row r="61" spans="1:50" s="50" customFormat="1" ht="15" customHeight="1" outlineLevel="1">
      <c r="A61" s="355" t="s">
        <v>877</v>
      </c>
      <c r="B61" s="356" t="s">
        <v>94</v>
      </c>
      <c r="C61" s="357"/>
      <c r="D61" s="356"/>
      <c r="E61" s="358" t="s">
        <v>878</v>
      </c>
      <c r="F61" s="356" t="s">
        <v>97</v>
      </c>
      <c r="G61" s="356" t="s">
        <v>34</v>
      </c>
      <c r="H61" s="356" t="s">
        <v>31</v>
      </c>
      <c r="I61" s="356" t="s">
        <v>116</v>
      </c>
      <c r="J61" s="356" t="s">
        <v>38</v>
      </c>
      <c r="K61" s="356" t="s">
        <v>28</v>
      </c>
      <c r="L61" s="356" t="s">
        <v>289</v>
      </c>
      <c r="M61" s="38"/>
      <c r="N61" s="536" t="s">
        <v>286</v>
      </c>
      <c r="O61" s="432"/>
      <c r="P61" s="383"/>
      <c r="Q61" s="38"/>
      <c r="R61" s="38"/>
      <c r="S61" s="38"/>
      <c r="T61" s="310" t="s">
        <v>98</v>
      </c>
      <c r="U61" s="40"/>
      <c r="V61" s="308"/>
      <c r="W61" s="308"/>
      <c r="X61" s="278"/>
      <c r="Y61" s="171"/>
      <c r="Z61" s="132"/>
      <c r="AA61" s="55" t="s">
        <v>826</v>
      </c>
      <c r="AB61" s="55" t="s">
        <v>879</v>
      </c>
      <c r="AC61" s="55" t="s">
        <v>880</v>
      </c>
      <c r="AD61" s="52"/>
      <c r="AE61" s="56"/>
      <c r="AF61" s="51"/>
      <c r="AG61" s="56"/>
      <c r="AH61" s="51"/>
      <c r="AI61" s="56"/>
      <c r="AJ61" s="51"/>
      <c r="AK61" s="56"/>
      <c r="AL61" s="51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</row>
    <row r="62" spans="1:50" s="50" customFormat="1" ht="15" customHeight="1" outlineLevel="1">
      <c r="A62" s="355" t="s">
        <v>881</v>
      </c>
      <c r="B62" s="356" t="s">
        <v>94</v>
      </c>
      <c r="C62" s="357"/>
      <c r="D62" s="356"/>
      <c r="E62" s="358" t="s">
        <v>882</v>
      </c>
      <c r="F62" s="356" t="s">
        <v>97</v>
      </c>
      <c r="G62" s="356" t="s">
        <v>34</v>
      </c>
      <c r="H62" s="356" t="s">
        <v>34</v>
      </c>
      <c r="I62" s="356"/>
      <c r="J62" s="356" t="s">
        <v>31</v>
      </c>
      <c r="K62" s="356" t="s">
        <v>116</v>
      </c>
      <c r="L62" s="356" t="s">
        <v>38</v>
      </c>
      <c r="M62" s="38"/>
      <c r="N62" s="536"/>
      <c r="O62" s="432"/>
      <c r="P62" s="383"/>
      <c r="Q62" s="38"/>
      <c r="R62" s="38"/>
      <c r="S62" s="38"/>
      <c r="T62" s="310" t="s">
        <v>98</v>
      </c>
      <c r="U62" s="40"/>
      <c r="V62" s="308"/>
      <c r="W62" s="308"/>
      <c r="X62" s="278"/>
      <c r="Y62" s="171"/>
      <c r="Z62" s="132"/>
      <c r="AA62" s="55" t="s">
        <v>826</v>
      </c>
      <c r="AB62" s="55" t="s">
        <v>879</v>
      </c>
      <c r="AC62" s="55" t="s">
        <v>880</v>
      </c>
      <c r="AD62" s="52"/>
      <c r="AE62" s="56"/>
      <c r="AF62" s="51"/>
      <c r="AG62" s="56"/>
      <c r="AH62" s="51"/>
      <c r="AI62" s="56"/>
      <c r="AJ62" s="51"/>
      <c r="AK62" s="56"/>
      <c r="AL62" s="51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</row>
    <row r="63" spans="1:50" s="50" customFormat="1" ht="15" customHeight="1" outlineLevel="1">
      <c r="A63" s="355" t="s">
        <v>883</v>
      </c>
      <c r="B63" s="356" t="s">
        <v>94</v>
      </c>
      <c r="C63" s="357"/>
      <c r="D63" s="356"/>
      <c r="E63" s="358" t="s">
        <v>884</v>
      </c>
      <c r="F63" s="356" t="s">
        <v>97</v>
      </c>
      <c r="G63" s="356" t="s">
        <v>34</v>
      </c>
      <c r="H63" s="356" t="s">
        <v>31</v>
      </c>
      <c r="I63" s="356" t="s">
        <v>116</v>
      </c>
      <c r="J63" s="356" t="s">
        <v>38</v>
      </c>
      <c r="K63" s="356" t="s">
        <v>28</v>
      </c>
      <c r="L63" s="356" t="s">
        <v>289</v>
      </c>
      <c r="M63" s="38"/>
      <c r="N63" s="536"/>
      <c r="O63" s="432"/>
      <c r="P63" s="383"/>
      <c r="Q63" s="38"/>
      <c r="R63" s="38"/>
      <c r="S63" s="38"/>
      <c r="T63" s="310" t="s">
        <v>98</v>
      </c>
      <c r="U63" s="40"/>
      <c r="V63" s="308"/>
      <c r="W63" s="308"/>
      <c r="X63" s="278"/>
      <c r="Y63" s="171"/>
      <c r="Z63" s="132"/>
      <c r="AA63" s="55" t="s">
        <v>826</v>
      </c>
      <c r="AB63" s="55" t="s">
        <v>879</v>
      </c>
      <c r="AC63" s="55" t="s">
        <v>880</v>
      </c>
      <c r="AD63" s="52"/>
      <c r="AE63" s="56"/>
      <c r="AF63" s="51"/>
      <c r="AG63" s="56"/>
      <c r="AH63" s="51"/>
      <c r="AI63" s="56"/>
      <c r="AJ63" s="51"/>
      <c r="AK63" s="56"/>
      <c r="AL63" s="51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</row>
    <row r="64" spans="1:50" s="50" customFormat="1" ht="15" customHeight="1" outlineLevel="1">
      <c r="A64" s="355" t="s">
        <v>885</v>
      </c>
      <c r="B64" s="356" t="s">
        <v>94</v>
      </c>
      <c r="C64" s="357"/>
      <c r="D64" s="356"/>
      <c r="E64" s="358" t="s">
        <v>886</v>
      </c>
      <c r="F64" s="356" t="s">
        <v>97</v>
      </c>
      <c r="G64" s="356" t="s">
        <v>34</v>
      </c>
      <c r="H64" s="356" t="s">
        <v>34</v>
      </c>
      <c r="I64" s="356"/>
      <c r="J64" s="356" t="s">
        <v>31</v>
      </c>
      <c r="K64" s="356" t="s">
        <v>116</v>
      </c>
      <c r="L64" s="356" t="s">
        <v>38</v>
      </c>
      <c r="M64" s="38"/>
      <c r="N64" s="536"/>
      <c r="O64" s="432"/>
      <c r="P64" s="383"/>
      <c r="Q64" s="38"/>
      <c r="R64" s="38"/>
      <c r="S64" s="38"/>
      <c r="T64" s="310" t="s">
        <v>98</v>
      </c>
      <c r="U64" s="40"/>
      <c r="V64" s="40"/>
      <c r="W64" s="40"/>
      <c r="X64" s="278"/>
      <c r="Y64" s="171"/>
      <c r="Z64" s="132"/>
      <c r="AA64" s="55" t="s">
        <v>826</v>
      </c>
      <c r="AB64" s="55" t="s">
        <v>879</v>
      </c>
      <c r="AC64" s="55" t="s">
        <v>880</v>
      </c>
      <c r="AD64" s="52"/>
      <c r="AE64" s="56"/>
      <c r="AF64" s="51"/>
      <c r="AG64" s="56"/>
      <c r="AH64" s="51"/>
      <c r="AI64" s="56"/>
      <c r="AJ64" s="51"/>
      <c r="AK64" s="56"/>
      <c r="AL64" s="51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</row>
    <row r="65" spans="1:50" s="50" customFormat="1" ht="15" customHeight="1" outlineLevel="1">
      <c r="A65" s="355" t="s">
        <v>887</v>
      </c>
      <c r="B65" s="356" t="s">
        <v>94</v>
      </c>
      <c r="C65" s="357"/>
      <c r="D65" s="356"/>
      <c r="E65" s="358" t="s">
        <v>888</v>
      </c>
      <c r="F65" s="356" t="s">
        <v>97</v>
      </c>
      <c r="G65" s="356" t="s">
        <v>34</v>
      </c>
      <c r="H65" s="356" t="s">
        <v>34</v>
      </c>
      <c r="I65" s="356"/>
      <c r="J65" s="356" t="s">
        <v>31</v>
      </c>
      <c r="K65" s="356" t="s">
        <v>116</v>
      </c>
      <c r="L65" s="356" t="s">
        <v>38</v>
      </c>
      <c r="M65" s="38"/>
      <c r="N65" s="536"/>
      <c r="O65" s="432"/>
      <c r="P65" s="383"/>
      <c r="Q65" s="38"/>
      <c r="R65" s="38"/>
      <c r="S65" s="38"/>
      <c r="T65" s="310" t="s">
        <v>98</v>
      </c>
      <c r="U65" s="40"/>
      <c r="V65" s="40"/>
      <c r="W65" s="40"/>
      <c r="X65" s="278"/>
      <c r="Y65" s="171"/>
      <c r="Z65" s="132"/>
      <c r="AA65" s="55" t="s">
        <v>826</v>
      </c>
      <c r="AB65" s="55" t="s">
        <v>879</v>
      </c>
      <c r="AC65" s="55" t="s">
        <v>880</v>
      </c>
      <c r="AD65" s="52"/>
      <c r="AE65" s="56"/>
      <c r="AF65" s="51"/>
      <c r="AG65" s="56"/>
      <c r="AH65" s="51"/>
      <c r="AI65" s="56"/>
      <c r="AJ65" s="51"/>
      <c r="AK65" s="56"/>
      <c r="AL65" s="51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</row>
    <row r="66" spans="1:50" s="50" customFormat="1" ht="15" customHeight="1" outlineLevel="1">
      <c r="A66" s="355" t="s">
        <v>889</v>
      </c>
      <c r="B66" s="356" t="s">
        <v>94</v>
      </c>
      <c r="C66" s="357"/>
      <c r="D66" s="356"/>
      <c r="E66" s="358" t="s">
        <v>890</v>
      </c>
      <c r="F66" s="356" t="s">
        <v>97</v>
      </c>
      <c r="G66" s="356" t="s">
        <v>34</v>
      </c>
      <c r="H66" s="356" t="s">
        <v>34</v>
      </c>
      <c r="I66" s="356"/>
      <c r="J66" s="356" t="s">
        <v>31</v>
      </c>
      <c r="K66" s="356" t="s">
        <v>116</v>
      </c>
      <c r="L66" s="356" t="s">
        <v>38</v>
      </c>
      <c r="M66" s="38"/>
      <c r="N66" s="536"/>
      <c r="O66" s="432"/>
      <c r="P66" s="383"/>
      <c r="Q66" s="38"/>
      <c r="R66" s="38"/>
      <c r="S66" s="38"/>
      <c r="T66" s="310" t="s">
        <v>98</v>
      </c>
      <c r="U66" s="40"/>
      <c r="V66" s="308"/>
      <c r="W66" s="308"/>
      <c r="X66" s="278"/>
      <c r="Y66" s="171"/>
      <c r="Z66" s="132"/>
      <c r="AA66" s="55" t="s">
        <v>826</v>
      </c>
      <c r="AB66" s="55" t="s">
        <v>879</v>
      </c>
      <c r="AC66" s="55" t="s">
        <v>880</v>
      </c>
      <c r="AD66" s="52"/>
      <c r="AE66" s="56"/>
      <c r="AF66" s="51"/>
      <c r="AG66" s="56"/>
      <c r="AH66" s="51"/>
      <c r="AI66" s="56"/>
      <c r="AJ66" s="51"/>
      <c r="AK66" s="56"/>
      <c r="AL66" s="51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</row>
    <row r="67" spans="1:50" s="50" customFormat="1" outlineLevel="1">
      <c r="A67" s="355" t="s">
        <v>891</v>
      </c>
      <c r="B67" s="356" t="s">
        <v>94</v>
      </c>
      <c r="C67" s="357"/>
      <c r="D67" s="356"/>
      <c r="E67" s="358" t="s">
        <v>892</v>
      </c>
      <c r="F67" s="356" t="s">
        <v>97</v>
      </c>
      <c r="G67" s="356" t="s">
        <v>34</v>
      </c>
      <c r="H67" s="356" t="s">
        <v>31</v>
      </c>
      <c r="I67" s="356" t="s">
        <v>31</v>
      </c>
      <c r="J67" s="356" t="s">
        <v>116</v>
      </c>
      <c r="K67" s="356" t="s">
        <v>38</v>
      </c>
      <c r="L67" s="356"/>
      <c r="M67" s="38"/>
      <c r="N67" s="536"/>
      <c r="O67" s="432"/>
      <c r="P67" s="383"/>
      <c r="Q67" s="38"/>
      <c r="R67" s="38"/>
      <c r="S67" s="38"/>
      <c r="T67" s="310" t="s">
        <v>98</v>
      </c>
      <c r="U67" s="40"/>
      <c r="V67" s="308"/>
      <c r="W67" s="308"/>
      <c r="X67" s="278"/>
      <c r="Y67" s="171"/>
      <c r="Z67" s="132"/>
      <c r="AA67" s="55" t="s">
        <v>826</v>
      </c>
      <c r="AB67" s="55" t="s">
        <v>855</v>
      </c>
      <c r="AC67" s="55" t="s">
        <v>880</v>
      </c>
      <c r="AD67" s="52"/>
      <c r="AE67" s="56"/>
      <c r="AF67" s="51"/>
      <c r="AG67" s="56"/>
      <c r="AH67" s="51"/>
      <c r="AI67" s="56"/>
      <c r="AJ67" s="51"/>
      <c r="AK67" s="56"/>
      <c r="AL67" s="51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</row>
    <row r="68" spans="1:50" s="50" customFormat="1" outlineLevel="1">
      <c r="A68" s="355" t="s">
        <v>893</v>
      </c>
      <c r="B68" s="356" t="s">
        <v>94</v>
      </c>
      <c r="C68" s="357"/>
      <c r="D68" s="356"/>
      <c r="E68" s="358" t="s">
        <v>894</v>
      </c>
      <c r="F68" s="356" t="s">
        <v>97</v>
      </c>
      <c r="G68" s="356" t="s">
        <v>34</v>
      </c>
      <c r="H68" s="356" t="s">
        <v>34</v>
      </c>
      <c r="I68" s="356"/>
      <c r="J68" s="356" t="s">
        <v>31</v>
      </c>
      <c r="K68" s="356" t="s">
        <v>116</v>
      </c>
      <c r="L68" s="356" t="s">
        <v>38</v>
      </c>
      <c r="M68" s="38"/>
      <c r="N68" s="536"/>
      <c r="O68" s="432"/>
      <c r="P68" s="383"/>
      <c r="Q68" s="38"/>
      <c r="R68" s="38"/>
      <c r="S68" s="38"/>
      <c r="T68" s="310" t="s">
        <v>98</v>
      </c>
      <c r="U68" s="40"/>
      <c r="V68" s="308"/>
      <c r="W68" s="308"/>
      <c r="X68" s="278"/>
      <c r="Y68" s="171"/>
      <c r="Z68" s="132"/>
      <c r="AA68" s="55" t="s">
        <v>826</v>
      </c>
      <c r="AB68" s="55" t="s">
        <v>855</v>
      </c>
      <c r="AC68" s="55" t="s">
        <v>880</v>
      </c>
      <c r="AD68" s="52"/>
      <c r="AE68" s="56"/>
      <c r="AF68" s="51"/>
      <c r="AG68" s="56"/>
      <c r="AH68" s="51"/>
      <c r="AI68" s="56"/>
      <c r="AJ68" s="51"/>
      <c r="AK68" s="56"/>
      <c r="AL68" s="51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</row>
    <row r="69" spans="1:50" s="50" customFormat="1" outlineLevel="1">
      <c r="A69" s="355" t="s">
        <v>895</v>
      </c>
      <c r="B69" s="356" t="s">
        <v>94</v>
      </c>
      <c r="C69" s="357"/>
      <c r="D69" s="356"/>
      <c r="E69" s="358" t="s">
        <v>896</v>
      </c>
      <c r="F69" s="356" t="s">
        <v>97</v>
      </c>
      <c r="G69" s="356" t="s">
        <v>34</v>
      </c>
      <c r="H69" s="356" t="s">
        <v>34</v>
      </c>
      <c r="I69" s="356"/>
      <c r="J69" s="356" t="s">
        <v>31</v>
      </c>
      <c r="K69" s="356" t="s">
        <v>116</v>
      </c>
      <c r="L69" s="356"/>
      <c r="M69" s="38"/>
      <c r="N69" s="536"/>
      <c r="O69" s="432"/>
      <c r="P69" s="383"/>
      <c r="Q69" s="38"/>
      <c r="R69" s="38"/>
      <c r="S69" s="38"/>
      <c r="T69" s="310" t="s">
        <v>98</v>
      </c>
      <c r="U69" s="40"/>
      <c r="V69" s="308"/>
      <c r="W69" s="308"/>
      <c r="X69" s="278"/>
      <c r="Y69" s="171"/>
      <c r="Z69" s="132"/>
      <c r="AA69" s="55" t="s">
        <v>826</v>
      </c>
      <c r="AB69" s="55" t="s">
        <v>855</v>
      </c>
      <c r="AC69" s="55" t="s">
        <v>880</v>
      </c>
      <c r="AD69" s="52"/>
      <c r="AE69" s="56"/>
      <c r="AF69" s="51"/>
      <c r="AG69" s="56"/>
      <c r="AH69" s="51"/>
      <c r="AI69" s="56"/>
      <c r="AJ69" s="51"/>
      <c r="AK69" s="56"/>
      <c r="AL69" s="51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</row>
    <row r="70" spans="1:50" s="50" customFormat="1" ht="15" customHeight="1" outlineLevel="1">
      <c r="A70" s="355" t="s">
        <v>897</v>
      </c>
      <c r="B70" s="356" t="s">
        <v>94</v>
      </c>
      <c r="C70" s="357"/>
      <c r="D70" s="356"/>
      <c r="E70" s="358" t="s">
        <v>898</v>
      </c>
      <c r="F70" s="356" t="s">
        <v>97</v>
      </c>
      <c r="G70" s="356" t="s">
        <v>34</v>
      </c>
      <c r="H70" s="356" t="s">
        <v>31</v>
      </c>
      <c r="I70" s="356" t="s">
        <v>31</v>
      </c>
      <c r="J70" s="356" t="s">
        <v>116</v>
      </c>
      <c r="K70" s="356" t="s">
        <v>38</v>
      </c>
      <c r="L70" s="356"/>
      <c r="M70" s="38"/>
      <c r="N70" s="536"/>
      <c r="O70" s="432"/>
      <c r="P70" s="383"/>
      <c r="Q70" s="38"/>
      <c r="R70" s="38"/>
      <c r="S70" s="38"/>
      <c r="T70" s="310" t="s">
        <v>98</v>
      </c>
      <c r="U70" s="40"/>
      <c r="V70" s="308"/>
      <c r="W70" s="308"/>
      <c r="X70" s="278"/>
      <c r="Y70" s="171"/>
      <c r="Z70" s="132"/>
      <c r="AA70" s="55" t="s">
        <v>826</v>
      </c>
      <c r="AB70" s="55" t="s">
        <v>855</v>
      </c>
      <c r="AC70" s="55" t="s">
        <v>880</v>
      </c>
      <c r="AD70" s="52"/>
      <c r="AE70" s="56"/>
      <c r="AF70" s="51"/>
      <c r="AG70" s="56"/>
      <c r="AH70" s="51"/>
      <c r="AI70" s="56"/>
      <c r="AJ70" s="51"/>
      <c r="AK70" s="56"/>
      <c r="AL70" s="51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</row>
    <row r="71" spans="1:50" s="50" customFormat="1" ht="13.5" customHeight="1" outlineLevel="1">
      <c r="A71" s="355" t="s">
        <v>899</v>
      </c>
      <c r="B71" s="356" t="s">
        <v>94</v>
      </c>
      <c r="C71" s="357"/>
      <c r="D71" s="356"/>
      <c r="E71" s="358" t="s">
        <v>900</v>
      </c>
      <c r="F71" s="356" t="s">
        <v>97</v>
      </c>
      <c r="G71" s="356" t="s">
        <v>34</v>
      </c>
      <c r="H71" s="356" t="s">
        <v>34</v>
      </c>
      <c r="I71" s="356"/>
      <c r="J71" s="356" t="s">
        <v>31</v>
      </c>
      <c r="K71" s="356" t="s">
        <v>116</v>
      </c>
      <c r="L71" s="356"/>
      <c r="M71" s="38"/>
      <c r="N71" s="536"/>
      <c r="O71" s="432"/>
      <c r="P71" s="383"/>
      <c r="Q71" s="38"/>
      <c r="R71" s="38"/>
      <c r="S71" s="38"/>
      <c r="T71" s="310" t="s">
        <v>98</v>
      </c>
      <c r="U71" s="40"/>
      <c r="V71" s="308"/>
      <c r="W71" s="308"/>
      <c r="X71" s="278"/>
      <c r="Y71" s="171"/>
      <c r="Z71" s="132"/>
      <c r="AA71" s="55" t="s">
        <v>826</v>
      </c>
      <c r="AB71" s="55" t="s">
        <v>855</v>
      </c>
      <c r="AC71" s="55" t="s">
        <v>880</v>
      </c>
      <c r="AD71" s="52"/>
      <c r="AE71" s="56"/>
      <c r="AF71" s="51"/>
      <c r="AG71" s="56"/>
      <c r="AH71" s="51"/>
      <c r="AI71" s="56"/>
      <c r="AJ71" s="51"/>
      <c r="AK71" s="56"/>
      <c r="AL71" s="51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</row>
    <row r="72" spans="1:50" s="50" customFormat="1" ht="17.25" customHeight="1" outlineLevel="1">
      <c r="A72" s="355" t="s">
        <v>901</v>
      </c>
      <c r="B72" s="356" t="s">
        <v>94</v>
      </c>
      <c r="C72" s="357"/>
      <c r="D72" s="356"/>
      <c r="E72" s="358" t="s">
        <v>902</v>
      </c>
      <c r="F72" s="356" t="s">
        <v>97</v>
      </c>
      <c r="G72" s="356" t="s">
        <v>34</v>
      </c>
      <c r="H72" s="356" t="s">
        <v>34</v>
      </c>
      <c r="I72" s="356"/>
      <c r="J72" s="356" t="s">
        <v>31</v>
      </c>
      <c r="K72" s="356" t="s">
        <v>116</v>
      </c>
      <c r="L72" s="356"/>
      <c r="M72" s="38"/>
      <c r="N72" s="536"/>
      <c r="O72" s="432"/>
      <c r="P72" s="383"/>
      <c r="Q72" s="38"/>
      <c r="R72" s="38"/>
      <c r="S72" s="38"/>
      <c r="T72" s="310" t="s">
        <v>98</v>
      </c>
      <c r="U72" s="40"/>
      <c r="V72" s="308"/>
      <c r="W72" s="308"/>
      <c r="X72" s="278"/>
      <c r="Y72" s="171"/>
      <c r="Z72" s="132"/>
      <c r="AA72" s="55" t="s">
        <v>826</v>
      </c>
      <c r="AB72" s="55" t="s">
        <v>855</v>
      </c>
      <c r="AC72" s="55" t="s">
        <v>880</v>
      </c>
      <c r="AD72" s="52"/>
      <c r="AE72" s="56"/>
      <c r="AF72" s="51"/>
      <c r="AG72" s="56"/>
      <c r="AH72" s="51"/>
      <c r="AI72" s="56"/>
      <c r="AJ72" s="51"/>
      <c r="AK72" s="56"/>
      <c r="AL72" s="51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</row>
    <row r="73" spans="1:50" s="50" customFormat="1" ht="15" customHeight="1" outlineLevel="1">
      <c r="A73" s="355" t="s">
        <v>903</v>
      </c>
      <c r="B73" s="356" t="s">
        <v>94</v>
      </c>
      <c r="C73" s="357"/>
      <c r="D73" s="356"/>
      <c r="E73" s="358" t="s">
        <v>904</v>
      </c>
      <c r="F73" s="356"/>
      <c r="G73" s="356" t="s">
        <v>34</v>
      </c>
      <c r="H73" s="356"/>
      <c r="I73" s="356" t="s">
        <v>31</v>
      </c>
      <c r="J73" s="356" t="s">
        <v>116</v>
      </c>
      <c r="K73" s="356"/>
      <c r="L73" s="356"/>
      <c r="M73" s="38"/>
      <c r="N73" s="536"/>
      <c r="O73" s="432"/>
      <c r="P73" s="383"/>
      <c r="Q73" s="38"/>
      <c r="R73" s="38"/>
      <c r="S73" s="38"/>
      <c r="T73" s="310" t="s">
        <v>98</v>
      </c>
      <c r="U73" s="40"/>
      <c r="V73" s="308"/>
      <c r="W73" s="308"/>
      <c r="X73" s="278"/>
      <c r="Y73" s="171"/>
      <c r="Z73" s="132"/>
      <c r="AA73" s="55" t="s">
        <v>826</v>
      </c>
      <c r="AB73" s="55" t="s">
        <v>855</v>
      </c>
      <c r="AC73" s="55" t="s">
        <v>880</v>
      </c>
      <c r="AD73" s="52"/>
      <c r="AE73" s="56"/>
      <c r="AF73" s="51"/>
      <c r="AG73" s="56"/>
      <c r="AH73" s="51"/>
      <c r="AI73" s="56"/>
      <c r="AJ73" s="51"/>
      <c r="AK73" s="56"/>
      <c r="AL73" s="51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</row>
    <row r="74" spans="1:50" s="50" customFormat="1" ht="15" customHeight="1" outlineLevel="1">
      <c r="A74" s="355" t="s">
        <v>905</v>
      </c>
      <c r="B74" s="356" t="s">
        <v>94</v>
      </c>
      <c r="C74" s="357"/>
      <c r="D74" s="356"/>
      <c r="E74" s="358" t="s">
        <v>906</v>
      </c>
      <c r="F74" s="356" t="s">
        <v>97</v>
      </c>
      <c r="G74" s="356" t="s">
        <v>34</v>
      </c>
      <c r="H74" s="356" t="s">
        <v>34</v>
      </c>
      <c r="I74" s="356"/>
      <c r="J74" s="356"/>
      <c r="K74" s="356" t="s">
        <v>31</v>
      </c>
      <c r="L74" s="356"/>
      <c r="M74" s="38"/>
      <c r="N74" s="536"/>
      <c r="O74" s="432"/>
      <c r="P74" s="383"/>
      <c r="Q74" s="38"/>
      <c r="R74" s="38"/>
      <c r="S74" s="38"/>
      <c r="T74" s="310" t="s">
        <v>98</v>
      </c>
      <c r="U74" s="40"/>
      <c r="V74" s="40"/>
      <c r="W74" s="40"/>
      <c r="X74" s="278" t="s">
        <v>865</v>
      </c>
      <c r="Y74" s="171"/>
      <c r="Z74" s="132"/>
      <c r="AA74" s="55" t="s">
        <v>826</v>
      </c>
      <c r="AB74" s="55" t="s">
        <v>855</v>
      </c>
      <c r="AC74" s="55" t="s">
        <v>828</v>
      </c>
      <c r="AD74" s="52"/>
      <c r="AE74" s="56"/>
      <c r="AF74" s="51"/>
      <c r="AG74" s="56"/>
      <c r="AH74" s="51"/>
      <c r="AI74" s="56"/>
      <c r="AJ74" s="51"/>
      <c r="AK74" s="56"/>
      <c r="AL74" s="51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</row>
    <row r="75" spans="1:50" s="50" customFormat="1" ht="15" customHeight="1" outlineLevel="1">
      <c r="A75" s="355" t="s">
        <v>907</v>
      </c>
      <c r="B75" s="356" t="s">
        <v>94</v>
      </c>
      <c r="C75" s="357"/>
      <c r="D75" s="356"/>
      <c r="E75" s="358" t="s">
        <v>908</v>
      </c>
      <c r="F75" s="356"/>
      <c r="G75" s="356"/>
      <c r="H75" s="356" t="s">
        <v>97</v>
      </c>
      <c r="I75" s="356" t="s">
        <v>34</v>
      </c>
      <c r="J75" s="356"/>
      <c r="K75" s="356"/>
      <c r="L75" s="356"/>
      <c r="M75" s="38"/>
      <c r="N75" s="536"/>
      <c r="O75" s="432"/>
      <c r="P75" s="383"/>
      <c r="Q75" s="38"/>
      <c r="R75" s="38"/>
      <c r="S75" s="38"/>
      <c r="T75" s="310" t="s">
        <v>98</v>
      </c>
      <c r="U75" s="40"/>
      <c r="V75" s="40"/>
      <c r="W75" s="40"/>
      <c r="X75" s="278" t="s">
        <v>865</v>
      </c>
      <c r="Y75" s="171"/>
      <c r="Z75" s="132"/>
      <c r="AA75" s="55" t="s">
        <v>826</v>
      </c>
      <c r="AB75" s="55" t="s">
        <v>855</v>
      </c>
      <c r="AC75" s="55" t="s">
        <v>828</v>
      </c>
      <c r="AD75" s="52"/>
      <c r="AE75" s="56"/>
      <c r="AF75" s="51"/>
      <c r="AG75" s="56"/>
      <c r="AH75" s="51"/>
      <c r="AI75" s="56"/>
      <c r="AJ75" s="51"/>
      <c r="AK75" s="56"/>
      <c r="AL75" s="51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</row>
    <row r="76" spans="1:50" s="50" customFormat="1" ht="15" customHeight="1" outlineLevel="1">
      <c r="A76" s="355" t="s">
        <v>909</v>
      </c>
      <c r="B76" s="356" t="s">
        <v>94</v>
      </c>
      <c r="C76" s="357"/>
      <c r="D76" s="356"/>
      <c r="E76" s="358" t="s">
        <v>910</v>
      </c>
      <c r="F76" s="356"/>
      <c r="G76" s="356"/>
      <c r="H76" s="356" t="s">
        <v>97</v>
      </c>
      <c r="I76" s="356"/>
      <c r="J76" s="356" t="s">
        <v>34</v>
      </c>
      <c r="K76" s="356" t="s">
        <v>31</v>
      </c>
      <c r="L76" s="356" t="s">
        <v>116</v>
      </c>
      <c r="M76" s="38"/>
      <c r="N76" s="536"/>
      <c r="O76" s="432"/>
      <c r="P76" s="383"/>
      <c r="Q76" s="38"/>
      <c r="R76" s="38"/>
      <c r="S76" s="38"/>
      <c r="T76" s="310" t="s">
        <v>98</v>
      </c>
      <c r="U76" s="40"/>
      <c r="V76" s="40"/>
      <c r="W76" s="40"/>
      <c r="X76" s="278" t="s">
        <v>865</v>
      </c>
      <c r="Y76" s="171"/>
      <c r="Z76" s="132"/>
      <c r="AA76" s="55" t="s">
        <v>826</v>
      </c>
      <c r="AB76" s="55" t="s">
        <v>911</v>
      </c>
      <c r="AC76" s="55" t="s">
        <v>828</v>
      </c>
      <c r="AD76" s="52"/>
      <c r="AE76" s="56"/>
      <c r="AF76" s="51"/>
      <c r="AG76" s="56"/>
      <c r="AH76" s="51"/>
      <c r="AI76" s="56"/>
      <c r="AJ76" s="51"/>
      <c r="AK76" s="56"/>
      <c r="AL76" s="51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</row>
    <row r="77" spans="1:50" s="50" customFormat="1" ht="15" customHeight="1" outlineLevel="1">
      <c r="A77" s="355" t="s">
        <v>912</v>
      </c>
      <c r="B77" s="356" t="s">
        <v>94</v>
      </c>
      <c r="C77" s="357"/>
      <c r="D77" s="356"/>
      <c r="E77" s="358" t="s">
        <v>913</v>
      </c>
      <c r="F77" s="356" t="s">
        <v>97</v>
      </c>
      <c r="G77" s="356" t="s">
        <v>34</v>
      </c>
      <c r="H77" s="356" t="s">
        <v>31</v>
      </c>
      <c r="I77" s="356" t="s">
        <v>116</v>
      </c>
      <c r="J77" s="356" t="s">
        <v>38</v>
      </c>
      <c r="K77" s="356" t="s">
        <v>28</v>
      </c>
      <c r="L77" s="356"/>
      <c r="M77" s="38"/>
      <c r="N77" s="536"/>
      <c r="O77" s="432"/>
      <c r="P77" s="383"/>
      <c r="Q77" s="38"/>
      <c r="R77" s="38"/>
      <c r="S77" s="38"/>
      <c r="T77" s="310" t="s">
        <v>98</v>
      </c>
      <c r="U77" s="40"/>
      <c r="V77" s="308"/>
      <c r="W77" s="308"/>
      <c r="X77" s="278"/>
      <c r="Y77" s="171"/>
      <c r="Z77" s="132"/>
      <c r="AA77" s="55" t="s">
        <v>826</v>
      </c>
      <c r="AB77" s="55" t="s">
        <v>855</v>
      </c>
      <c r="AC77" s="55" t="s">
        <v>828</v>
      </c>
      <c r="AD77" s="52"/>
      <c r="AE77" s="56"/>
      <c r="AF77" s="51"/>
      <c r="AG77" s="56"/>
      <c r="AH77" s="51"/>
      <c r="AI77" s="56"/>
      <c r="AJ77" s="51"/>
      <c r="AK77" s="56"/>
      <c r="AL77" s="51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</row>
    <row r="78" spans="1:50" s="50" customFormat="1" ht="15" customHeight="1" outlineLevel="1">
      <c r="A78" s="355" t="s">
        <v>914</v>
      </c>
      <c r="B78" s="356" t="s">
        <v>94</v>
      </c>
      <c r="C78" s="357"/>
      <c r="D78" s="356"/>
      <c r="E78" s="358" t="s">
        <v>915</v>
      </c>
      <c r="F78" s="356" t="s">
        <v>97</v>
      </c>
      <c r="G78" s="356" t="s">
        <v>34</v>
      </c>
      <c r="H78" s="356" t="s">
        <v>34</v>
      </c>
      <c r="I78" s="356"/>
      <c r="J78" s="356" t="s">
        <v>31</v>
      </c>
      <c r="K78" s="356" t="s">
        <v>116</v>
      </c>
      <c r="L78" s="356" t="s">
        <v>38</v>
      </c>
      <c r="M78" s="38"/>
      <c r="N78" s="536"/>
      <c r="O78" s="432"/>
      <c r="P78" s="383"/>
      <c r="Q78" s="38"/>
      <c r="R78" s="38"/>
      <c r="S78" s="38"/>
      <c r="T78" s="310" t="s">
        <v>98</v>
      </c>
      <c r="U78" s="40"/>
      <c r="V78" s="308"/>
      <c r="W78" s="308"/>
      <c r="X78" s="278" t="s">
        <v>916</v>
      </c>
      <c r="Y78" s="171"/>
      <c r="Z78" s="132"/>
      <c r="AA78" s="55" t="s">
        <v>826</v>
      </c>
      <c r="AB78" s="55" t="s">
        <v>855</v>
      </c>
      <c r="AC78" s="55" t="s">
        <v>880</v>
      </c>
      <c r="AD78" s="52"/>
      <c r="AE78" s="56"/>
      <c r="AF78" s="51"/>
      <c r="AG78" s="56"/>
      <c r="AH78" s="51"/>
      <c r="AI78" s="56"/>
      <c r="AJ78" s="51"/>
      <c r="AK78" s="56"/>
      <c r="AL78" s="51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</row>
    <row r="79" spans="1:50" s="50" customFormat="1" ht="15" customHeight="1" outlineLevel="1">
      <c r="A79" s="355" t="s">
        <v>917</v>
      </c>
      <c r="B79" s="356" t="s">
        <v>94</v>
      </c>
      <c r="C79" s="357"/>
      <c r="D79" s="356"/>
      <c r="E79" s="358" t="s">
        <v>918</v>
      </c>
      <c r="F79" s="356" t="s">
        <v>97</v>
      </c>
      <c r="G79" s="356" t="s">
        <v>34</v>
      </c>
      <c r="H79" s="356" t="s">
        <v>34</v>
      </c>
      <c r="I79" s="356"/>
      <c r="J79" s="356" t="s">
        <v>31</v>
      </c>
      <c r="K79" s="356" t="s">
        <v>116</v>
      </c>
      <c r="L79" s="356" t="s">
        <v>38</v>
      </c>
      <c r="M79" s="36"/>
      <c r="N79" s="536"/>
      <c r="O79" s="432"/>
      <c r="P79" s="474"/>
      <c r="Q79" s="36"/>
      <c r="R79" s="36"/>
      <c r="S79" s="36"/>
      <c r="T79" s="310" t="s">
        <v>98</v>
      </c>
      <c r="U79" s="40"/>
      <c r="V79" s="308"/>
      <c r="W79" s="308"/>
      <c r="X79" s="278"/>
      <c r="Y79" s="171"/>
      <c r="Z79" s="132"/>
      <c r="AA79" s="55" t="s">
        <v>826</v>
      </c>
      <c r="AB79" s="55" t="s">
        <v>855</v>
      </c>
      <c r="AC79" s="55" t="s">
        <v>880</v>
      </c>
      <c r="AD79" s="52"/>
      <c r="AE79" s="56"/>
      <c r="AF79" s="51"/>
      <c r="AG79" s="56"/>
      <c r="AH79" s="51"/>
      <c r="AI79" s="56"/>
      <c r="AJ79" s="51"/>
      <c r="AK79" s="56"/>
      <c r="AL79" s="51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</row>
    <row r="80" spans="1:50" s="50" customFormat="1" ht="15" customHeight="1" outlineLevel="1">
      <c r="A80" s="355" t="s">
        <v>919</v>
      </c>
      <c r="B80" s="356" t="s">
        <v>94</v>
      </c>
      <c r="C80" s="357"/>
      <c r="D80" s="356"/>
      <c r="E80" s="358" t="s">
        <v>920</v>
      </c>
      <c r="F80" s="356" t="s">
        <v>97</v>
      </c>
      <c r="G80" s="356" t="s">
        <v>34</v>
      </c>
      <c r="H80" s="356" t="s">
        <v>34</v>
      </c>
      <c r="I80" s="356"/>
      <c r="J80" s="356" t="s">
        <v>31</v>
      </c>
      <c r="K80" s="356" t="s">
        <v>116</v>
      </c>
      <c r="L80" s="356" t="s">
        <v>38</v>
      </c>
      <c r="M80" s="71"/>
      <c r="N80" s="536"/>
      <c r="O80" s="432"/>
      <c r="P80" s="475"/>
      <c r="Q80" s="71"/>
      <c r="R80" s="71"/>
      <c r="S80" s="44"/>
      <c r="T80" s="310" t="s">
        <v>98</v>
      </c>
      <c r="U80" s="40"/>
      <c r="V80" s="308"/>
      <c r="W80" s="308"/>
      <c r="X80" s="278"/>
      <c r="Y80" s="171"/>
      <c r="Z80" s="132"/>
      <c r="AA80" s="55" t="s">
        <v>826</v>
      </c>
      <c r="AB80" s="55" t="s">
        <v>855</v>
      </c>
      <c r="AC80" s="55" t="s">
        <v>880</v>
      </c>
      <c r="AD80" s="52"/>
      <c r="AE80" s="56"/>
      <c r="AF80" s="51"/>
      <c r="AG80" s="56"/>
      <c r="AH80" s="51"/>
      <c r="AI80" s="56"/>
      <c r="AJ80" s="51"/>
      <c r="AK80" s="56"/>
      <c r="AL80" s="51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</row>
    <row r="81" spans="1:50" s="50" customFormat="1" ht="15" customHeight="1" outlineLevel="1">
      <c r="A81" s="355" t="s">
        <v>921</v>
      </c>
      <c r="B81" s="356" t="s">
        <v>94</v>
      </c>
      <c r="C81" s="357"/>
      <c r="D81" s="356"/>
      <c r="E81" s="358" t="s">
        <v>922</v>
      </c>
      <c r="F81" s="356" t="s">
        <v>97</v>
      </c>
      <c r="G81" s="356" t="s">
        <v>34</v>
      </c>
      <c r="H81" s="356" t="s">
        <v>34</v>
      </c>
      <c r="I81" s="356"/>
      <c r="J81" s="356" t="s">
        <v>31</v>
      </c>
      <c r="K81" s="356" t="s">
        <v>116</v>
      </c>
      <c r="L81" s="356"/>
      <c r="M81" s="38"/>
      <c r="N81" s="536"/>
      <c r="O81" s="432"/>
      <c r="P81" s="383"/>
      <c r="Q81" s="38"/>
      <c r="R81" s="38"/>
      <c r="S81" s="38"/>
      <c r="T81" s="310" t="s">
        <v>98</v>
      </c>
      <c r="U81" s="40"/>
      <c r="V81" s="308"/>
      <c r="W81" s="308"/>
      <c r="X81" s="278"/>
      <c r="Y81" s="171"/>
      <c r="Z81" s="132">
        <v>125</v>
      </c>
      <c r="AA81" s="55" t="s">
        <v>826</v>
      </c>
      <c r="AB81" s="55" t="s">
        <v>855</v>
      </c>
      <c r="AC81" s="55" t="s">
        <v>880</v>
      </c>
      <c r="AD81" s="52"/>
      <c r="AE81" s="56"/>
      <c r="AF81" s="51"/>
      <c r="AG81" s="56"/>
      <c r="AH81" s="51"/>
      <c r="AI81" s="56"/>
      <c r="AJ81" s="51"/>
      <c r="AK81" s="56"/>
      <c r="AL81" s="51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</row>
    <row r="82" spans="1:50" s="50" customFormat="1" ht="15" customHeight="1" outlineLevel="1">
      <c r="A82" s="355" t="s">
        <v>923</v>
      </c>
      <c r="B82" s="356" t="s">
        <v>94</v>
      </c>
      <c r="C82" s="357"/>
      <c r="D82" s="356"/>
      <c r="E82" s="358" t="s">
        <v>924</v>
      </c>
      <c r="F82" s="356" t="s">
        <v>97</v>
      </c>
      <c r="G82" s="356" t="s">
        <v>34</v>
      </c>
      <c r="H82" s="356" t="s">
        <v>34</v>
      </c>
      <c r="I82" s="356"/>
      <c r="J82" s="356" t="s">
        <v>31</v>
      </c>
      <c r="K82" s="356" t="s">
        <v>116</v>
      </c>
      <c r="L82" s="356"/>
      <c r="M82" s="44"/>
      <c r="N82" s="536"/>
      <c r="O82" s="432"/>
      <c r="P82" s="476"/>
      <c r="Q82" s="44"/>
      <c r="R82" s="44"/>
      <c r="S82" s="44"/>
      <c r="T82" s="310" t="s">
        <v>98</v>
      </c>
      <c r="U82" s="40"/>
      <c r="V82" s="308"/>
      <c r="W82" s="308"/>
      <c r="X82" s="278"/>
      <c r="Y82" s="171"/>
      <c r="Z82" s="132">
        <v>125</v>
      </c>
      <c r="AA82" s="55" t="s">
        <v>826</v>
      </c>
      <c r="AB82" s="55" t="s">
        <v>855</v>
      </c>
      <c r="AC82" s="55" t="s">
        <v>880</v>
      </c>
      <c r="AD82" s="52"/>
      <c r="AE82" s="56"/>
      <c r="AF82" s="51"/>
      <c r="AG82" s="56"/>
      <c r="AH82" s="51"/>
      <c r="AI82" s="56"/>
      <c r="AJ82" s="51"/>
      <c r="AK82" s="56"/>
      <c r="AL82" s="51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</row>
    <row r="83" spans="1:50" s="50" customFormat="1" ht="15" customHeight="1" outlineLevel="1">
      <c r="A83" s="355" t="s">
        <v>925</v>
      </c>
      <c r="B83" s="356" t="s">
        <v>94</v>
      </c>
      <c r="C83" s="357"/>
      <c r="D83" s="356"/>
      <c r="E83" s="358" t="s">
        <v>926</v>
      </c>
      <c r="F83" s="356" t="s">
        <v>97</v>
      </c>
      <c r="G83" s="356" t="s">
        <v>34</v>
      </c>
      <c r="H83" s="356" t="s">
        <v>34</v>
      </c>
      <c r="I83" s="356"/>
      <c r="J83" s="356"/>
      <c r="K83" s="356"/>
      <c r="L83" s="356"/>
      <c r="M83" s="44"/>
      <c r="N83" s="536"/>
      <c r="O83" s="432"/>
      <c r="P83" s="476"/>
      <c r="Q83" s="44"/>
      <c r="R83" s="44"/>
      <c r="S83" s="44"/>
      <c r="T83" s="310" t="s">
        <v>98</v>
      </c>
      <c r="U83" s="40"/>
      <c r="V83" s="308"/>
      <c r="W83" s="308"/>
      <c r="X83" s="278"/>
      <c r="Y83" s="171"/>
      <c r="Z83" s="132">
        <v>125</v>
      </c>
      <c r="AA83" s="55" t="s">
        <v>826</v>
      </c>
      <c r="AB83" s="55" t="s">
        <v>855</v>
      </c>
      <c r="AC83" s="55" t="s">
        <v>880</v>
      </c>
      <c r="AD83" s="52"/>
      <c r="AE83" s="56"/>
      <c r="AF83" s="51"/>
      <c r="AG83" s="56"/>
      <c r="AH83" s="51"/>
      <c r="AI83" s="56"/>
      <c r="AJ83" s="51"/>
      <c r="AK83" s="56"/>
      <c r="AL83" s="51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</row>
    <row r="84" spans="1:50" s="50" customFormat="1" ht="15" customHeight="1" outlineLevel="1">
      <c r="A84" s="41"/>
      <c r="B84" s="38"/>
      <c r="C84" s="233"/>
      <c r="D84" s="38"/>
      <c r="E84" s="41"/>
      <c r="F84" s="38"/>
      <c r="G84" s="38"/>
      <c r="H84" s="38"/>
      <c r="I84" s="38"/>
      <c r="J84" s="38"/>
      <c r="K84" s="38"/>
      <c r="L84" s="38"/>
      <c r="M84" s="44"/>
      <c r="N84" s="536"/>
      <c r="O84" s="432"/>
      <c r="P84" s="476"/>
      <c r="Q84" s="44"/>
      <c r="R84" s="44"/>
      <c r="S84" s="44"/>
      <c r="T84" s="310"/>
      <c r="U84" s="40"/>
      <c r="V84" s="40"/>
      <c r="W84" s="40"/>
      <c r="X84" s="278"/>
      <c r="Y84" s="171"/>
      <c r="Z84" s="132"/>
      <c r="AA84" s="55"/>
      <c r="AB84" s="55"/>
      <c r="AC84" s="55"/>
      <c r="AD84" s="52"/>
      <c r="AE84" s="56"/>
      <c r="AF84" s="51"/>
      <c r="AG84" s="56"/>
      <c r="AH84" s="51"/>
      <c r="AI84" s="56"/>
      <c r="AJ84" s="51"/>
      <c r="AK84" s="56"/>
      <c r="AL84" s="51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</row>
    <row r="85" spans="1:50" s="50" customFormat="1" ht="15" customHeight="1" outlineLevel="1">
      <c r="A85" s="315" t="s">
        <v>927</v>
      </c>
      <c r="B85" s="310" t="s">
        <v>94</v>
      </c>
      <c r="C85" s="270"/>
      <c r="D85" s="310"/>
      <c r="E85" s="359" t="s">
        <v>928</v>
      </c>
      <c r="F85" s="310"/>
      <c r="G85" s="310"/>
      <c r="H85" s="310"/>
      <c r="I85" s="310" t="s">
        <v>97</v>
      </c>
      <c r="J85" s="310" t="s">
        <v>34</v>
      </c>
      <c r="K85" s="310" t="s">
        <v>31</v>
      </c>
      <c r="L85" s="310"/>
      <c r="M85" s="44"/>
      <c r="N85" s="536"/>
      <c r="O85" s="432"/>
      <c r="P85" s="476"/>
      <c r="Q85" s="44"/>
      <c r="R85" s="44"/>
      <c r="S85" s="44"/>
      <c r="T85" s="310" t="s">
        <v>98</v>
      </c>
      <c r="U85" s="40"/>
      <c r="V85" s="40"/>
      <c r="W85" s="40"/>
      <c r="X85" s="278"/>
      <c r="Y85" s="171"/>
      <c r="Z85" s="132" t="s">
        <v>117</v>
      </c>
      <c r="AA85" s="55" t="s">
        <v>826</v>
      </c>
      <c r="AB85" s="55"/>
      <c r="AC85" s="55"/>
      <c r="AD85" s="52"/>
      <c r="AE85" s="56"/>
      <c r="AF85" s="51"/>
      <c r="AG85" s="56"/>
      <c r="AH85" s="51"/>
      <c r="AI85" s="56"/>
      <c r="AJ85" s="51"/>
      <c r="AK85" s="56"/>
      <c r="AL85" s="51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</row>
    <row r="86" spans="1:50" s="50" customFormat="1" ht="15" customHeight="1" outlineLevel="1">
      <c r="A86" s="332"/>
      <c r="B86" s="310"/>
      <c r="C86" s="270"/>
      <c r="D86" s="310"/>
      <c r="E86" s="332"/>
      <c r="F86" s="310"/>
      <c r="G86" s="310"/>
      <c r="H86" s="310"/>
      <c r="I86" s="310"/>
      <c r="J86" s="310"/>
      <c r="K86" s="310"/>
      <c r="L86" s="310"/>
      <c r="M86" s="44"/>
      <c r="N86" s="536"/>
      <c r="O86" s="432"/>
      <c r="P86" s="476"/>
      <c r="Q86" s="44"/>
      <c r="R86" s="44"/>
      <c r="S86" s="44"/>
      <c r="T86" s="310"/>
      <c r="U86" s="40"/>
      <c r="V86" s="40"/>
      <c r="W86" s="40"/>
      <c r="X86" s="278"/>
      <c r="Y86" s="171"/>
      <c r="Z86" s="132"/>
      <c r="AA86" s="55"/>
      <c r="AB86" s="55"/>
      <c r="AC86" s="55"/>
      <c r="AD86" s="52"/>
      <c r="AE86" s="56"/>
      <c r="AF86" s="51"/>
      <c r="AG86" s="56"/>
      <c r="AH86" s="51"/>
      <c r="AI86" s="56"/>
      <c r="AJ86" s="51"/>
      <c r="AK86" s="56"/>
      <c r="AL86" s="51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</row>
    <row r="87" spans="1:50" s="50" customFormat="1" ht="15" customHeight="1" outlineLevel="1">
      <c r="A87" s="315" t="s">
        <v>929</v>
      </c>
      <c r="B87" s="310" t="s">
        <v>94</v>
      </c>
      <c r="C87" s="270"/>
      <c r="D87" s="310"/>
      <c r="E87" s="359" t="s">
        <v>930</v>
      </c>
      <c r="F87" s="310"/>
      <c r="G87" s="310"/>
      <c r="H87" s="310"/>
      <c r="I87" s="310" t="s">
        <v>97</v>
      </c>
      <c r="J87" s="310" t="s">
        <v>34</v>
      </c>
      <c r="K87" s="310" t="s">
        <v>31</v>
      </c>
      <c r="L87" s="310"/>
      <c r="M87" s="44"/>
      <c r="N87" s="536"/>
      <c r="O87" s="432"/>
      <c r="P87" s="476"/>
      <c r="Q87" s="44"/>
      <c r="R87" s="44"/>
      <c r="S87" s="44"/>
      <c r="T87" s="310" t="s">
        <v>98</v>
      </c>
      <c r="U87" s="40"/>
      <c r="V87" s="40"/>
      <c r="W87" s="40"/>
      <c r="X87" s="278"/>
      <c r="Y87" s="171"/>
      <c r="Z87" s="132" t="s">
        <v>117</v>
      </c>
      <c r="AA87" s="55" t="s">
        <v>826</v>
      </c>
      <c r="AB87" s="55" t="s">
        <v>855</v>
      </c>
      <c r="AC87" s="55" t="s">
        <v>828</v>
      </c>
      <c r="AD87" s="52"/>
      <c r="AE87" s="56"/>
      <c r="AF87" s="51"/>
      <c r="AG87" s="56"/>
      <c r="AH87" s="51"/>
      <c r="AI87" s="56"/>
      <c r="AJ87" s="51"/>
      <c r="AK87" s="56"/>
      <c r="AL87" s="51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</row>
    <row r="88" spans="1:50" s="50" customFormat="1" ht="15" customHeight="1" outlineLevel="1">
      <c r="A88" s="315" t="s">
        <v>931</v>
      </c>
      <c r="B88" s="310" t="s">
        <v>94</v>
      </c>
      <c r="C88" s="270"/>
      <c r="D88" s="310"/>
      <c r="E88" s="359" t="s">
        <v>932</v>
      </c>
      <c r="F88" s="310"/>
      <c r="G88" s="310"/>
      <c r="H88" s="310"/>
      <c r="I88" s="310" t="s">
        <v>97</v>
      </c>
      <c r="J88" s="310" t="s">
        <v>34</v>
      </c>
      <c r="K88" s="310" t="s">
        <v>31</v>
      </c>
      <c r="L88" s="310"/>
      <c r="M88" s="44"/>
      <c r="N88" s="536"/>
      <c r="O88" s="432"/>
      <c r="P88" s="476"/>
      <c r="Q88" s="44"/>
      <c r="R88" s="44"/>
      <c r="S88" s="44"/>
      <c r="T88" s="310" t="s">
        <v>98</v>
      </c>
      <c r="U88" s="40"/>
      <c r="V88" s="40"/>
      <c r="W88" s="40"/>
      <c r="X88" s="278"/>
      <c r="Y88" s="171"/>
      <c r="Z88" s="132" t="s">
        <v>117</v>
      </c>
      <c r="AA88" s="55" t="s">
        <v>826</v>
      </c>
      <c r="AB88" s="55" t="s">
        <v>855</v>
      </c>
      <c r="AC88" s="55" t="s">
        <v>828</v>
      </c>
      <c r="AD88" s="52"/>
      <c r="AE88" s="56"/>
      <c r="AF88" s="51"/>
      <c r="AG88" s="56"/>
      <c r="AH88" s="51"/>
      <c r="AI88" s="56"/>
      <c r="AJ88" s="51"/>
      <c r="AK88" s="56"/>
      <c r="AL88" s="51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</row>
    <row r="89" spans="1:50" s="50" customFormat="1" ht="15" customHeight="1" outlineLevel="1">
      <c r="A89" s="315" t="s">
        <v>933</v>
      </c>
      <c r="B89" s="310" t="s">
        <v>94</v>
      </c>
      <c r="C89" s="270"/>
      <c r="D89" s="310"/>
      <c r="E89" s="359" t="s">
        <v>934</v>
      </c>
      <c r="F89" s="310"/>
      <c r="G89" s="310"/>
      <c r="H89" s="310"/>
      <c r="I89" s="310" t="s">
        <v>97</v>
      </c>
      <c r="J89" s="310" t="s">
        <v>34</v>
      </c>
      <c r="K89" s="310" t="s">
        <v>31</v>
      </c>
      <c r="L89" s="310" t="s">
        <v>116</v>
      </c>
      <c r="M89" s="44"/>
      <c r="N89" s="536"/>
      <c r="O89" s="432"/>
      <c r="P89" s="476"/>
      <c r="Q89" s="44"/>
      <c r="R89" s="44"/>
      <c r="S89" s="44"/>
      <c r="T89" s="310" t="s">
        <v>98</v>
      </c>
      <c r="U89" s="40"/>
      <c r="V89" s="40"/>
      <c r="W89" s="40"/>
      <c r="X89" s="278"/>
      <c r="Y89" s="171"/>
      <c r="Z89" s="132" t="s">
        <v>117</v>
      </c>
      <c r="AA89" s="55" t="s">
        <v>826</v>
      </c>
      <c r="AB89" s="55" t="s">
        <v>855</v>
      </c>
      <c r="AC89" s="55" t="s">
        <v>828</v>
      </c>
      <c r="AD89" s="52"/>
      <c r="AE89" s="56"/>
      <c r="AF89" s="51"/>
      <c r="AG89" s="56"/>
      <c r="AH89" s="51"/>
      <c r="AI89" s="56"/>
      <c r="AJ89" s="51"/>
      <c r="AK89" s="56"/>
      <c r="AL89" s="51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</row>
    <row r="90" spans="1:50" s="50" customFormat="1" ht="15" customHeight="1" outlineLevel="1">
      <c r="A90" s="315" t="s">
        <v>935</v>
      </c>
      <c r="B90" s="310" t="s">
        <v>94</v>
      </c>
      <c r="C90" s="270"/>
      <c r="D90" s="310"/>
      <c r="E90" s="359" t="s">
        <v>936</v>
      </c>
      <c r="F90" s="310"/>
      <c r="G90" s="310"/>
      <c r="H90" s="310"/>
      <c r="I90" s="310" t="s">
        <v>97</v>
      </c>
      <c r="J90" s="310" t="s">
        <v>34</v>
      </c>
      <c r="K90" s="310" t="s">
        <v>31</v>
      </c>
      <c r="L90" s="310"/>
      <c r="M90" s="44"/>
      <c r="N90" s="536"/>
      <c r="O90" s="432"/>
      <c r="P90" s="476"/>
      <c r="Q90" s="44"/>
      <c r="R90" s="44"/>
      <c r="S90" s="44"/>
      <c r="T90" s="310" t="s">
        <v>98</v>
      </c>
      <c r="U90" s="40"/>
      <c r="V90" s="40"/>
      <c r="W90" s="40"/>
      <c r="X90" s="278"/>
      <c r="Y90" s="171"/>
      <c r="Z90" s="132" t="s">
        <v>117</v>
      </c>
      <c r="AA90" s="55" t="s">
        <v>826</v>
      </c>
      <c r="AB90" s="55" t="s">
        <v>827</v>
      </c>
      <c r="AC90" s="55" t="s">
        <v>828</v>
      </c>
      <c r="AD90" s="52"/>
      <c r="AE90" s="56"/>
      <c r="AF90" s="51"/>
      <c r="AG90" s="56"/>
      <c r="AH90" s="51"/>
      <c r="AI90" s="56"/>
      <c r="AJ90" s="51"/>
      <c r="AK90" s="56"/>
      <c r="AL90" s="51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</row>
    <row r="91" spans="1:50" s="50" customFormat="1" ht="15" customHeight="1" outlineLevel="1">
      <c r="A91" s="315" t="s">
        <v>937</v>
      </c>
      <c r="B91" s="310" t="s">
        <v>94</v>
      </c>
      <c r="C91" s="270"/>
      <c r="D91" s="310"/>
      <c r="E91" s="359" t="s">
        <v>938</v>
      </c>
      <c r="F91" s="310"/>
      <c r="G91" s="310"/>
      <c r="H91" s="310"/>
      <c r="I91" s="310"/>
      <c r="J91" s="310" t="s">
        <v>97</v>
      </c>
      <c r="K91" s="310" t="s">
        <v>34</v>
      </c>
      <c r="L91" s="310"/>
      <c r="M91" s="44"/>
      <c r="N91" s="536"/>
      <c r="O91" s="432"/>
      <c r="P91" s="476"/>
      <c r="Q91" s="44"/>
      <c r="R91" s="44"/>
      <c r="S91" s="44"/>
      <c r="T91" s="310" t="s">
        <v>98</v>
      </c>
      <c r="U91" s="40"/>
      <c r="V91" s="40"/>
      <c r="W91" s="40"/>
      <c r="X91" s="278"/>
      <c r="Y91" s="171"/>
      <c r="Z91" s="132" t="s">
        <v>117</v>
      </c>
      <c r="AA91" s="55" t="s">
        <v>826</v>
      </c>
      <c r="AB91" s="55" t="s">
        <v>827</v>
      </c>
      <c r="AC91" s="55" t="s">
        <v>828</v>
      </c>
      <c r="AD91" s="52"/>
      <c r="AE91" s="56"/>
      <c r="AF91" s="51"/>
      <c r="AG91" s="56"/>
      <c r="AH91" s="51"/>
      <c r="AI91" s="56"/>
      <c r="AJ91" s="51"/>
      <c r="AK91" s="56"/>
      <c r="AL91" s="51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</row>
    <row r="92" spans="1:50" s="50" customFormat="1" ht="15" customHeight="1" outlineLevel="1">
      <c r="A92" s="41"/>
      <c r="B92" s="38"/>
      <c r="C92" s="233"/>
      <c r="D92" s="38"/>
      <c r="E92" s="213"/>
      <c r="F92" s="38"/>
      <c r="G92" s="38"/>
      <c r="H92" s="38"/>
      <c r="I92" s="38"/>
      <c r="J92" s="38"/>
      <c r="K92" s="38"/>
      <c r="L92" s="38"/>
      <c r="M92" s="44"/>
      <c r="N92" s="44"/>
      <c r="O92" s="44"/>
      <c r="P92" s="476"/>
      <c r="Q92" s="44"/>
      <c r="R92" s="44"/>
      <c r="S92" s="44"/>
      <c r="T92" s="38"/>
      <c r="U92" s="40"/>
      <c r="V92" s="40"/>
      <c r="W92" s="40"/>
      <c r="X92" s="278"/>
      <c r="Y92" s="171"/>
      <c r="Z92" s="132"/>
      <c r="AA92" s="55"/>
      <c r="AB92" s="55"/>
      <c r="AC92" s="55"/>
      <c r="AD92" s="52"/>
      <c r="AE92" s="56"/>
      <c r="AF92" s="51"/>
      <c r="AG92" s="56"/>
      <c r="AH92" s="51"/>
      <c r="AI92" s="56"/>
      <c r="AJ92" s="51"/>
      <c r="AK92" s="56"/>
      <c r="AL92" s="51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</row>
    <row r="93" spans="1:50" s="50" customFormat="1" ht="15" customHeight="1" outlineLevel="1">
      <c r="A93" s="37" t="s">
        <v>939</v>
      </c>
      <c r="B93" s="38" t="s">
        <v>94</v>
      </c>
      <c r="C93" s="233"/>
      <c r="D93" s="38"/>
      <c r="E93" s="213" t="s">
        <v>940</v>
      </c>
      <c r="F93" s="38" t="s">
        <v>97</v>
      </c>
      <c r="G93" s="38"/>
      <c r="H93" s="38"/>
      <c r="I93" s="38"/>
      <c r="J93" s="38"/>
      <c r="K93" s="38"/>
      <c r="L93" s="38"/>
      <c r="M93" s="38"/>
      <c r="N93" s="38" t="s">
        <v>97</v>
      </c>
      <c r="O93" s="364" t="s">
        <v>97</v>
      </c>
      <c r="P93" s="383"/>
      <c r="Q93" s="40"/>
      <c r="R93" s="40"/>
      <c r="S93" s="40">
        <v>0</v>
      </c>
      <c r="T93" s="38" t="s">
        <v>98</v>
      </c>
      <c r="U93" s="171"/>
      <c r="V93" s="132"/>
      <c r="W93" s="40" t="str" cm="1">
        <f t="array" ref="W93">IF(A93&lt;&gt;"",_xlfn.XLOOKUP(_xlfn.XLOOKUP(TRUE,F93:P93&lt;&gt;"",F93:P93,"-",-1,-1),F93:P93,$F$6:$P$6,,,-1),"")</f>
        <v>Permit</v>
      </c>
      <c r="X93" s="55" t="s">
        <v>826</v>
      </c>
      <c r="Y93" s="55" t="s">
        <v>879</v>
      </c>
      <c r="Z93" s="55" t="s">
        <v>880</v>
      </c>
      <c r="AA93" s="52"/>
      <c r="AB93" s="56"/>
      <c r="AC93" s="51"/>
      <c r="AD93" s="56"/>
      <c r="AE93" s="51"/>
      <c r="AF93" s="56"/>
      <c r="AG93" s="51"/>
      <c r="AH93" s="56"/>
      <c r="AI93" s="51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</row>
    <row r="94" spans="1:50" s="50" customFormat="1" ht="15" customHeight="1" outlineLevel="1">
      <c r="A94" s="37" t="s">
        <v>941</v>
      </c>
      <c r="B94" s="38" t="s">
        <v>94</v>
      </c>
      <c r="C94" s="233"/>
      <c r="D94" s="38"/>
      <c r="E94" s="213" t="s">
        <v>878</v>
      </c>
      <c r="F94" s="38" t="s">
        <v>97</v>
      </c>
      <c r="G94" s="38"/>
      <c r="H94" s="38"/>
      <c r="I94" s="38"/>
      <c r="J94" s="38"/>
      <c r="K94" s="38"/>
      <c r="L94" s="38"/>
      <c r="M94" s="38" t="s">
        <v>97</v>
      </c>
      <c r="N94" s="38" t="s">
        <v>97</v>
      </c>
      <c r="O94" s="364" t="s">
        <v>97</v>
      </c>
      <c r="P94" s="460" t="s">
        <v>34</v>
      </c>
      <c r="Q94" s="40"/>
      <c r="R94" s="466" t="s">
        <v>31</v>
      </c>
      <c r="S94" s="40">
        <v>0</v>
      </c>
      <c r="T94" s="38" t="s">
        <v>98</v>
      </c>
      <c r="U94" s="171"/>
      <c r="V94" s="132"/>
      <c r="W94" s="40" t="str" cm="1">
        <f t="array" ref="W94">IF(A94&lt;&gt;"",_xlfn.XLOOKUP(_xlfn.XLOOKUP(TRUE,F94:P94&lt;&gt;"",F94:P94,"-",-1,-1),F94:P94,$F$6:$P$6,,,-1),"")</f>
        <v>Add8</v>
      </c>
      <c r="X94" s="55" t="s">
        <v>826</v>
      </c>
      <c r="Y94" s="55" t="s">
        <v>879</v>
      </c>
      <c r="Z94" s="55" t="s">
        <v>880</v>
      </c>
      <c r="AA94" s="52"/>
      <c r="AB94" s="56"/>
      <c r="AC94" s="51"/>
      <c r="AD94" s="56"/>
      <c r="AE94" s="51"/>
      <c r="AF94" s="56"/>
      <c r="AG94" s="51"/>
      <c r="AH94" s="56"/>
      <c r="AI94" s="51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</row>
    <row r="95" spans="1:50" s="50" customFormat="1" ht="15" customHeight="1" outlineLevel="1">
      <c r="A95" s="37" t="s">
        <v>942</v>
      </c>
      <c r="B95" s="38" t="s">
        <v>94</v>
      </c>
      <c r="C95" s="233"/>
      <c r="D95" s="38"/>
      <c r="E95" s="213" t="s">
        <v>943</v>
      </c>
      <c r="F95" s="38" t="s">
        <v>97</v>
      </c>
      <c r="G95" s="38"/>
      <c r="H95" s="38"/>
      <c r="I95" s="38"/>
      <c r="J95" s="38"/>
      <c r="K95" s="38"/>
      <c r="L95" s="38"/>
      <c r="M95" s="38" t="s">
        <v>97</v>
      </c>
      <c r="N95" s="38" t="s">
        <v>97</v>
      </c>
      <c r="O95" s="364" t="s">
        <v>97</v>
      </c>
      <c r="P95" s="460" t="s">
        <v>34</v>
      </c>
      <c r="Q95" s="40"/>
      <c r="R95" s="466" t="s">
        <v>31</v>
      </c>
      <c r="S95" s="40">
        <v>0</v>
      </c>
      <c r="T95" s="38" t="s">
        <v>98</v>
      </c>
      <c r="U95" s="171"/>
      <c r="V95" s="132"/>
      <c r="W95" s="40" t="str" cm="1">
        <f t="array" ref="W95">IF(A95&lt;&gt;"",_xlfn.XLOOKUP(_xlfn.XLOOKUP(TRUE,F95:P95&lt;&gt;"",F95:P95,"-",-1,-1),F95:P95,$F$6:$P$6,,,-1),"")</f>
        <v>Add8</v>
      </c>
      <c r="X95" s="55" t="s">
        <v>826</v>
      </c>
      <c r="Y95" s="55" t="s">
        <v>879</v>
      </c>
      <c r="Z95" s="55" t="s">
        <v>880</v>
      </c>
      <c r="AA95" s="52"/>
      <c r="AB95" s="56"/>
      <c r="AC95" s="51"/>
      <c r="AD95" s="56"/>
      <c r="AE95" s="51"/>
      <c r="AF95" s="56"/>
      <c r="AG95" s="51"/>
      <c r="AH95" s="56"/>
      <c r="AI95" s="51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</row>
    <row r="96" spans="1:50" s="50" customFormat="1" ht="15" customHeight="1" outlineLevel="1">
      <c r="A96" s="37" t="s">
        <v>944</v>
      </c>
      <c r="B96" s="38" t="s">
        <v>94</v>
      </c>
      <c r="C96" s="233"/>
      <c r="D96" s="38"/>
      <c r="E96" s="213" t="s">
        <v>945</v>
      </c>
      <c r="F96" s="38" t="s">
        <v>97</v>
      </c>
      <c r="G96" s="38"/>
      <c r="H96" s="38"/>
      <c r="I96" s="38"/>
      <c r="J96" s="38"/>
      <c r="K96" s="38"/>
      <c r="L96" s="38"/>
      <c r="M96" s="38" t="s">
        <v>97</v>
      </c>
      <c r="N96" s="38" t="s">
        <v>97</v>
      </c>
      <c r="O96" s="364" t="s">
        <v>97</v>
      </c>
      <c r="P96" s="460" t="s">
        <v>34</v>
      </c>
      <c r="Q96" s="40"/>
      <c r="R96" s="466" t="s">
        <v>31</v>
      </c>
      <c r="S96" s="40">
        <v>0</v>
      </c>
      <c r="T96" s="38" t="s">
        <v>98</v>
      </c>
      <c r="U96" s="171"/>
      <c r="V96" s="132"/>
      <c r="W96" s="40" t="str" cm="1">
        <f t="array" ref="W96">IF(A96&lt;&gt;"",_xlfn.XLOOKUP(_xlfn.XLOOKUP(TRUE,F96:P96&lt;&gt;"",F96:P96,"-",-1,-1),F96:P96,$F$6:$P$6,,,-1),"")</f>
        <v>Add8</v>
      </c>
      <c r="X96" s="55" t="s">
        <v>826</v>
      </c>
      <c r="Y96" s="55" t="s">
        <v>879</v>
      </c>
      <c r="Z96" s="55" t="s">
        <v>880</v>
      </c>
      <c r="AA96" s="52"/>
      <c r="AB96" s="56"/>
      <c r="AC96" s="51"/>
      <c r="AD96" s="56"/>
      <c r="AE96" s="51"/>
      <c r="AF96" s="56"/>
      <c r="AG96" s="51"/>
      <c r="AH96" s="56"/>
      <c r="AI96" s="51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</row>
    <row r="97" spans="1:50" s="50" customFormat="1" ht="15" customHeight="1" outlineLevel="1">
      <c r="A97" s="37" t="s">
        <v>946</v>
      </c>
      <c r="B97" s="38" t="s">
        <v>94</v>
      </c>
      <c r="C97" s="233"/>
      <c r="D97" s="38"/>
      <c r="E97" s="213" t="s">
        <v>947</v>
      </c>
      <c r="F97" s="38" t="s">
        <v>97</v>
      </c>
      <c r="G97" s="38"/>
      <c r="H97" s="38"/>
      <c r="I97" s="38"/>
      <c r="J97" s="38"/>
      <c r="K97" s="38"/>
      <c r="L97" s="38"/>
      <c r="M97" s="38" t="s">
        <v>97</v>
      </c>
      <c r="N97" s="38" t="s">
        <v>97</v>
      </c>
      <c r="O97" s="364" t="s">
        <v>97</v>
      </c>
      <c r="P97" s="460" t="s">
        <v>34</v>
      </c>
      <c r="Q97" s="40"/>
      <c r="R97" s="466" t="s">
        <v>31</v>
      </c>
      <c r="S97" s="40">
        <v>0</v>
      </c>
      <c r="T97" s="38" t="s">
        <v>98</v>
      </c>
      <c r="U97" s="171"/>
      <c r="V97" s="132"/>
      <c r="W97" s="40" t="str" cm="1">
        <f t="array" ref="W97">IF(A97&lt;&gt;"",_xlfn.XLOOKUP(_xlfn.XLOOKUP(TRUE,F97:P97&lt;&gt;"",F97:P97,"-",-1,-1),F97:P97,$F$6:$P$6,,,-1),"")</f>
        <v>Add8</v>
      </c>
      <c r="X97" s="55" t="s">
        <v>826</v>
      </c>
      <c r="Y97" s="55" t="s">
        <v>879</v>
      </c>
      <c r="Z97" s="55" t="s">
        <v>880</v>
      </c>
      <c r="AA97" s="52"/>
      <c r="AB97" s="56"/>
      <c r="AC97" s="51"/>
      <c r="AD97" s="56"/>
      <c r="AE97" s="51"/>
      <c r="AF97" s="56"/>
      <c r="AG97" s="51"/>
      <c r="AH97" s="56"/>
      <c r="AI97" s="51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</row>
    <row r="98" spans="1:50" s="50" customFormat="1" ht="15" customHeight="1" outlineLevel="1">
      <c r="A98" s="37" t="s">
        <v>948</v>
      </c>
      <c r="B98" s="38" t="s">
        <v>94</v>
      </c>
      <c r="C98" s="233"/>
      <c r="D98" s="38"/>
      <c r="E98" s="213" t="s">
        <v>949</v>
      </c>
      <c r="F98" s="38" t="s">
        <v>97</v>
      </c>
      <c r="G98" s="38"/>
      <c r="H98" s="38"/>
      <c r="I98" s="38"/>
      <c r="J98" s="38"/>
      <c r="K98" s="38"/>
      <c r="L98" s="38"/>
      <c r="M98" s="38" t="s">
        <v>97</v>
      </c>
      <c r="N98" s="38" t="s">
        <v>97</v>
      </c>
      <c r="O98" s="364" t="s">
        <v>97</v>
      </c>
      <c r="P98" s="460" t="s">
        <v>34</v>
      </c>
      <c r="Q98" s="40"/>
      <c r="R98" s="466" t="s">
        <v>31</v>
      </c>
      <c r="S98" s="40">
        <v>0</v>
      </c>
      <c r="T98" s="38" t="s">
        <v>98</v>
      </c>
      <c r="U98" s="171"/>
      <c r="V98" s="132"/>
      <c r="W98" s="40" t="str" cm="1">
        <f t="array" ref="W98">IF(A98&lt;&gt;"",_xlfn.XLOOKUP(_xlfn.XLOOKUP(TRUE,F98:P98&lt;&gt;"",F98:P98,"-",-1,-1),F98:P98,$F$6:$P$6,,,-1),"")</f>
        <v>Add8</v>
      </c>
      <c r="X98" s="55" t="s">
        <v>826</v>
      </c>
      <c r="Y98" s="55" t="s">
        <v>879</v>
      </c>
      <c r="Z98" s="55" t="s">
        <v>880</v>
      </c>
      <c r="AA98" s="52"/>
      <c r="AB98" s="56"/>
      <c r="AC98" s="51"/>
      <c r="AD98" s="56"/>
      <c r="AE98" s="51"/>
      <c r="AF98" s="56"/>
      <c r="AG98" s="51"/>
      <c r="AH98" s="56"/>
      <c r="AI98" s="51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</row>
    <row r="99" spans="1:50" s="50" customFormat="1" ht="15" customHeight="1" outlineLevel="1">
      <c r="A99" s="37" t="s">
        <v>950</v>
      </c>
      <c r="B99" s="38" t="s">
        <v>94</v>
      </c>
      <c r="C99" s="233"/>
      <c r="D99" s="38"/>
      <c r="E99" s="213" t="s">
        <v>951</v>
      </c>
      <c r="F99" s="38" t="s">
        <v>97</v>
      </c>
      <c r="G99" s="38"/>
      <c r="H99" s="38"/>
      <c r="I99" s="38"/>
      <c r="J99" s="38"/>
      <c r="K99" s="38"/>
      <c r="L99" s="38"/>
      <c r="M99" s="38" t="s">
        <v>97</v>
      </c>
      <c r="N99" s="38" t="s">
        <v>97</v>
      </c>
      <c r="O99" s="364" t="s">
        <v>97</v>
      </c>
      <c r="P99" s="460" t="s">
        <v>34</v>
      </c>
      <c r="Q99" s="40"/>
      <c r="R99" s="466" t="s">
        <v>31</v>
      </c>
      <c r="S99" s="40">
        <v>0</v>
      </c>
      <c r="T99" s="38" t="s">
        <v>98</v>
      </c>
      <c r="U99" s="171"/>
      <c r="V99" s="132"/>
      <c r="W99" s="40" t="str" cm="1">
        <f t="array" ref="W99">IF(A99&lt;&gt;"",_xlfn.XLOOKUP(_xlfn.XLOOKUP(TRUE,F99:P99&lt;&gt;"",F99:P99,"-",-1,-1),F99:P99,$F$6:$P$6,,,-1),"")</f>
        <v>Add8</v>
      </c>
      <c r="X99" s="55" t="s">
        <v>826</v>
      </c>
      <c r="Y99" s="55" t="s">
        <v>879</v>
      </c>
      <c r="Z99" s="55" t="s">
        <v>880</v>
      </c>
      <c r="AA99" s="52"/>
      <c r="AB99" s="56"/>
      <c r="AC99" s="51"/>
      <c r="AD99" s="56"/>
      <c r="AE99" s="51"/>
      <c r="AF99" s="56"/>
      <c r="AG99" s="51"/>
      <c r="AH99" s="56"/>
      <c r="AI99" s="51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</row>
    <row r="100" spans="1:50" s="50" customFormat="1" ht="15" customHeight="1" outlineLevel="1">
      <c r="A100" s="37" t="s">
        <v>952</v>
      </c>
      <c r="B100" s="38" t="s">
        <v>94</v>
      </c>
      <c r="C100" s="233"/>
      <c r="D100" s="38"/>
      <c r="E100" s="213" t="s">
        <v>953</v>
      </c>
      <c r="F100" s="38" t="s">
        <v>97</v>
      </c>
      <c r="G100" s="38"/>
      <c r="H100" s="38"/>
      <c r="I100" s="38"/>
      <c r="J100" s="38"/>
      <c r="K100" s="38"/>
      <c r="L100" s="38"/>
      <c r="M100" s="38" t="s">
        <v>97</v>
      </c>
      <c r="N100" s="38" t="s">
        <v>97</v>
      </c>
      <c r="O100" s="364" t="s">
        <v>97</v>
      </c>
      <c r="P100" s="460" t="s">
        <v>34</v>
      </c>
      <c r="Q100" s="40"/>
      <c r="R100" s="466" t="s">
        <v>31</v>
      </c>
      <c r="S100" s="40">
        <v>0</v>
      </c>
      <c r="T100" s="38" t="s">
        <v>98</v>
      </c>
      <c r="U100" s="171"/>
      <c r="V100" s="132"/>
      <c r="W100" s="40" t="str" cm="1">
        <f t="array" ref="W100">IF(A100&lt;&gt;"",_xlfn.XLOOKUP(_xlfn.XLOOKUP(TRUE,F100:P100&lt;&gt;"",F100:P100,"-",-1,-1),F100:P100,$F$6:$P$6,,,-1),"")</f>
        <v>Add8</v>
      </c>
      <c r="X100" s="55" t="s">
        <v>826</v>
      </c>
      <c r="Y100" s="55" t="s">
        <v>879</v>
      </c>
      <c r="Z100" s="55" t="s">
        <v>880</v>
      </c>
      <c r="AA100" s="52"/>
      <c r="AB100" s="56"/>
      <c r="AC100" s="51"/>
      <c r="AD100" s="56"/>
      <c r="AE100" s="51"/>
      <c r="AF100" s="56"/>
      <c r="AG100" s="51"/>
      <c r="AH100" s="56"/>
      <c r="AI100" s="51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</row>
    <row r="101" spans="1:50" s="50" customFormat="1" ht="15" customHeight="1" outlineLevel="1">
      <c r="A101" s="37" t="s">
        <v>954</v>
      </c>
      <c r="B101" s="38" t="s">
        <v>94</v>
      </c>
      <c r="C101" s="233"/>
      <c r="D101" s="38"/>
      <c r="E101" s="213" t="s">
        <v>955</v>
      </c>
      <c r="F101" s="38" t="s">
        <v>97</v>
      </c>
      <c r="G101" s="38"/>
      <c r="H101" s="38"/>
      <c r="I101" s="38"/>
      <c r="J101" s="38"/>
      <c r="K101" s="38"/>
      <c r="L101" s="38"/>
      <c r="M101" s="38" t="s">
        <v>97</v>
      </c>
      <c r="N101" s="38" t="s">
        <v>97</v>
      </c>
      <c r="O101" s="364" t="s">
        <v>97</v>
      </c>
      <c r="P101" s="460" t="s">
        <v>34</v>
      </c>
      <c r="Q101" s="40"/>
      <c r="R101" s="466" t="s">
        <v>31</v>
      </c>
      <c r="S101" s="40">
        <v>0</v>
      </c>
      <c r="T101" s="38" t="s">
        <v>98</v>
      </c>
      <c r="U101" s="171"/>
      <c r="V101" s="132"/>
      <c r="W101" s="40" t="str" cm="1">
        <f t="array" ref="W101">IF(A101&lt;&gt;"",_xlfn.XLOOKUP(_xlfn.XLOOKUP(TRUE,F101:P101&lt;&gt;"",F101:P101,"-",-1,-1),F101:P101,$F$6:$P$6,,,-1),"")</f>
        <v>Add8</v>
      </c>
      <c r="X101" s="55" t="s">
        <v>826</v>
      </c>
      <c r="Y101" s="55" t="s">
        <v>879</v>
      </c>
      <c r="Z101" s="55" t="s">
        <v>880</v>
      </c>
      <c r="AA101" s="52"/>
      <c r="AB101" s="56"/>
      <c r="AC101" s="51"/>
      <c r="AD101" s="56"/>
      <c r="AE101" s="51"/>
      <c r="AF101" s="56"/>
      <c r="AG101" s="51"/>
      <c r="AH101" s="56"/>
      <c r="AI101" s="51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</row>
    <row r="102" spans="1:50" s="50" customFormat="1" outlineLevel="1">
      <c r="A102" s="37" t="s">
        <v>956</v>
      </c>
      <c r="B102" s="38" t="s">
        <v>94</v>
      </c>
      <c r="C102" s="233"/>
      <c r="D102" s="38"/>
      <c r="E102" s="213" t="s">
        <v>892</v>
      </c>
      <c r="F102" s="38" t="s">
        <v>97</v>
      </c>
      <c r="G102" s="38"/>
      <c r="H102" s="38"/>
      <c r="I102" s="38"/>
      <c r="J102" s="38"/>
      <c r="K102" s="38"/>
      <c r="L102" s="38"/>
      <c r="M102" s="38" t="s">
        <v>97</v>
      </c>
      <c r="N102" s="38" t="s">
        <v>97</v>
      </c>
      <c r="O102" s="364" t="s">
        <v>97</v>
      </c>
      <c r="P102" s="460" t="s">
        <v>34</v>
      </c>
      <c r="Q102" s="40"/>
      <c r="R102" s="466" t="s">
        <v>31</v>
      </c>
      <c r="S102" s="40">
        <v>0</v>
      </c>
      <c r="T102" s="38" t="s">
        <v>98</v>
      </c>
      <c r="U102" s="171"/>
      <c r="V102" s="132"/>
      <c r="W102" s="40" t="str" cm="1">
        <f t="array" ref="W102">IF(A102&lt;&gt;"",_xlfn.XLOOKUP(_xlfn.XLOOKUP(TRUE,F102:P102&lt;&gt;"",F102:P102,"-",-1,-1),F102:P102,$F$6:$P$6,,,-1),"")</f>
        <v>Add8</v>
      </c>
      <c r="X102" s="55" t="s">
        <v>826</v>
      </c>
      <c r="Y102" s="55" t="s">
        <v>879</v>
      </c>
      <c r="Z102" s="55" t="s">
        <v>880</v>
      </c>
      <c r="AA102" s="52"/>
      <c r="AB102" s="56"/>
      <c r="AC102" s="51"/>
      <c r="AD102" s="56"/>
      <c r="AE102" s="51"/>
      <c r="AF102" s="56"/>
      <c r="AG102" s="51"/>
      <c r="AH102" s="56"/>
      <c r="AI102" s="51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</row>
    <row r="103" spans="1:50" s="50" customFormat="1" outlineLevel="1">
      <c r="A103" s="37" t="s">
        <v>957</v>
      </c>
      <c r="B103" s="38" t="s">
        <v>94</v>
      </c>
      <c r="C103" s="233"/>
      <c r="D103" s="38"/>
      <c r="E103" s="213" t="s">
        <v>958</v>
      </c>
      <c r="F103" s="38" t="s">
        <v>97</v>
      </c>
      <c r="G103" s="38"/>
      <c r="H103" s="38"/>
      <c r="I103" s="38"/>
      <c r="J103" s="38"/>
      <c r="K103" s="38"/>
      <c r="L103" s="38"/>
      <c r="M103" s="38" t="s">
        <v>97</v>
      </c>
      <c r="N103" s="38" t="s">
        <v>97</v>
      </c>
      <c r="O103" s="364" t="s">
        <v>97</v>
      </c>
      <c r="P103" s="460" t="s">
        <v>34</v>
      </c>
      <c r="Q103" s="40"/>
      <c r="R103" s="40"/>
      <c r="S103" s="40">
        <v>0</v>
      </c>
      <c r="T103" s="38" t="s">
        <v>98</v>
      </c>
      <c r="U103" s="171"/>
      <c r="V103" s="132"/>
      <c r="W103" s="40" t="str" cm="1">
        <f t="array" ref="W103">IF(A103&lt;&gt;"",_xlfn.XLOOKUP(_xlfn.XLOOKUP(TRUE,F103:P103&lt;&gt;"",F103:P103,"-",-1,-1),F103:P103,$F$6:$P$6,,,-1),"")</f>
        <v>Add8</v>
      </c>
      <c r="X103" s="55" t="s">
        <v>826</v>
      </c>
      <c r="Y103" s="55" t="s">
        <v>879</v>
      </c>
      <c r="Z103" s="55" t="s">
        <v>880</v>
      </c>
      <c r="AA103" s="52"/>
      <c r="AB103" s="56"/>
      <c r="AC103" s="51"/>
      <c r="AD103" s="56"/>
      <c r="AE103" s="51"/>
      <c r="AF103" s="56"/>
      <c r="AG103" s="51"/>
      <c r="AH103" s="56"/>
      <c r="AI103" s="51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</row>
    <row r="104" spans="1:50" s="50" customFormat="1" outlineLevel="1">
      <c r="A104" s="37" t="s">
        <v>959</v>
      </c>
      <c r="B104" s="38" t="s">
        <v>94</v>
      </c>
      <c r="C104" s="233"/>
      <c r="D104" s="38"/>
      <c r="E104" s="213" t="s">
        <v>960</v>
      </c>
      <c r="F104" s="38" t="s">
        <v>97</v>
      </c>
      <c r="G104" s="38"/>
      <c r="H104" s="38"/>
      <c r="I104" s="38"/>
      <c r="J104" s="38"/>
      <c r="K104" s="38"/>
      <c r="L104" s="38"/>
      <c r="M104" s="38" t="s">
        <v>97</v>
      </c>
      <c r="N104" s="38" t="s">
        <v>97</v>
      </c>
      <c r="O104" s="364" t="s">
        <v>97</v>
      </c>
      <c r="P104" s="460" t="s">
        <v>34</v>
      </c>
      <c r="Q104" s="40"/>
      <c r="R104" s="40"/>
      <c r="S104" s="40">
        <v>0</v>
      </c>
      <c r="T104" s="38" t="s">
        <v>98</v>
      </c>
      <c r="U104" s="171"/>
      <c r="V104" s="132"/>
      <c r="W104" s="40" t="str" cm="1">
        <f t="array" ref="W104">IF(A104&lt;&gt;"",_xlfn.XLOOKUP(_xlfn.XLOOKUP(TRUE,F104:P104&lt;&gt;"",F104:P104,"-",-1,-1),F104:P104,$F$6:$P$6,,,-1),"")</f>
        <v>Add8</v>
      </c>
      <c r="X104" s="55" t="s">
        <v>826</v>
      </c>
      <c r="Y104" s="55" t="s">
        <v>879</v>
      </c>
      <c r="Z104" s="55" t="s">
        <v>880</v>
      </c>
      <c r="AA104" s="52"/>
      <c r="AB104" s="56"/>
      <c r="AC104" s="51"/>
      <c r="AD104" s="56"/>
      <c r="AE104" s="51"/>
      <c r="AF104" s="56"/>
      <c r="AG104" s="51"/>
      <c r="AH104" s="56"/>
      <c r="AI104" s="51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</row>
    <row r="105" spans="1:50" s="50" customFormat="1" ht="15" customHeight="1" outlineLevel="1">
      <c r="A105" s="37" t="s">
        <v>961</v>
      </c>
      <c r="B105" s="38" t="s">
        <v>94</v>
      </c>
      <c r="C105" s="233"/>
      <c r="D105" s="38"/>
      <c r="E105" s="213" t="s">
        <v>962</v>
      </c>
      <c r="F105" s="38" t="s">
        <v>97</v>
      </c>
      <c r="G105" s="38"/>
      <c r="H105" s="38"/>
      <c r="I105" s="38"/>
      <c r="J105" s="38"/>
      <c r="K105" s="38"/>
      <c r="L105" s="38"/>
      <c r="M105" s="38" t="s">
        <v>97</v>
      </c>
      <c r="N105" s="38" t="s">
        <v>97</v>
      </c>
      <c r="O105" s="364" t="s">
        <v>97</v>
      </c>
      <c r="P105" s="383"/>
      <c r="Q105" s="40"/>
      <c r="R105" s="40"/>
      <c r="S105" s="40">
        <v>0</v>
      </c>
      <c r="T105" s="38" t="s">
        <v>98</v>
      </c>
      <c r="U105" s="171"/>
      <c r="V105" s="132"/>
      <c r="W105" s="40" t="str" cm="1">
        <f t="array" ref="W105">IF(A105&lt;&gt;"",_xlfn.XLOOKUP(_xlfn.XLOOKUP(TRUE,F105:P105&lt;&gt;"",F105:P105,"-",-1,-1),F105:P105,$F$6:$P$6,,,-1),"")</f>
        <v>Permit</v>
      </c>
      <c r="X105" s="55" t="s">
        <v>826</v>
      </c>
      <c r="Y105" s="55" t="s">
        <v>879</v>
      </c>
      <c r="Z105" s="55" t="s">
        <v>880</v>
      </c>
      <c r="AA105" s="52"/>
      <c r="AB105" s="56"/>
      <c r="AC105" s="51"/>
      <c r="AD105" s="56"/>
      <c r="AE105" s="51"/>
      <c r="AF105" s="56"/>
      <c r="AG105" s="51"/>
      <c r="AH105" s="56"/>
      <c r="AI105" s="51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</row>
    <row r="106" spans="1:50" s="50" customFormat="1" ht="13.5" customHeight="1" outlineLevel="1">
      <c r="A106" s="37" t="s">
        <v>963</v>
      </c>
      <c r="B106" s="38" t="s">
        <v>94</v>
      </c>
      <c r="C106" s="233"/>
      <c r="D106" s="38"/>
      <c r="E106" s="213" t="s">
        <v>964</v>
      </c>
      <c r="F106" s="38" t="s">
        <v>97</v>
      </c>
      <c r="G106" s="38"/>
      <c r="H106" s="38"/>
      <c r="I106" s="38"/>
      <c r="J106" s="38"/>
      <c r="K106" s="38"/>
      <c r="L106" s="38"/>
      <c r="M106" s="38" t="s">
        <v>97</v>
      </c>
      <c r="N106" s="38" t="s">
        <v>97</v>
      </c>
      <c r="O106" s="364" t="s">
        <v>97</v>
      </c>
      <c r="P106" s="460" t="s">
        <v>34</v>
      </c>
      <c r="Q106" s="40"/>
      <c r="R106" s="40"/>
      <c r="S106" s="40">
        <v>0</v>
      </c>
      <c r="T106" s="38" t="s">
        <v>98</v>
      </c>
      <c r="U106" s="171"/>
      <c r="V106" s="132"/>
      <c r="W106" s="40" t="str" cm="1">
        <f t="array" ref="W106">IF(A106&lt;&gt;"",_xlfn.XLOOKUP(_xlfn.XLOOKUP(TRUE,F106:P106&lt;&gt;"",F106:P106,"-",-1,-1),F106:P106,$F$6:$P$6,,,-1),"")</f>
        <v>Add8</v>
      </c>
      <c r="X106" s="55" t="s">
        <v>826</v>
      </c>
      <c r="Y106" s="55" t="s">
        <v>879</v>
      </c>
      <c r="Z106" s="55" t="s">
        <v>880</v>
      </c>
      <c r="AA106" s="52"/>
      <c r="AB106" s="56"/>
      <c r="AC106" s="51"/>
      <c r="AD106" s="56"/>
      <c r="AE106" s="51"/>
      <c r="AF106" s="56"/>
      <c r="AG106" s="51"/>
      <c r="AH106" s="56"/>
      <c r="AI106" s="51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</row>
    <row r="107" spans="1:50" s="50" customFormat="1" ht="17.25" customHeight="1" outlineLevel="1">
      <c r="A107" s="37" t="s">
        <v>965</v>
      </c>
      <c r="B107" s="38" t="s">
        <v>94</v>
      </c>
      <c r="C107" s="233"/>
      <c r="D107" s="38"/>
      <c r="E107" s="213" t="s">
        <v>966</v>
      </c>
      <c r="F107" s="38" t="s">
        <v>97</v>
      </c>
      <c r="G107" s="38"/>
      <c r="H107" s="38"/>
      <c r="I107" s="38"/>
      <c r="J107" s="38"/>
      <c r="K107" s="38"/>
      <c r="L107" s="38"/>
      <c r="M107" s="38" t="s">
        <v>97</v>
      </c>
      <c r="N107" s="38" t="s">
        <v>97</v>
      </c>
      <c r="O107" s="364" t="s">
        <v>97</v>
      </c>
      <c r="P107" s="460" t="s">
        <v>34</v>
      </c>
      <c r="Q107" s="40"/>
      <c r="R107" s="40"/>
      <c r="S107" s="40">
        <v>0</v>
      </c>
      <c r="T107" s="38" t="s">
        <v>98</v>
      </c>
      <c r="U107" s="171"/>
      <c r="V107" s="132"/>
      <c r="W107" s="40" t="str" cm="1">
        <f t="array" ref="W107">IF(A107&lt;&gt;"",_xlfn.XLOOKUP(_xlfn.XLOOKUP(TRUE,F107:P107&lt;&gt;"",F107:P107,"-",-1,-1),F107:P107,$F$6:$P$6,,,-1),"")</f>
        <v>Add8</v>
      </c>
      <c r="X107" s="55" t="s">
        <v>826</v>
      </c>
      <c r="Y107" s="55" t="s">
        <v>879</v>
      </c>
      <c r="Z107" s="55" t="s">
        <v>880</v>
      </c>
      <c r="AA107" s="52"/>
      <c r="AB107" s="56"/>
      <c r="AC107" s="51"/>
      <c r="AD107" s="56"/>
      <c r="AE107" s="51"/>
      <c r="AF107" s="56"/>
      <c r="AG107" s="51"/>
      <c r="AH107" s="56"/>
      <c r="AI107" s="51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</row>
    <row r="108" spans="1:50" s="50" customFormat="1" ht="17.25" customHeight="1" outlineLevel="1">
      <c r="A108" s="37" t="s">
        <v>967</v>
      </c>
      <c r="B108" s="38" t="s">
        <v>94</v>
      </c>
      <c r="C108" s="233"/>
      <c r="D108" s="38"/>
      <c r="E108" s="213" t="s">
        <v>968</v>
      </c>
      <c r="F108" s="38" t="s">
        <v>97</v>
      </c>
      <c r="G108" s="38"/>
      <c r="H108" s="38"/>
      <c r="I108" s="38"/>
      <c r="J108" s="38"/>
      <c r="K108" s="38"/>
      <c r="L108" s="38"/>
      <c r="M108" s="38" t="s">
        <v>97</v>
      </c>
      <c r="N108" s="38" t="s">
        <v>97</v>
      </c>
      <c r="O108" s="364" t="s">
        <v>97</v>
      </c>
      <c r="P108" s="460" t="s">
        <v>34</v>
      </c>
      <c r="Q108" s="40"/>
      <c r="R108" s="40"/>
      <c r="S108" s="40">
        <v>0</v>
      </c>
      <c r="T108" s="38" t="s">
        <v>98</v>
      </c>
      <c r="U108" s="171"/>
      <c r="V108" s="132"/>
      <c r="W108" s="40" t="str" cm="1">
        <f t="array" ref="W108">IF(A108&lt;&gt;"",_xlfn.XLOOKUP(_xlfn.XLOOKUP(TRUE,F108:P108&lt;&gt;"",F108:P108,"-",-1,-1),F108:P108,$F$6:$P$6,,,-1),"")</f>
        <v>Add8</v>
      </c>
      <c r="X108" s="55" t="s">
        <v>826</v>
      </c>
      <c r="Y108" s="55" t="s">
        <v>879</v>
      </c>
      <c r="Z108" s="55" t="s">
        <v>880</v>
      </c>
      <c r="AA108" s="52"/>
      <c r="AB108" s="56"/>
      <c r="AC108" s="51"/>
      <c r="AD108" s="56"/>
      <c r="AE108" s="51"/>
      <c r="AF108" s="56"/>
      <c r="AG108" s="51"/>
      <c r="AH108" s="56"/>
      <c r="AI108" s="51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</row>
    <row r="109" spans="1:50" s="50" customFormat="1" ht="17.25" customHeight="1" outlineLevel="1">
      <c r="A109" s="37" t="s">
        <v>969</v>
      </c>
      <c r="B109" s="38" t="s">
        <v>94</v>
      </c>
      <c r="C109" s="233"/>
      <c r="D109" s="38"/>
      <c r="E109" s="213" t="s">
        <v>970</v>
      </c>
      <c r="F109" s="38" t="s">
        <v>97</v>
      </c>
      <c r="G109" s="38"/>
      <c r="H109" s="38"/>
      <c r="I109" s="38"/>
      <c r="J109" s="38"/>
      <c r="K109" s="38"/>
      <c r="L109" s="38"/>
      <c r="M109" s="38" t="s">
        <v>97</v>
      </c>
      <c r="N109" s="38" t="s">
        <v>97</v>
      </c>
      <c r="O109" s="364" t="s">
        <v>97</v>
      </c>
      <c r="P109" s="460" t="s">
        <v>34</v>
      </c>
      <c r="Q109" s="40"/>
      <c r="R109" s="40"/>
      <c r="S109" s="40">
        <v>0</v>
      </c>
      <c r="T109" s="38" t="s">
        <v>98</v>
      </c>
      <c r="U109" s="171"/>
      <c r="V109" s="132"/>
      <c r="W109" s="40" t="str" cm="1">
        <f t="array" ref="W109">IF(A109&lt;&gt;"",_xlfn.XLOOKUP(_xlfn.XLOOKUP(TRUE,F109:P109&lt;&gt;"",F109:P109,"-",-1,-1),F109:P109,$F$6:$P$6,,,-1),"")</f>
        <v>Add8</v>
      </c>
      <c r="X109" s="55" t="s">
        <v>826</v>
      </c>
      <c r="Y109" s="55" t="s">
        <v>879</v>
      </c>
      <c r="Z109" s="55" t="s">
        <v>880</v>
      </c>
      <c r="AA109" s="52"/>
      <c r="AB109" s="56"/>
      <c r="AC109" s="51"/>
      <c r="AD109" s="56"/>
      <c r="AE109" s="51"/>
      <c r="AF109" s="56"/>
      <c r="AG109" s="51"/>
      <c r="AH109" s="56"/>
      <c r="AI109" s="51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</row>
    <row r="110" spans="1:50" s="50" customFormat="1" ht="15" customHeight="1" outlineLevel="1">
      <c r="A110" s="37" t="s">
        <v>971</v>
      </c>
      <c r="B110" s="38" t="s">
        <v>94</v>
      </c>
      <c r="C110" s="233"/>
      <c r="D110" s="38"/>
      <c r="E110" s="213" t="s">
        <v>904</v>
      </c>
      <c r="F110" s="38"/>
      <c r="G110" s="38"/>
      <c r="H110" s="38"/>
      <c r="I110" s="38"/>
      <c r="J110" s="38"/>
      <c r="K110" s="38"/>
      <c r="L110" s="38"/>
      <c r="M110" s="38"/>
      <c r="N110" s="236"/>
      <c r="O110" s="236"/>
      <c r="P110" s="460" t="s">
        <v>97</v>
      </c>
      <c r="Q110" s="40"/>
      <c r="R110" s="40"/>
      <c r="S110" s="40">
        <v>0</v>
      </c>
      <c r="T110" s="38" t="s">
        <v>98</v>
      </c>
      <c r="U110" s="171"/>
      <c r="V110" s="132"/>
      <c r="W110" s="40" t="str" cm="1">
        <f t="array" ref="W110">IF(A110&lt;&gt;"",_xlfn.XLOOKUP(_xlfn.XLOOKUP(TRUE,F110:P110&lt;&gt;"",F110:P110,"-",-1,-1),F110:P110,$F$6:$P$6,,,-1),"")</f>
        <v>Add8</v>
      </c>
      <c r="X110" s="55" t="s">
        <v>826</v>
      </c>
      <c r="Y110" s="55" t="s">
        <v>879</v>
      </c>
      <c r="Z110" s="55" t="s">
        <v>880</v>
      </c>
      <c r="AA110" s="52"/>
      <c r="AB110" s="56"/>
      <c r="AC110" s="51"/>
      <c r="AD110" s="56"/>
      <c r="AE110" s="51"/>
      <c r="AF110" s="56"/>
      <c r="AG110" s="51"/>
      <c r="AH110" s="56"/>
      <c r="AI110" s="51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</row>
    <row r="111" spans="1:50" s="50" customFormat="1" ht="15" customHeight="1" outlineLevel="1">
      <c r="A111" s="37" t="s">
        <v>972</v>
      </c>
      <c r="B111" s="38" t="s">
        <v>94</v>
      </c>
      <c r="C111" s="233"/>
      <c r="D111" s="38"/>
      <c r="E111" s="213" t="s">
        <v>906</v>
      </c>
      <c r="F111" s="38" t="s">
        <v>97</v>
      </c>
      <c r="G111" s="38"/>
      <c r="H111" s="38"/>
      <c r="I111" s="38"/>
      <c r="J111" s="38"/>
      <c r="K111" s="38"/>
      <c r="L111" s="38"/>
      <c r="M111" s="38" t="s">
        <v>97</v>
      </c>
      <c r="N111" s="38" t="s">
        <v>97</v>
      </c>
      <c r="O111" s="364" t="s">
        <v>97</v>
      </c>
      <c r="P111" s="383"/>
      <c r="Q111" s="40"/>
      <c r="R111" s="479" t="s">
        <v>34</v>
      </c>
      <c r="S111" s="40">
        <v>0</v>
      </c>
      <c r="T111" s="38" t="s">
        <v>98</v>
      </c>
      <c r="U111" s="171"/>
      <c r="V111" s="132"/>
      <c r="W111" s="40" t="str" cm="1">
        <f t="array" ref="W111">IF(A111&lt;&gt;"",_xlfn.XLOOKUP(_xlfn.XLOOKUP(TRUE,F111:P111&lt;&gt;"",F111:P111,"-",-1,-1),F111:P111,$F$6:$P$6,,,-1),"")</f>
        <v>Permit</v>
      </c>
      <c r="X111" s="55" t="s">
        <v>826</v>
      </c>
      <c r="Y111" s="55" t="s">
        <v>855</v>
      </c>
      <c r="Z111" s="55" t="s">
        <v>828</v>
      </c>
      <c r="AA111" s="52"/>
      <c r="AB111" s="56"/>
      <c r="AC111" s="51"/>
      <c r="AD111" s="56"/>
      <c r="AE111" s="51"/>
      <c r="AF111" s="56"/>
      <c r="AG111" s="51"/>
      <c r="AH111" s="56"/>
      <c r="AI111" s="51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</row>
    <row r="112" spans="1:50" s="50" customFormat="1" ht="15" customHeight="1" outlineLevel="1">
      <c r="A112" s="37" t="s">
        <v>973</v>
      </c>
      <c r="B112" s="38" t="s">
        <v>94</v>
      </c>
      <c r="C112" s="233"/>
      <c r="D112" s="38"/>
      <c r="E112" s="213" t="s">
        <v>908</v>
      </c>
      <c r="F112" s="38"/>
      <c r="G112" s="38"/>
      <c r="H112" s="38"/>
      <c r="I112" s="38"/>
      <c r="J112" s="38"/>
      <c r="K112" s="38"/>
      <c r="L112" s="38"/>
      <c r="M112" s="38" t="s">
        <v>97</v>
      </c>
      <c r="N112" s="38" t="s">
        <v>97</v>
      </c>
      <c r="O112" s="364" t="s">
        <v>97</v>
      </c>
      <c r="P112" s="383"/>
      <c r="Q112" s="40"/>
      <c r="R112" s="40"/>
      <c r="S112" s="40">
        <v>0</v>
      </c>
      <c r="T112" s="38" t="s">
        <v>98</v>
      </c>
      <c r="U112" s="171"/>
      <c r="V112" s="132"/>
      <c r="W112" s="40" t="str" cm="1">
        <f t="array" ref="W112">IF(A112&lt;&gt;"",_xlfn.XLOOKUP(_xlfn.XLOOKUP(TRUE,F112:P112&lt;&gt;"",F112:P112,"-",-1,-1),F112:P112,$F$6:$P$6,,,-1),"")</f>
        <v>Permit</v>
      </c>
      <c r="X112" s="55" t="s">
        <v>826</v>
      </c>
      <c r="Y112" s="55" t="s">
        <v>879</v>
      </c>
      <c r="Z112" s="55" t="s">
        <v>828</v>
      </c>
      <c r="AA112" s="52"/>
      <c r="AB112" s="56"/>
      <c r="AC112" s="51"/>
      <c r="AD112" s="56"/>
      <c r="AE112" s="51"/>
      <c r="AF112" s="56"/>
      <c r="AG112" s="51"/>
      <c r="AH112" s="56"/>
      <c r="AI112" s="51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</row>
    <row r="113" spans="1:50" s="50" customFormat="1" ht="15" customHeight="1" outlineLevel="1">
      <c r="A113" s="37" t="s">
        <v>974</v>
      </c>
      <c r="B113" s="38" t="s">
        <v>94</v>
      </c>
      <c r="C113" s="233"/>
      <c r="D113" s="38"/>
      <c r="E113" s="213" t="s">
        <v>913</v>
      </c>
      <c r="F113" s="38" t="s">
        <v>97</v>
      </c>
      <c r="G113" s="38"/>
      <c r="H113" s="38"/>
      <c r="I113" s="38"/>
      <c r="J113" s="38"/>
      <c r="K113" s="38"/>
      <c r="L113" s="38"/>
      <c r="M113" s="38" t="s">
        <v>97</v>
      </c>
      <c r="N113" s="38" t="s">
        <v>97</v>
      </c>
      <c r="O113" s="364" t="s">
        <v>97</v>
      </c>
      <c r="P113" s="460" t="s">
        <v>34</v>
      </c>
      <c r="Q113" s="395"/>
      <c r="R113" s="478" t="s">
        <v>31</v>
      </c>
      <c r="S113" s="40">
        <v>0</v>
      </c>
      <c r="T113" s="38" t="s">
        <v>98</v>
      </c>
      <c r="U113" s="171"/>
      <c r="V113" s="55"/>
      <c r="W113" s="40" t="str" cm="1">
        <f t="array" ref="W113">IF(A113&lt;&gt;"",_xlfn.XLOOKUP(_xlfn.XLOOKUP(TRUE,F113:P113&lt;&gt;"",F113:P113,"-",-1,-1),F113:P113,$F$6:$P$6,,,-1),"")</f>
        <v>Add8</v>
      </c>
      <c r="X113" s="55" t="s">
        <v>826</v>
      </c>
      <c r="Y113" s="55" t="s">
        <v>855</v>
      </c>
      <c r="Z113" s="55" t="s">
        <v>828</v>
      </c>
      <c r="AA113" s="52"/>
      <c r="AB113" s="56"/>
      <c r="AC113" s="51"/>
      <c r="AD113" s="56"/>
      <c r="AE113" s="51"/>
      <c r="AF113" s="56"/>
      <c r="AG113" s="51"/>
      <c r="AH113" s="56"/>
      <c r="AI113" s="51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</row>
    <row r="114" spans="1:50" s="50" customFormat="1" ht="15" customHeight="1" outlineLevel="1">
      <c r="A114" s="37" t="s">
        <v>975</v>
      </c>
      <c r="B114" s="38" t="s">
        <v>94</v>
      </c>
      <c r="C114" s="233"/>
      <c r="D114" s="38"/>
      <c r="E114" s="213" t="s">
        <v>915</v>
      </c>
      <c r="F114" s="38" t="s">
        <v>97</v>
      </c>
      <c r="G114" s="38"/>
      <c r="H114" s="38"/>
      <c r="I114" s="38"/>
      <c r="J114" s="38"/>
      <c r="K114" s="38"/>
      <c r="L114" s="38"/>
      <c r="M114" s="38" t="s">
        <v>97</v>
      </c>
      <c r="N114" s="38" t="s">
        <v>97</v>
      </c>
      <c r="O114" s="364" t="s">
        <v>97</v>
      </c>
      <c r="P114" s="460" t="s">
        <v>34</v>
      </c>
      <c r="Q114" s="395"/>
      <c r="R114" s="395"/>
      <c r="S114" s="40">
        <v>0</v>
      </c>
      <c r="T114" s="38" t="s">
        <v>98</v>
      </c>
      <c r="U114" s="171"/>
      <c r="V114" s="132"/>
      <c r="W114" s="40" t="str" cm="1">
        <f t="array" ref="W114">IF(A114&lt;&gt;"",_xlfn.XLOOKUP(_xlfn.XLOOKUP(TRUE,F114:P114&lt;&gt;"",F114:P114,"-",-1,-1),F114:P114,$F$6:$P$6,,,-1),"")</f>
        <v>Add8</v>
      </c>
      <c r="X114" s="55" t="s">
        <v>826</v>
      </c>
      <c r="Y114" s="55" t="s">
        <v>855</v>
      </c>
      <c r="Z114" s="55" t="s">
        <v>880</v>
      </c>
      <c r="AA114" s="52"/>
      <c r="AB114" s="56"/>
      <c r="AC114" s="51"/>
      <c r="AD114" s="56"/>
      <c r="AE114" s="51"/>
      <c r="AF114" s="56"/>
      <c r="AG114" s="51"/>
      <c r="AH114" s="56"/>
      <c r="AI114" s="51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</row>
    <row r="115" spans="1:50" s="50" customFormat="1" ht="15" customHeight="1" outlineLevel="1">
      <c r="A115" s="37" t="s">
        <v>976</v>
      </c>
      <c r="B115" s="38" t="s">
        <v>94</v>
      </c>
      <c r="C115" s="233"/>
      <c r="D115" s="38"/>
      <c r="E115" s="213" t="s">
        <v>918</v>
      </c>
      <c r="F115" s="38" t="s">
        <v>97</v>
      </c>
      <c r="G115" s="38"/>
      <c r="H115" s="38"/>
      <c r="I115" s="38"/>
      <c r="J115" s="38"/>
      <c r="K115" s="38"/>
      <c r="L115" s="38"/>
      <c r="M115" s="38" t="s">
        <v>97</v>
      </c>
      <c r="N115" s="38" t="s">
        <v>97</v>
      </c>
      <c r="O115" s="364" t="s">
        <v>97</v>
      </c>
      <c r="P115" s="460" t="s">
        <v>34</v>
      </c>
      <c r="Q115" s="395"/>
      <c r="R115" s="395"/>
      <c r="S115" s="40">
        <v>0</v>
      </c>
      <c r="T115" s="38" t="s">
        <v>98</v>
      </c>
      <c r="U115" s="171"/>
      <c r="V115" s="132"/>
      <c r="W115" s="40" t="str" cm="1">
        <f t="array" ref="W115">IF(A115&lt;&gt;"",_xlfn.XLOOKUP(_xlfn.XLOOKUP(TRUE,F115:P115&lt;&gt;"",F115:P115,"-",-1,-1),F115:P115,$F$6:$P$6,,,-1),"")</f>
        <v>Add8</v>
      </c>
      <c r="X115" s="55" t="s">
        <v>826</v>
      </c>
      <c r="Y115" s="55" t="s">
        <v>855</v>
      </c>
      <c r="Z115" s="55" t="s">
        <v>880</v>
      </c>
      <c r="AA115" s="52"/>
      <c r="AB115" s="56"/>
      <c r="AC115" s="51"/>
      <c r="AD115" s="56"/>
      <c r="AE115" s="51"/>
      <c r="AF115" s="56"/>
      <c r="AG115" s="51"/>
      <c r="AH115" s="56"/>
      <c r="AI115" s="51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</row>
    <row r="116" spans="1:50" s="50" customFormat="1" ht="15" customHeight="1" outlineLevel="1">
      <c r="A116" s="37" t="s">
        <v>977</v>
      </c>
      <c r="B116" s="38" t="s">
        <v>94</v>
      </c>
      <c r="C116" s="233"/>
      <c r="D116" s="38"/>
      <c r="E116" s="213" t="s">
        <v>978</v>
      </c>
      <c r="F116" s="38" t="s">
        <v>97</v>
      </c>
      <c r="G116" s="38"/>
      <c r="H116" s="38"/>
      <c r="I116" s="38"/>
      <c r="J116" s="38"/>
      <c r="K116" s="38"/>
      <c r="L116" s="38"/>
      <c r="M116" s="38" t="s">
        <v>97</v>
      </c>
      <c r="N116" s="38" t="s">
        <v>97</v>
      </c>
      <c r="O116" s="364" t="s">
        <v>97</v>
      </c>
      <c r="P116" s="460" t="s">
        <v>34</v>
      </c>
      <c r="Q116" s="395"/>
      <c r="R116" s="478" t="s">
        <v>31</v>
      </c>
      <c r="S116" s="40">
        <v>0</v>
      </c>
      <c r="T116" s="38" t="s">
        <v>98</v>
      </c>
      <c r="U116" s="171"/>
      <c r="V116" s="132"/>
      <c r="W116" s="40" t="str" cm="1">
        <f t="array" ref="W116">IF(A116&lt;&gt;"",_xlfn.XLOOKUP(_xlfn.XLOOKUP(TRUE,F116:P116&lt;&gt;"",F116:P116,"-",-1,-1),F116:P116,$F$6:$P$6,,,-1),"")</f>
        <v>Add8</v>
      </c>
      <c r="X116" s="55" t="s">
        <v>826</v>
      </c>
      <c r="Y116" s="55" t="s">
        <v>855</v>
      </c>
      <c r="Z116" s="55" t="s">
        <v>880</v>
      </c>
      <c r="AA116" s="52"/>
      <c r="AB116" s="56"/>
      <c r="AC116" s="51"/>
      <c r="AD116" s="56"/>
      <c r="AE116" s="51"/>
      <c r="AF116" s="56"/>
      <c r="AG116" s="51"/>
      <c r="AH116" s="56"/>
      <c r="AI116" s="51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</row>
    <row r="117" spans="1:50" s="50" customFormat="1" ht="15" customHeight="1" outlineLevel="1">
      <c r="A117" s="37" t="s">
        <v>979</v>
      </c>
      <c r="B117" s="38" t="s">
        <v>94</v>
      </c>
      <c r="C117" s="233"/>
      <c r="D117" s="38"/>
      <c r="E117" s="213" t="s">
        <v>920</v>
      </c>
      <c r="F117" s="38" t="s">
        <v>97</v>
      </c>
      <c r="G117" s="38"/>
      <c r="H117" s="38"/>
      <c r="I117" s="38"/>
      <c r="J117" s="38"/>
      <c r="K117" s="38"/>
      <c r="L117" s="38"/>
      <c r="M117" s="38" t="s">
        <v>97</v>
      </c>
      <c r="N117" s="38" t="s">
        <v>97</v>
      </c>
      <c r="O117" s="364" t="s">
        <v>97</v>
      </c>
      <c r="P117" s="460" t="s">
        <v>34</v>
      </c>
      <c r="Q117" s="395"/>
      <c r="R117" s="478" t="s">
        <v>31</v>
      </c>
      <c r="S117" s="40">
        <v>0</v>
      </c>
      <c r="T117" s="38" t="s">
        <v>98</v>
      </c>
      <c r="U117" s="171"/>
      <c r="V117" s="132"/>
      <c r="W117" s="40" t="str" cm="1">
        <f t="array" ref="W117">IF(A117&lt;&gt;"",_xlfn.XLOOKUP(_xlfn.XLOOKUP(TRUE,F117:P117&lt;&gt;"",F117:P117,"-",-1,-1),F117:P117,$F$6:$P$6,,,-1),"")</f>
        <v>Add8</v>
      </c>
      <c r="X117" s="55" t="s">
        <v>826</v>
      </c>
      <c r="Y117" s="55" t="s">
        <v>855</v>
      </c>
      <c r="Z117" s="55" t="s">
        <v>880</v>
      </c>
      <c r="AA117" s="52"/>
      <c r="AB117" s="56"/>
      <c r="AC117" s="51"/>
      <c r="AD117" s="56"/>
      <c r="AE117" s="51"/>
      <c r="AF117" s="56"/>
      <c r="AG117" s="51"/>
      <c r="AH117" s="56"/>
      <c r="AI117" s="51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</row>
    <row r="118" spans="1:50" s="50" customFormat="1" ht="15" customHeight="1" outlineLevel="1">
      <c r="A118" s="37" t="s">
        <v>980</v>
      </c>
      <c r="B118" s="38" t="s">
        <v>94</v>
      </c>
      <c r="C118" s="233"/>
      <c r="D118" s="38"/>
      <c r="E118" s="213" t="s">
        <v>922</v>
      </c>
      <c r="F118" s="38" t="s">
        <v>97</v>
      </c>
      <c r="G118" s="38"/>
      <c r="H118" s="38"/>
      <c r="I118" s="38"/>
      <c r="J118" s="38"/>
      <c r="K118" s="38"/>
      <c r="L118" s="38"/>
      <c r="M118" s="38" t="s">
        <v>97</v>
      </c>
      <c r="N118" s="38" t="s">
        <v>97</v>
      </c>
      <c r="O118" s="364" t="s">
        <v>97</v>
      </c>
      <c r="P118" s="383"/>
      <c r="Q118" s="40"/>
      <c r="R118" s="40"/>
      <c r="S118" s="40">
        <v>0</v>
      </c>
      <c r="T118" s="38" t="s">
        <v>98</v>
      </c>
      <c r="U118" s="171"/>
      <c r="V118" s="132"/>
      <c r="W118" s="40" t="str" cm="1">
        <f t="array" ref="W118">IF(A118&lt;&gt;"",_xlfn.XLOOKUP(_xlfn.XLOOKUP(TRUE,F118:P118&lt;&gt;"",F118:P118,"-",-1,-1),F118:P118,$F$6:$P$6,,,-1),"")</f>
        <v>Permit</v>
      </c>
      <c r="X118" s="55" t="s">
        <v>826</v>
      </c>
      <c r="Y118" s="55" t="s">
        <v>855</v>
      </c>
      <c r="Z118" s="55" t="s">
        <v>880</v>
      </c>
      <c r="AA118" s="52"/>
      <c r="AB118" s="56"/>
      <c r="AC118" s="51"/>
      <c r="AD118" s="56"/>
      <c r="AE118" s="51"/>
      <c r="AF118" s="56"/>
      <c r="AG118" s="51"/>
      <c r="AH118" s="56"/>
      <c r="AI118" s="51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</row>
    <row r="119" spans="1:50" s="50" customFormat="1" ht="15" customHeight="1" outlineLevel="1">
      <c r="A119" s="37" t="s">
        <v>981</v>
      </c>
      <c r="B119" s="38" t="s">
        <v>94</v>
      </c>
      <c r="C119" s="233"/>
      <c r="D119" s="38"/>
      <c r="E119" s="213" t="s">
        <v>924</v>
      </c>
      <c r="F119" s="38" t="s">
        <v>97</v>
      </c>
      <c r="G119" s="38"/>
      <c r="H119" s="38"/>
      <c r="I119" s="38"/>
      <c r="J119" s="38"/>
      <c r="K119" s="38"/>
      <c r="L119" s="38"/>
      <c r="M119" s="38" t="s">
        <v>97</v>
      </c>
      <c r="N119" s="38" t="s">
        <v>97</v>
      </c>
      <c r="O119" s="364" t="s">
        <v>97</v>
      </c>
      <c r="P119" s="383"/>
      <c r="Q119" s="40"/>
      <c r="R119" s="40"/>
      <c r="S119" s="40">
        <v>0</v>
      </c>
      <c r="T119" s="38" t="s">
        <v>98</v>
      </c>
      <c r="U119" s="171"/>
      <c r="V119" s="132"/>
      <c r="W119" s="40" t="str" cm="1">
        <f t="array" ref="W119">IF(A119&lt;&gt;"",_xlfn.XLOOKUP(_xlfn.XLOOKUP(TRUE,F119:P119&lt;&gt;"",F119:P119,"-",-1,-1),F119:P119,$F$6:$P$6,,,-1),"")</f>
        <v>Permit</v>
      </c>
      <c r="X119" s="55" t="s">
        <v>826</v>
      </c>
      <c r="Y119" s="55" t="s">
        <v>855</v>
      </c>
      <c r="Z119" s="55" t="s">
        <v>880</v>
      </c>
      <c r="AA119" s="52"/>
      <c r="AB119" s="56"/>
      <c r="AC119" s="51"/>
      <c r="AD119" s="56"/>
      <c r="AE119" s="51"/>
      <c r="AF119" s="56"/>
      <c r="AG119" s="51"/>
      <c r="AH119" s="56"/>
      <c r="AI119" s="51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</row>
    <row r="120" spans="1:50" s="50" customFormat="1" ht="15" customHeight="1" outlineLevel="1">
      <c r="A120" s="37" t="s">
        <v>982</v>
      </c>
      <c r="B120" s="38" t="s">
        <v>94</v>
      </c>
      <c r="C120" s="233"/>
      <c r="D120" s="38"/>
      <c r="E120" s="213" t="s">
        <v>983</v>
      </c>
      <c r="F120" s="38" t="s">
        <v>97</v>
      </c>
      <c r="G120" s="38"/>
      <c r="H120" s="38"/>
      <c r="I120" s="38"/>
      <c r="J120" s="38"/>
      <c r="K120" s="38"/>
      <c r="L120" s="38"/>
      <c r="M120" s="38" t="s">
        <v>97</v>
      </c>
      <c r="N120" s="38" t="s">
        <v>97</v>
      </c>
      <c r="O120" s="364" t="s">
        <v>97</v>
      </c>
      <c r="P120" s="383"/>
      <c r="Q120" s="40"/>
      <c r="R120" s="40"/>
      <c r="S120" s="40">
        <v>0</v>
      </c>
      <c r="T120" s="38" t="s">
        <v>98</v>
      </c>
      <c r="U120" s="171"/>
      <c r="V120" s="132"/>
      <c r="W120" s="40" t="str" cm="1">
        <f t="array" ref="W120">IF(A120&lt;&gt;"",_xlfn.XLOOKUP(_xlfn.XLOOKUP(TRUE,F120:P120&lt;&gt;"",F120:P120,"-",-1,-1),F120:P120,$F$6:$P$6,,,-1),"")</f>
        <v>Permit</v>
      </c>
      <c r="X120" s="55" t="s">
        <v>826</v>
      </c>
      <c r="Y120" s="55" t="s">
        <v>855</v>
      </c>
      <c r="Z120" s="55" t="s">
        <v>880</v>
      </c>
      <c r="AA120" s="52"/>
      <c r="AB120" s="56"/>
      <c r="AC120" s="51"/>
      <c r="AD120" s="56"/>
      <c r="AE120" s="51"/>
      <c r="AF120" s="56"/>
      <c r="AG120" s="51"/>
      <c r="AH120" s="56"/>
      <c r="AI120" s="51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</row>
    <row r="121" spans="1:50" s="50" customFormat="1" ht="15" customHeight="1" outlineLevel="1">
      <c r="A121" s="37" t="s">
        <v>984</v>
      </c>
      <c r="B121" s="38" t="s">
        <v>94</v>
      </c>
      <c r="C121" s="233"/>
      <c r="D121" s="38"/>
      <c r="E121" s="213" t="s">
        <v>926</v>
      </c>
      <c r="F121" s="38" t="s">
        <v>97</v>
      </c>
      <c r="G121" s="38"/>
      <c r="H121" s="38"/>
      <c r="I121" s="38"/>
      <c r="J121" s="38"/>
      <c r="K121" s="38"/>
      <c r="L121" s="38"/>
      <c r="M121" s="38" t="s">
        <v>97</v>
      </c>
      <c r="N121" s="38" t="s">
        <v>97</v>
      </c>
      <c r="O121" s="364" t="s">
        <v>97</v>
      </c>
      <c r="P121" s="383"/>
      <c r="Q121" s="40"/>
      <c r="R121" s="40"/>
      <c r="S121" s="40">
        <v>0</v>
      </c>
      <c r="T121" s="38" t="s">
        <v>98</v>
      </c>
      <c r="U121" s="171"/>
      <c r="V121" s="132"/>
      <c r="W121" s="40" t="str" cm="1">
        <f t="array" ref="W121">IF(A121&lt;&gt;"",_xlfn.XLOOKUP(_xlfn.XLOOKUP(TRUE,F121:P121&lt;&gt;"",F121:P121,"-",-1,-1),F121:P121,$F$6:$P$6,,,-1),"")</f>
        <v>Permit</v>
      </c>
      <c r="X121" s="55" t="s">
        <v>826</v>
      </c>
      <c r="Y121" s="55" t="s">
        <v>855</v>
      </c>
      <c r="Z121" s="55" t="s">
        <v>880</v>
      </c>
      <c r="AA121" s="52"/>
      <c r="AB121" s="56"/>
      <c r="AC121" s="51"/>
      <c r="AD121" s="56"/>
      <c r="AE121" s="51"/>
      <c r="AF121" s="56"/>
      <c r="AG121" s="51"/>
      <c r="AH121" s="56"/>
      <c r="AI121" s="51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</row>
    <row r="122" spans="1:50" s="50" customFormat="1" ht="15" customHeight="1" outlineLevel="1">
      <c r="A122" s="41"/>
      <c r="B122" s="38"/>
      <c r="C122" s="233"/>
      <c r="D122" s="38"/>
      <c r="E122" s="41"/>
      <c r="F122" s="38"/>
      <c r="G122" s="38"/>
      <c r="H122" s="38"/>
      <c r="I122" s="38"/>
      <c r="J122" s="38"/>
      <c r="K122" s="38"/>
      <c r="L122" s="38"/>
      <c r="M122" s="38"/>
      <c r="N122" s="236"/>
      <c r="O122" s="236"/>
      <c r="P122" s="383"/>
      <c r="Q122" s="40"/>
      <c r="R122" s="40"/>
      <c r="S122" s="40"/>
      <c r="T122" s="38"/>
      <c r="U122" s="171"/>
      <c r="V122" s="132"/>
      <c r="W122" s="40" t="str" cm="1">
        <f t="array" ref="W122">IF(A122&lt;&gt;"",_xlfn.XLOOKUP(_xlfn.XLOOKUP(TRUE,F122:P122&lt;&gt;"",F122:P122,"-",-1,-1),F122:P122,$F$6:$P$6,,,-1),"")</f>
        <v/>
      </c>
      <c r="X122" s="55"/>
      <c r="Y122" s="55"/>
      <c r="Z122" s="55"/>
      <c r="AA122" s="52"/>
      <c r="AB122" s="56"/>
      <c r="AC122" s="51"/>
      <c r="AD122" s="56"/>
      <c r="AE122" s="51"/>
      <c r="AF122" s="56"/>
      <c r="AG122" s="51"/>
      <c r="AH122" s="56"/>
      <c r="AI122" s="51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</row>
    <row r="123" spans="1:50" s="50" customFormat="1" ht="15" customHeight="1" outlineLevel="1">
      <c r="A123" s="37" t="s">
        <v>985</v>
      </c>
      <c r="B123" s="38" t="s">
        <v>94</v>
      </c>
      <c r="C123" s="233"/>
      <c r="D123" s="38"/>
      <c r="E123" s="213" t="s">
        <v>928</v>
      </c>
      <c r="F123" s="38"/>
      <c r="G123" s="38"/>
      <c r="H123" s="38"/>
      <c r="I123" s="38"/>
      <c r="J123" s="38"/>
      <c r="K123" s="38"/>
      <c r="L123" s="38"/>
      <c r="M123" s="38"/>
      <c r="N123" s="236"/>
      <c r="O123" s="236"/>
      <c r="P123" s="460" t="s">
        <v>97</v>
      </c>
      <c r="Q123" s="395"/>
      <c r="R123" s="395"/>
      <c r="S123" s="40">
        <v>0</v>
      </c>
      <c r="T123" s="38" t="s">
        <v>98</v>
      </c>
      <c r="U123" s="171"/>
      <c r="V123" s="132"/>
      <c r="W123" s="40" t="str" cm="1">
        <f t="array" ref="W123">IF(A123&lt;&gt;"",_xlfn.XLOOKUP(_xlfn.XLOOKUP(TRUE,F123:P123&lt;&gt;"",F123:P123,"-",-1,-1),F123:P123,$F$6:$P$6,,,-1),"")</f>
        <v>Add8</v>
      </c>
      <c r="X123" s="55" t="s">
        <v>826</v>
      </c>
      <c r="Y123" s="55" t="s">
        <v>855</v>
      </c>
      <c r="Z123" s="55"/>
      <c r="AA123" s="52"/>
      <c r="AB123" s="56"/>
      <c r="AC123" s="51"/>
      <c r="AD123" s="56"/>
      <c r="AE123" s="51"/>
      <c r="AF123" s="56"/>
      <c r="AG123" s="51"/>
      <c r="AH123" s="56"/>
      <c r="AI123" s="51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</row>
    <row r="124" spans="1:50" s="50" customFormat="1" ht="15" customHeight="1" outlineLevel="1">
      <c r="A124" s="41"/>
      <c r="B124" s="38"/>
      <c r="C124" s="233"/>
      <c r="D124" s="38"/>
      <c r="E124" s="41"/>
      <c r="F124" s="38"/>
      <c r="G124" s="38"/>
      <c r="H124" s="38"/>
      <c r="I124" s="38"/>
      <c r="J124" s="38"/>
      <c r="K124" s="38"/>
      <c r="L124" s="38"/>
      <c r="M124" s="38"/>
      <c r="N124" s="236"/>
      <c r="O124" s="236"/>
      <c r="P124" s="383"/>
      <c r="Q124" s="40"/>
      <c r="R124" s="40"/>
      <c r="S124" s="40"/>
      <c r="T124" s="38"/>
      <c r="U124" s="171"/>
      <c r="V124" s="132"/>
      <c r="W124" s="40" t="str" cm="1">
        <f t="array" ref="W124">IF(A124&lt;&gt;"",_xlfn.XLOOKUP(_xlfn.XLOOKUP(TRUE,F124:P124&lt;&gt;"",F124:P124,"-",-1,-1),F124:P124,$F$6:$P$6,,,-1),"")</f>
        <v/>
      </c>
      <c r="X124" s="55"/>
      <c r="Y124" s="55"/>
      <c r="Z124" s="55"/>
      <c r="AA124" s="52"/>
      <c r="AB124" s="56"/>
      <c r="AC124" s="51"/>
      <c r="AD124" s="56"/>
      <c r="AE124" s="51"/>
      <c r="AF124" s="56"/>
      <c r="AG124" s="51"/>
      <c r="AH124" s="56"/>
      <c r="AI124" s="51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</row>
    <row r="125" spans="1:50" s="50" customFormat="1" ht="15" customHeight="1" outlineLevel="1">
      <c r="A125" s="37" t="s">
        <v>986</v>
      </c>
      <c r="B125" s="38" t="s">
        <v>94</v>
      </c>
      <c r="C125" s="233"/>
      <c r="D125" s="38"/>
      <c r="E125" s="213" t="s">
        <v>987</v>
      </c>
      <c r="F125" s="38"/>
      <c r="G125" s="38"/>
      <c r="H125" s="38"/>
      <c r="I125" s="38"/>
      <c r="J125" s="38"/>
      <c r="K125" s="38"/>
      <c r="L125" s="38"/>
      <c r="M125" s="38"/>
      <c r="N125" s="236" t="s">
        <v>97</v>
      </c>
      <c r="O125" s="236"/>
      <c r="P125" s="460" t="s">
        <v>34</v>
      </c>
      <c r="Q125" s="395"/>
      <c r="R125" s="395"/>
      <c r="S125" s="40">
        <v>0</v>
      </c>
      <c r="T125" s="38" t="s">
        <v>98</v>
      </c>
      <c r="U125" s="171"/>
      <c r="V125" s="132"/>
      <c r="W125" s="40" t="str" cm="1">
        <f t="array" ref="W125">IF(A125&lt;&gt;"",_xlfn.XLOOKUP(_xlfn.XLOOKUP(TRUE,F125:P125&lt;&gt;"",F125:P125,"-",-1,-1),F125:P125,$F$6:$P$6,,,-1),"")</f>
        <v>Add8</v>
      </c>
      <c r="X125" s="55" t="s">
        <v>826</v>
      </c>
      <c r="Y125" s="55" t="s">
        <v>855</v>
      </c>
      <c r="Z125" s="55" t="s">
        <v>828</v>
      </c>
      <c r="AA125" s="52"/>
      <c r="AB125" s="56"/>
      <c r="AC125" s="51"/>
      <c r="AD125" s="56"/>
      <c r="AE125" s="51"/>
      <c r="AF125" s="56"/>
      <c r="AG125" s="51"/>
      <c r="AH125" s="56"/>
      <c r="AI125" s="51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</row>
    <row r="126" spans="1:50" s="50" customFormat="1" ht="15" customHeight="1" outlineLevel="1">
      <c r="A126" s="37" t="s">
        <v>988</v>
      </c>
      <c r="B126" s="38" t="s">
        <v>94</v>
      </c>
      <c r="C126" s="233"/>
      <c r="D126" s="38"/>
      <c r="E126" s="213" t="s">
        <v>989</v>
      </c>
      <c r="F126" s="38"/>
      <c r="G126" s="38"/>
      <c r="H126" s="38"/>
      <c r="I126" s="38"/>
      <c r="J126" s="38"/>
      <c r="K126" s="38"/>
      <c r="L126" s="38"/>
      <c r="M126" s="38"/>
      <c r="N126" s="236" t="s">
        <v>97</v>
      </c>
      <c r="O126" s="236"/>
      <c r="P126" s="460" t="s">
        <v>34</v>
      </c>
      <c r="Q126" s="395"/>
      <c r="R126" s="479" t="s">
        <v>31</v>
      </c>
      <c r="S126" s="40">
        <v>0</v>
      </c>
      <c r="T126" s="38" t="s">
        <v>98</v>
      </c>
      <c r="U126" s="171"/>
      <c r="V126" s="132"/>
      <c r="W126" s="40" t="str" cm="1">
        <f t="array" ref="W126">IF(A126&lt;&gt;"",_xlfn.XLOOKUP(_xlfn.XLOOKUP(TRUE,F126:P126&lt;&gt;"",F126:P126,"-",-1,-1),F126:P126,$F$6:$P$6,,,-1),"")</f>
        <v>Add8</v>
      </c>
      <c r="X126" s="55" t="s">
        <v>826</v>
      </c>
      <c r="Y126" s="55" t="s">
        <v>855</v>
      </c>
      <c r="Z126" s="55" t="s">
        <v>828</v>
      </c>
      <c r="AA126" s="52"/>
      <c r="AB126" s="56"/>
      <c r="AC126" s="51"/>
      <c r="AD126" s="56"/>
      <c r="AE126" s="51"/>
      <c r="AF126" s="56"/>
      <c r="AG126" s="51"/>
      <c r="AH126" s="56"/>
      <c r="AI126" s="51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</row>
    <row r="127" spans="1:50" s="50" customFormat="1" ht="15" customHeight="1" outlineLevel="1">
      <c r="A127" s="37" t="s">
        <v>990</v>
      </c>
      <c r="B127" s="38" t="s">
        <v>94</v>
      </c>
      <c r="C127" s="233"/>
      <c r="D127" s="38"/>
      <c r="E127" s="213" t="s">
        <v>991</v>
      </c>
      <c r="F127" s="38"/>
      <c r="G127" s="38"/>
      <c r="H127" s="38"/>
      <c r="I127" s="38"/>
      <c r="J127" s="38"/>
      <c r="K127" s="38"/>
      <c r="L127" s="38"/>
      <c r="M127" s="38"/>
      <c r="N127" s="236" t="s">
        <v>97</v>
      </c>
      <c r="O127" s="236"/>
      <c r="P127" s="460" t="s">
        <v>34</v>
      </c>
      <c r="Q127" s="395"/>
      <c r="R127" s="479" t="s">
        <v>31</v>
      </c>
      <c r="S127" s="40">
        <v>0</v>
      </c>
      <c r="T127" s="38" t="s">
        <v>98</v>
      </c>
      <c r="U127" s="171"/>
      <c r="V127" s="132"/>
      <c r="W127" s="40" t="str" cm="1">
        <f t="array" ref="W127">IF(A127&lt;&gt;"",_xlfn.XLOOKUP(_xlfn.XLOOKUP(TRUE,F127:P127&lt;&gt;"",F127:P127,"-",-1,-1),F127:P127,$F$6:$P$6,,,-1),"")</f>
        <v>Add8</v>
      </c>
      <c r="X127" s="55" t="s">
        <v>826</v>
      </c>
      <c r="Y127" s="55" t="s">
        <v>855</v>
      </c>
      <c r="Z127" s="55" t="s">
        <v>828</v>
      </c>
      <c r="AA127" s="52"/>
      <c r="AB127" s="56"/>
      <c r="AC127" s="51"/>
      <c r="AD127" s="56"/>
      <c r="AE127" s="51"/>
      <c r="AF127" s="56"/>
      <c r="AG127" s="51"/>
      <c r="AH127" s="56"/>
      <c r="AI127" s="51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</row>
    <row r="128" spans="1:50" s="50" customFormat="1" ht="15" customHeight="1" outlineLevel="1">
      <c r="A128" s="37" t="s">
        <v>992</v>
      </c>
      <c r="B128" s="38" t="s">
        <v>94</v>
      </c>
      <c r="C128" s="233"/>
      <c r="D128" s="38"/>
      <c r="E128" s="213" t="s">
        <v>934</v>
      </c>
      <c r="F128" s="38"/>
      <c r="G128" s="38"/>
      <c r="H128" s="38"/>
      <c r="I128" s="38"/>
      <c r="J128" s="38"/>
      <c r="K128" s="38"/>
      <c r="L128" s="38"/>
      <c r="M128" s="38"/>
      <c r="N128" s="236" t="s">
        <v>97</v>
      </c>
      <c r="O128" s="236"/>
      <c r="P128" s="460" t="s">
        <v>34</v>
      </c>
      <c r="Q128" s="395"/>
      <c r="R128" s="479" t="s">
        <v>31</v>
      </c>
      <c r="S128" s="40">
        <v>0</v>
      </c>
      <c r="T128" s="38" t="s">
        <v>98</v>
      </c>
      <c r="U128" s="171"/>
      <c r="V128" s="132"/>
      <c r="W128" s="40" t="str" cm="1">
        <f t="array" ref="W128">IF(A128&lt;&gt;"",_xlfn.XLOOKUP(_xlfn.XLOOKUP(TRUE,F128:P128&lt;&gt;"",F128:P128,"-",-1,-1),F128:P128,$F$6:$P$6,,,-1),"")</f>
        <v>Add8</v>
      </c>
      <c r="X128" s="55" t="s">
        <v>826</v>
      </c>
      <c r="Y128" s="55" t="s">
        <v>855</v>
      </c>
      <c r="Z128" s="55" t="s">
        <v>828</v>
      </c>
      <c r="AA128" s="52"/>
      <c r="AB128" s="56"/>
      <c r="AC128" s="51"/>
      <c r="AD128" s="56"/>
      <c r="AE128" s="51"/>
      <c r="AF128" s="56"/>
      <c r="AG128" s="51"/>
      <c r="AH128" s="56"/>
      <c r="AI128" s="51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</row>
    <row r="129" spans="1:50" s="50" customFormat="1" ht="15" customHeight="1" outlineLevel="1">
      <c r="A129" s="37" t="s">
        <v>993</v>
      </c>
      <c r="B129" s="38" t="s">
        <v>94</v>
      </c>
      <c r="C129" s="233"/>
      <c r="D129" s="38"/>
      <c r="E129" s="213" t="s">
        <v>994</v>
      </c>
      <c r="F129" s="38"/>
      <c r="G129" s="38"/>
      <c r="H129" s="38"/>
      <c r="I129" s="38"/>
      <c r="J129" s="38"/>
      <c r="K129" s="38"/>
      <c r="L129" s="38"/>
      <c r="M129" s="38"/>
      <c r="N129" s="236" t="s">
        <v>97</v>
      </c>
      <c r="O129" s="236"/>
      <c r="P129" s="460" t="s">
        <v>34</v>
      </c>
      <c r="Q129" s="395"/>
      <c r="R129" s="478" t="s">
        <v>31</v>
      </c>
      <c r="S129" s="40">
        <v>0</v>
      </c>
      <c r="T129" s="38" t="s">
        <v>98</v>
      </c>
      <c r="U129" s="171"/>
      <c r="V129" s="132"/>
      <c r="W129" s="40" t="str" cm="1">
        <f t="array" ref="W129">IF(A129&lt;&gt;"",_xlfn.XLOOKUP(_xlfn.XLOOKUP(TRUE,F129:P129&lt;&gt;"",F129:P129,"-",-1,-1),F129:P129,$F$6:$P$6,,,-1),"")</f>
        <v>Add8</v>
      </c>
      <c r="X129" s="55" t="s">
        <v>826</v>
      </c>
      <c r="Y129" s="55" t="s">
        <v>827</v>
      </c>
      <c r="Z129" s="55" t="s">
        <v>828</v>
      </c>
      <c r="AA129" s="52"/>
      <c r="AB129" s="56"/>
      <c r="AC129" s="51"/>
      <c r="AD129" s="56"/>
      <c r="AE129" s="51"/>
      <c r="AF129" s="56"/>
      <c r="AG129" s="51"/>
      <c r="AH129" s="56"/>
      <c r="AI129" s="51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</row>
    <row r="130" spans="1:50" s="50" customFormat="1" ht="15" customHeight="1" outlineLevel="1">
      <c r="A130" s="41"/>
      <c r="B130" s="38"/>
      <c r="C130" s="233"/>
      <c r="D130" s="38"/>
      <c r="E130" s="41"/>
      <c r="F130" s="38"/>
      <c r="G130" s="38"/>
      <c r="H130" s="38"/>
      <c r="I130" s="38"/>
      <c r="J130" s="38"/>
      <c r="K130" s="38"/>
      <c r="L130" s="38"/>
      <c r="M130" s="44"/>
      <c r="N130" s="44"/>
      <c r="O130" s="44"/>
      <c r="P130" s="476"/>
      <c r="Q130" s="44"/>
      <c r="R130" s="44"/>
      <c r="S130" s="44"/>
      <c r="T130" s="38"/>
      <c r="U130" s="40"/>
      <c r="V130" s="40"/>
      <c r="W130" s="40"/>
      <c r="X130" s="278"/>
      <c r="Y130" s="171"/>
      <c r="Z130" s="132"/>
      <c r="AA130" s="55"/>
      <c r="AB130" s="55"/>
      <c r="AC130" s="55"/>
      <c r="AD130" s="52"/>
      <c r="AE130" s="56"/>
      <c r="AF130" s="51"/>
      <c r="AG130" s="56"/>
      <c r="AH130" s="51"/>
      <c r="AI130" s="56"/>
      <c r="AJ130" s="51"/>
      <c r="AK130" s="56"/>
      <c r="AL130" s="51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</row>
    <row r="131" spans="1:50" s="50" customFormat="1" ht="15" customHeight="1" thickBot="1">
      <c r="A131" s="41"/>
      <c r="B131" s="38"/>
      <c r="C131" s="233"/>
      <c r="D131" s="38"/>
      <c r="E131" s="43" t="str">
        <f>"SUB-TOTAL "&amp;UPPER(A41)&amp;" DRAWINGS"</f>
        <v>SUB-TOTAL ASRS BUILDING (B646) DRAWINGS</v>
      </c>
      <c r="F131" s="133">
        <f t="shared" ref="F131:S131" si="10">COUNTA(F42:F130)</f>
        <v>60</v>
      </c>
      <c r="G131" s="133">
        <f t="shared" si="10"/>
        <v>34</v>
      </c>
      <c r="H131" s="133">
        <f t="shared" si="10"/>
        <v>23</v>
      </c>
      <c r="I131" s="133">
        <f t="shared" si="10"/>
        <v>13</v>
      </c>
      <c r="J131" s="133">
        <f t="shared" si="10"/>
        <v>29</v>
      </c>
      <c r="K131" s="133">
        <f t="shared" si="10"/>
        <v>28</v>
      </c>
      <c r="L131" s="133">
        <f t="shared" si="10"/>
        <v>13</v>
      </c>
      <c r="M131" s="133">
        <f t="shared" si="10"/>
        <v>27</v>
      </c>
      <c r="N131" s="133">
        <f>COUNTA(N42:N130)-1</f>
        <v>36</v>
      </c>
      <c r="O131" s="133"/>
      <c r="P131" s="473">
        <f>COUNTA(P42:P130)</f>
        <v>27</v>
      </c>
      <c r="Q131" s="133">
        <f t="shared" ref="Q131" si="11">COUNTA(Q42:Q130)</f>
        <v>2</v>
      </c>
      <c r="R131" s="133">
        <f t="shared" si="10"/>
        <v>21</v>
      </c>
      <c r="S131" s="133">
        <f t="shared" si="10"/>
        <v>49</v>
      </c>
      <c r="T131"/>
      <c r="U131" s="36"/>
      <c r="V131" s="36"/>
      <c r="W131" s="36"/>
      <c r="X131" s="275"/>
      <c r="Y131" s="172"/>
      <c r="Z131" s="132"/>
      <c r="AA131" s="55"/>
      <c r="AB131" s="55"/>
      <c r="AC131" s="55"/>
      <c r="AD131" s="52"/>
      <c r="AE131" s="56"/>
      <c r="AF131" s="51"/>
      <c r="AG131" s="56"/>
      <c r="AH131" s="51"/>
      <c r="AI131" s="56"/>
      <c r="AJ131" s="51"/>
      <c r="AK131" s="56"/>
      <c r="AL131" s="51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</row>
    <row r="132" spans="1:50" s="77" customFormat="1" ht="15" thickTop="1">
      <c r="A132" s="33"/>
      <c r="B132" s="38"/>
      <c r="C132" s="233"/>
      <c r="D132" s="36"/>
      <c r="E132" s="78"/>
      <c r="F132" s="36"/>
      <c r="G132" s="36"/>
      <c r="H132" s="36"/>
      <c r="I132" s="36"/>
      <c r="J132" s="36"/>
      <c r="K132" s="36"/>
      <c r="L132" s="36"/>
      <c r="M132" s="44"/>
      <c r="N132" s="44"/>
      <c r="O132" s="44"/>
      <c r="P132" s="476"/>
      <c r="Q132" s="44"/>
      <c r="R132" s="44"/>
      <c r="S132" s="44"/>
      <c r="T132" s="36"/>
      <c r="U132" s="36"/>
      <c r="V132" s="36"/>
      <c r="W132" s="36"/>
      <c r="X132" s="275"/>
      <c r="Y132" s="63"/>
      <c r="Z132" s="132"/>
      <c r="AA132" s="5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</row>
    <row r="133" spans="1:50" s="50" customFormat="1" ht="18" customHeight="1">
      <c r="A133" s="32" t="s">
        <v>366</v>
      </c>
      <c r="B133" s="32"/>
      <c r="C133" s="32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472"/>
      <c r="Q133" s="11"/>
      <c r="R133" s="11"/>
      <c r="S133" s="11"/>
      <c r="T133" s="11"/>
      <c r="U133" s="11"/>
      <c r="V133" s="11"/>
      <c r="W133" s="11"/>
      <c r="X133" s="277"/>
      <c r="Y133" s="170"/>
      <c r="Z133" s="132"/>
      <c r="AA133" s="55"/>
      <c r="AB133" s="53"/>
      <c r="AC133" s="53"/>
      <c r="AD133" s="54"/>
      <c r="AE133" s="79"/>
      <c r="AF133" s="51"/>
      <c r="AG133" s="79"/>
      <c r="AH133" s="51"/>
      <c r="AI133" s="51"/>
      <c r="AJ133" s="51"/>
      <c r="AK133" s="51"/>
      <c r="AL133" s="51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</row>
    <row r="134" spans="1:50" s="50" customFormat="1" ht="15" customHeight="1">
      <c r="A134" s="37" t="str">
        <f t="shared" ref="A134:A135" si="12">"18043-"&amp;LEFT(AN134,11)</f>
        <v>18043-LM190 08210</v>
      </c>
      <c r="B134" s="38" t="s">
        <v>94</v>
      </c>
      <c r="C134" s="233"/>
      <c r="D134" s="38"/>
      <c r="E134" s="213" t="str">
        <f>MID(AN134,FIND(" ",AN134,15)+1,100)</f>
        <v>Fire Protection Plan And Sections</v>
      </c>
      <c r="F134" s="38" t="s">
        <v>97</v>
      </c>
      <c r="G134" s="38" t="s">
        <v>34</v>
      </c>
      <c r="H134" s="38"/>
      <c r="I134" s="38" t="s">
        <v>31</v>
      </c>
      <c r="J134" s="38"/>
      <c r="K134" s="38"/>
      <c r="L134" s="38"/>
      <c r="M134" s="44"/>
      <c r="N134" s="44"/>
      <c r="O134" s="44"/>
      <c r="P134" s="476"/>
      <c r="Q134" s="44"/>
      <c r="R134" s="477" t="s">
        <v>116</v>
      </c>
      <c r="S134" s="44">
        <v>0</v>
      </c>
      <c r="T134" s="38" t="s">
        <v>98</v>
      </c>
      <c r="U134" s="40"/>
      <c r="V134" s="308"/>
      <c r="W134" s="40" t="str" cm="1">
        <f t="array" ref="W134">IF(A134&lt;&gt;"",_xlfn.XLOOKUP(_xlfn.XLOOKUP(TRUE,F134:P134&lt;&gt;"",F134:P134,"-",-1,-1),F134:P134,$F$6:$P$6,,,-1),"")</f>
        <v>Add1</v>
      </c>
      <c r="X134" s="278"/>
      <c r="Y134" s="171"/>
      <c r="Z134" s="132">
        <v>100</v>
      </c>
      <c r="AA134" s="55" t="s">
        <v>826</v>
      </c>
      <c r="AB134" s="55" t="s">
        <v>860</v>
      </c>
      <c r="AC134" s="55" t="s">
        <v>828</v>
      </c>
      <c r="AD134" s="55"/>
      <c r="AE134" s="56"/>
      <c r="AF134" s="51"/>
      <c r="AG134" s="56"/>
      <c r="AH134" s="51"/>
      <c r="AI134" s="56"/>
      <c r="AJ134" s="51"/>
      <c r="AK134" s="56"/>
      <c r="AL134" s="51"/>
      <c r="AM134" s="37"/>
      <c r="AN134" s="37" t="s">
        <v>995</v>
      </c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</row>
    <row r="135" spans="1:50" s="50" customFormat="1" ht="15" customHeight="1" outlineLevel="1">
      <c r="A135" s="37" t="str">
        <f t="shared" si="12"/>
        <v>18043-LM190 08305</v>
      </c>
      <c r="B135" s="38" t="s">
        <v>94</v>
      </c>
      <c r="C135" s="233"/>
      <c r="D135" s="38"/>
      <c r="E135" s="213" t="str">
        <f>MID(AN135,FIND(" ",AN135,15)+1,100)</f>
        <v>Ground &amp; Second Floor - HVAC Plan and Details</v>
      </c>
      <c r="F135" s="38" t="s">
        <v>97</v>
      </c>
      <c r="G135" s="38" t="s">
        <v>34</v>
      </c>
      <c r="H135" s="38"/>
      <c r="I135" s="38" t="s">
        <v>31</v>
      </c>
      <c r="J135" s="38"/>
      <c r="K135" s="38"/>
      <c r="L135" s="38"/>
      <c r="M135" s="44"/>
      <c r="N135" s="44" t="s">
        <v>28</v>
      </c>
      <c r="O135" s="44"/>
      <c r="P135" s="476"/>
      <c r="Q135" s="44"/>
      <c r="R135" s="44"/>
      <c r="S135" s="44">
        <v>0</v>
      </c>
      <c r="T135" s="38" t="s">
        <v>98</v>
      </c>
      <c r="U135" s="40"/>
      <c r="V135" s="308"/>
      <c r="W135" s="40" t="str" cm="1">
        <f t="array" ref="W135">IF(A135&lt;&gt;"",_xlfn.XLOOKUP(_xlfn.XLOOKUP(TRUE,F135:P135&lt;&gt;"",F135:P135,"-",-1,-1),F135:P135,$F$6:$P$6,,,-1),"")</f>
        <v>Add7</v>
      </c>
      <c r="X135" s="278"/>
      <c r="Y135" s="171"/>
      <c r="Z135" s="132">
        <v>100</v>
      </c>
      <c r="AA135" s="55" t="s">
        <v>826</v>
      </c>
      <c r="AB135" s="55" t="s">
        <v>827</v>
      </c>
      <c r="AC135" s="55" t="s">
        <v>828</v>
      </c>
      <c r="AD135" s="52"/>
      <c r="AE135" s="56"/>
      <c r="AF135" s="51"/>
      <c r="AG135" s="56"/>
      <c r="AH135" s="51"/>
      <c r="AI135" s="56"/>
      <c r="AJ135" s="51"/>
      <c r="AK135" s="56"/>
      <c r="AL135" s="51"/>
      <c r="AM135" s="37"/>
      <c r="AN135" s="37" t="s">
        <v>996</v>
      </c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</row>
    <row r="136" spans="1:50" s="50" customFormat="1" ht="15" customHeight="1" outlineLevel="1">
      <c r="A136" s="43"/>
      <c r="B136" s="38"/>
      <c r="C136" s="233"/>
      <c r="D136" s="38"/>
      <c r="E136" s="42"/>
      <c r="F136" s="38"/>
      <c r="G136" s="38"/>
      <c r="H136" s="38"/>
      <c r="I136" s="38"/>
      <c r="J136" s="38"/>
      <c r="K136" s="38"/>
      <c r="L136" s="38"/>
      <c r="M136" s="44"/>
      <c r="N136" s="44"/>
      <c r="O136" s="44"/>
      <c r="P136" s="476"/>
      <c r="Q136" s="44"/>
      <c r="R136" s="44"/>
      <c r="S136" s="44"/>
      <c r="T136" s="38"/>
      <c r="U136" s="40"/>
      <c r="V136" s="40"/>
      <c r="W136" s="40" t="str" cm="1">
        <f t="array" ref="W136">IF(A136&lt;&gt;"",_xlfn.XLOOKUP(_xlfn.XLOOKUP(TRUE,F136:P136&lt;&gt;"",F136:P136,"-",-1,-1),F136:P136,$F$6:$P$6,,,-1),"")</f>
        <v/>
      </c>
      <c r="X136" s="278"/>
      <c r="Y136" s="171"/>
      <c r="Z136" s="132"/>
      <c r="AA136" s="55"/>
      <c r="AB136" s="55"/>
      <c r="AC136" s="55"/>
      <c r="AD136" s="52"/>
      <c r="AE136" s="56"/>
      <c r="AF136" s="51"/>
      <c r="AG136" s="56"/>
      <c r="AH136" s="51"/>
      <c r="AI136" s="56"/>
      <c r="AJ136" s="51"/>
      <c r="AK136" s="56"/>
      <c r="AL136" s="51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</row>
    <row r="137" spans="1:50" s="50" customFormat="1" ht="15" customHeight="1" outlineLevel="1">
      <c r="A137" s="242" t="s">
        <v>997</v>
      </c>
      <c r="B137" s="38" t="s">
        <v>94</v>
      </c>
      <c r="C137" s="233"/>
      <c r="D137" s="38"/>
      <c r="E137" s="213" t="s">
        <v>940</v>
      </c>
      <c r="F137" s="38"/>
      <c r="G137" s="38"/>
      <c r="H137" s="38"/>
      <c r="I137" s="38"/>
      <c r="J137" s="38"/>
      <c r="K137" s="38"/>
      <c r="L137" s="38"/>
      <c r="M137" s="44"/>
      <c r="N137" s="44"/>
      <c r="O137" s="44"/>
      <c r="P137" s="476"/>
      <c r="Q137" s="44"/>
      <c r="R137" s="44"/>
      <c r="S137" s="44">
        <v>0</v>
      </c>
      <c r="T137" s="38" t="s">
        <v>98</v>
      </c>
      <c r="U137" s="40"/>
      <c r="V137" s="308"/>
      <c r="W137" s="40"/>
      <c r="X137" s="278"/>
      <c r="Y137" s="171"/>
      <c r="Z137" s="132">
        <v>75</v>
      </c>
      <c r="AA137" s="55" t="s">
        <v>826</v>
      </c>
      <c r="AB137" s="55" t="s">
        <v>855</v>
      </c>
      <c r="AC137" s="55" t="s">
        <v>880</v>
      </c>
      <c r="AD137" s="52"/>
      <c r="AE137" s="56"/>
      <c r="AF137" s="51"/>
      <c r="AG137" s="56"/>
      <c r="AH137" s="51"/>
      <c r="AI137" s="56"/>
      <c r="AJ137" s="51"/>
      <c r="AK137" s="56"/>
      <c r="AL137" s="51"/>
      <c r="AM137" s="37"/>
      <c r="AN137" s="37" t="s">
        <v>998</v>
      </c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</row>
    <row r="138" spans="1:50" s="50" customFormat="1" ht="15" customHeight="1" outlineLevel="1">
      <c r="A138" s="242" t="s">
        <v>999</v>
      </c>
      <c r="B138" s="38" t="s">
        <v>94</v>
      </c>
      <c r="C138" s="233"/>
      <c r="D138" s="38"/>
      <c r="E138" s="213" t="s">
        <v>1000</v>
      </c>
      <c r="F138" s="38" t="s">
        <v>97</v>
      </c>
      <c r="G138" s="38" t="s">
        <v>34</v>
      </c>
      <c r="H138" s="303" t="s">
        <v>31</v>
      </c>
      <c r="I138" s="38" t="s">
        <v>116</v>
      </c>
      <c r="J138" s="38" t="s">
        <v>38</v>
      </c>
      <c r="K138" s="38" t="s">
        <v>28</v>
      </c>
      <c r="L138" s="38"/>
      <c r="M138" s="44"/>
      <c r="N138" s="44" t="s">
        <v>289</v>
      </c>
      <c r="O138" s="447" t="s">
        <v>289</v>
      </c>
      <c r="P138" s="476"/>
      <c r="Q138" s="44"/>
      <c r="R138" s="44"/>
      <c r="S138" s="44">
        <v>0</v>
      </c>
      <c r="T138" s="38" t="s">
        <v>98</v>
      </c>
      <c r="U138" s="40"/>
      <c r="V138" s="308"/>
      <c r="W138" s="40" t="str" cm="1">
        <f t="array" ref="W138">IF(A138&lt;&gt;"",_xlfn.XLOOKUP(_xlfn.XLOOKUP(TRUE,F138:P138&lt;&gt;"",F138:P138,"-",-1,-1),F138:P138,$F$6:$P$6,,,-1),"")</f>
        <v>Permit</v>
      </c>
      <c r="X138" s="278"/>
      <c r="Y138" s="171"/>
      <c r="Z138" s="132">
        <v>75</v>
      </c>
      <c r="AA138" s="55" t="s">
        <v>826</v>
      </c>
      <c r="AB138" s="55" t="s">
        <v>855</v>
      </c>
      <c r="AC138" s="55" t="s">
        <v>880</v>
      </c>
      <c r="AD138" s="52"/>
      <c r="AE138" s="56"/>
      <c r="AF138" s="51"/>
      <c r="AG138" s="56"/>
      <c r="AH138" s="51"/>
      <c r="AI138" s="56"/>
      <c r="AJ138" s="51"/>
      <c r="AK138" s="56"/>
      <c r="AL138" s="51"/>
      <c r="AM138" s="37"/>
      <c r="AN138" s="37" t="s">
        <v>998</v>
      </c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</row>
    <row r="139" spans="1:50" s="50" customFormat="1" ht="15" customHeight="1" outlineLevel="1">
      <c r="A139" s="242" t="s">
        <v>1001</v>
      </c>
      <c r="B139" s="38" t="s">
        <v>94</v>
      </c>
      <c r="C139" s="233"/>
      <c r="D139" s="38"/>
      <c r="E139" s="213" t="s">
        <v>1002</v>
      </c>
      <c r="F139" s="38" t="s">
        <v>97</v>
      </c>
      <c r="G139" s="38" t="s">
        <v>34</v>
      </c>
      <c r="H139" s="303" t="s">
        <v>31</v>
      </c>
      <c r="I139" s="38" t="s">
        <v>116</v>
      </c>
      <c r="J139" s="38" t="s">
        <v>38</v>
      </c>
      <c r="K139" s="38" t="s">
        <v>28</v>
      </c>
      <c r="L139" s="38"/>
      <c r="M139" s="44"/>
      <c r="N139" s="44"/>
      <c r="O139" s="447" t="s">
        <v>28</v>
      </c>
      <c r="P139" s="476"/>
      <c r="Q139" s="44"/>
      <c r="R139" s="44"/>
      <c r="S139" s="44">
        <v>0</v>
      </c>
      <c r="T139" s="38" t="s">
        <v>98</v>
      </c>
      <c r="U139" s="40"/>
      <c r="V139" s="308"/>
      <c r="W139" s="40" t="str" cm="1">
        <f t="array" ref="W139">IF(A139&lt;&gt;"",_xlfn.XLOOKUP(_xlfn.XLOOKUP(TRUE,F139:P139&lt;&gt;"",F139:P139,"-",-1,-1),F139:P139,$F$6:$P$6,,,-1),"")</f>
        <v>Permit</v>
      </c>
      <c r="X139" s="278"/>
      <c r="Y139" s="171"/>
      <c r="Z139" s="132">
        <v>75</v>
      </c>
      <c r="AA139" s="55" t="s">
        <v>826</v>
      </c>
      <c r="AB139" s="55" t="s">
        <v>855</v>
      </c>
      <c r="AC139" s="55" t="s">
        <v>880</v>
      </c>
      <c r="AD139" s="52"/>
      <c r="AE139" s="56"/>
      <c r="AF139" s="51"/>
      <c r="AG139" s="56"/>
      <c r="AH139" s="51"/>
      <c r="AI139" s="56"/>
      <c r="AJ139" s="51"/>
      <c r="AK139" s="56"/>
      <c r="AL139" s="51"/>
      <c r="AM139" s="37"/>
      <c r="AN139" s="37" t="s">
        <v>1003</v>
      </c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</row>
    <row r="140" spans="1:50" s="50" customFormat="1" ht="15" customHeight="1" outlineLevel="1">
      <c r="A140" s="242" t="s">
        <v>1004</v>
      </c>
      <c r="B140" s="38" t="s">
        <v>94</v>
      </c>
      <c r="C140" s="233"/>
      <c r="D140" s="38"/>
      <c r="E140" s="213" t="s">
        <v>904</v>
      </c>
      <c r="F140" s="38"/>
      <c r="G140" s="38"/>
      <c r="H140" s="38"/>
      <c r="I140" s="38"/>
      <c r="J140" s="38"/>
      <c r="K140" s="38"/>
      <c r="L140" s="38"/>
      <c r="M140" s="44"/>
      <c r="N140" s="44"/>
      <c r="O140" s="44"/>
      <c r="P140" s="383"/>
      <c r="Q140" s="395"/>
      <c r="R140" s="395"/>
      <c r="S140" s="44">
        <v>0</v>
      </c>
      <c r="T140" s="38" t="s">
        <v>98</v>
      </c>
      <c r="U140" s="40"/>
      <c r="V140" s="40"/>
      <c r="W140" s="40" t="str" cm="1">
        <f t="array" ref="W140">IF(A140&lt;&gt;"",_xlfn.XLOOKUP(_xlfn.XLOOKUP(TRUE,F140:P140&lt;&gt;"",F140:P140,"-",-1,-1),F140:P140,$F$6:$P$6,,,-1),"")</f>
        <v>Add8</v>
      </c>
      <c r="X140" s="278"/>
      <c r="Y140" s="171"/>
      <c r="Z140" s="132">
        <v>75</v>
      </c>
      <c r="AA140" s="55" t="s">
        <v>826</v>
      </c>
      <c r="AB140" s="55" t="s">
        <v>855</v>
      </c>
      <c r="AC140" s="55" t="s">
        <v>880</v>
      </c>
      <c r="AD140" s="52"/>
      <c r="AE140" s="56"/>
      <c r="AF140" s="51"/>
      <c r="AG140" s="56"/>
      <c r="AH140" s="51"/>
      <c r="AI140" s="56"/>
      <c r="AJ140" s="51"/>
      <c r="AK140" s="56"/>
      <c r="AL140" s="51"/>
      <c r="AM140" s="37"/>
      <c r="AN140" s="37" t="s">
        <v>1005</v>
      </c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</row>
    <row r="141" spans="1:50" s="50" customFormat="1" ht="15" customHeight="1" outlineLevel="1">
      <c r="A141" s="242" t="s">
        <v>1006</v>
      </c>
      <c r="B141" s="38" t="s">
        <v>94</v>
      </c>
      <c r="C141" s="233"/>
      <c r="D141" s="38"/>
      <c r="E141" s="450" t="s">
        <v>913</v>
      </c>
      <c r="F141" s="38" t="s">
        <v>97</v>
      </c>
      <c r="G141" s="38" t="s">
        <v>34</v>
      </c>
      <c r="H141" s="303" t="s">
        <v>31</v>
      </c>
      <c r="I141" s="38" t="s">
        <v>116</v>
      </c>
      <c r="J141" s="38" t="s">
        <v>38</v>
      </c>
      <c r="K141" s="38" t="s">
        <v>28</v>
      </c>
      <c r="L141" s="38"/>
      <c r="M141" s="44"/>
      <c r="N141" s="44"/>
      <c r="O141" s="447" t="s">
        <v>28</v>
      </c>
      <c r="P141" s="476"/>
      <c r="Q141" s="44"/>
      <c r="R141" s="44"/>
      <c r="S141" s="44">
        <v>0</v>
      </c>
      <c r="T141" s="38" t="s">
        <v>98</v>
      </c>
      <c r="U141" s="40"/>
      <c r="V141" s="308"/>
      <c r="W141" s="40" t="str" cm="1">
        <f t="array" ref="W141">IF(A141&lt;&gt;"",_xlfn.XLOOKUP(_xlfn.XLOOKUP(TRUE,F141:P141&lt;&gt;"",F141:P141,"-",-1,-1),F141:P141,$F$6:$P$6,,,-1),"")</f>
        <v>Permit</v>
      </c>
      <c r="X141" s="278"/>
      <c r="Y141" s="171"/>
      <c r="Z141" s="132" t="s">
        <v>117</v>
      </c>
      <c r="AA141" s="55" t="s">
        <v>826</v>
      </c>
      <c r="AB141" s="55" t="s">
        <v>855</v>
      </c>
      <c r="AC141" s="55" t="s">
        <v>828</v>
      </c>
      <c r="AD141" s="52"/>
      <c r="AE141" s="56"/>
      <c r="AF141" s="51"/>
      <c r="AG141" s="56"/>
      <c r="AH141" s="51"/>
      <c r="AI141" s="56"/>
      <c r="AJ141" s="51"/>
      <c r="AK141" s="56"/>
      <c r="AL141" s="51"/>
      <c r="AM141" s="37"/>
      <c r="AN141" s="37" t="s">
        <v>1007</v>
      </c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</row>
    <row r="142" spans="1:50" s="50" customFormat="1" ht="15" customHeight="1" outlineLevel="1">
      <c r="A142" s="242" t="s">
        <v>1008</v>
      </c>
      <c r="B142" s="38" t="s">
        <v>94</v>
      </c>
      <c r="C142" s="233"/>
      <c r="D142" s="38"/>
      <c r="E142" s="213" t="s">
        <v>1009</v>
      </c>
      <c r="F142" s="38" t="s">
        <v>97</v>
      </c>
      <c r="G142" s="38" t="s">
        <v>34</v>
      </c>
      <c r="H142" s="303" t="s">
        <v>31</v>
      </c>
      <c r="I142" s="38" t="s">
        <v>116</v>
      </c>
      <c r="J142" s="38" t="s">
        <v>38</v>
      </c>
      <c r="K142" s="38" t="s">
        <v>28</v>
      </c>
      <c r="L142" s="38"/>
      <c r="M142" s="44" t="s">
        <v>289</v>
      </c>
      <c r="N142" s="44" t="s">
        <v>289</v>
      </c>
      <c r="O142" s="447" t="s">
        <v>289</v>
      </c>
      <c r="P142" s="476"/>
      <c r="Q142" s="44"/>
      <c r="R142" s="477" t="s">
        <v>290</v>
      </c>
      <c r="S142" s="44">
        <v>0</v>
      </c>
      <c r="T142" s="38" t="s">
        <v>98</v>
      </c>
      <c r="U142" s="40"/>
      <c r="V142" s="308"/>
      <c r="W142" s="40" t="str" cm="1">
        <f t="array" ref="W142">IF(A142&lt;&gt;"",_xlfn.XLOOKUP(_xlfn.XLOOKUP(TRUE,F142:P142&lt;&gt;"",F142:P142,"-",-1,-1),F142:P142,$F$6:$P$6,,,-1),"")</f>
        <v>Permit</v>
      </c>
      <c r="X142" s="278"/>
      <c r="Y142" s="171"/>
      <c r="Z142" s="132">
        <v>75</v>
      </c>
      <c r="AA142" s="55" t="s">
        <v>826</v>
      </c>
      <c r="AB142" s="55" t="s">
        <v>855</v>
      </c>
      <c r="AC142" s="55" t="s">
        <v>880</v>
      </c>
      <c r="AD142" s="52"/>
      <c r="AE142" s="56"/>
      <c r="AF142" s="51"/>
      <c r="AG142" s="56"/>
      <c r="AH142" s="51"/>
      <c r="AI142" s="56"/>
      <c r="AJ142" s="51"/>
      <c r="AK142" s="56"/>
      <c r="AL142" s="51"/>
      <c r="AM142" s="37"/>
      <c r="AN142" s="37" t="s">
        <v>1010</v>
      </c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</row>
    <row r="143" spans="1:50" s="50" customFormat="1" ht="15" customHeight="1" outlineLevel="1">
      <c r="A143" s="242" t="s">
        <v>1011</v>
      </c>
      <c r="B143" s="38" t="s">
        <v>94</v>
      </c>
      <c r="C143" s="233"/>
      <c r="D143" s="38"/>
      <c r="E143" s="213" t="s">
        <v>920</v>
      </c>
      <c r="F143" s="38"/>
      <c r="G143" s="38"/>
      <c r="H143" s="38"/>
      <c r="I143" s="38"/>
      <c r="J143" s="38" t="s">
        <v>97</v>
      </c>
      <c r="K143" s="38" t="s">
        <v>34</v>
      </c>
      <c r="L143" s="38"/>
      <c r="M143" s="44" t="s">
        <v>31</v>
      </c>
      <c r="N143" s="44" t="s">
        <v>31</v>
      </c>
      <c r="O143" s="447" t="s">
        <v>31</v>
      </c>
      <c r="P143" s="476"/>
      <c r="Q143" s="44"/>
      <c r="R143" s="477" t="s">
        <v>116</v>
      </c>
      <c r="S143" s="44">
        <v>0</v>
      </c>
      <c r="T143" s="38" t="s">
        <v>98</v>
      </c>
      <c r="U143" s="40"/>
      <c r="V143" s="40"/>
      <c r="W143" s="40" t="str" cm="1">
        <f t="array" ref="W143">IF(A143&lt;&gt;"",_xlfn.XLOOKUP(_xlfn.XLOOKUP(TRUE,F143:P143&lt;&gt;"",F143:P143,"-",-1,-1),F143:P143,$F$6:$P$6,,,-1),"")</f>
        <v>Permit</v>
      </c>
      <c r="X143" s="278"/>
      <c r="Y143" s="171"/>
      <c r="Z143" s="132">
        <v>75</v>
      </c>
      <c r="AA143" s="55" t="s">
        <v>826</v>
      </c>
      <c r="AB143" s="55" t="s">
        <v>855</v>
      </c>
      <c r="AC143" s="55" t="s">
        <v>880</v>
      </c>
      <c r="AD143" s="55"/>
      <c r="AE143" s="56"/>
      <c r="AF143" s="51"/>
      <c r="AG143" s="56"/>
      <c r="AH143" s="51"/>
      <c r="AI143" s="56"/>
      <c r="AJ143" s="51"/>
      <c r="AK143" s="56"/>
      <c r="AL143" s="51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</row>
    <row r="144" spans="1:50" s="50" customFormat="1" ht="15" customHeight="1" outlineLevel="1">
      <c r="A144" s="242" t="s">
        <v>1012</v>
      </c>
      <c r="B144" s="38" t="s">
        <v>94</v>
      </c>
      <c r="C144" s="233"/>
      <c r="D144" s="38"/>
      <c r="E144" s="213" t="s">
        <v>1013</v>
      </c>
      <c r="F144" s="38" t="s">
        <v>97</v>
      </c>
      <c r="G144" s="38" t="s">
        <v>34</v>
      </c>
      <c r="H144" s="303" t="s">
        <v>31</v>
      </c>
      <c r="I144" s="38" t="s">
        <v>116</v>
      </c>
      <c r="J144" s="38" t="s">
        <v>38</v>
      </c>
      <c r="K144" s="38" t="s">
        <v>28</v>
      </c>
      <c r="L144" s="38"/>
      <c r="M144" s="44"/>
      <c r="N144" s="44"/>
      <c r="O144" s="447" t="s">
        <v>28</v>
      </c>
      <c r="P144" s="476"/>
      <c r="Q144" s="44"/>
      <c r="R144" s="44"/>
      <c r="S144" s="44">
        <v>0</v>
      </c>
      <c r="T144" s="38" t="s">
        <v>98</v>
      </c>
      <c r="U144" s="40"/>
      <c r="V144" s="308"/>
      <c r="W144" s="40" t="str" cm="1">
        <f t="array" ref="W144">IF(A144&lt;&gt;"",_xlfn.XLOOKUP(_xlfn.XLOOKUP(TRUE,F144:P144&lt;&gt;"",F144:P144,"-",-1,-1),F144:P144,$F$6:$P$6,,,-1),"")</f>
        <v>Permit</v>
      </c>
      <c r="X144" s="278"/>
      <c r="Y144" s="171"/>
      <c r="Z144" s="132">
        <v>75</v>
      </c>
      <c r="AA144" s="55" t="s">
        <v>826</v>
      </c>
      <c r="AB144" s="55" t="s">
        <v>855</v>
      </c>
      <c r="AC144" s="55" t="s">
        <v>880</v>
      </c>
      <c r="AD144" s="55"/>
      <c r="AE144" s="56"/>
      <c r="AF144" s="51"/>
      <c r="AG144" s="56"/>
      <c r="AH144" s="51"/>
      <c r="AI144" s="56"/>
      <c r="AJ144" s="51"/>
      <c r="AK144" s="56"/>
      <c r="AL144" s="51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</row>
    <row r="145" spans="1:50" s="50" customFormat="1" ht="15" customHeight="1" outlineLevel="1">
      <c r="A145" s="242" t="s">
        <v>1014</v>
      </c>
      <c r="B145" s="38" t="s">
        <v>94</v>
      </c>
      <c r="C145" s="233"/>
      <c r="D145" s="38"/>
      <c r="E145" s="213" t="s">
        <v>926</v>
      </c>
      <c r="F145" s="38" t="s">
        <v>97</v>
      </c>
      <c r="G145" s="38" t="s">
        <v>34</v>
      </c>
      <c r="H145" s="303" t="s">
        <v>31</v>
      </c>
      <c r="I145" s="38" t="s">
        <v>116</v>
      </c>
      <c r="J145" s="38" t="s">
        <v>38</v>
      </c>
      <c r="K145" s="38" t="s">
        <v>28</v>
      </c>
      <c r="L145" s="38"/>
      <c r="M145" s="44"/>
      <c r="N145" s="44"/>
      <c r="O145" s="447" t="s">
        <v>28</v>
      </c>
      <c r="P145" s="476"/>
      <c r="Q145" s="44"/>
      <c r="R145" s="44"/>
      <c r="S145" s="44">
        <v>0</v>
      </c>
      <c r="T145" s="38" t="s">
        <v>98</v>
      </c>
      <c r="U145" s="40"/>
      <c r="V145" s="308"/>
      <c r="W145" s="40" t="str" cm="1">
        <f t="array" ref="W145">IF(A145&lt;&gt;"",_xlfn.XLOOKUP(_xlfn.XLOOKUP(TRUE,F145:P145&lt;&gt;"",F145:P145,"-",-1,-1),F145:P145,$F$6:$P$6,,,-1),"")</f>
        <v>Permit</v>
      </c>
      <c r="X145" s="278" t="s">
        <v>916</v>
      </c>
      <c r="Y145" s="171"/>
      <c r="Z145" s="132">
        <v>75</v>
      </c>
      <c r="AA145" s="55" t="s">
        <v>826</v>
      </c>
      <c r="AB145" s="55" t="s">
        <v>855</v>
      </c>
      <c r="AC145" s="55" t="s">
        <v>880</v>
      </c>
      <c r="AD145" s="55"/>
      <c r="AE145" s="56"/>
      <c r="AF145" s="51"/>
      <c r="AG145" s="56"/>
      <c r="AH145" s="51"/>
      <c r="AI145" s="56"/>
      <c r="AJ145" s="51"/>
      <c r="AK145" s="56"/>
      <c r="AL145" s="51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</row>
    <row r="146" spans="1:50" s="50" customFormat="1" ht="15" customHeight="1" outlineLevel="1">
      <c r="A146" s="41"/>
      <c r="B146" s="38"/>
      <c r="C146" s="233"/>
      <c r="D146" s="38"/>
      <c r="E146" s="41"/>
      <c r="F146" s="38"/>
      <c r="G146" s="38"/>
      <c r="H146" s="38"/>
      <c r="I146" s="38"/>
      <c r="J146" s="38"/>
      <c r="K146" s="38"/>
      <c r="L146" s="38"/>
      <c r="M146" s="44"/>
      <c r="N146" s="44"/>
      <c r="O146" s="44"/>
      <c r="P146" s="476"/>
      <c r="Q146" s="44"/>
      <c r="R146" s="44"/>
      <c r="S146" s="44"/>
      <c r="T146" s="38"/>
      <c r="U146" s="40"/>
      <c r="V146" s="40"/>
      <c r="W146" s="40" t="str" cm="1">
        <f t="array" ref="W146">IF(A146&lt;&gt;"",_xlfn.XLOOKUP(_xlfn.XLOOKUP(TRUE,F146:P146&lt;&gt;"",F146:P146,"-",-1,-1),F146:P146,$F$6:$P$6,,,-1),"")</f>
        <v/>
      </c>
      <c r="X146" s="278"/>
      <c r="Y146" s="171"/>
      <c r="Z146" s="132"/>
      <c r="AA146" s="55"/>
      <c r="AB146" s="55"/>
      <c r="AC146" s="55"/>
      <c r="AD146" s="52"/>
      <c r="AE146" s="56"/>
      <c r="AF146" s="51"/>
      <c r="AG146" s="56"/>
      <c r="AH146" s="51"/>
      <c r="AI146" s="56"/>
      <c r="AJ146" s="51"/>
      <c r="AK146" s="56"/>
      <c r="AL146" s="51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</row>
    <row r="147" spans="1:50" s="50" customFormat="1" ht="15" customHeight="1" outlineLevel="1">
      <c r="A147" s="37" t="s">
        <v>1015</v>
      </c>
      <c r="B147" s="38" t="s">
        <v>94</v>
      </c>
      <c r="C147" s="233"/>
      <c r="D147" s="38"/>
      <c r="E147" s="213" t="s">
        <v>1016</v>
      </c>
      <c r="F147" s="38"/>
      <c r="G147" s="38"/>
      <c r="H147" s="38"/>
      <c r="I147" s="38" t="s">
        <v>97</v>
      </c>
      <c r="J147" s="38" t="s">
        <v>34</v>
      </c>
      <c r="K147" s="38" t="s">
        <v>31</v>
      </c>
      <c r="L147" s="38"/>
      <c r="M147" s="44"/>
      <c r="N147" s="44"/>
      <c r="O147" s="44"/>
      <c r="P147" s="476"/>
      <c r="Q147" s="44"/>
      <c r="R147" s="44"/>
      <c r="S147" s="44">
        <v>0</v>
      </c>
      <c r="T147" s="38" t="s">
        <v>98</v>
      </c>
      <c r="U147" s="40"/>
      <c r="V147" s="40"/>
      <c r="W147" s="40" t="str" cm="1">
        <f t="array" ref="W147">IF(A147&lt;&gt;"",_xlfn.XLOOKUP(_xlfn.XLOOKUP(TRUE,F147:P147&lt;&gt;"",F147:P147,"-",-1,-1),F147:P147,$F$6:$P$6,,,-1),"")</f>
        <v>Add3</v>
      </c>
      <c r="X147" s="278"/>
      <c r="Y147" s="171"/>
      <c r="Z147" s="132" t="s">
        <v>117</v>
      </c>
      <c r="AA147" s="55" t="s">
        <v>826</v>
      </c>
      <c r="AB147" s="55" t="s">
        <v>827</v>
      </c>
      <c r="AC147" s="55" t="s">
        <v>828</v>
      </c>
      <c r="AD147" s="52"/>
      <c r="AE147" s="56"/>
      <c r="AF147" s="51"/>
      <c r="AG147" s="56"/>
      <c r="AH147" s="51"/>
      <c r="AI147" s="56"/>
      <c r="AJ147" s="51"/>
      <c r="AK147" s="56"/>
      <c r="AL147" s="51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</row>
    <row r="148" spans="1:50" s="50" customFormat="1" ht="15" customHeight="1" outlineLevel="1">
      <c r="A148" s="315" t="s">
        <v>1017</v>
      </c>
      <c r="B148" s="310" t="s">
        <v>94</v>
      </c>
      <c r="C148" s="270"/>
      <c r="D148" s="310"/>
      <c r="E148" s="359" t="s">
        <v>1018</v>
      </c>
      <c r="F148" s="310"/>
      <c r="G148" s="310"/>
      <c r="H148" s="310"/>
      <c r="I148" s="310" t="s">
        <v>97</v>
      </c>
      <c r="J148" s="310" t="s">
        <v>34</v>
      </c>
      <c r="K148" s="310" t="s">
        <v>31</v>
      </c>
      <c r="L148" s="310"/>
      <c r="M148" s="495"/>
      <c r="N148" s="495"/>
      <c r="O148" s="495"/>
      <c r="P148" s="495"/>
      <c r="Q148" s="495"/>
      <c r="R148" s="495"/>
      <c r="S148" s="497"/>
      <c r="T148" s="310" t="s">
        <v>98</v>
      </c>
      <c r="U148" s="40"/>
      <c r="V148" s="308" t="s">
        <v>1019</v>
      </c>
      <c r="W148" s="40" t="str" cm="1">
        <f t="array" ref="W148">IF(A148&lt;&gt;"",_xlfn.XLOOKUP(_xlfn.XLOOKUP(TRUE,F148:P148&lt;&gt;"",F148:P148,"-",-1,-1),F148:P148,$F$6:$P$6,,,-1),"")</f>
        <v>Add3</v>
      </c>
      <c r="X148" s="278"/>
      <c r="Y148" s="171"/>
      <c r="Z148" s="132" t="s">
        <v>117</v>
      </c>
      <c r="AA148" s="55" t="s">
        <v>826</v>
      </c>
      <c r="AB148" s="55" t="s">
        <v>827</v>
      </c>
      <c r="AC148" s="55" t="s">
        <v>828</v>
      </c>
      <c r="AD148" s="52"/>
      <c r="AE148" s="56"/>
      <c r="AF148" s="51"/>
      <c r="AG148" s="56"/>
      <c r="AH148" s="51"/>
      <c r="AI148" s="56"/>
      <c r="AJ148" s="51"/>
      <c r="AK148" s="56"/>
      <c r="AL148" s="51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</row>
    <row r="149" spans="1:50" s="50" customFormat="1" ht="15" customHeight="1" outlineLevel="1">
      <c r="A149" s="41"/>
      <c r="B149" s="38"/>
      <c r="C149" s="233"/>
      <c r="D149" s="38"/>
      <c r="E149" s="41"/>
      <c r="F149" s="38"/>
      <c r="G149" s="38"/>
      <c r="H149" s="38"/>
      <c r="I149" s="38"/>
      <c r="J149" s="38"/>
      <c r="K149" s="38"/>
      <c r="L149" s="38"/>
      <c r="M149" s="71"/>
      <c r="N149" s="71"/>
      <c r="O149" s="71"/>
      <c r="P149" s="475"/>
      <c r="Q149" s="71"/>
      <c r="R149" s="71"/>
      <c r="S149" s="44"/>
      <c r="T149" s="38"/>
      <c r="U149" s="40"/>
      <c r="V149" s="40"/>
      <c r="W149" s="40" t="str" cm="1">
        <f t="array" ref="W149">IF(A149&lt;&gt;"",_xlfn.XLOOKUP(_xlfn.XLOOKUP(TRUE,F149:P149&lt;&gt;"",F149:P149,"-",-1,-1),F149:P149,$F$6:$P$6,,,-1),"")</f>
        <v/>
      </c>
      <c r="X149" s="278"/>
      <c r="Y149" s="171"/>
      <c r="Z149" s="132"/>
      <c r="AA149" s="55"/>
      <c r="AB149" s="55"/>
      <c r="AC149" s="55"/>
      <c r="AD149" s="52"/>
      <c r="AE149" s="56"/>
      <c r="AF149" s="51"/>
      <c r="AG149" s="56"/>
      <c r="AH149" s="51"/>
      <c r="AI149" s="56"/>
      <c r="AJ149" s="51"/>
      <c r="AK149" s="56"/>
      <c r="AL149" s="51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</row>
    <row r="150" spans="1:50" s="50" customFormat="1" ht="15" customHeight="1" outlineLevel="1">
      <c r="A150" s="315" t="s">
        <v>1020</v>
      </c>
      <c r="B150" s="310" t="s">
        <v>94</v>
      </c>
      <c r="C150" s="270"/>
      <c r="D150" s="310"/>
      <c r="E150" s="359" t="s">
        <v>928</v>
      </c>
      <c r="F150" s="310"/>
      <c r="G150" s="310"/>
      <c r="H150" s="310"/>
      <c r="I150" s="310" t="s">
        <v>97</v>
      </c>
      <c r="J150" s="310" t="s">
        <v>34</v>
      </c>
      <c r="K150" s="310" t="s">
        <v>31</v>
      </c>
      <c r="L150" s="38"/>
      <c r="M150" s="71"/>
      <c r="N150" s="71"/>
      <c r="O150" s="71"/>
      <c r="P150" s="475"/>
      <c r="Q150" s="71"/>
      <c r="R150" s="71"/>
      <c r="S150" s="44"/>
      <c r="T150" s="310" t="s">
        <v>98</v>
      </c>
      <c r="U150" s="40"/>
      <c r="V150" s="308" t="s">
        <v>1019</v>
      </c>
      <c r="W150" s="40" t="str" cm="1">
        <f t="array" ref="W150">IF(A150&lt;&gt;"",_xlfn.XLOOKUP(_xlfn.XLOOKUP(TRUE,F150:P150&lt;&gt;"",F150:P150,"-",-1,-1),F150:P150,$F$6:$P$6,,,-1),"")</f>
        <v>Add3</v>
      </c>
      <c r="X150" s="278"/>
      <c r="Y150" s="171"/>
      <c r="Z150" s="132" t="s">
        <v>117</v>
      </c>
      <c r="AA150" s="55" t="s">
        <v>826</v>
      </c>
      <c r="AB150" s="55"/>
      <c r="AC150" s="55"/>
      <c r="AD150" s="52"/>
      <c r="AE150" s="56"/>
      <c r="AF150" s="51"/>
      <c r="AG150" s="56"/>
      <c r="AH150" s="51"/>
      <c r="AI150" s="56"/>
      <c r="AJ150" s="51"/>
      <c r="AK150" s="56"/>
      <c r="AL150" s="51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</row>
    <row r="151" spans="1:50" s="50" customFormat="1" ht="15" customHeight="1" outlineLevel="1">
      <c r="A151" s="37"/>
      <c r="B151" s="38"/>
      <c r="C151" s="233"/>
      <c r="D151" s="38"/>
      <c r="E151" s="213"/>
      <c r="F151" s="38"/>
      <c r="G151" s="38"/>
      <c r="H151" s="38"/>
      <c r="I151" s="38"/>
      <c r="J151" s="38"/>
      <c r="K151" s="38"/>
      <c r="L151" s="38"/>
      <c r="M151" s="71"/>
      <c r="N151" s="71"/>
      <c r="O151" s="71"/>
      <c r="P151" s="475"/>
      <c r="Q151" s="71"/>
      <c r="R151" s="71"/>
      <c r="S151" s="44"/>
      <c r="T151" s="38"/>
      <c r="U151" s="40"/>
      <c r="V151" s="40"/>
      <c r="W151" s="40" t="str" cm="1">
        <f t="array" ref="W151">IF(A151&lt;&gt;"",_xlfn.XLOOKUP(_xlfn.XLOOKUP(TRUE,F151:P151&lt;&gt;"",F151:P151,"-",-1,-1),F151:P151,$F$6:$P$6,,,-1),"")</f>
        <v/>
      </c>
      <c r="X151" s="278"/>
      <c r="Y151" s="171"/>
      <c r="Z151" s="132"/>
      <c r="AA151" s="55"/>
      <c r="AB151" s="55"/>
      <c r="AC151" s="55"/>
      <c r="AD151" s="52"/>
      <c r="AE151" s="56"/>
      <c r="AF151" s="51"/>
      <c r="AG151" s="56"/>
      <c r="AH151" s="51"/>
      <c r="AI151" s="56"/>
      <c r="AJ151" s="51"/>
      <c r="AK151" s="56"/>
      <c r="AL151" s="51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</row>
    <row r="152" spans="1:50" s="50" customFormat="1" ht="15" customHeight="1" outlineLevel="1">
      <c r="A152" s="165" t="s">
        <v>1021</v>
      </c>
      <c r="B152" s="38"/>
      <c r="C152" s="233"/>
      <c r="D152" s="38"/>
      <c r="E152" s="213"/>
      <c r="F152" s="38"/>
      <c r="G152" s="38"/>
      <c r="H152" s="38"/>
      <c r="I152" s="38"/>
      <c r="J152" s="38"/>
      <c r="K152" s="38"/>
      <c r="L152" s="38"/>
      <c r="M152" s="71"/>
      <c r="N152" s="71"/>
      <c r="O152" s="71"/>
      <c r="P152" s="475"/>
      <c r="Q152" s="71"/>
      <c r="R152" s="71"/>
      <c r="S152" s="44"/>
      <c r="T152" s="38"/>
      <c r="U152" s="40"/>
      <c r="V152" s="40"/>
      <c r="W152" s="40" t="str" cm="1">
        <f t="array" ref="W152">IF(A152&lt;&gt;"",_xlfn.XLOOKUP(_xlfn.XLOOKUP(TRUE,F152:P152&lt;&gt;"",F152:P152,"-",-1,-1),F152:P152,$F$6:$P$6,,,-1),"")</f>
        <v>Add8</v>
      </c>
      <c r="X152" s="278"/>
      <c r="Y152" s="171"/>
      <c r="Z152" s="132"/>
      <c r="AA152" s="55"/>
      <c r="AB152" s="55"/>
      <c r="AC152" s="55"/>
      <c r="AD152" s="52"/>
      <c r="AE152" s="56"/>
      <c r="AF152" s="51"/>
      <c r="AG152" s="56"/>
      <c r="AH152" s="51"/>
      <c r="AI152" s="56"/>
      <c r="AJ152" s="51"/>
      <c r="AK152" s="56"/>
      <c r="AL152" s="51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</row>
    <row r="153" spans="1:50" s="243" customFormat="1" ht="14.25" customHeight="1" outlineLevel="1">
      <c r="A153" s="37" t="s">
        <v>1022</v>
      </c>
      <c r="B153" s="38" t="s">
        <v>94</v>
      </c>
      <c r="C153" s="233"/>
      <c r="D153" s="38"/>
      <c r="E153" s="213" t="s">
        <v>1023</v>
      </c>
      <c r="F153" s="38"/>
      <c r="G153" s="38"/>
      <c r="H153" s="303" t="s">
        <v>97</v>
      </c>
      <c r="I153" s="38"/>
      <c r="J153" s="38" t="s">
        <v>34</v>
      </c>
      <c r="K153" s="38" t="s">
        <v>31</v>
      </c>
      <c r="L153" s="38"/>
      <c r="M153" s="71"/>
      <c r="N153" s="71"/>
      <c r="O153" s="447" t="s">
        <v>116</v>
      </c>
      <c r="P153" s="475"/>
      <c r="Q153" s="71"/>
      <c r="R153" s="480" t="s">
        <v>38</v>
      </c>
      <c r="S153" s="44">
        <v>0</v>
      </c>
      <c r="T153" s="38" t="s">
        <v>98</v>
      </c>
      <c r="U153" s="38"/>
      <c r="V153" s="40"/>
      <c r="W153" s="40" t="str" cm="1">
        <f t="array" ref="W153">IF(A153&lt;&gt;"",_xlfn.XLOOKUP(_xlfn.XLOOKUP(TRUE,F153:P153&lt;&gt;"",F153:P153,"-",-1,-1),F153:P153,$F$6:$P$6,,,-1),"")</f>
        <v>Permit</v>
      </c>
      <c r="X153" s="233"/>
      <c r="Y153" s="171"/>
      <c r="Z153" s="141"/>
      <c r="AA153" s="55" t="s">
        <v>826</v>
      </c>
      <c r="AB153" s="55" t="s">
        <v>855</v>
      </c>
      <c r="AC153" s="55" t="s">
        <v>828</v>
      </c>
      <c r="AD153" s="52"/>
      <c r="AE153" s="56"/>
      <c r="AF153" s="51"/>
      <c r="AG153" s="56"/>
      <c r="AH153" s="51"/>
      <c r="AI153" s="56"/>
      <c r="AJ153" s="51"/>
      <c r="AK153" s="56"/>
      <c r="AL153" s="51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</row>
    <row r="154" spans="1:50" s="50" customFormat="1" ht="15" customHeight="1" outlineLevel="1">
      <c r="A154" s="41"/>
      <c r="B154" s="38"/>
      <c r="C154" s="233"/>
      <c r="D154" s="38"/>
      <c r="E154" s="41"/>
      <c r="F154" s="38"/>
      <c r="G154" s="38"/>
      <c r="H154" s="38"/>
      <c r="I154" s="38"/>
      <c r="J154" s="38"/>
      <c r="K154" s="38"/>
      <c r="L154" s="38"/>
      <c r="M154" s="71"/>
      <c r="N154" s="71"/>
      <c r="O154" s="71"/>
      <c r="P154" s="475"/>
      <c r="Q154" s="71"/>
      <c r="R154" s="71"/>
      <c r="S154" s="44"/>
      <c r="T154" s="38"/>
      <c r="U154" s="40"/>
      <c r="V154" s="40"/>
      <c r="W154" s="40"/>
      <c r="X154" s="278"/>
      <c r="Y154" s="171"/>
      <c r="Z154" s="132"/>
      <c r="AA154" s="55"/>
      <c r="AB154" s="55"/>
      <c r="AC154" s="55"/>
      <c r="AD154" s="52"/>
      <c r="AE154" s="56"/>
      <c r="AF154" s="51"/>
      <c r="AG154" s="56"/>
      <c r="AH154" s="51"/>
      <c r="AI154" s="56"/>
      <c r="AJ154" s="51"/>
      <c r="AK154" s="56"/>
      <c r="AL154" s="51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</row>
    <row r="155" spans="1:50" s="50" customFormat="1" ht="15" customHeight="1" outlineLevel="1">
      <c r="A155" s="41"/>
      <c r="B155" s="38"/>
      <c r="C155" s="233"/>
      <c r="D155" s="38"/>
      <c r="E155" s="41"/>
      <c r="F155" s="38"/>
      <c r="G155" s="38"/>
      <c r="H155" s="38"/>
      <c r="I155" s="38"/>
      <c r="J155" s="38"/>
      <c r="K155" s="38"/>
      <c r="L155" s="38"/>
      <c r="M155" s="71"/>
      <c r="N155" s="71"/>
      <c r="O155" s="71"/>
      <c r="P155" s="475"/>
      <c r="Q155" s="71"/>
      <c r="R155" s="71"/>
      <c r="S155" s="44"/>
      <c r="T155" s="38"/>
      <c r="U155" s="40"/>
      <c r="V155" s="40"/>
      <c r="W155" s="40"/>
      <c r="X155" s="278"/>
      <c r="Y155" s="171"/>
      <c r="Z155" s="132"/>
      <c r="AA155" s="55"/>
      <c r="AB155" s="55"/>
      <c r="AC155" s="55"/>
      <c r="AD155" s="52"/>
      <c r="AE155" s="56"/>
      <c r="AF155" s="51"/>
      <c r="AG155" s="56"/>
      <c r="AH155" s="51"/>
      <c r="AI155" s="56"/>
      <c r="AJ155" s="51"/>
      <c r="AK155" s="56"/>
      <c r="AL155" s="51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</row>
    <row r="156" spans="1:50" s="50" customFormat="1" ht="15" customHeight="1" thickBot="1">
      <c r="A156" s="41"/>
      <c r="B156" s="38"/>
      <c r="C156" s="233"/>
      <c r="D156" s="38"/>
      <c r="E156" s="43" t="str">
        <f>"SUB-TOTAL "&amp;UPPER(A133)&amp;" DRAWINGS"</f>
        <v>SUB-TOTAL CURING OFFICE &amp; WORKSHOP (B231) DRAWINGS</v>
      </c>
      <c r="F156" s="133">
        <f t="shared" ref="F156:K156" si="13">COUNTA(F134:F155)</f>
        <v>8</v>
      </c>
      <c r="G156" s="133">
        <f t="shared" si="13"/>
        <v>8</v>
      </c>
      <c r="H156" s="133">
        <f t="shared" si="13"/>
        <v>7</v>
      </c>
      <c r="I156" s="133">
        <f t="shared" si="13"/>
        <v>11</v>
      </c>
      <c r="J156" s="133">
        <f t="shared" si="13"/>
        <v>11</v>
      </c>
      <c r="K156" s="133">
        <f t="shared" si="13"/>
        <v>11</v>
      </c>
      <c r="L156" s="133">
        <f>COUNTA(L134:L155)</f>
        <v>0</v>
      </c>
      <c r="M156" s="133">
        <f t="shared" ref="M156:S156" si="14">COUNTA(M134:M155)</f>
        <v>2</v>
      </c>
      <c r="N156" s="133">
        <f t="shared" si="14"/>
        <v>4</v>
      </c>
      <c r="O156" s="133"/>
      <c r="P156" s="473">
        <f>COUNTA(P134:P155)</f>
        <v>0</v>
      </c>
      <c r="Q156" s="133">
        <f t="shared" ref="Q156" si="15">COUNTA(Q134:Q155)</f>
        <v>0</v>
      </c>
      <c r="R156" s="133">
        <f t="shared" si="14"/>
        <v>4</v>
      </c>
      <c r="S156" s="133">
        <f t="shared" si="14"/>
        <v>13</v>
      </c>
      <c r="T156"/>
      <c r="U156" s="36"/>
      <c r="V156" s="36"/>
      <c r="W156" s="36"/>
      <c r="X156" s="275"/>
      <c r="Y156" s="172"/>
      <c r="Z156" s="132"/>
      <c r="AA156" s="55"/>
      <c r="AB156" s="55"/>
      <c r="AC156" s="55"/>
      <c r="AD156" s="52"/>
      <c r="AE156" s="56"/>
      <c r="AF156" s="51"/>
      <c r="AG156" s="56"/>
      <c r="AH156" s="51"/>
      <c r="AI156" s="56"/>
      <c r="AJ156" s="51"/>
      <c r="AK156" s="56"/>
      <c r="AL156" s="51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</row>
    <row r="157" spans="1:50" s="50" customFormat="1" ht="15" customHeight="1" thickTop="1">
      <c r="A157" s="41"/>
      <c r="B157" s="38"/>
      <c r="C157" s="233"/>
      <c r="D157" s="38"/>
      <c r="E157" s="43"/>
      <c r="F157" s="38"/>
      <c r="G157" s="38"/>
      <c r="H157" s="38"/>
      <c r="I157" s="38"/>
      <c r="J157" s="38"/>
      <c r="K157" s="38"/>
      <c r="L157" s="38"/>
      <c r="M157" s="71"/>
      <c r="N157" s="71"/>
      <c r="O157" s="71"/>
      <c r="P157" s="475"/>
      <c r="Q157" s="71"/>
      <c r="R157" s="71"/>
      <c r="S157" s="44"/>
      <c r="T157" s="38"/>
      <c r="U157" s="36"/>
      <c r="V157" s="36"/>
      <c r="W157" s="36"/>
      <c r="X157" s="275"/>
      <c r="Y157" s="172"/>
      <c r="Z157" s="55"/>
      <c r="AA157" s="55"/>
      <c r="AB157" s="55"/>
      <c r="AC157" s="55"/>
      <c r="AD157" s="52"/>
      <c r="AE157" s="56"/>
      <c r="AF157" s="51"/>
      <c r="AG157" s="56"/>
      <c r="AH157" s="51"/>
      <c r="AI157" s="56"/>
      <c r="AJ157" s="51"/>
      <c r="AK157" s="56"/>
      <c r="AL157" s="51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</row>
    <row r="158" spans="1:50" s="50" customFormat="1" ht="18" customHeight="1">
      <c r="A158" s="32" t="s">
        <v>414</v>
      </c>
      <c r="B158" s="32"/>
      <c r="C158" s="32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472"/>
      <c r="Q158" s="11"/>
      <c r="R158" s="11"/>
      <c r="S158" s="11"/>
      <c r="T158" s="11"/>
      <c r="U158" s="11"/>
      <c r="V158" s="11"/>
      <c r="W158" s="11"/>
      <c r="X158" s="277"/>
      <c r="Y158" s="170"/>
      <c r="Z158" s="53"/>
      <c r="AA158" s="55"/>
      <c r="AB158" s="53"/>
      <c r="AC158" s="53"/>
      <c r="AD158" s="54"/>
      <c r="AE158" s="79"/>
      <c r="AF158" s="51"/>
      <c r="AG158" s="79"/>
      <c r="AH158" s="51"/>
      <c r="AI158" s="51"/>
      <c r="AJ158" s="51"/>
      <c r="AK158" s="51"/>
      <c r="AL158" s="51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</row>
    <row r="159" spans="1:50" s="50" customFormat="1" ht="15" customHeight="1">
      <c r="A159" s="37" t="str">
        <f t="shared" ref="A159:A161" si="16">"18043-"&amp;LEFT(AN159,11)</f>
        <v>18043-LM520 08209</v>
      </c>
      <c r="B159" s="38" t="s">
        <v>94</v>
      </c>
      <c r="C159" s="233"/>
      <c r="D159" s="38"/>
      <c r="E159" s="213" t="str">
        <f t="shared" ref="E159:E160" si="17">MID(AN159,FIND(" ",AN159,15)+1,100)</f>
        <v xml:space="preserve">Roof Plan </v>
      </c>
      <c r="F159" s="38" t="s">
        <v>97</v>
      </c>
      <c r="G159" s="38" t="s">
        <v>34</v>
      </c>
      <c r="H159" s="38"/>
      <c r="I159" s="38" t="s">
        <v>31</v>
      </c>
      <c r="J159" s="38" t="s">
        <v>116</v>
      </c>
      <c r="K159" s="38" t="s">
        <v>38</v>
      </c>
      <c r="L159" s="38"/>
      <c r="M159" s="71"/>
      <c r="N159" s="71"/>
      <c r="O159" s="71"/>
      <c r="P159" s="475"/>
      <c r="Q159" s="71"/>
      <c r="R159" s="71"/>
      <c r="S159" s="44">
        <v>0</v>
      </c>
      <c r="T159" s="38" t="s">
        <v>98</v>
      </c>
      <c r="U159" s="40"/>
      <c r="V159" s="308"/>
      <c r="W159" s="40" t="str" cm="1">
        <f t="array" ref="W159">IF(A159&lt;&gt;"",_xlfn.XLOOKUP(_xlfn.XLOOKUP(TRUE,F159:P159&lt;&gt;"",F159:P159,"-",-1,-1),F159:P159,$F$6:$P$6,,,-1),"")</f>
        <v>Add3</v>
      </c>
      <c r="X159" s="278"/>
      <c r="Y159" s="171"/>
      <c r="Z159" s="55">
        <v>125</v>
      </c>
      <c r="AA159" s="55" t="s">
        <v>826</v>
      </c>
      <c r="AB159" s="55" t="s">
        <v>1024</v>
      </c>
      <c r="AC159" s="55" t="s">
        <v>828</v>
      </c>
      <c r="AD159" s="52"/>
      <c r="AE159" s="56"/>
      <c r="AF159" s="51"/>
      <c r="AG159" s="56"/>
      <c r="AH159" s="51"/>
      <c r="AI159" s="56"/>
      <c r="AJ159" s="51"/>
      <c r="AK159" s="56"/>
      <c r="AL159" s="51"/>
      <c r="AM159" s="37"/>
      <c r="AN159" s="37" t="s">
        <v>1025</v>
      </c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</row>
    <row r="160" spans="1:50" s="50" customFormat="1" ht="15" customHeight="1" outlineLevel="1">
      <c r="A160" s="315" t="str">
        <f t="shared" si="16"/>
        <v>18043-LM520 08210</v>
      </c>
      <c r="B160" s="310" t="s">
        <v>94</v>
      </c>
      <c r="C160" s="270"/>
      <c r="D160" s="310"/>
      <c r="E160" s="359" t="str">
        <f t="shared" si="17"/>
        <v>Intermediate Plan &amp; Section</v>
      </c>
      <c r="F160" s="310" t="s">
        <v>97</v>
      </c>
      <c r="G160" s="310" t="s">
        <v>34</v>
      </c>
      <c r="H160" s="310"/>
      <c r="I160" s="310" t="s">
        <v>31</v>
      </c>
      <c r="J160" s="310"/>
      <c r="K160" s="310"/>
      <c r="L160" s="310"/>
      <c r="M160" s="495"/>
      <c r="N160" s="495"/>
      <c r="O160" s="495"/>
      <c r="P160" s="495"/>
      <c r="Q160" s="495"/>
      <c r="R160" s="495"/>
      <c r="S160" s="497"/>
      <c r="T160" s="310" t="s">
        <v>98</v>
      </c>
      <c r="U160" s="40"/>
      <c r="V160" s="308" t="s">
        <v>1019</v>
      </c>
      <c r="W160" s="40" t="str" cm="1">
        <f t="array" ref="W160">IF(A160&lt;&gt;"",_xlfn.XLOOKUP(_xlfn.XLOOKUP(TRUE,F160:P160&lt;&gt;"",F160:P160,"-",-1,-1),F160:P160,$F$6:$P$6,,,-1),"")</f>
        <v>Add1</v>
      </c>
      <c r="X160" s="278" t="s">
        <v>1026</v>
      </c>
      <c r="Y160" s="171"/>
      <c r="Z160" s="132">
        <v>125</v>
      </c>
      <c r="AA160" s="55" t="s">
        <v>826</v>
      </c>
      <c r="AB160" s="55" t="s">
        <v>1024</v>
      </c>
      <c r="AC160" s="55" t="s">
        <v>828</v>
      </c>
      <c r="AD160" s="52"/>
      <c r="AE160" s="56"/>
      <c r="AF160" s="51"/>
      <c r="AG160" s="56"/>
      <c r="AH160" s="51"/>
      <c r="AI160" s="56"/>
      <c r="AJ160" s="51"/>
      <c r="AK160" s="56"/>
      <c r="AL160" s="51"/>
      <c r="AM160" s="37"/>
      <c r="AN160" s="37" t="s">
        <v>1027</v>
      </c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</row>
    <row r="161" spans="1:50" s="50" customFormat="1" ht="15" customHeight="1" outlineLevel="1">
      <c r="A161" s="386" t="str">
        <f t="shared" si="16"/>
        <v>18043-LM520 08552</v>
      </c>
      <c r="B161" s="384" t="s">
        <v>94</v>
      </c>
      <c r="C161" s="387"/>
      <c r="D161" s="384"/>
      <c r="E161" s="388" t="s">
        <v>1028</v>
      </c>
      <c r="F161" s="384" t="s">
        <v>97</v>
      </c>
      <c r="G161" s="384" t="s">
        <v>34</v>
      </c>
      <c r="H161" s="384"/>
      <c r="I161" s="384"/>
      <c r="J161" s="384"/>
      <c r="K161" s="384"/>
      <c r="L161" s="384"/>
      <c r="M161" s="383"/>
      <c r="N161" s="394" t="s">
        <v>286</v>
      </c>
      <c r="O161" s="396"/>
      <c r="P161" s="395"/>
      <c r="Q161" s="383"/>
      <c r="R161" s="383"/>
      <c r="S161" s="38"/>
      <c r="T161" s="385" t="s">
        <v>98</v>
      </c>
      <c r="U161" s="40"/>
      <c r="V161" s="308" t="s">
        <v>1019</v>
      </c>
      <c r="W161" s="308"/>
      <c r="X161" s="278"/>
      <c r="Y161" s="171"/>
      <c r="Z161" s="132">
        <v>125</v>
      </c>
      <c r="AA161" s="55" t="s">
        <v>826</v>
      </c>
      <c r="AB161" s="55" t="s">
        <v>1024</v>
      </c>
      <c r="AC161" s="55" t="s">
        <v>828</v>
      </c>
      <c r="AD161" s="52"/>
      <c r="AE161" s="56"/>
      <c r="AF161" s="51"/>
      <c r="AG161" s="56"/>
      <c r="AH161" s="51"/>
      <c r="AI161" s="56"/>
      <c r="AJ161" s="51"/>
      <c r="AK161" s="56"/>
      <c r="AL161" s="51"/>
      <c r="AM161" s="37"/>
      <c r="AN161" s="37" t="s">
        <v>1029</v>
      </c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</row>
    <row r="162" spans="1:50" s="50" customFormat="1" ht="15" customHeight="1" outlineLevel="1">
      <c r="A162" s="43"/>
      <c r="B162" s="34"/>
      <c r="C162" s="33"/>
      <c r="D162" s="38"/>
      <c r="E162" s="42"/>
      <c r="F162" s="38"/>
      <c r="G162" s="38"/>
      <c r="H162" s="38"/>
      <c r="I162" s="38"/>
      <c r="J162" s="38"/>
      <c r="K162" s="38"/>
      <c r="L162" s="38"/>
      <c r="M162" s="71"/>
      <c r="N162" s="71"/>
      <c r="O162" s="71"/>
      <c r="P162" s="475"/>
      <c r="Q162" s="71"/>
      <c r="R162" s="71"/>
      <c r="S162" s="44"/>
      <c r="T162" s="38"/>
      <c r="U162" s="40"/>
      <c r="V162" s="40"/>
      <c r="W162" s="40"/>
      <c r="X162" s="278"/>
      <c r="Y162" s="171"/>
      <c r="Z162" s="132"/>
      <c r="AA162" s="55"/>
      <c r="AB162" s="55"/>
      <c r="AC162" s="55"/>
      <c r="AD162" s="52"/>
      <c r="AE162" s="56"/>
      <c r="AF162" s="51"/>
      <c r="AG162" s="56"/>
      <c r="AH162" s="51"/>
      <c r="AI162" s="56"/>
      <c r="AJ162" s="51"/>
      <c r="AK162" s="56"/>
      <c r="AL162" s="51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</row>
    <row r="163" spans="1:50" s="50" customFormat="1" ht="15" customHeight="1" thickBot="1">
      <c r="A163" s="41"/>
      <c r="B163" s="38"/>
      <c r="C163" s="41"/>
      <c r="D163" s="38"/>
      <c r="E163" s="43" t="str">
        <f>"SUB-TOTAL "&amp;UPPER(A158)&amp;" DRAWINGS"</f>
        <v>SUB-TOTAL COLD PREPARATION WORKSHOP (B520) DRAWINGS</v>
      </c>
      <c r="F163" s="133">
        <f t="shared" ref="F163:K163" si="18">COUNTA(F159:F162)</f>
        <v>3</v>
      </c>
      <c r="G163" s="133">
        <f t="shared" si="18"/>
        <v>3</v>
      </c>
      <c r="H163" s="133">
        <f t="shared" si="18"/>
        <v>0</v>
      </c>
      <c r="I163" s="133">
        <f t="shared" si="18"/>
        <v>2</v>
      </c>
      <c r="J163" s="133">
        <f t="shared" si="18"/>
        <v>1</v>
      </c>
      <c r="K163" s="133">
        <f t="shared" si="18"/>
        <v>1</v>
      </c>
      <c r="L163" s="133">
        <f>COUNTA(L159:L162)</f>
        <v>0</v>
      </c>
      <c r="M163" s="133">
        <f t="shared" ref="M163:S163" si="19">COUNTA(M159:M162)</f>
        <v>0</v>
      </c>
      <c r="N163" s="133">
        <v>0</v>
      </c>
      <c r="O163" s="133"/>
      <c r="P163" s="473">
        <f>COUNTA(P159:P162)</f>
        <v>0</v>
      </c>
      <c r="Q163" s="133">
        <f t="shared" ref="Q163" si="20">COUNTA(Q159:Q162)</f>
        <v>0</v>
      </c>
      <c r="R163" s="133">
        <f t="shared" si="19"/>
        <v>0</v>
      </c>
      <c r="S163" s="133">
        <f t="shared" si="19"/>
        <v>1</v>
      </c>
      <c r="T163"/>
      <c r="U163" s="36"/>
      <c r="V163" s="36"/>
      <c r="W163" s="36"/>
      <c r="X163" s="275"/>
      <c r="Y163" s="172"/>
      <c r="Z163" s="55"/>
      <c r="AA163" s="55"/>
      <c r="AB163" s="55"/>
      <c r="AC163" s="55"/>
      <c r="AD163" s="52"/>
      <c r="AE163" s="56"/>
      <c r="AF163" s="51"/>
      <c r="AG163" s="56"/>
      <c r="AH163" s="51"/>
      <c r="AI163" s="56"/>
      <c r="AJ163" s="51"/>
      <c r="AK163" s="56"/>
      <c r="AL163" s="51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</row>
    <row r="164" spans="1:50" s="50" customFormat="1" ht="15" customHeight="1" thickTop="1">
      <c r="A164" s="41"/>
      <c r="B164" s="236"/>
      <c r="C164" s="37"/>
      <c r="D164" s="38"/>
      <c r="E164" s="43"/>
      <c r="F164" s="38"/>
      <c r="G164" s="38"/>
      <c r="H164" s="38"/>
      <c r="I164" s="38"/>
      <c r="J164" s="38"/>
      <c r="K164" s="38"/>
      <c r="L164" s="38"/>
      <c r="M164" s="71"/>
      <c r="N164" s="71"/>
      <c r="O164" s="71"/>
      <c r="P164" s="475"/>
      <c r="Q164" s="71"/>
      <c r="R164" s="71"/>
      <c r="S164" s="44"/>
      <c r="T164" s="38"/>
      <c r="U164" s="36"/>
      <c r="V164" s="36"/>
      <c r="W164" s="36"/>
      <c r="X164" s="275"/>
      <c r="Y164" s="172"/>
      <c r="Z164" s="55"/>
      <c r="AA164" s="55"/>
      <c r="AB164" s="55"/>
      <c r="AC164" s="55"/>
      <c r="AD164" s="52"/>
      <c r="AE164" s="56"/>
      <c r="AF164" s="51"/>
      <c r="AG164" s="56"/>
      <c r="AH164" s="51"/>
      <c r="AI164" s="56"/>
      <c r="AJ164" s="51"/>
      <c r="AK164" s="56"/>
      <c r="AL164" s="51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</row>
    <row r="165" spans="1:50" s="50" customFormat="1" ht="18" customHeight="1">
      <c r="A165" s="32" t="s">
        <v>416</v>
      </c>
      <c r="B165" s="32"/>
      <c r="C165" s="32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472"/>
      <c r="Q165" s="11"/>
      <c r="R165" s="11"/>
      <c r="S165" s="11"/>
      <c r="T165" s="11"/>
      <c r="U165" s="11"/>
      <c r="V165" s="11"/>
      <c r="W165" s="11"/>
      <c r="X165" s="277"/>
      <c r="Y165" s="170"/>
      <c r="Z165" s="53"/>
      <c r="AA165" s="55"/>
      <c r="AB165" s="53"/>
      <c r="AC165" s="53"/>
      <c r="AD165" s="54"/>
      <c r="AE165" s="79"/>
      <c r="AF165" s="51"/>
      <c r="AG165" s="79"/>
      <c r="AH165" s="51"/>
      <c r="AI165" s="51"/>
      <c r="AJ165" s="51"/>
      <c r="AK165" s="51"/>
      <c r="AL165" s="51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</row>
    <row r="166" spans="1:50" s="50" customFormat="1" ht="15" customHeight="1">
      <c r="A166" s="37"/>
      <c r="B166" s="38"/>
      <c r="C166" s="233"/>
      <c r="D166" s="38"/>
      <c r="E166" s="39"/>
      <c r="F166" s="38"/>
      <c r="G166" s="38"/>
      <c r="H166" s="38"/>
      <c r="I166" s="38"/>
      <c r="J166" s="38"/>
      <c r="K166" s="38"/>
      <c r="L166" s="38"/>
      <c r="M166" s="71"/>
      <c r="N166" s="71"/>
      <c r="O166" s="71"/>
      <c r="P166" s="475"/>
      <c r="Q166" s="71"/>
      <c r="R166" s="71"/>
      <c r="S166" s="44"/>
      <c r="T166" s="38"/>
      <c r="U166" s="40"/>
      <c r="V166" s="40"/>
      <c r="W166" s="40"/>
      <c r="X166" s="278"/>
      <c r="Y166" s="171"/>
      <c r="Z166" s="55"/>
      <c r="AA166" s="55"/>
      <c r="AB166" s="55"/>
      <c r="AC166" s="55"/>
      <c r="AD166" s="52"/>
      <c r="AE166" s="56"/>
      <c r="AF166" s="51"/>
      <c r="AG166" s="56"/>
      <c r="AH166" s="51"/>
      <c r="AI166" s="56"/>
      <c r="AJ166" s="51"/>
      <c r="AK166" s="56"/>
      <c r="AL166" s="51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</row>
    <row r="167" spans="1:50" s="50" customFormat="1" ht="15" customHeight="1" outlineLevel="1">
      <c r="A167" s="43"/>
      <c r="B167" s="38"/>
      <c r="C167" s="233"/>
      <c r="D167" s="38"/>
      <c r="E167" s="42"/>
      <c r="F167" s="38"/>
      <c r="G167" s="38"/>
      <c r="H167" s="38"/>
      <c r="I167" s="38"/>
      <c r="J167" s="38"/>
      <c r="K167" s="38"/>
      <c r="L167" s="38"/>
      <c r="M167" s="71"/>
      <c r="N167" s="71"/>
      <c r="O167" s="71"/>
      <c r="P167" s="475"/>
      <c r="Q167" s="71"/>
      <c r="R167" s="71"/>
      <c r="S167" s="44"/>
      <c r="T167" s="38"/>
      <c r="U167" s="40"/>
      <c r="V167" s="40"/>
      <c r="W167" s="40"/>
      <c r="X167" s="278"/>
      <c r="Y167" s="171"/>
      <c r="Z167" s="132"/>
      <c r="AA167" s="55"/>
      <c r="AB167" s="55"/>
      <c r="AC167" s="55"/>
      <c r="AD167" s="52"/>
      <c r="AE167" s="56"/>
      <c r="AF167" s="51"/>
      <c r="AG167" s="56"/>
      <c r="AH167" s="51"/>
      <c r="AI167" s="56"/>
      <c r="AJ167" s="51"/>
      <c r="AK167" s="56"/>
      <c r="AL167" s="51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</row>
    <row r="168" spans="1:50" s="50" customFormat="1" ht="15" customHeight="1" outlineLevel="1">
      <c r="A168" s="43"/>
      <c r="B168" s="38"/>
      <c r="C168" s="41"/>
      <c r="D168" s="38"/>
      <c r="E168" s="42"/>
      <c r="F168" s="38"/>
      <c r="G168" s="38"/>
      <c r="H168" s="38"/>
      <c r="I168" s="38"/>
      <c r="J168" s="38"/>
      <c r="K168" s="38"/>
      <c r="L168" s="38"/>
      <c r="M168" s="71"/>
      <c r="N168" s="71"/>
      <c r="O168" s="71"/>
      <c r="P168" s="475"/>
      <c r="Q168" s="71"/>
      <c r="R168" s="71"/>
      <c r="S168" s="44"/>
      <c r="T168" s="38"/>
      <c r="U168" s="40"/>
      <c r="V168" s="40"/>
      <c r="W168" s="40"/>
      <c r="X168" s="278"/>
      <c r="Y168" s="171"/>
      <c r="Z168" s="132"/>
      <c r="AA168" s="55"/>
      <c r="AB168" s="55"/>
      <c r="AC168" s="55"/>
      <c r="AD168" s="52"/>
      <c r="AE168" s="56"/>
      <c r="AF168" s="51"/>
      <c r="AG168" s="56"/>
      <c r="AH168" s="51"/>
      <c r="AI168" s="56"/>
      <c r="AJ168" s="51"/>
      <c r="AK168" s="56"/>
      <c r="AL168" s="51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</row>
    <row r="169" spans="1:50" s="50" customFormat="1" ht="15" customHeight="1" thickBot="1">
      <c r="A169" s="41"/>
      <c r="B169" s="38"/>
      <c r="C169" s="41"/>
      <c r="D169" s="38"/>
      <c r="E169" s="43" t="str">
        <f>"SUB-TOTAL "&amp;UPPER(A165)&amp;" DRAWINGS"</f>
        <v>SUB-TOTAL TBM WORKSHOP (B561) DRAWINGS</v>
      </c>
      <c r="F169" s="133">
        <f t="shared" ref="F169:K169" si="21">COUNTA(F166:F168)</f>
        <v>0</v>
      </c>
      <c r="G169" s="133">
        <f t="shared" si="21"/>
        <v>0</v>
      </c>
      <c r="H169" s="133">
        <f t="shared" si="21"/>
        <v>0</v>
      </c>
      <c r="I169" s="133">
        <f t="shared" si="21"/>
        <v>0</v>
      </c>
      <c r="J169" s="133">
        <f t="shared" si="21"/>
        <v>0</v>
      </c>
      <c r="K169" s="133">
        <f t="shared" si="21"/>
        <v>0</v>
      </c>
      <c r="L169" s="133">
        <f>COUNTA(L166:L168)</f>
        <v>0</v>
      </c>
      <c r="M169" s="133">
        <f t="shared" ref="M169:S169" si="22">COUNTA(M166:M168)</f>
        <v>0</v>
      </c>
      <c r="N169" s="133">
        <f t="shared" si="22"/>
        <v>0</v>
      </c>
      <c r="O169" s="133"/>
      <c r="P169" s="473">
        <f>COUNTA(P166:P168)</f>
        <v>0</v>
      </c>
      <c r="Q169" s="133">
        <f t="shared" ref="Q169" si="23">COUNTA(Q166:Q168)</f>
        <v>0</v>
      </c>
      <c r="R169" s="133">
        <f t="shared" si="22"/>
        <v>0</v>
      </c>
      <c r="S169" s="133">
        <f t="shared" si="22"/>
        <v>0</v>
      </c>
      <c r="T169"/>
      <c r="U169" s="36"/>
      <c r="V169" s="36"/>
      <c r="W169" s="36"/>
      <c r="X169" s="275"/>
      <c r="Y169" s="172"/>
      <c r="Z169" s="55"/>
      <c r="AA169" s="55"/>
      <c r="AB169" s="55"/>
      <c r="AC169" s="55"/>
      <c r="AD169" s="52"/>
      <c r="AE169" s="56"/>
      <c r="AF169" s="51"/>
      <c r="AG169" s="56"/>
      <c r="AH169" s="51"/>
      <c r="AI169" s="56"/>
      <c r="AJ169" s="51"/>
      <c r="AK169" s="56"/>
      <c r="AL169" s="51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</row>
    <row r="170" spans="1:50" s="50" customFormat="1" ht="15" customHeight="1" thickTop="1">
      <c r="A170" s="41"/>
      <c r="B170" s="236"/>
      <c r="C170" s="37"/>
      <c r="D170" s="38"/>
      <c r="E170" s="43"/>
      <c r="F170" s="38"/>
      <c r="G170" s="38"/>
      <c r="H170" s="38"/>
      <c r="I170" s="38"/>
      <c r="J170" s="38"/>
      <c r="K170" s="38"/>
      <c r="L170" s="38"/>
      <c r="M170" s="71"/>
      <c r="N170" s="71"/>
      <c r="O170" s="71"/>
      <c r="P170" s="475"/>
      <c r="Q170" s="71"/>
      <c r="R170" s="71"/>
      <c r="S170" s="44"/>
      <c r="T170" s="38"/>
      <c r="U170" s="36"/>
      <c r="V170" s="36"/>
      <c r="W170" s="36"/>
      <c r="X170" s="275"/>
      <c r="Y170" s="172"/>
      <c r="Z170" s="55"/>
      <c r="AA170" s="55"/>
      <c r="AB170" s="55"/>
      <c r="AC170" s="55"/>
      <c r="AD170" s="52"/>
      <c r="AE170" s="56"/>
      <c r="AF170" s="51"/>
      <c r="AG170" s="56"/>
      <c r="AH170" s="51"/>
      <c r="AI170" s="56"/>
      <c r="AJ170" s="51"/>
      <c r="AK170" s="56"/>
      <c r="AL170" s="51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</row>
    <row r="171" spans="1:50" s="50" customFormat="1" ht="18" customHeight="1">
      <c r="A171" s="32" t="s">
        <v>417</v>
      </c>
      <c r="B171" s="235"/>
      <c r="C171" s="32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472"/>
      <c r="Q171" s="11"/>
      <c r="R171" s="11"/>
      <c r="S171" s="11"/>
      <c r="T171" s="11"/>
      <c r="U171" s="11"/>
      <c r="V171" s="11"/>
      <c r="W171" s="11"/>
      <c r="X171" s="277"/>
      <c r="Y171" s="170"/>
      <c r="Z171" s="53"/>
      <c r="AA171" s="55"/>
      <c r="AB171" s="53"/>
      <c r="AC171" s="53"/>
      <c r="AD171" s="54"/>
      <c r="AE171" s="79"/>
      <c r="AF171" s="51"/>
      <c r="AG171" s="79"/>
      <c r="AH171" s="51"/>
      <c r="AI171" s="51"/>
      <c r="AJ171" s="51"/>
      <c r="AK171" s="51"/>
      <c r="AL171" s="51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</row>
    <row r="172" spans="1:50" s="50" customFormat="1" ht="15" customHeight="1" outlineLevel="1">
      <c r="A172" s="315" t="str">
        <f>"18043-"&amp;LEFT(AN172,11)</f>
        <v>18043-LM191 08201</v>
      </c>
      <c r="B172" s="310" t="s">
        <v>94</v>
      </c>
      <c r="C172" s="270"/>
      <c r="D172" s="310"/>
      <c r="E172" s="359" t="s">
        <v>1030</v>
      </c>
      <c r="F172" s="310" t="s">
        <v>97</v>
      </c>
      <c r="G172" s="310" t="s">
        <v>34</v>
      </c>
      <c r="H172" s="310"/>
      <c r="I172" s="310"/>
      <c r="J172" s="310" t="s">
        <v>31</v>
      </c>
      <c r="K172" s="310"/>
      <c r="L172" s="310"/>
      <c r="M172" s="495"/>
      <c r="N172" s="495"/>
      <c r="O172" s="495"/>
      <c r="P172" s="495"/>
      <c r="Q172" s="495"/>
      <c r="R172" s="495"/>
      <c r="S172" s="497"/>
      <c r="T172" s="310" t="s">
        <v>98</v>
      </c>
      <c r="U172" s="40"/>
      <c r="V172" s="308" t="s">
        <v>1019</v>
      </c>
      <c r="W172" s="40" t="str" cm="1">
        <f t="array" ref="W172">IF(A172&lt;&gt;"",_xlfn.XLOOKUP(_xlfn.XLOOKUP(TRUE,F172:P172&lt;&gt;"",F172:P172,"-",-1,-1),F172:P172,$F$6:$P$6,,,-1),"")</f>
        <v>Add2</v>
      </c>
      <c r="X172" s="278"/>
      <c r="Y172" s="171"/>
      <c r="Z172" s="55">
        <v>75</v>
      </c>
      <c r="AA172" s="55" t="s">
        <v>826</v>
      </c>
      <c r="AB172" s="55" t="s">
        <v>1024</v>
      </c>
      <c r="AC172" s="55" t="s">
        <v>828</v>
      </c>
      <c r="AD172" s="52"/>
      <c r="AE172" s="56"/>
      <c r="AF172" s="51"/>
      <c r="AG172" s="56"/>
      <c r="AH172" s="51"/>
      <c r="AI172" s="56"/>
      <c r="AJ172" s="51"/>
      <c r="AK172" s="56"/>
      <c r="AL172" s="51"/>
      <c r="AM172" s="37"/>
      <c r="AN172" s="37" t="s">
        <v>1031</v>
      </c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</row>
    <row r="173" spans="1:50" s="50" customFormat="1" ht="15" customHeight="1" outlineLevel="1">
      <c r="A173" s="37" t="str">
        <f>"18043-"&amp;LEFT(AN173,11)</f>
        <v>18043-LMBME 08253</v>
      </c>
      <c r="B173" s="38" t="s">
        <v>94</v>
      </c>
      <c r="C173" s="233"/>
      <c r="D173" s="38"/>
      <c r="E173" s="213" t="s">
        <v>1032</v>
      </c>
      <c r="F173" s="38" t="s">
        <v>97</v>
      </c>
      <c r="G173" s="38" t="s">
        <v>34</v>
      </c>
      <c r="H173" s="38"/>
      <c r="I173" s="38"/>
      <c r="J173" s="38" t="s">
        <v>31</v>
      </c>
      <c r="K173" s="38"/>
      <c r="L173" s="38"/>
      <c r="M173" s="71"/>
      <c r="N173" s="71"/>
      <c r="O173" s="71"/>
      <c r="P173" s="475"/>
      <c r="Q173" s="71"/>
      <c r="R173" s="71"/>
      <c r="S173" s="44">
        <v>0</v>
      </c>
      <c r="T173" s="38" t="s">
        <v>98</v>
      </c>
      <c r="U173" s="40"/>
      <c r="V173" s="308"/>
      <c r="W173" s="40" t="str" cm="1">
        <f t="array" ref="W173">IF(A173&lt;&gt;"",_xlfn.XLOOKUP(_xlfn.XLOOKUP(TRUE,F173:P173&lt;&gt;"",F173:P173,"-",-1,-1),F173:P173,$F$6:$P$6,,,-1),"")</f>
        <v>Add2</v>
      </c>
      <c r="X173" s="278"/>
      <c r="Y173" s="171"/>
      <c r="Z173" s="55">
        <v>75</v>
      </c>
      <c r="AA173" s="55" t="s">
        <v>826</v>
      </c>
      <c r="AB173" s="55" t="s">
        <v>1024</v>
      </c>
      <c r="AC173" s="55" t="s">
        <v>828</v>
      </c>
      <c r="AD173" s="52"/>
      <c r="AE173" s="56"/>
      <c r="AF173" s="51"/>
      <c r="AG173" s="56"/>
      <c r="AH173" s="51"/>
      <c r="AI173" s="56"/>
      <c r="AJ173" s="51"/>
      <c r="AK173" s="56"/>
      <c r="AL173" s="51"/>
      <c r="AM173" s="37"/>
      <c r="AN173" s="37" t="s">
        <v>1033</v>
      </c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</row>
    <row r="174" spans="1:50" s="50" customFormat="1" ht="15" customHeight="1" outlineLevel="1">
      <c r="A174" s="37" t="str">
        <f>"18043-"&amp;LEFT(AN174,11)</f>
        <v>18043-LMBME 08255</v>
      </c>
      <c r="B174" s="38" t="s">
        <v>94</v>
      </c>
      <c r="C174" s="233"/>
      <c r="D174" s="38"/>
      <c r="E174" s="213" t="s">
        <v>1034</v>
      </c>
      <c r="F174" s="38" t="s">
        <v>97</v>
      </c>
      <c r="G174" s="38" t="s">
        <v>34</v>
      </c>
      <c r="H174" s="38"/>
      <c r="I174" s="38"/>
      <c r="J174" s="38" t="s">
        <v>31</v>
      </c>
      <c r="K174" s="38"/>
      <c r="L174" s="38"/>
      <c r="M174" s="71"/>
      <c r="N174" s="71"/>
      <c r="O174" s="71"/>
      <c r="P174" s="475"/>
      <c r="Q174" s="71"/>
      <c r="R174" s="71"/>
      <c r="S174" s="44">
        <v>0</v>
      </c>
      <c r="T174" s="38" t="s">
        <v>98</v>
      </c>
      <c r="U174" s="40"/>
      <c r="V174" s="308"/>
      <c r="W174" s="40" t="str" cm="1">
        <f t="array" ref="W174">IF(A174&lt;&gt;"",_xlfn.XLOOKUP(_xlfn.XLOOKUP(TRUE,F174:P174&lt;&gt;"",F174:P174,"-",-1,-1),F174:P174,$F$6:$P$6,,,-1),"")</f>
        <v>Add2</v>
      </c>
      <c r="X174" s="278"/>
      <c r="Y174" s="171"/>
      <c r="Z174" s="55">
        <v>75</v>
      </c>
      <c r="AA174" s="55" t="s">
        <v>826</v>
      </c>
      <c r="AB174" s="55" t="s">
        <v>1024</v>
      </c>
      <c r="AC174" s="55" t="s">
        <v>828</v>
      </c>
      <c r="AD174" s="52"/>
      <c r="AE174" s="56"/>
      <c r="AF174" s="51"/>
      <c r="AG174" s="56"/>
      <c r="AH174" s="51"/>
      <c r="AI174" s="56"/>
      <c r="AJ174" s="51"/>
      <c r="AK174" s="56"/>
      <c r="AL174" s="51"/>
      <c r="AM174" s="37"/>
      <c r="AN174" s="37" t="s">
        <v>1035</v>
      </c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</row>
    <row r="175" spans="1:50" s="50" customFormat="1" ht="15" customHeight="1" outlineLevel="1">
      <c r="A175" s="37" t="str">
        <f>"18043-"&amp;LEFT(AN175,11)</f>
        <v>18043-LMBME 08264</v>
      </c>
      <c r="B175" s="38" t="s">
        <v>94</v>
      </c>
      <c r="C175" s="233"/>
      <c r="D175" s="38"/>
      <c r="E175" s="213" t="s">
        <v>1036</v>
      </c>
      <c r="F175" s="38" t="s">
        <v>97</v>
      </c>
      <c r="G175" s="38" t="s">
        <v>34</v>
      </c>
      <c r="H175" s="38"/>
      <c r="I175" s="38"/>
      <c r="J175" s="38" t="s">
        <v>31</v>
      </c>
      <c r="K175" s="38" t="s">
        <v>116</v>
      </c>
      <c r="L175" s="38"/>
      <c r="M175" s="71"/>
      <c r="N175" s="71"/>
      <c r="O175" s="71"/>
      <c r="P175" s="475"/>
      <c r="Q175" s="71"/>
      <c r="R175" s="71"/>
      <c r="S175" s="44">
        <v>0</v>
      </c>
      <c r="T175" s="38" t="s">
        <v>98</v>
      </c>
      <c r="U175" s="40"/>
      <c r="V175" s="308"/>
      <c r="W175" s="40" t="str" cm="1">
        <f t="array" ref="W175">IF(A175&lt;&gt;"",_xlfn.XLOOKUP(_xlfn.XLOOKUP(TRUE,F175:P175&lt;&gt;"",F175:P175,"-",-1,-1),F175:P175,$F$6:$P$6,,,-1),"")</f>
        <v>Add3</v>
      </c>
      <c r="X175" s="278"/>
      <c r="Y175" s="171"/>
      <c r="Z175" s="55">
        <v>75</v>
      </c>
      <c r="AA175" s="55" t="s">
        <v>826</v>
      </c>
      <c r="AB175" s="55" t="s">
        <v>1024</v>
      </c>
      <c r="AC175" s="55" t="s">
        <v>828</v>
      </c>
      <c r="AD175" s="52"/>
      <c r="AE175" s="56"/>
      <c r="AF175" s="51"/>
      <c r="AG175" s="56"/>
      <c r="AH175" s="51"/>
      <c r="AI175" s="56"/>
      <c r="AJ175" s="51"/>
      <c r="AK175" s="56"/>
      <c r="AL175" s="51"/>
      <c r="AM175" s="37"/>
      <c r="AN175" s="37" t="s">
        <v>1037</v>
      </c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</row>
    <row r="176" spans="1:50" s="50" customFormat="1" ht="15" customHeight="1" outlineLevel="1">
      <c r="A176" s="43"/>
      <c r="B176" s="38"/>
      <c r="C176" s="233"/>
      <c r="D176" s="38"/>
      <c r="E176" s="42"/>
      <c r="F176" s="38"/>
      <c r="G176" s="38"/>
      <c r="H176" s="38"/>
      <c r="I176" s="38"/>
      <c r="J176" s="38"/>
      <c r="K176" s="38"/>
      <c r="L176" s="38"/>
      <c r="M176" s="71"/>
      <c r="N176" s="71"/>
      <c r="O176" s="71"/>
      <c r="P176" s="475"/>
      <c r="Q176" s="71"/>
      <c r="R176" s="71"/>
      <c r="S176" s="44"/>
      <c r="T176" s="38"/>
      <c r="U176" s="40"/>
      <c r="V176" s="40"/>
      <c r="W176" s="40"/>
      <c r="X176" s="278"/>
      <c r="Y176" s="171"/>
      <c r="Z176" s="132"/>
      <c r="AA176" s="55"/>
      <c r="AB176" s="55"/>
      <c r="AC176" s="55"/>
      <c r="AD176" s="52"/>
      <c r="AE176" s="56"/>
      <c r="AF176" s="51"/>
      <c r="AG176" s="56"/>
      <c r="AH176" s="51"/>
      <c r="AI176" s="56"/>
      <c r="AJ176" s="51"/>
      <c r="AK176" s="56"/>
      <c r="AL176" s="51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</row>
    <row r="177" spans="1:50" s="50" customFormat="1" ht="15" customHeight="1" thickBot="1">
      <c r="A177" s="41"/>
      <c r="B177" s="38"/>
      <c r="C177" s="233"/>
      <c r="D177" s="38"/>
      <c r="E177" s="43" t="str">
        <f>"SUB-TOTAL "&amp;UPPER(A171)&amp;" DRAWINGS"</f>
        <v>SUB-TOTAL AFTER CURE WORKSHOP (B191) DRAWINGS</v>
      </c>
      <c r="F177" s="133">
        <f t="shared" ref="F177:K177" si="24">COUNTA(F172:F176)</f>
        <v>4</v>
      </c>
      <c r="G177" s="133">
        <f t="shared" si="24"/>
        <v>4</v>
      </c>
      <c r="H177" s="133">
        <f t="shared" si="24"/>
        <v>0</v>
      </c>
      <c r="I177" s="133">
        <f t="shared" si="24"/>
        <v>0</v>
      </c>
      <c r="J177" s="133">
        <f t="shared" si="24"/>
        <v>4</v>
      </c>
      <c r="K177" s="133">
        <f t="shared" si="24"/>
        <v>1</v>
      </c>
      <c r="L177" s="133">
        <f>COUNTA(L172:L176)</f>
        <v>0</v>
      </c>
      <c r="M177" s="133">
        <f t="shared" ref="M177:S177" si="25">COUNTA(M172:M176)</f>
        <v>0</v>
      </c>
      <c r="N177" s="133">
        <f t="shared" si="25"/>
        <v>0</v>
      </c>
      <c r="O177" s="133"/>
      <c r="P177" s="473">
        <f>COUNTA(P172:P176)</f>
        <v>0</v>
      </c>
      <c r="Q177" s="133">
        <f t="shared" ref="Q177" si="26">COUNTA(Q172:Q176)</f>
        <v>0</v>
      </c>
      <c r="R177" s="133">
        <f t="shared" si="25"/>
        <v>0</v>
      </c>
      <c r="S177" s="133">
        <f t="shared" si="25"/>
        <v>3</v>
      </c>
      <c r="T177"/>
      <c r="U177" s="36"/>
      <c r="V177" s="36"/>
      <c r="W177" s="36"/>
      <c r="X177" s="275"/>
      <c r="Y177" s="172"/>
      <c r="Z177" s="55"/>
      <c r="AA177" s="55"/>
      <c r="AB177" s="55"/>
      <c r="AC177" s="55"/>
      <c r="AD177" s="52"/>
      <c r="AE177" s="56"/>
      <c r="AF177" s="51"/>
      <c r="AG177" s="56"/>
      <c r="AH177" s="51"/>
      <c r="AI177" s="56"/>
      <c r="AJ177" s="51"/>
      <c r="AK177" s="56"/>
      <c r="AL177" s="51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</row>
    <row r="178" spans="1:50" ht="15" thickTop="1">
      <c r="A178" s="69"/>
      <c r="B178" s="38"/>
      <c r="C178" s="233"/>
      <c r="D178" s="71"/>
      <c r="E178" s="70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475"/>
      <c r="Q178" s="71"/>
      <c r="R178" s="71"/>
      <c r="T178" s="72"/>
      <c r="U178" s="72"/>
      <c r="V178" s="72"/>
      <c r="W178" s="72"/>
      <c r="X178" s="279"/>
      <c r="AA178" s="55"/>
    </row>
    <row r="179" spans="1:50" s="50" customFormat="1" ht="18" customHeight="1">
      <c r="A179" s="32" t="s">
        <v>1038</v>
      </c>
      <c r="B179" s="235"/>
      <c r="C179" s="32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472"/>
      <c r="Q179" s="11"/>
      <c r="R179" s="11"/>
      <c r="S179" s="11"/>
      <c r="T179" s="11"/>
      <c r="U179" s="11"/>
      <c r="V179" s="11"/>
      <c r="W179" s="11"/>
      <c r="X179" s="277"/>
      <c r="Y179" s="170"/>
      <c r="Z179" s="53"/>
      <c r="AA179" s="55"/>
      <c r="AB179" s="53"/>
      <c r="AC179" s="53"/>
      <c r="AD179" s="54"/>
      <c r="AE179" s="79"/>
      <c r="AF179" s="51"/>
      <c r="AG179" s="79"/>
      <c r="AH179" s="51"/>
      <c r="AI179" s="51"/>
      <c r="AJ179" s="51"/>
      <c r="AK179" s="51"/>
      <c r="AL179" s="51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</row>
    <row r="180" spans="1:50" s="50" customFormat="1" ht="15" customHeight="1">
      <c r="A180" s="37" t="str">
        <f t="shared" ref="A180:A189" si="27">"18043-"&amp;LEFT(AN180,11)</f>
        <v>18043-LM642 08551</v>
      </c>
      <c r="B180" s="38" t="s">
        <v>94</v>
      </c>
      <c r="C180" s="233"/>
      <c r="D180" s="38"/>
      <c r="E180" s="213" t="s">
        <v>1039</v>
      </c>
      <c r="F180" s="38" t="s">
        <v>97</v>
      </c>
      <c r="G180" s="38" t="s">
        <v>34</v>
      </c>
      <c r="H180" s="38"/>
      <c r="I180" s="38"/>
      <c r="J180" s="38" t="s">
        <v>31</v>
      </c>
      <c r="K180" s="38"/>
      <c r="L180" s="38" t="s">
        <v>116</v>
      </c>
      <c r="M180" s="71"/>
      <c r="N180" s="71"/>
      <c r="O180" s="71"/>
      <c r="P180" s="475"/>
      <c r="Q180" s="71"/>
      <c r="R180" s="71"/>
      <c r="S180" s="44">
        <v>0</v>
      </c>
      <c r="T180" s="38" t="s">
        <v>98</v>
      </c>
      <c r="U180" s="40"/>
      <c r="V180" s="37"/>
      <c r="W180" s="40" t="str" cm="1">
        <f t="array" ref="W180">IF(A180&lt;&gt;"",_xlfn.XLOOKUP(_xlfn.XLOOKUP(TRUE,F180:P180&lt;&gt;"",F180:P180,"-",-1,-1),F180:P180,$F$6:$P$6,,,-1),"")</f>
        <v>Add5</v>
      </c>
      <c r="X180" s="278" t="s">
        <v>916</v>
      </c>
      <c r="Y180" s="171"/>
      <c r="Z180" s="55" t="s">
        <v>117</v>
      </c>
      <c r="AA180" s="55" t="s">
        <v>826</v>
      </c>
      <c r="AB180" s="55" t="s">
        <v>827</v>
      </c>
      <c r="AC180" s="55" t="s">
        <v>828</v>
      </c>
      <c r="AD180" s="55"/>
      <c r="AE180" s="56"/>
      <c r="AF180" s="51"/>
      <c r="AG180" s="56"/>
      <c r="AH180" s="51"/>
      <c r="AI180" s="56"/>
      <c r="AJ180" s="51"/>
      <c r="AK180" s="56"/>
      <c r="AL180" s="51"/>
      <c r="AM180" s="37"/>
      <c r="AN180" s="37" t="s">
        <v>1040</v>
      </c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</row>
    <row r="181" spans="1:50" s="50" customFormat="1" ht="15" customHeight="1">
      <c r="A181" s="315" t="str">
        <f t="shared" si="27"/>
        <v>18043-LM642 08553</v>
      </c>
      <c r="B181" s="310" t="s">
        <v>94</v>
      </c>
      <c r="C181" s="270"/>
      <c r="D181" s="310"/>
      <c r="E181" s="359" t="s">
        <v>1041</v>
      </c>
      <c r="F181" s="310"/>
      <c r="G181" s="310"/>
      <c r="H181" s="310"/>
      <c r="I181" s="310"/>
      <c r="J181" s="310"/>
      <c r="K181" s="310"/>
      <c r="L181" s="310"/>
      <c r="M181" s="495"/>
      <c r="N181" s="495"/>
      <c r="O181" s="495"/>
      <c r="P181" s="495"/>
      <c r="Q181" s="495"/>
      <c r="R181" s="495"/>
      <c r="S181" s="497"/>
      <c r="T181" s="310" t="s">
        <v>98</v>
      </c>
      <c r="U181" s="40"/>
      <c r="V181" s="308" t="s">
        <v>1019</v>
      </c>
      <c r="W181" s="40" t="str" cm="1">
        <f t="array" ref="W181">IF(A181&lt;&gt;"",_xlfn.XLOOKUP(_xlfn.XLOOKUP(TRUE,F181:P181&lt;&gt;"",F181:P181,"-",-1,-1),F181:P181,$F$6:$P$6,,,-1),"")</f>
        <v>Add8</v>
      </c>
      <c r="X181" s="278"/>
      <c r="Y181" s="171"/>
      <c r="Z181" s="55"/>
      <c r="AA181" s="55"/>
      <c r="AB181" s="55"/>
      <c r="AC181" s="55"/>
      <c r="AD181" s="55"/>
      <c r="AE181" s="56"/>
      <c r="AF181" s="51"/>
      <c r="AG181" s="56"/>
      <c r="AH181" s="51"/>
      <c r="AI181" s="56"/>
      <c r="AJ181" s="51"/>
      <c r="AK181" s="56"/>
      <c r="AL181" s="51"/>
      <c r="AM181" s="37"/>
      <c r="AN181" s="37" t="s">
        <v>1042</v>
      </c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</row>
    <row r="182" spans="1:50" s="50" customFormat="1" ht="15" customHeight="1" outlineLevel="1">
      <c r="A182" s="37" t="str">
        <f t="shared" si="27"/>
        <v>18043-LM642 08554</v>
      </c>
      <c r="B182" s="38" t="s">
        <v>94</v>
      </c>
      <c r="C182" s="233"/>
      <c r="D182" s="38"/>
      <c r="E182" s="213" t="s">
        <v>1043</v>
      </c>
      <c r="F182" s="38" t="s">
        <v>97</v>
      </c>
      <c r="G182" s="38" t="s">
        <v>34</v>
      </c>
      <c r="H182" s="38"/>
      <c r="I182" s="38"/>
      <c r="J182" s="38"/>
      <c r="K182" s="38" t="s">
        <v>31</v>
      </c>
      <c r="L182" s="38"/>
      <c r="M182" s="71"/>
      <c r="N182" s="71"/>
      <c r="O182" s="71"/>
      <c r="P182" s="475"/>
      <c r="Q182" s="71"/>
      <c r="R182" s="71"/>
      <c r="S182" s="44">
        <v>0</v>
      </c>
      <c r="T182" s="38" t="s">
        <v>98</v>
      </c>
      <c r="U182" s="40"/>
      <c r="V182" s="308"/>
      <c r="W182" s="40" t="str" cm="1">
        <f t="array" ref="W182">IF(A182&lt;&gt;"",_xlfn.XLOOKUP(_xlfn.XLOOKUP(TRUE,F182:P182&lt;&gt;"",F182:P182,"-",-1,-1),F182:P182,$F$6:$P$6,,,-1),"")</f>
        <v>Add3</v>
      </c>
      <c r="X182" s="278"/>
      <c r="Y182" s="171"/>
      <c r="Z182" s="132" t="s">
        <v>117</v>
      </c>
      <c r="AA182" s="55" t="s">
        <v>826</v>
      </c>
      <c r="AB182" s="55" t="s">
        <v>827</v>
      </c>
      <c r="AC182" s="55" t="s">
        <v>828</v>
      </c>
      <c r="AD182" s="52"/>
      <c r="AE182" s="56"/>
      <c r="AF182" s="51"/>
      <c r="AG182" s="56"/>
      <c r="AH182" s="51"/>
      <c r="AI182" s="56"/>
      <c r="AJ182" s="51"/>
      <c r="AK182" s="56"/>
      <c r="AL182" s="51"/>
      <c r="AM182" s="37"/>
      <c r="AN182" s="37" t="s">
        <v>1044</v>
      </c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</row>
    <row r="183" spans="1:50" s="50" customFormat="1" ht="15" customHeight="1">
      <c r="A183" s="37" t="str">
        <f t="shared" si="27"/>
        <v>18043-LM642 08557</v>
      </c>
      <c r="B183" s="38" t="s">
        <v>94</v>
      </c>
      <c r="C183" s="233"/>
      <c r="D183" s="38"/>
      <c r="E183" s="213" t="s">
        <v>1045</v>
      </c>
      <c r="F183" s="38" t="s">
        <v>97</v>
      </c>
      <c r="G183" s="38" t="s">
        <v>34</v>
      </c>
      <c r="H183" s="38"/>
      <c r="I183" s="38"/>
      <c r="J183" s="38" t="s">
        <v>31</v>
      </c>
      <c r="K183" s="38" t="s">
        <v>116</v>
      </c>
      <c r="L183" s="38"/>
      <c r="M183" s="71"/>
      <c r="N183" s="38" t="s">
        <v>38</v>
      </c>
      <c r="O183" s="38"/>
      <c r="P183" s="475"/>
      <c r="Q183" s="71"/>
      <c r="R183" s="480" t="s">
        <v>28</v>
      </c>
      <c r="S183" s="44">
        <v>0</v>
      </c>
      <c r="T183" s="38" t="s">
        <v>98</v>
      </c>
      <c r="U183" s="40"/>
      <c r="V183" s="308"/>
      <c r="W183" s="40" t="str" cm="1">
        <f t="array" ref="W183">IF(A183&lt;&gt;"",_xlfn.XLOOKUP(_xlfn.XLOOKUP(TRUE,F183:P183&lt;&gt;"",F183:P183,"-",-1,-1),F183:P183,$F$6:$P$6,,,-1),"")</f>
        <v>Add7</v>
      </c>
      <c r="X183" s="278"/>
      <c r="Y183" s="171"/>
      <c r="Z183" s="55">
        <v>100</v>
      </c>
      <c r="AA183" s="55" t="s">
        <v>826</v>
      </c>
      <c r="AB183" s="55" t="s">
        <v>827</v>
      </c>
      <c r="AC183" s="55" t="s">
        <v>828</v>
      </c>
      <c r="AD183" s="52"/>
      <c r="AE183" s="56"/>
      <c r="AF183" s="51"/>
      <c r="AG183" s="56"/>
      <c r="AH183" s="51"/>
      <c r="AI183" s="56"/>
      <c r="AJ183" s="51"/>
      <c r="AK183" s="56"/>
      <c r="AL183" s="51"/>
      <c r="AM183" s="37"/>
      <c r="AN183" s="37" t="s">
        <v>1046</v>
      </c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</row>
    <row r="184" spans="1:50" s="50" customFormat="1" ht="15" customHeight="1" outlineLevel="1">
      <c r="A184" s="37" t="str">
        <f t="shared" si="27"/>
        <v>18043-LM642 08558</v>
      </c>
      <c r="B184" s="38" t="s">
        <v>94</v>
      </c>
      <c r="C184" s="233"/>
      <c r="D184" s="38"/>
      <c r="E184" s="213" t="s">
        <v>1047</v>
      </c>
      <c r="F184" s="38" t="s">
        <v>97</v>
      </c>
      <c r="G184" s="38" t="s">
        <v>34</v>
      </c>
      <c r="H184" s="38"/>
      <c r="I184" s="38"/>
      <c r="J184" s="38" t="s">
        <v>31</v>
      </c>
      <c r="K184" s="38"/>
      <c r="L184" s="38"/>
      <c r="M184" s="71"/>
      <c r="N184" s="71"/>
      <c r="O184" s="71"/>
      <c r="P184" s="475"/>
      <c r="Q184" s="71"/>
      <c r="R184" s="71"/>
      <c r="S184" s="44">
        <v>0</v>
      </c>
      <c r="T184" s="38" t="s">
        <v>98</v>
      </c>
      <c r="U184" s="40"/>
      <c r="V184" s="308"/>
      <c r="W184" s="40" t="str" cm="1">
        <f t="array" ref="W184">IF(A184&lt;&gt;"",_xlfn.XLOOKUP(_xlfn.XLOOKUP(TRUE,F184:P184&lt;&gt;"",F184:P184,"-",-1,-1),F184:P184,$F$6:$P$6,,,-1),"")</f>
        <v>Add2</v>
      </c>
      <c r="X184" s="278" t="s">
        <v>916</v>
      </c>
      <c r="Y184" s="171"/>
      <c r="Z184" s="132">
        <v>50</v>
      </c>
      <c r="AA184" s="55" t="s">
        <v>826</v>
      </c>
      <c r="AB184" s="55" t="s">
        <v>827</v>
      </c>
      <c r="AC184" s="55" t="s">
        <v>828</v>
      </c>
      <c r="AD184" s="52"/>
      <c r="AE184" s="56"/>
      <c r="AF184" s="51"/>
      <c r="AG184" s="56"/>
      <c r="AH184" s="51"/>
      <c r="AI184" s="56"/>
      <c r="AJ184" s="51"/>
      <c r="AK184" s="56"/>
      <c r="AL184" s="51"/>
      <c r="AM184" s="37"/>
      <c r="AN184" s="37" t="s">
        <v>1048</v>
      </c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</row>
    <row r="185" spans="1:50" s="50" customFormat="1" ht="15" customHeight="1" outlineLevel="1">
      <c r="A185" s="315" t="str">
        <f t="shared" si="27"/>
        <v>18043-LM642 08559</v>
      </c>
      <c r="B185" s="310" t="s">
        <v>94</v>
      </c>
      <c r="C185" s="270"/>
      <c r="D185" s="310"/>
      <c r="E185" s="359" t="s">
        <v>1049</v>
      </c>
      <c r="F185" s="310"/>
      <c r="G185" s="310"/>
      <c r="H185" s="310"/>
      <c r="I185" s="310"/>
      <c r="J185" s="310"/>
      <c r="K185" s="310"/>
      <c r="L185" s="310"/>
      <c r="M185" s="495"/>
      <c r="N185" s="495"/>
      <c r="O185" s="495"/>
      <c r="P185" s="495"/>
      <c r="Q185" s="495"/>
      <c r="R185" s="495"/>
      <c r="S185" s="497"/>
      <c r="T185" s="310" t="s">
        <v>98</v>
      </c>
      <c r="U185" s="40"/>
      <c r="V185" s="308" t="s">
        <v>1019</v>
      </c>
      <c r="W185" s="40" t="str" cm="1">
        <f t="array" ref="W185">IF(A185&lt;&gt;"",_xlfn.XLOOKUP(_xlfn.XLOOKUP(TRUE,F185:P185&lt;&gt;"",F185:P185,"-",-1,-1),F185:P185,$F$6:$P$6,,,-1),"")</f>
        <v>Add8</v>
      </c>
      <c r="X185" s="278"/>
      <c r="Y185" s="171"/>
      <c r="Z185" s="55"/>
      <c r="AA185" s="55"/>
      <c r="AB185" s="55"/>
      <c r="AC185" s="55"/>
      <c r="AD185" s="52"/>
      <c r="AE185" s="56"/>
      <c r="AF185" s="51"/>
      <c r="AG185" s="56"/>
      <c r="AH185" s="51"/>
      <c r="AI185" s="56"/>
      <c r="AJ185" s="51"/>
      <c r="AK185" s="56"/>
      <c r="AL185" s="51"/>
      <c r="AM185" s="37"/>
      <c r="AN185" s="37" t="s">
        <v>1050</v>
      </c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</row>
    <row r="186" spans="1:50" s="50" customFormat="1" ht="15" customHeight="1">
      <c r="A186" s="37" t="str">
        <f t="shared" si="27"/>
        <v>18043-LM642 08560</v>
      </c>
      <c r="B186" s="38" t="s">
        <v>94</v>
      </c>
      <c r="C186" s="233"/>
      <c r="D186" s="38"/>
      <c r="E186" s="213" t="s">
        <v>1051</v>
      </c>
      <c r="F186" s="38"/>
      <c r="G186" s="38" t="s">
        <v>97</v>
      </c>
      <c r="H186" s="38"/>
      <c r="I186" s="38" t="s">
        <v>34</v>
      </c>
      <c r="J186" s="38"/>
      <c r="K186" s="38" t="s">
        <v>31</v>
      </c>
      <c r="L186" s="38"/>
      <c r="M186" s="71"/>
      <c r="N186" s="71"/>
      <c r="O186" s="71"/>
      <c r="P186" s="475"/>
      <c r="Q186" s="71"/>
      <c r="R186" s="477" t="s">
        <v>116</v>
      </c>
      <c r="S186" s="44">
        <v>0</v>
      </c>
      <c r="T186" s="38" t="s">
        <v>98</v>
      </c>
      <c r="U186" s="40"/>
      <c r="V186" s="40"/>
      <c r="W186" s="40" t="str" cm="1">
        <f t="array" ref="W186">IF(A186&lt;&gt;"",_xlfn.XLOOKUP(_xlfn.XLOOKUP(TRUE,F186:P186&lt;&gt;"",F186:P186,"-",-1,-1),F186:P186,$F$6:$P$6,,,-1),"")</f>
        <v>Add3</v>
      </c>
      <c r="X186" s="278"/>
      <c r="Y186" s="171"/>
      <c r="Z186" s="55">
        <v>100</v>
      </c>
      <c r="AA186" s="55" t="s">
        <v>826</v>
      </c>
      <c r="AB186" s="55" t="s">
        <v>827</v>
      </c>
      <c r="AC186" s="55" t="s">
        <v>828</v>
      </c>
      <c r="AD186" s="52"/>
      <c r="AE186" s="56"/>
      <c r="AF186" s="51"/>
      <c r="AG186" s="56"/>
      <c r="AH186" s="51"/>
      <c r="AI186" s="56"/>
      <c r="AJ186" s="51"/>
      <c r="AK186" s="56"/>
      <c r="AL186" s="51"/>
      <c r="AM186" s="37"/>
      <c r="AN186" s="37" t="s">
        <v>1052</v>
      </c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</row>
    <row r="187" spans="1:50" s="50" customFormat="1" ht="15" customHeight="1">
      <c r="A187" s="37" t="str">
        <f t="shared" si="27"/>
        <v>18043-LM642 08561</v>
      </c>
      <c r="B187" s="38" t="s">
        <v>94</v>
      </c>
      <c r="C187" s="233"/>
      <c r="D187" s="38"/>
      <c r="E187" s="213" t="s">
        <v>1053</v>
      </c>
      <c r="F187" s="38" t="s">
        <v>97</v>
      </c>
      <c r="G187" s="38" t="s">
        <v>34</v>
      </c>
      <c r="H187" s="38"/>
      <c r="I187" s="38"/>
      <c r="J187" s="38"/>
      <c r="K187" s="38"/>
      <c r="L187" s="38"/>
      <c r="M187" s="71"/>
      <c r="N187" s="44" t="s">
        <v>31</v>
      </c>
      <c r="O187" s="44"/>
      <c r="P187" s="475"/>
      <c r="Q187" s="71"/>
      <c r="R187" s="71"/>
      <c r="S187" s="44">
        <v>0</v>
      </c>
      <c r="T187" s="38" t="s">
        <v>98</v>
      </c>
      <c r="U187" s="40"/>
      <c r="V187" s="40"/>
      <c r="W187" s="40" t="str" cm="1">
        <f t="array" ref="W187">IF(A187&lt;&gt;"",_xlfn.XLOOKUP(_xlfn.XLOOKUP(TRUE,F187:P187&lt;&gt;"",F187:P187,"-",-1,-1),F187:P187,$F$6:$P$6,,,-1),"")</f>
        <v>Add7</v>
      </c>
      <c r="X187" s="278"/>
      <c r="Y187" s="171"/>
      <c r="Z187" s="55">
        <v>100</v>
      </c>
      <c r="AA187" s="55" t="s">
        <v>826</v>
      </c>
      <c r="AB187" s="55" t="s">
        <v>827</v>
      </c>
      <c r="AC187" s="55" t="s">
        <v>828</v>
      </c>
      <c r="AD187" s="52"/>
      <c r="AE187" s="56"/>
      <c r="AF187" s="51"/>
      <c r="AG187" s="56"/>
      <c r="AH187" s="51"/>
      <c r="AI187" s="56"/>
      <c r="AJ187" s="51"/>
      <c r="AK187" s="56"/>
      <c r="AL187" s="51"/>
      <c r="AM187" s="37"/>
      <c r="AN187" s="37" t="s">
        <v>1054</v>
      </c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</row>
    <row r="188" spans="1:50" s="50" customFormat="1" ht="15" customHeight="1" outlineLevel="1">
      <c r="A188" s="37" t="str">
        <f t="shared" si="27"/>
        <v>18043-LM642 08562</v>
      </c>
      <c r="B188" s="38" t="s">
        <v>94</v>
      </c>
      <c r="C188" s="233"/>
      <c r="D188" s="38"/>
      <c r="E188" s="213" t="s">
        <v>1055</v>
      </c>
      <c r="F188" s="38"/>
      <c r="G188" s="38" t="s">
        <v>97</v>
      </c>
      <c r="H188" s="38"/>
      <c r="I188" s="38"/>
      <c r="J188" s="38"/>
      <c r="K188" s="38" t="s">
        <v>34</v>
      </c>
      <c r="L188" s="38"/>
      <c r="M188" s="71"/>
      <c r="N188" s="71"/>
      <c r="O188" s="71"/>
      <c r="P188" s="475"/>
      <c r="Q188" s="71"/>
      <c r="R188" s="71"/>
      <c r="S188" s="44">
        <v>0</v>
      </c>
      <c r="T188" s="38" t="s">
        <v>98</v>
      </c>
      <c r="U188" s="40"/>
      <c r="V188" s="40"/>
      <c r="W188" s="40" t="str" cm="1">
        <f t="array" ref="W188">IF(A188&lt;&gt;"",_xlfn.XLOOKUP(_xlfn.XLOOKUP(TRUE,F188:P188&lt;&gt;"",F188:P188,"-",-1,-1),F188:P188,$F$6:$P$6,,,-1),"")</f>
        <v>Add3</v>
      </c>
      <c r="X188" s="278"/>
      <c r="Y188" s="171"/>
      <c r="Z188" s="132"/>
      <c r="AA188" s="55" t="s">
        <v>826</v>
      </c>
      <c r="AB188" s="55" t="s">
        <v>827</v>
      </c>
      <c r="AC188" s="55" t="s">
        <v>828</v>
      </c>
      <c r="AD188" s="52"/>
      <c r="AE188" s="56"/>
      <c r="AF188" s="51"/>
      <c r="AG188" s="56"/>
      <c r="AH188" s="51"/>
      <c r="AI188" s="56"/>
      <c r="AJ188" s="51"/>
      <c r="AK188" s="56"/>
      <c r="AL188" s="51"/>
      <c r="AM188" s="37"/>
      <c r="AN188" s="37" t="s">
        <v>1056</v>
      </c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</row>
    <row r="189" spans="1:50" s="50" customFormat="1" ht="15" customHeight="1">
      <c r="A189" s="37" t="str">
        <f t="shared" si="27"/>
        <v>18043-LM642 09351</v>
      </c>
      <c r="B189" s="38" t="s">
        <v>94</v>
      </c>
      <c r="C189" s="233"/>
      <c r="D189" s="38"/>
      <c r="E189" s="213" t="s">
        <v>1057</v>
      </c>
      <c r="F189" s="38"/>
      <c r="G189" s="38"/>
      <c r="H189" s="38"/>
      <c r="I189" s="38" t="s">
        <v>97</v>
      </c>
      <c r="J189" s="38" t="s">
        <v>34</v>
      </c>
      <c r="K189" s="38"/>
      <c r="L189" s="38"/>
      <c r="M189" s="71"/>
      <c r="N189" s="71"/>
      <c r="O189" s="71"/>
      <c r="P189" s="475"/>
      <c r="Q189" s="71"/>
      <c r="R189" s="71"/>
      <c r="S189" s="44">
        <v>0</v>
      </c>
      <c r="T189" s="38" t="s">
        <v>1058</v>
      </c>
      <c r="U189" s="40"/>
      <c r="V189" s="40"/>
      <c r="W189" s="40" t="str" cm="1">
        <f t="array" ref="W189">IF(A189&lt;&gt;"",_xlfn.XLOOKUP(_xlfn.XLOOKUP(TRUE,F189:P189&lt;&gt;"",F189:P189,"-",-1,-1),F189:P189,$F$6:$P$6,,,-1),"")</f>
        <v>Add2</v>
      </c>
      <c r="X189" s="278"/>
      <c r="Y189" s="171"/>
      <c r="Z189" s="55" t="s">
        <v>117</v>
      </c>
      <c r="AA189" s="55" t="s">
        <v>826</v>
      </c>
      <c r="AB189" s="55" t="s">
        <v>827</v>
      </c>
      <c r="AC189" s="55" t="s">
        <v>828</v>
      </c>
      <c r="AD189" s="52"/>
      <c r="AE189" s="56"/>
      <c r="AF189" s="51"/>
      <c r="AG189" s="56"/>
      <c r="AH189" s="51"/>
      <c r="AI189" s="56"/>
      <c r="AJ189" s="51"/>
      <c r="AK189" s="56"/>
      <c r="AL189" s="51"/>
      <c r="AM189" s="37"/>
      <c r="AN189" s="37" t="s">
        <v>1059</v>
      </c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</row>
    <row r="190" spans="1:50" s="50" customFormat="1" ht="15" customHeight="1">
      <c r="A190" s="37" t="s">
        <v>1060</v>
      </c>
      <c r="B190" s="38" t="s">
        <v>94</v>
      </c>
      <c r="C190" s="233"/>
      <c r="D190" s="38"/>
      <c r="E190" s="213" t="s">
        <v>1061</v>
      </c>
      <c r="F190" s="38"/>
      <c r="G190" s="38"/>
      <c r="H190" s="38"/>
      <c r="I190" s="38" t="s">
        <v>97</v>
      </c>
      <c r="J190" s="38" t="s">
        <v>34</v>
      </c>
      <c r="K190" s="38"/>
      <c r="L190" s="38"/>
      <c r="M190" s="71"/>
      <c r="N190" s="71"/>
      <c r="O190" s="71"/>
      <c r="P190" s="475"/>
      <c r="Q190" s="71"/>
      <c r="R190" s="71"/>
      <c r="S190" s="44">
        <v>0</v>
      </c>
      <c r="T190" s="38" t="s">
        <v>1058</v>
      </c>
      <c r="U190" s="40"/>
      <c r="V190" s="40"/>
      <c r="W190" s="40" t="str" cm="1">
        <f t="array" ref="W190">IF(A190&lt;&gt;"",_xlfn.XLOOKUP(_xlfn.XLOOKUP(TRUE,F190:P190&lt;&gt;"",F190:P190,"-",-1,-1),F190:P190,$F$6:$P$6,,,-1),"")</f>
        <v>Add2</v>
      </c>
      <c r="X190" s="278"/>
      <c r="Y190" s="171"/>
      <c r="Z190" s="55" t="s">
        <v>117</v>
      </c>
      <c r="AA190" s="55" t="s">
        <v>826</v>
      </c>
      <c r="AB190" s="55" t="s">
        <v>827</v>
      </c>
      <c r="AC190" s="55" t="s">
        <v>828</v>
      </c>
      <c r="AD190" s="52"/>
      <c r="AE190" s="56"/>
      <c r="AF190" s="51"/>
      <c r="AG190" s="56"/>
      <c r="AH190" s="51"/>
      <c r="AI190" s="56"/>
      <c r="AJ190" s="51"/>
      <c r="AK190" s="56"/>
      <c r="AL190" s="51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</row>
    <row r="191" spans="1:50" s="50" customFormat="1" ht="15" customHeight="1" outlineLevel="1">
      <c r="A191" s="37"/>
      <c r="B191" s="38"/>
      <c r="C191" s="233"/>
      <c r="D191" s="38"/>
      <c r="E191" s="41"/>
      <c r="F191" s="38"/>
      <c r="G191" s="38"/>
      <c r="H191" s="38"/>
      <c r="I191" s="38"/>
      <c r="J191" s="38"/>
      <c r="K191" s="38"/>
      <c r="L191" s="38"/>
      <c r="M191" s="71"/>
      <c r="N191" s="71"/>
      <c r="O191" s="71"/>
      <c r="P191" s="475"/>
      <c r="Q191" s="71"/>
      <c r="R191" s="71"/>
      <c r="S191" s="44"/>
      <c r="T191" s="38"/>
      <c r="U191" s="40"/>
      <c r="V191" s="40"/>
      <c r="W191" s="40" t="str" cm="1">
        <f t="array" ref="W191">IF(A191&lt;&gt;"",_xlfn.XLOOKUP(_xlfn.XLOOKUP(TRUE,F191:P191&lt;&gt;"",F191:P191,"-",-1,-1),F191:P191,$F$6:$P$6,,,-1),"")</f>
        <v/>
      </c>
      <c r="X191" s="278"/>
      <c r="Y191" s="171"/>
      <c r="Z191" s="55"/>
      <c r="AA191" s="55"/>
      <c r="AB191" s="55"/>
      <c r="AC191" s="55"/>
      <c r="AD191" s="52"/>
      <c r="AE191" s="56"/>
      <c r="AF191" s="51"/>
      <c r="AG191" s="56"/>
      <c r="AH191" s="51"/>
      <c r="AI191" s="56"/>
      <c r="AJ191" s="51"/>
      <c r="AK191" s="56"/>
      <c r="AL191" s="51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</row>
    <row r="192" spans="1:50" s="50" customFormat="1" ht="15" customHeight="1" outlineLevel="1">
      <c r="A192" s="315" t="str">
        <f t="shared" ref="A192:A197" si="28">"18043-"&amp;LEFT(AN192,11)</f>
        <v>18043-LM643 08550</v>
      </c>
      <c r="B192" s="310" t="s">
        <v>94</v>
      </c>
      <c r="C192" s="270"/>
      <c r="D192" s="310"/>
      <c r="E192" s="359" t="s">
        <v>1062</v>
      </c>
      <c r="F192" s="310"/>
      <c r="G192" s="310"/>
      <c r="H192" s="310"/>
      <c r="I192" s="310"/>
      <c r="J192" s="310"/>
      <c r="K192" s="310"/>
      <c r="L192" s="310"/>
      <c r="M192" s="495"/>
      <c r="N192" s="495"/>
      <c r="O192" s="495"/>
      <c r="P192" s="495"/>
      <c r="Q192" s="495"/>
      <c r="R192" s="495"/>
      <c r="S192" s="497"/>
      <c r="T192" s="310" t="s">
        <v>98</v>
      </c>
      <c r="U192" s="40"/>
      <c r="V192" s="40"/>
      <c r="W192" s="40" t="str" cm="1">
        <f t="array" ref="W192">IF(A192&lt;&gt;"",_xlfn.XLOOKUP(_xlfn.XLOOKUP(TRUE,F192:P192&lt;&gt;"",F192:P192,"-",-1,-1),F192:P192,$F$6:$P$6,,,-1),"")</f>
        <v>Add8</v>
      </c>
      <c r="X192" s="278"/>
      <c r="Y192" s="171"/>
      <c r="Z192" s="55"/>
      <c r="AA192" s="55"/>
      <c r="AB192" s="55"/>
      <c r="AC192" s="55"/>
      <c r="AD192" s="52"/>
      <c r="AE192" s="56"/>
      <c r="AF192" s="51"/>
      <c r="AG192" s="56"/>
      <c r="AH192" s="51"/>
      <c r="AI192" s="56"/>
      <c r="AJ192" s="51"/>
      <c r="AK192" s="56"/>
      <c r="AL192" s="51"/>
      <c r="AM192" s="37"/>
      <c r="AN192" s="37" t="s">
        <v>1063</v>
      </c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</row>
    <row r="193" spans="1:50" s="50" customFormat="1" ht="15" customHeight="1" outlineLevel="1">
      <c r="A193" s="315" t="str">
        <f t="shared" si="28"/>
        <v>18043-LM643 08552</v>
      </c>
      <c r="B193" s="310" t="s">
        <v>94</v>
      </c>
      <c r="C193" s="270"/>
      <c r="D193" s="310"/>
      <c r="E193" s="359" t="str">
        <f t="shared" ref="E193:E196" si="29">MID(AN193,FIND(" ",AN193,15)+1,100)</f>
        <v>Building 643 Fluids Distribution Piping Layout Level +3.00 And Above</v>
      </c>
      <c r="F193" s="310"/>
      <c r="G193" s="310"/>
      <c r="H193" s="310"/>
      <c r="I193" s="310"/>
      <c r="J193" s="310"/>
      <c r="K193" s="310"/>
      <c r="L193" s="310"/>
      <c r="M193" s="495"/>
      <c r="N193" s="495"/>
      <c r="O193" s="495"/>
      <c r="P193" s="495"/>
      <c r="Q193" s="495"/>
      <c r="R193" s="495"/>
      <c r="S193" s="497"/>
      <c r="T193" s="310" t="s">
        <v>98</v>
      </c>
      <c r="U193" s="40"/>
      <c r="V193" s="40"/>
      <c r="W193" s="40" t="str" cm="1">
        <f t="array" ref="W193">IF(A193&lt;&gt;"",_xlfn.XLOOKUP(_xlfn.XLOOKUP(TRUE,F193:P193&lt;&gt;"",F193:P193,"-",-1,-1),F193:P193,$F$6:$P$6,,,-1),"")</f>
        <v>Add8</v>
      </c>
      <c r="X193" s="278"/>
      <c r="Y193" s="171"/>
      <c r="Z193" s="55"/>
      <c r="AA193" s="55"/>
      <c r="AB193" s="55"/>
      <c r="AC193" s="55"/>
      <c r="AD193" s="52"/>
      <c r="AE193" s="56"/>
      <c r="AF193" s="51"/>
      <c r="AG193" s="56"/>
      <c r="AH193" s="51"/>
      <c r="AI193" s="56"/>
      <c r="AJ193" s="51"/>
      <c r="AK193" s="56"/>
      <c r="AL193" s="51"/>
      <c r="AM193" s="37"/>
      <c r="AN193" s="37" t="s">
        <v>1064</v>
      </c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</row>
    <row r="194" spans="1:50" s="50" customFormat="1" ht="30" customHeight="1">
      <c r="A194" s="315" t="str">
        <f t="shared" si="28"/>
        <v>18043-LM643 08553</v>
      </c>
      <c r="B194" s="310" t="s">
        <v>94</v>
      </c>
      <c r="C194" s="270"/>
      <c r="D194" s="310"/>
      <c r="E194" s="359" t="str">
        <f t="shared" si="29"/>
        <v>Curing Lines Q, R, S &amp; T Fluids Distribution Sheet 1 of 2, Piping Layout Level +3.00 and Under</v>
      </c>
      <c r="F194" s="310"/>
      <c r="G194" s="310"/>
      <c r="H194" s="310"/>
      <c r="I194" s="310"/>
      <c r="J194" s="310"/>
      <c r="K194" s="310"/>
      <c r="L194" s="310"/>
      <c r="M194" s="495"/>
      <c r="N194" s="495"/>
      <c r="O194" s="495"/>
      <c r="P194" s="495"/>
      <c r="Q194" s="495"/>
      <c r="R194" s="495"/>
      <c r="S194" s="497"/>
      <c r="T194" s="310" t="s">
        <v>98</v>
      </c>
      <c r="U194" s="40"/>
      <c r="V194" s="40"/>
      <c r="W194" s="40" t="str" cm="1">
        <f t="array" ref="W194">IF(A194&lt;&gt;"",_xlfn.XLOOKUP(_xlfn.XLOOKUP(TRUE,F194:P194&lt;&gt;"",F194:P194,"-",-1,-1),F194:P194,$F$6:$P$6,,,-1),"")</f>
        <v>Add8</v>
      </c>
      <c r="X194" s="278"/>
      <c r="Y194" s="171"/>
      <c r="Z194" s="55"/>
      <c r="AA194" s="55"/>
      <c r="AB194" s="55"/>
      <c r="AC194" s="55"/>
      <c r="AD194" s="52"/>
      <c r="AE194" s="56"/>
      <c r="AF194" s="51"/>
      <c r="AG194" s="56"/>
      <c r="AH194" s="51"/>
      <c r="AI194" s="56"/>
      <c r="AJ194" s="51"/>
      <c r="AK194" s="56"/>
      <c r="AL194" s="51"/>
      <c r="AM194" s="37"/>
      <c r="AN194" s="37" t="s">
        <v>1065</v>
      </c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</row>
    <row r="195" spans="1:50" s="50" customFormat="1" ht="30" customHeight="1">
      <c r="A195" s="37" t="str">
        <f t="shared" si="28"/>
        <v>18043-LM643 08554</v>
      </c>
      <c r="B195" s="38" t="s">
        <v>94</v>
      </c>
      <c r="C195" s="233"/>
      <c r="D195" s="38"/>
      <c r="E195" s="213" t="str">
        <f t="shared" si="29"/>
        <v>Curing Lines Q, R, S &amp; T Fluids Distribution Sheet 2 of 2, Piping Layout Level +3.00 and Under</v>
      </c>
      <c r="F195" s="38"/>
      <c r="G195" s="38"/>
      <c r="H195" s="38"/>
      <c r="I195" s="38" t="s">
        <v>97</v>
      </c>
      <c r="J195" s="38"/>
      <c r="K195" s="38"/>
      <c r="L195" s="38"/>
      <c r="M195" s="71"/>
      <c r="N195" s="71"/>
      <c r="O195" s="71"/>
      <c r="P195" s="475"/>
      <c r="Q195" s="71"/>
      <c r="R195" s="71"/>
      <c r="S195" s="44">
        <v>0</v>
      </c>
      <c r="T195" s="38" t="s">
        <v>98</v>
      </c>
      <c r="U195" s="40"/>
      <c r="V195" s="40"/>
      <c r="W195" s="40" t="str" cm="1">
        <f t="array" ref="W195">IF(A195&lt;&gt;"",_xlfn.XLOOKUP(_xlfn.XLOOKUP(TRUE,F195:P195&lt;&gt;"",F195:P195,"-",-1,-1),F195:P195,$F$6:$P$6,,,-1),"")</f>
        <v>Add1</v>
      </c>
      <c r="X195" s="278"/>
      <c r="Y195" s="171"/>
      <c r="Z195" s="55">
        <v>100</v>
      </c>
      <c r="AA195" s="55" t="s">
        <v>826</v>
      </c>
      <c r="AB195" s="55" t="s">
        <v>827</v>
      </c>
      <c r="AC195" s="55" t="s">
        <v>828</v>
      </c>
      <c r="AD195" s="52"/>
      <c r="AE195" s="56"/>
      <c r="AF195" s="51"/>
      <c r="AG195" s="56"/>
      <c r="AH195" s="51"/>
      <c r="AI195" s="56"/>
      <c r="AJ195" s="51"/>
      <c r="AK195" s="56"/>
      <c r="AL195" s="51"/>
      <c r="AM195" s="37"/>
      <c r="AN195" s="37" t="s">
        <v>1066</v>
      </c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</row>
    <row r="196" spans="1:50" s="50" customFormat="1" ht="15" customHeight="1" outlineLevel="1">
      <c r="A196" s="315" t="str">
        <f t="shared" si="28"/>
        <v>18043-LM643 08555</v>
      </c>
      <c r="B196" s="310" t="s">
        <v>94</v>
      </c>
      <c r="C196" s="270"/>
      <c r="D196" s="310"/>
      <c r="E196" s="359" t="str">
        <f t="shared" si="29"/>
        <v>Curing Lines Q, R, S &amp; T Fluids Distribution, Piping Layout Sections +3.00 and Under</v>
      </c>
      <c r="F196" s="310"/>
      <c r="G196" s="310"/>
      <c r="H196" s="310"/>
      <c r="I196" s="310"/>
      <c r="J196" s="310"/>
      <c r="K196" s="310"/>
      <c r="L196" s="310"/>
      <c r="M196" s="495"/>
      <c r="N196" s="495"/>
      <c r="O196" s="495"/>
      <c r="P196" s="495"/>
      <c r="Q196" s="495"/>
      <c r="R196" s="495"/>
      <c r="S196" s="497"/>
      <c r="T196" s="310" t="s">
        <v>98</v>
      </c>
      <c r="U196" s="40"/>
      <c r="V196" s="40"/>
      <c r="W196" s="40" t="str" cm="1">
        <f t="array" ref="W196">IF(A196&lt;&gt;"",_xlfn.XLOOKUP(_xlfn.XLOOKUP(TRUE,F196:P196&lt;&gt;"",F196:P196,"-",-1,-1),F196:P196,$F$6:$P$6,,,-1),"")</f>
        <v>Add8</v>
      </c>
      <c r="X196" s="278"/>
      <c r="Y196" s="171"/>
      <c r="Z196" s="55"/>
      <c r="AA196" s="55"/>
      <c r="AB196" s="55"/>
      <c r="AC196" s="55"/>
      <c r="AD196" s="52"/>
      <c r="AE196" s="56"/>
      <c r="AF196" s="51"/>
      <c r="AG196" s="56"/>
      <c r="AH196" s="51"/>
      <c r="AI196" s="56"/>
      <c r="AJ196" s="51"/>
      <c r="AK196" s="56"/>
      <c r="AL196" s="51"/>
      <c r="AM196" s="37"/>
      <c r="AN196" s="37" t="s">
        <v>1067</v>
      </c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</row>
    <row r="197" spans="1:50" s="50" customFormat="1" ht="15" customHeight="1">
      <c r="A197" s="315" t="str">
        <f t="shared" si="28"/>
        <v>18043-LM643 08556</v>
      </c>
      <c r="B197" s="310" t="s">
        <v>94</v>
      </c>
      <c r="C197" s="270"/>
      <c r="D197" s="310"/>
      <c r="E197" s="359" t="s">
        <v>1068</v>
      </c>
      <c r="F197" s="310"/>
      <c r="G197" s="310"/>
      <c r="H197" s="310"/>
      <c r="I197" s="310"/>
      <c r="J197" s="310"/>
      <c r="K197" s="310"/>
      <c r="L197" s="310"/>
      <c r="M197" s="495"/>
      <c r="N197" s="495"/>
      <c r="O197" s="495"/>
      <c r="P197" s="495"/>
      <c r="Q197" s="495"/>
      <c r="R197" s="495"/>
      <c r="S197" s="497"/>
      <c r="T197" s="310" t="s">
        <v>98</v>
      </c>
      <c r="U197" s="40"/>
      <c r="V197" s="40"/>
      <c r="W197" s="40" t="str" cm="1">
        <f t="array" ref="W197">IF(A197&lt;&gt;"",_xlfn.XLOOKUP(_xlfn.XLOOKUP(TRUE,F197:P197&lt;&gt;"",F197:P197,"-",-1,-1),F197:P197,$F$6:$P$6,,,-1),"")</f>
        <v>Add8</v>
      </c>
      <c r="X197" s="278"/>
      <c r="Y197" s="171"/>
      <c r="Z197" s="55"/>
      <c r="AA197" s="55"/>
      <c r="AB197" s="55"/>
      <c r="AC197" s="55"/>
      <c r="AD197" s="52"/>
      <c r="AE197" s="56"/>
      <c r="AF197" s="51"/>
      <c r="AG197" s="56"/>
      <c r="AH197" s="51"/>
      <c r="AI197" s="56"/>
      <c r="AJ197" s="51"/>
      <c r="AK197" s="56"/>
      <c r="AL197" s="51"/>
      <c r="AM197" s="37"/>
      <c r="AN197" s="37" t="s">
        <v>1069</v>
      </c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</row>
    <row r="198" spans="1:50" s="50" customFormat="1" ht="15" customHeight="1" outlineLevel="1">
      <c r="A198" s="41"/>
      <c r="B198" s="38"/>
      <c r="C198" s="233"/>
      <c r="D198" s="38"/>
      <c r="E198" s="41"/>
      <c r="F198" s="38"/>
      <c r="G198" s="38"/>
      <c r="H198" s="38"/>
      <c r="I198" s="38"/>
      <c r="J198" s="38"/>
      <c r="K198" s="38"/>
      <c r="L198" s="38"/>
      <c r="M198" s="71"/>
      <c r="N198" s="71"/>
      <c r="O198" s="71"/>
      <c r="P198" s="475"/>
      <c r="Q198" s="71"/>
      <c r="R198" s="71"/>
      <c r="S198" s="44"/>
      <c r="T198" s="38"/>
      <c r="U198" s="40"/>
      <c r="V198" s="40"/>
      <c r="W198" s="40" t="str" cm="1">
        <f t="array" ref="W198">IF(A198&lt;&gt;"",_xlfn.XLOOKUP(_xlfn.XLOOKUP(TRUE,F198:P198&lt;&gt;"",F198:P198,"-",-1,-1),F198:P198,$F$6:$P$6,,,-1),"")</f>
        <v/>
      </c>
      <c r="X198" s="278"/>
      <c r="Y198" s="171"/>
      <c r="Z198" s="55"/>
      <c r="AA198" s="55"/>
      <c r="AB198" s="55"/>
      <c r="AC198" s="55"/>
      <c r="AD198" s="52"/>
      <c r="AE198" s="56"/>
      <c r="AF198" s="51"/>
      <c r="AG198" s="56"/>
      <c r="AH198" s="51"/>
      <c r="AI198" s="56"/>
      <c r="AJ198" s="51"/>
      <c r="AK198" s="56"/>
      <c r="AL198" s="51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</row>
    <row r="199" spans="1:50" s="50" customFormat="1" ht="15" customHeight="1" outlineLevel="1">
      <c r="A199" s="37" t="s">
        <v>1070</v>
      </c>
      <c r="B199" s="38" t="s">
        <v>94</v>
      </c>
      <c r="C199" s="233"/>
      <c r="D199" s="38"/>
      <c r="E199" s="213" t="s">
        <v>928</v>
      </c>
      <c r="F199" s="38"/>
      <c r="G199" s="38"/>
      <c r="H199" s="38"/>
      <c r="I199" s="38" t="s">
        <v>97</v>
      </c>
      <c r="J199" s="38"/>
      <c r="K199" s="38" t="s">
        <v>34</v>
      </c>
      <c r="L199" s="38" t="s">
        <v>31</v>
      </c>
      <c r="M199" s="71"/>
      <c r="N199" s="71"/>
      <c r="O199" s="71"/>
      <c r="P199" s="475"/>
      <c r="Q199" s="71"/>
      <c r="R199" s="71"/>
      <c r="S199" s="44">
        <v>0</v>
      </c>
      <c r="T199" s="38" t="s">
        <v>98</v>
      </c>
      <c r="U199" s="40"/>
      <c r="V199" s="40"/>
      <c r="W199" s="40" t="str" cm="1">
        <f t="array" ref="W199">IF(A199&lt;&gt;"",_xlfn.XLOOKUP(_xlfn.XLOOKUP(TRUE,F199:P199&lt;&gt;"",F199:P199,"-",-1,-1),F199:P199,$F$6:$P$6,,,-1),"")</f>
        <v>Add5</v>
      </c>
      <c r="X199" s="278"/>
      <c r="Y199" s="171"/>
      <c r="Z199" s="55" t="s">
        <v>117</v>
      </c>
      <c r="AA199" s="55" t="s">
        <v>826</v>
      </c>
      <c r="AB199" s="55" t="s">
        <v>827</v>
      </c>
      <c r="AC199" s="55" t="s">
        <v>828</v>
      </c>
      <c r="AD199" s="52"/>
      <c r="AE199" s="56"/>
      <c r="AF199" s="51"/>
      <c r="AG199" s="56"/>
      <c r="AH199" s="51"/>
      <c r="AI199" s="56"/>
      <c r="AJ199" s="51"/>
      <c r="AK199" s="56"/>
      <c r="AL199" s="51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</row>
    <row r="200" spans="1:50" s="50" customFormat="1" ht="15" customHeight="1" outlineLevel="1">
      <c r="A200" s="41"/>
      <c r="B200" s="38"/>
      <c r="C200" s="233"/>
      <c r="D200" s="38"/>
      <c r="E200" s="41"/>
      <c r="F200" s="38"/>
      <c r="G200" s="38"/>
      <c r="H200" s="38"/>
      <c r="I200" s="38"/>
      <c r="J200" s="38"/>
      <c r="K200" s="38"/>
      <c r="L200" s="38"/>
      <c r="M200" s="71"/>
      <c r="N200" s="71"/>
      <c r="O200" s="71"/>
      <c r="P200" s="475"/>
      <c r="Q200" s="71"/>
      <c r="R200" s="71"/>
      <c r="S200" s="44"/>
      <c r="T200" s="38"/>
      <c r="U200" s="40"/>
      <c r="V200" s="40"/>
      <c r="W200" s="40" t="str" cm="1">
        <f t="array" ref="W200">IF(A200&lt;&gt;"",_xlfn.XLOOKUP(_xlfn.XLOOKUP(TRUE,F200:P200&lt;&gt;"",F200:P200,"-",-1,-1),F200:P200,$F$6:$P$6,,,-1),"")</f>
        <v/>
      </c>
      <c r="X200" s="278"/>
      <c r="Y200" s="171"/>
      <c r="Z200" s="55"/>
      <c r="AA200" s="55"/>
      <c r="AB200" s="55"/>
      <c r="AC200" s="55"/>
      <c r="AD200" s="52"/>
      <c r="AE200" s="56"/>
      <c r="AF200" s="51"/>
      <c r="AG200" s="56"/>
      <c r="AH200" s="51"/>
      <c r="AI200" s="56"/>
      <c r="AJ200" s="51"/>
      <c r="AK200" s="56"/>
      <c r="AL200" s="51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</row>
    <row r="201" spans="1:50" s="50" customFormat="1" ht="15" customHeight="1" outlineLevel="1">
      <c r="A201" s="37" t="s">
        <v>1071</v>
      </c>
      <c r="B201" s="38" t="s">
        <v>94</v>
      </c>
      <c r="C201" s="41"/>
      <c r="D201" s="38"/>
      <c r="E201" s="41" t="s">
        <v>1072</v>
      </c>
      <c r="F201" s="38"/>
      <c r="G201" s="38"/>
      <c r="H201" s="38"/>
      <c r="I201" s="38"/>
      <c r="J201" s="38"/>
      <c r="K201" s="38" t="s">
        <v>97</v>
      </c>
      <c r="L201" s="38"/>
      <c r="M201" s="71"/>
      <c r="N201" s="71"/>
      <c r="O201" s="71"/>
      <c r="P201" s="475"/>
      <c r="Q201" s="71"/>
      <c r="R201" s="71"/>
      <c r="S201" s="44">
        <v>0</v>
      </c>
      <c r="T201" s="38" t="s">
        <v>98</v>
      </c>
      <c r="U201" s="40"/>
      <c r="V201" s="40"/>
      <c r="W201" s="40" t="str" cm="1">
        <f t="array" ref="W201">IF(A201&lt;&gt;"",_xlfn.XLOOKUP(_xlfn.XLOOKUP(TRUE,F201:P201&lt;&gt;"",F201:P201,"-",-1,-1),F201:P201,$F$6:$P$6,,,-1),"")</f>
        <v>Add3</v>
      </c>
      <c r="X201" s="278"/>
      <c r="Y201" s="171"/>
      <c r="Z201" s="55">
        <v>100</v>
      </c>
      <c r="AA201" s="55" t="s">
        <v>826</v>
      </c>
      <c r="AB201" s="55" t="s">
        <v>827</v>
      </c>
      <c r="AC201" s="55" t="s">
        <v>828</v>
      </c>
      <c r="AD201" s="52"/>
      <c r="AE201" s="56"/>
      <c r="AF201" s="51"/>
      <c r="AG201" s="56"/>
      <c r="AH201" s="51"/>
      <c r="AI201" s="56"/>
      <c r="AJ201" s="51"/>
      <c r="AK201" s="56"/>
      <c r="AL201" s="51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</row>
    <row r="202" spans="1:50" s="50" customFormat="1" ht="15" customHeight="1" outlineLevel="1">
      <c r="A202" s="37"/>
      <c r="B202" s="236"/>
      <c r="C202" s="37"/>
      <c r="D202" s="38"/>
      <c r="E202" s="41"/>
      <c r="F202" s="38"/>
      <c r="G202" s="38"/>
      <c r="H202" s="38"/>
      <c r="I202" s="38"/>
      <c r="J202" s="38"/>
      <c r="K202" s="38"/>
      <c r="L202" s="38"/>
      <c r="M202" s="71"/>
      <c r="N202" s="71"/>
      <c r="O202" s="71"/>
      <c r="P202" s="475"/>
      <c r="Q202" s="71"/>
      <c r="R202" s="71"/>
      <c r="S202" s="44"/>
      <c r="T202" s="38"/>
      <c r="U202" s="40"/>
      <c r="V202" s="40"/>
      <c r="W202" s="40"/>
      <c r="X202" s="278"/>
      <c r="Y202" s="171"/>
      <c r="Z202" s="55"/>
      <c r="AA202" s="55"/>
      <c r="AB202" s="55"/>
      <c r="AC202" s="55"/>
      <c r="AD202" s="52"/>
      <c r="AE202" s="56"/>
      <c r="AF202" s="51"/>
      <c r="AG202" s="56"/>
      <c r="AH202" s="51"/>
      <c r="AI202" s="56"/>
      <c r="AJ202" s="51"/>
      <c r="AK202" s="56"/>
      <c r="AL202" s="51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</row>
    <row r="203" spans="1:50" s="50" customFormat="1" ht="15" customHeight="1" outlineLevel="1">
      <c r="A203" s="43"/>
      <c r="B203" s="38"/>
      <c r="C203" s="43"/>
      <c r="D203" s="38"/>
      <c r="E203" s="42"/>
      <c r="F203" s="38"/>
      <c r="G203" s="38"/>
      <c r="H203" s="38"/>
      <c r="I203" s="38"/>
      <c r="J203" s="38"/>
      <c r="K203" s="38"/>
      <c r="L203" s="38"/>
      <c r="M203" s="71"/>
      <c r="N203" s="71"/>
      <c r="O203" s="71"/>
      <c r="P203" s="475"/>
      <c r="Q203" s="71"/>
      <c r="R203" s="71"/>
      <c r="S203" s="44"/>
      <c r="T203" s="38"/>
      <c r="U203" s="40"/>
      <c r="V203" s="40"/>
      <c r="W203" s="40"/>
      <c r="X203" s="278"/>
      <c r="Y203" s="171"/>
      <c r="Z203" s="55"/>
      <c r="AA203" s="55"/>
      <c r="AB203" s="55"/>
      <c r="AC203" s="55"/>
      <c r="AD203" s="52"/>
      <c r="AE203" s="56"/>
      <c r="AF203" s="51"/>
      <c r="AG203" s="56"/>
      <c r="AH203" s="51"/>
      <c r="AI203" s="56"/>
      <c r="AJ203" s="51"/>
      <c r="AK203" s="56"/>
      <c r="AL203" s="51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</row>
    <row r="204" spans="1:50" s="50" customFormat="1" ht="15" customHeight="1" thickBot="1">
      <c r="A204" s="41"/>
      <c r="B204" s="38"/>
      <c r="C204" s="43"/>
      <c r="D204" s="38"/>
      <c r="E204" s="43" t="str">
        <f>"SUB-TOTAL "&amp;UPPER(A179)&amp;" DRAWINGS"</f>
        <v>SUB-TOTAL HOT WATER IMPROVEMENT (B642) DRAWINGS</v>
      </c>
      <c r="F204" s="133">
        <f t="shared" ref="F204:K204" si="30">COUNTA(F180:F203)</f>
        <v>5</v>
      </c>
      <c r="G204" s="133">
        <f t="shared" si="30"/>
        <v>7</v>
      </c>
      <c r="H204" s="133">
        <f t="shared" si="30"/>
        <v>0</v>
      </c>
      <c r="I204" s="133">
        <f t="shared" si="30"/>
        <v>5</v>
      </c>
      <c r="J204" s="133">
        <f t="shared" si="30"/>
        <v>5</v>
      </c>
      <c r="K204" s="133">
        <f t="shared" si="30"/>
        <v>6</v>
      </c>
      <c r="L204" s="133">
        <f>COUNTA(L180:L203)</f>
        <v>2</v>
      </c>
      <c r="M204" s="133">
        <f t="shared" ref="M204:S204" si="31">COUNTA(M180:M203)</f>
        <v>0</v>
      </c>
      <c r="N204" s="133">
        <f t="shared" si="31"/>
        <v>2</v>
      </c>
      <c r="O204" s="133"/>
      <c r="P204" s="473">
        <f>COUNTA(P180:P203)</f>
        <v>0</v>
      </c>
      <c r="Q204" s="133">
        <f t="shared" ref="Q204" si="32">COUNTA(Q180:Q203)</f>
        <v>0</v>
      </c>
      <c r="R204" s="133">
        <f t="shared" si="31"/>
        <v>2</v>
      </c>
      <c r="S204" s="133">
        <f t="shared" si="31"/>
        <v>12</v>
      </c>
      <c r="T204"/>
      <c r="U204" s="36"/>
      <c r="V204" s="36"/>
      <c r="W204" s="36"/>
      <c r="X204" s="275"/>
      <c r="Y204" s="172"/>
      <c r="Z204" s="55"/>
      <c r="AA204" s="55"/>
      <c r="AB204" s="55"/>
      <c r="AC204" s="55"/>
      <c r="AD204" s="52"/>
      <c r="AE204" s="56"/>
      <c r="AF204" s="51"/>
      <c r="AG204" s="56"/>
      <c r="AH204" s="51"/>
      <c r="AI204" s="56"/>
      <c r="AJ204" s="51"/>
      <c r="AK204" s="56"/>
      <c r="AL204" s="51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</row>
    <row r="205" spans="1:50" s="77" customFormat="1" ht="15" thickTop="1">
      <c r="A205" s="33"/>
      <c r="B205" s="38"/>
      <c r="C205" s="41"/>
      <c r="D205" s="36"/>
      <c r="E205" s="78"/>
      <c r="F205" s="36"/>
      <c r="G205" s="36"/>
      <c r="H205" s="36"/>
      <c r="I205" s="36"/>
      <c r="J205" s="36"/>
      <c r="K205" s="36"/>
      <c r="L205" s="36"/>
      <c r="M205" s="71"/>
      <c r="N205" s="71"/>
      <c r="O205" s="71"/>
      <c r="P205" s="475"/>
      <c r="Q205" s="71"/>
      <c r="R205" s="71"/>
      <c r="S205" s="44"/>
      <c r="T205" s="36"/>
      <c r="U205" s="36"/>
      <c r="V205" s="36"/>
      <c r="W205" s="36"/>
      <c r="X205" s="275"/>
      <c r="Y205" s="63"/>
      <c r="Z205" s="64"/>
      <c r="AA205" s="65"/>
      <c r="AB205" s="65"/>
      <c r="AC205" s="65"/>
      <c r="AD205" s="65"/>
      <c r="AE205" s="65"/>
      <c r="AF205" s="65"/>
      <c r="AG205" s="56"/>
      <c r="AH205" s="65"/>
      <c r="AI205" s="65"/>
      <c r="AJ205" s="65"/>
      <c r="AK205" s="65"/>
      <c r="AL205" s="65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</row>
    <row r="206" spans="1:50" s="243" customFormat="1" ht="15" customHeight="1">
      <c r="A206" s="32" t="s">
        <v>1073</v>
      </c>
      <c r="B206" s="235"/>
      <c r="C206" s="32"/>
      <c r="D206" s="11"/>
      <c r="E206" s="25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472"/>
      <c r="Q206" s="11"/>
      <c r="R206" s="11"/>
      <c r="S206" s="11"/>
      <c r="T206" s="11"/>
      <c r="U206" s="11"/>
      <c r="V206" s="11"/>
      <c r="W206" s="11"/>
      <c r="X206" s="277"/>
      <c r="Y206" s="170"/>
      <c r="Z206" s="53"/>
      <c r="AA206" s="53"/>
      <c r="AB206" s="53"/>
      <c r="AC206" s="53"/>
      <c r="AD206" s="54"/>
      <c r="AE206" s="79"/>
      <c r="AF206" s="51"/>
      <c r="AG206" s="79"/>
      <c r="AH206" s="51"/>
      <c r="AI206" s="51"/>
      <c r="AJ206" s="51"/>
      <c r="AK206" s="51"/>
      <c r="AL206" s="51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</row>
    <row r="207" spans="1:50" s="243" customFormat="1" ht="14.25" customHeight="1">
      <c r="A207" s="37"/>
      <c r="B207" s="38"/>
      <c r="C207" s="233"/>
      <c r="D207" s="38"/>
      <c r="E207" s="252"/>
      <c r="F207" s="38"/>
      <c r="G207" s="38"/>
      <c r="H207" s="38"/>
      <c r="I207" s="38"/>
      <c r="J207" s="38"/>
      <c r="K207" s="38"/>
      <c r="L207" s="38"/>
      <c r="M207" s="71"/>
      <c r="N207" s="71"/>
      <c r="O207" s="71"/>
      <c r="P207" s="475"/>
      <c r="Q207" s="71"/>
      <c r="R207" s="71"/>
      <c r="S207" s="44"/>
      <c r="T207" s="38"/>
      <c r="U207" s="38"/>
      <c r="V207" s="38"/>
      <c r="W207" s="38"/>
      <c r="X207" s="233"/>
      <c r="Y207" s="171"/>
      <c r="Z207" s="55"/>
      <c r="AA207" s="55"/>
      <c r="AB207" s="55"/>
      <c r="AC207" s="55"/>
      <c r="AD207" s="52"/>
      <c r="AE207" s="56"/>
      <c r="AF207" s="51"/>
      <c r="AG207" s="56"/>
      <c r="AH207" s="51"/>
      <c r="AI207" s="56"/>
      <c r="AJ207" s="51"/>
      <c r="AK207" s="56"/>
      <c r="AL207" s="51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</row>
    <row r="208" spans="1:50" s="243" customFormat="1" ht="14.25" customHeight="1" outlineLevel="1">
      <c r="A208" s="37" t="str">
        <f>"18043-"&amp;LEFT(AN208,13)</f>
        <v>18043-LM121-2 08301</v>
      </c>
      <c r="B208" s="38" t="s">
        <v>94</v>
      </c>
      <c r="C208" s="233"/>
      <c r="D208" s="38"/>
      <c r="E208" s="213" t="str">
        <f>MID(AN208,FIND(" ",AN208,15)+1,100)</f>
        <v xml:space="preserve">HVAC System - 2nd, 3rd Floor Plans &amp; Sections </v>
      </c>
      <c r="F208" s="38" t="s">
        <v>97</v>
      </c>
      <c r="G208" s="38" t="s">
        <v>34</v>
      </c>
      <c r="H208" s="38"/>
      <c r="I208" s="38"/>
      <c r="J208" s="38" t="s">
        <v>31</v>
      </c>
      <c r="K208" s="38" t="s">
        <v>116</v>
      </c>
      <c r="L208" s="38"/>
      <c r="M208" s="71"/>
      <c r="N208" s="71"/>
      <c r="O208" s="71"/>
      <c r="P208" s="475"/>
      <c r="Q208" s="71"/>
      <c r="R208" s="71"/>
      <c r="S208" s="44">
        <v>0</v>
      </c>
      <c r="T208" s="38" t="s">
        <v>98</v>
      </c>
      <c r="U208" s="38"/>
      <c r="V208" s="309"/>
      <c r="W208" s="40" t="str" cm="1">
        <f t="array" ref="W208">IF(A208&lt;&gt;"",_xlfn.XLOOKUP(_xlfn.XLOOKUP(TRUE,F208:P208&lt;&gt;"",F208:P208,"-",-1,-1),F208:P208,$F$6:$P$6,,,-1),"")</f>
        <v>Add3</v>
      </c>
      <c r="X208" s="233"/>
      <c r="Y208" s="171"/>
      <c r="Z208" s="141"/>
      <c r="AA208" s="55" t="s">
        <v>826</v>
      </c>
      <c r="AB208" s="55" t="s">
        <v>855</v>
      </c>
      <c r="AC208" s="55" t="s">
        <v>828</v>
      </c>
      <c r="AD208" s="52"/>
      <c r="AE208" s="56"/>
      <c r="AF208" s="51"/>
      <c r="AG208" s="56"/>
      <c r="AH208" s="51"/>
      <c r="AI208" s="56"/>
      <c r="AJ208" s="51"/>
      <c r="AK208" s="56"/>
      <c r="AL208" s="51"/>
      <c r="AM208" s="37"/>
      <c r="AN208" s="37" t="s">
        <v>1074</v>
      </c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</row>
    <row r="209" spans="1:50" s="243" customFormat="1" ht="14.25" customHeight="1" outlineLevel="1">
      <c r="A209" s="37" t="s">
        <v>1075</v>
      </c>
      <c r="B209" s="38" t="s">
        <v>94</v>
      </c>
      <c r="C209" s="233"/>
      <c r="D209" s="38"/>
      <c r="E209" s="213" t="s">
        <v>1076</v>
      </c>
      <c r="F209" s="38"/>
      <c r="G209" s="38"/>
      <c r="H209" s="38"/>
      <c r="I209" s="38" t="s">
        <v>97</v>
      </c>
      <c r="J209" s="38" t="s">
        <v>34</v>
      </c>
      <c r="K209" s="38"/>
      <c r="L209" s="38"/>
      <c r="M209" s="71"/>
      <c r="N209" s="71"/>
      <c r="O209" s="71"/>
      <c r="P209" s="475"/>
      <c r="Q209" s="71"/>
      <c r="R209" s="71"/>
      <c r="S209" s="44">
        <v>0</v>
      </c>
      <c r="T209" s="38" t="s">
        <v>98</v>
      </c>
      <c r="U209" s="38"/>
      <c r="V209" s="38"/>
      <c r="W209" s="40" t="str" cm="1">
        <f t="array" ref="W209">IF(A209&lt;&gt;"",_xlfn.XLOOKUP(_xlfn.XLOOKUP(TRUE,F209:P209&lt;&gt;"",F209:P209,"-",-1,-1),F209:P209,$F$6:$P$6,,,-1),"")</f>
        <v>Add2</v>
      </c>
      <c r="X209" s="233"/>
      <c r="Y209" s="171"/>
      <c r="Z209" s="141"/>
      <c r="AA209" s="55" t="s">
        <v>826</v>
      </c>
      <c r="AB209" s="55" t="s">
        <v>827</v>
      </c>
      <c r="AC209" s="55" t="s">
        <v>828</v>
      </c>
      <c r="AD209" s="52"/>
      <c r="AE209" s="56"/>
      <c r="AF209" s="51"/>
      <c r="AG209" s="56"/>
      <c r="AH209" s="51"/>
      <c r="AI209" s="56"/>
      <c r="AJ209" s="51"/>
      <c r="AK209" s="56"/>
      <c r="AL209" s="51"/>
      <c r="AM209" s="37"/>
      <c r="AN209" s="37" t="s">
        <v>1074</v>
      </c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</row>
    <row r="210" spans="1:50" s="243" customFormat="1" ht="14.25" customHeight="1" outlineLevel="1">
      <c r="A210" s="37" t="s">
        <v>1077</v>
      </c>
      <c r="B210" s="38" t="s">
        <v>94</v>
      </c>
      <c r="C210" s="233"/>
      <c r="D210" s="38"/>
      <c r="E210" s="213" t="s">
        <v>928</v>
      </c>
      <c r="F210" s="38"/>
      <c r="G210" s="38"/>
      <c r="H210" s="38"/>
      <c r="I210" s="38" t="s">
        <v>97</v>
      </c>
      <c r="J210" s="38" t="s">
        <v>34</v>
      </c>
      <c r="K210" s="38"/>
      <c r="L210" s="38"/>
      <c r="M210" s="71"/>
      <c r="N210" s="71"/>
      <c r="O210" s="71"/>
      <c r="P210" s="475"/>
      <c r="Q210" s="71"/>
      <c r="R210" s="71"/>
      <c r="S210" s="44">
        <v>0</v>
      </c>
      <c r="T210" s="38" t="s">
        <v>98</v>
      </c>
      <c r="U210" s="38"/>
      <c r="V210" s="38"/>
      <c r="W210" s="40" t="str" cm="1">
        <f t="array" ref="W210">IF(A210&lt;&gt;"",_xlfn.XLOOKUP(_xlfn.XLOOKUP(TRUE,F210:P210&lt;&gt;"",F210:P210,"-",-1,-1),F210:P210,$F$6:$P$6,,,-1),"")</f>
        <v>Add2</v>
      </c>
      <c r="X210" s="233"/>
      <c r="Y210" s="171"/>
      <c r="Z210" s="141"/>
      <c r="AA210" s="55"/>
      <c r="AB210" s="55"/>
      <c r="AC210" s="55"/>
      <c r="AD210" s="52"/>
      <c r="AE210" s="56"/>
      <c r="AF210" s="51"/>
      <c r="AG210" s="56"/>
      <c r="AH210" s="51"/>
      <c r="AI210" s="56"/>
      <c r="AJ210" s="51"/>
      <c r="AK210" s="56"/>
      <c r="AL210" s="51"/>
      <c r="AM210" s="37"/>
      <c r="AN210" s="37" t="s">
        <v>1074</v>
      </c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</row>
    <row r="211" spans="1:50" s="243" customFormat="1" ht="14.25" customHeight="1" outlineLevel="1">
      <c r="A211" s="43"/>
      <c r="B211" s="38"/>
      <c r="C211" s="233"/>
      <c r="D211" s="38"/>
      <c r="E211" s="241"/>
      <c r="F211" s="38"/>
      <c r="G211" s="38"/>
      <c r="H211" s="38"/>
      <c r="I211" s="38"/>
      <c r="J211" s="38"/>
      <c r="K211" s="38"/>
      <c r="L211" s="38"/>
      <c r="M211" s="71"/>
      <c r="N211" s="71"/>
      <c r="O211" s="71"/>
      <c r="P211" s="475"/>
      <c r="Q211" s="71"/>
      <c r="R211" s="71"/>
      <c r="S211" s="44"/>
      <c r="T211" s="38"/>
      <c r="U211" s="38"/>
      <c r="V211" s="38"/>
      <c r="W211" s="38"/>
      <c r="X211" s="233"/>
      <c r="Y211" s="171"/>
      <c r="Z211" s="55"/>
      <c r="AA211" s="55"/>
      <c r="AB211" s="55"/>
      <c r="AC211" s="55"/>
      <c r="AD211" s="52"/>
      <c r="AE211" s="56"/>
      <c r="AF211" s="51"/>
      <c r="AG211" s="56"/>
      <c r="AH211" s="51"/>
      <c r="AI211" s="56"/>
      <c r="AJ211" s="51"/>
      <c r="AK211" s="56"/>
      <c r="AL211" s="51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</row>
    <row r="212" spans="1:50" s="243" customFormat="1" ht="14.25" customHeight="1" thickBot="1">
      <c r="A212" s="41"/>
      <c r="B212" s="38"/>
      <c r="C212" s="233"/>
      <c r="D212" s="38"/>
      <c r="E212" s="43" t="str">
        <f>"SUB-TOTAL "&amp;UPPER(A206)&amp;" DRAWINGS"</f>
        <v>SUB-TOTAL MAIN SUBSTATION (B121-2) DRAWINGS</v>
      </c>
      <c r="F212" s="133">
        <f t="shared" ref="F212:K212" si="33">COUNTA(F207:F211)</f>
        <v>1</v>
      </c>
      <c r="G212" s="133">
        <f t="shared" si="33"/>
        <v>1</v>
      </c>
      <c r="H212" s="133">
        <f t="shared" si="33"/>
        <v>0</v>
      </c>
      <c r="I212" s="133">
        <f t="shared" si="33"/>
        <v>2</v>
      </c>
      <c r="J212" s="133">
        <f t="shared" si="33"/>
        <v>3</v>
      </c>
      <c r="K212" s="133">
        <f t="shared" si="33"/>
        <v>1</v>
      </c>
      <c r="L212" s="133">
        <f>COUNTA(L207:L211)</f>
        <v>0</v>
      </c>
      <c r="M212" s="133">
        <f t="shared" ref="M212:S212" si="34">COUNTA(M207:M211)</f>
        <v>0</v>
      </c>
      <c r="N212" s="133">
        <f t="shared" si="34"/>
        <v>0</v>
      </c>
      <c r="O212" s="133"/>
      <c r="P212" s="473">
        <f>COUNTA(P207:P211)</f>
        <v>0</v>
      </c>
      <c r="Q212" s="133">
        <f t="shared" ref="Q212" si="35">COUNTA(Q207:Q211)</f>
        <v>0</v>
      </c>
      <c r="R212" s="133">
        <f t="shared" si="34"/>
        <v>0</v>
      </c>
      <c r="S212" s="133">
        <f t="shared" si="34"/>
        <v>3</v>
      </c>
      <c r="T212"/>
      <c r="U212" s="36"/>
      <c r="V212" s="36"/>
      <c r="W212" s="36"/>
      <c r="X212" s="275"/>
      <c r="Y212" s="172"/>
      <c r="Z212" s="55"/>
      <c r="AA212" s="55"/>
      <c r="AB212" s="55"/>
      <c r="AC212" s="55"/>
      <c r="AD212" s="52"/>
      <c r="AE212" s="56"/>
      <c r="AF212" s="51"/>
      <c r="AG212" s="56"/>
      <c r="AH212" s="51"/>
      <c r="AI212" s="56"/>
      <c r="AJ212" s="51"/>
      <c r="AK212" s="56"/>
      <c r="AL212" s="51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</row>
    <row r="213" spans="1:50" s="244" customFormat="1" ht="15.75" thickTop="1">
      <c r="A213" s="69"/>
      <c r="B213" s="38"/>
      <c r="C213" s="233"/>
      <c r="D213" s="71"/>
      <c r="E213" s="253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475"/>
      <c r="Q213" s="71"/>
      <c r="R213" s="71"/>
      <c r="S213" s="44"/>
      <c r="T213"/>
      <c r="U213" s="72"/>
      <c r="V213" s="72"/>
      <c r="W213" s="72"/>
      <c r="X213" s="279"/>
      <c r="Y213" s="63"/>
      <c r="Z213" s="64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</row>
    <row r="214" spans="1:50" s="244" customFormat="1" ht="15">
      <c r="A214" s="69"/>
      <c r="B214" s="38"/>
      <c r="C214" s="233"/>
      <c r="D214" s="71"/>
      <c r="E214" s="253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475"/>
      <c r="Q214" s="71"/>
      <c r="R214" s="71"/>
      <c r="S214" s="44"/>
      <c r="T214"/>
      <c r="U214" s="72"/>
      <c r="V214" s="72"/>
      <c r="W214" s="72"/>
      <c r="X214" s="279"/>
      <c r="Y214" s="63"/>
      <c r="Z214" s="64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</row>
    <row r="215" spans="1:50" s="58" customFormat="1" ht="15.75" thickBot="1">
      <c r="A215" s="41"/>
      <c r="B215" s="38"/>
      <c r="C215" s="41"/>
      <c r="D215" s="38"/>
      <c r="E215" s="43" t="s">
        <v>1078</v>
      </c>
      <c r="F215" s="38"/>
      <c r="G215" s="38"/>
      <c r="H215" s="133">
        <f>SUMIF(E8:E213,"*SUB-TOTAL*",H8:H213)</f>
        <v>31</v>
      </c>
      <c r="I215" s="133">
        <f t="shared" ref="I215:S215" si="36">SUMIF($E$8:$E$213,"*SUB-TOTAL*",I8:I213)</f>
        <v>33</v>
      </c>
      <c r="J215" s="133">
        <f t="shared" si="36"/>
        <v>56</v>
      </c>
      <c r="K215" s="133">
        <f t="shared" si="36"/>
        <v>50</v>
      </c>
      <c r="L215" s="133">
        <f t="shared" si="36"/>
        <v>15</v>
      </c>
      <c r="M215" s="133">
        <f t="shared" si="36"/>
        <v>30</v>
      </c>
      <c r="N215" s="133">
        <f t="shared" si="36"/>
        <v>45</v>
      </c>
      <c r="O215" s="133"/>
      <c r="P215" s="473">
        <f>SUMIF($E$8:$E$213,"*SUB-TOTAL*",P8:P213)</f>
        <v>27</v>
      </c>
      <c r="Q215" s="133">
        <f t="shared" ref="Q215" si="37">SUMIF($E$8:$E$213,"*SUB-TOTAL*",Q8:Q213)</f>
        <v>2</v>
      </c>
      <c r="R215" s="133">
        <f t="shared" si="36"/>
        <v>28</v>
      </c>
      <c r="S215" s="133">
        <f t="shared" si="36"/>
        <v>101</v>
      </c>
      <c r="T215"/>
      <c r="U215" s="36"/>
      <c r="V215" s="36"/>
      <c r="W215" s="36"/>
      <c r="X215" s="275"/>
      <c r="Y215" s="51"/>
      <c r="Z215" s="55"/>
      <c r="AA215" s="55"/>
      <c r="AB215" s="55"/>
      <c r="AC215" s="55"/>
      <c r="AD215" s="54"/>
      <c r="AE215" s="56"/>
      <c r="AF215" s="51"/>
      <c r="AG215" s="56"/>
      <c r="AH215" s="51"/>
      <c r="AI215" s="56"/>
      <c r="AJ215" s="51"/>
      <c r="AK215" s="56"/>
      <c r="AL215" s="51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</row>
    <row r="216" spans="1:50" s="58" customFormat="1" ht="15.75" thickTop="1" thickBot="1">
      <c r="A216" s="45"/>
      <c r="B216" s="38"/>
      <c r="C216" s="41"/>
      <c r="D216" s="44"/>
      <c r="E216" s="42"/>
      <c r="F216" s="44"/>
      <c r="G216" s="44"/>
      <c r="H216" s="44"/>
      <c r="I216" s="44"/>
      <c r="J216" s="44"/>
      <c r="K216" s="44"/>
      <c r="L216" s="44"/>
      <c r="M216" s="71"/>
      <c r="N216" s="71"/>
      <c r="O216" s="71"/>
      <c r="P216" s="475"/>
      <c r="Q216" s="71"/>
      <c r="R216" s="71"/>
      <c r="S216" s="44"/>
      <c r="T216" s="46"/>
      <c r="U216" s="46"/>
      <c r="V216" s="46"/>
      <c r="W216" s="46"/>
      <c r="X216" s="280"/>
      <c r="Y216" s="173"/>
      <c r="Z216" s="59"/>
      <c r="AA216" s="59"/>
      <c r="AB216" s="59"/>
      <c r="AC216" s="59"/>
      <c r="AD216" s="60">
        <f>SUM(AD8:AD215)</f>
        <v>0</v>
      </c>
      <c r="AE216" s="61"/>
      <c r="AF216" s="62">
        <f>SUM(AF8:AF215)</f>
        <v>0</v>
      </c>
      <c r="AG216" s="61"/>
      <c r="AH216" s="62">
        <f>SUM(AH8:AH215)</f>
        <v>0</v>
      </c>
      <c r="AI216" s="61"/>
      <c r="AJ216" s="62">
        <f>SUM(AJ8:AJ215)</f>
        <v>0</v>
      </c>
      <c r="AK216" s="61"/>
      <c r="AL216" s="62">
        <f>SUM(AL8:AL215)</f>
        <v>0</v>
      </c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</row>
    <row r="217" spans="1:50" ht="15.75" thickTop="1">
      <c r="A217" s="45"/>
      <c r="B217" s="236"/>
      <c r="C217" s="37"/>
      <c r="D217" s="44"/>
      <c r="E217" s="42"/>
      <c r="F217" s="44"/>
      <c r="G217" s="44"/>
      <c r="H217" s="44"/>
      <c r="I217" s="44"/>
      <c r="J217" s="44"/>
      <c r="K217" s="44"/>
      <c r="L217" s="44"/>
      <c r="M217" s="71"/>
      <c r="N217" s="71"/>
      <c r="O217" s="71"/>
      <c r="P217" s="475"/>
      <c r="Q217" s="71"/>
      <c r="R217" s="71"/>
      <c r="T217" s="46"/>
      <c r="U217" s="46"/>
      <c r="V217" s="46"/>
      <c r="W217" s="46"/>
      <c r="X217" s="280"/>
      <c r="AF217" s="66" t="e">
        <f>AF216/$AD$216</f>
        <v>#DIV/0!</v>
      </c>
      <c r="AH217" s="67" t="e">
        <f>AH216/$AD$216</f>
        <v>#DIV/0!</v>
      </c>
      <c r="AJ217" s="66" t="e">
        <f>AJ216/$AD$216</f>
        <v>#DIV/0!</v>
      </c>
      <c r="AL217" s="67" t="e">
        <f>AL216/$AD$216</f>
        <v>#DIV/0!</v>
      </c>
    </row>
    <row r="218" spans="1:50">
      <c r="A218" s="45"/>
      <c r="B218" s="38"/>
      <c r="C218" s="43"/>
      <c r="D218" s="44"/>
      <c r="E218" s="42"/>
      <c r="F218" s="44"/>
      <c r="G218" s="44"/>
      <c r="H218" s="44"/>
      <c r="I218" s="44"/>
      <c r="J218" s="44"/>
      <c r="K218" s="44"/>
      <c r="L218" s="44"/>
      <c r="M218" s="71"/>
      <c r="N218" s="71"/>
      <c r="O218" s="71"/>
      <c r="P218" s="475"/>
      <c r="Q218" s="71"/>
      <c r="R218" s="71"/>
      <c r="T218" s="46"/>
      <c r="U218" s="46"/>
      <c r="V218" s="46"/>
      <c r="W218" s="46"/>
      <c r="X218" s="280"/>
    </row>
    <row r="219" spans="1:50">
      <c r="A219" s="45"/>
      <c r="B219" s="38"/>
      <c r="C219" s="43"/>
      <c r="D219" s="44"/>
      <c r="E219" s="42"/>
      <c r="F219" s="44"/>
      <c r="G219" s="44"/>
      <c r="H219" s="44"/>
      <c r="I219" s="44"/>
      <c r="J219" s="44"/>
      <c r="K219" s="44"/>
      <c r="L219" s="44"/>
      <c r="M219" s="71"/>
      <c r="N219" s="71"/>
      <c r="O219" s="71"/>
      <c r="P219" s="475"/>
      <c r="Q219" s="71"/>
      <c r="R219" s="71"/>
      <c r="T219" s="46"/>
      <c r="U219" s="46"/>
      <c r="V219" s="46"/>
      <c r="W219" s="46"/>
      <c r="X219" s="280"/>
    </row>
    <row r="220" spans="1:50">
      <c r="A220" s="45"/>
      <c r="B220" s="38"/>
      <c r="C220" s="41"/>
      <c r="D220" s="44"/>
      <c r="E220" s="42"/>
      <c r="F220" s="44"/>
      <c r="G220" s="44"/>
      <c r="H220" s="44"/>
      <c r="I220" s="44"/>
      <c r="J220" s="44"/>
      <c r="K220" s="44"/>
      <c r="L220" s="44"/>
      <c r="M220" s="71"/>
      <c r="N220" s="71"/>
      <c r="O220" s="71"/>
      <c r="P220" s="475"/>
      <c r="Q220" s="71"/>
      <c r="R220" s="71"/>
      <c r="T220" s="46"/>
      <c r="U220" s="46"/>
      <c r="V220" s="46"/>
      <c r="W220" s="46"/>
      <c r="X220" s="280"/>
    </row>
    <row r="221" spans="1:50">
      <c r="A221" s="45"/>
      <c r="B221" s="71"/>
      <c r="C221" s="69"/>
      <c r="D221" s="44"/>
      <c r="E221" s="42"/>
      <c r="F221" s="44"/>
      <c r="G221" s="44"/>
      <c r="H221" s="44"/>
      <c r="I221" s="44"/>
      <c r="J221" s="44"/>
      <c r="K221" s="44"/>
      <c r="L221" s="44"/>
      <c r="M221" s="71"/>
      <c r="N221" s="71"/>
      <c r="O221" s="71"/>
      <c r="P221" s="475"/>
      <c r="Q221" s="71"/>
      <c r="R221" s="71"/>
      <c r="T221" s="46"/>
      <c r="U221" s="46"/>
      <c r="V221" s="46"/>
      <c r="W221" s="46"/>
      <c r="X221" s="280"/>
    </row>
    <row r="222" spans="1:50">
      <c r="A222" s="45"/>
      <c r="B222" s="38"/>
      <c r="C222" s="41"/>
      <c r="D222" s="44"/>
      <c r="E222" s="42"/>
      <c r="F222" s="44"/>
      <c r="G222" s="44"/>
      <c r="H222" s="44"/>
      <c r="I222" s="44"/>
      <c r="J222" s="44"/>
      <c r="K222" s="44"/>
      <c r="L222" s="44"/>
      <c r="M222" s="71"/>
      <c r="N222" s="71"/>
      <c r="O222" s="71"/>
      <c r="P222" s="475"/>
      <c r="Q222" s="71"/>
      <c r="R222" s="71"/>
      <c r="T222" s="46"/>
      <c r="U222" s="46"/>
      <c r="V222" s="46"/>
      <c r="W222" s="46"/>
      <c r="X222" s="280"/>
    </row>
    <row r="223" spans="1:50">
      <c r="A223" s="45"/>
      <c r="B223" s="236"/>
      <c r="C223" s="37"/>
      <c r="D223" s="44"/>
      <c r="E223" s="42"/>
      <c r="F223" s="44"/>
      <c r="G223" s="44"/>
      <c r="H223" s="44"/>
      <c r="I223" s="44"/>
      <c r="J223" s="44"/>
      <c r="K223" s="44"/>
      <c r="L223" s="44"/>
      <c r="M223" s="71"/>
      <c r="N223" s="71"/>
      <c r="O223" s="71"/>
      <c r="P223" s="475"/>
      <c r="Q223" s="71"/>
      <c r="R223" s="71"/>
      <c r="T223" s="46"/>
      <c r="U223" s="46"/>
      <c r="V223" s="46"/>
      <c r="W223" s="46"/>
      <c r="X223" s="280"/>
    </row>
    <row r="224" spans="1:50">
      <c r="A224" s="45"/>
      <c r="B224" s="38"/>
      <c r="C224" s="43"/>
      <c r="D224" s="44"/>
      <c r="E224" s="42"/>
      <c r="F224" s="44"/>
      <c r="G224" s="44"/>
      <c r="H224" s="44"/>
      <c r="I224" s="44"/>
      <c r="J224" s="44"/>
      <c r="K224" s="44"/>
      <c r="L224" s="44"/>
      <c r="M224" s="71"/>
      <c r="N224" s="71"/>
      <c r="O224" s="71"/>
      <c r="P224" s="475"/>
      <c r="Q224" s="71"/>
      <c r="R224" s="71"/>
      <c r="T224" s="46"/>
      <c r="U224" s="46"/>
      <c r="V224" s="46"/>
      <c r="W224" s="46"/>
      <c r="X224" s="280"/>
    </row>
    <row r="225" spans="1:24">
      <c r="A225" s="45"/>
      <c r="B225" s="38"/>
      <c r="C225" s="43"/>
      <c r="D225" s="44"/>
      <c r="E225" s="42"/>
      <c r="F225" s="44"/>
      <c r="G225" s="44"/>
      <c r="H225" s="44"/>
      <c r="I225" s="44"/>
      <c r="J225" s="44"/>
      <c r="K225" s="44"/>
      <c r="L225" s="44"/>
      <c r="M225" s="71"/>
      <c r="N225" s="71"/>
      <c r="O225" s="71"/>
      <c r="P225" s="475"/>
      <c r="Q225" s="71"/>
      <c r="R225" s="71"/>
      <c r="T225" s="46"/>
      <c r="U225" s="46"/>
      <c r="V225" s="46"/>
      <c r="W225" s="46"/>
      <c r="X225" s="280"/>
    </row>
    <row r="226" spans="1:24">
      <c r="A226" s="45"/>
      <c r="B226" s="38"/>
      <c r="C226" s="41"/>
      <c r="D226" s="44"/>
      <c r="E226" s="42"/>
      <c r="F226" s="44"/>
      <c r="G226" s="44"/>
      <c r="H226" s="44"/>
      <c r="I226" s="44"/>
      <c r="J226" s="44"/>
      <c r="K226" s="44"/>
      <c r="L226" s="44"/>
      <c r="M226" s="71"/>
      <c r="N226" s="71"/>
      <c r="O226" s="71"/>
      <c r="P226" s="475"/>
      <c r="Q226" s="71"/>
      <c r="R226" s="71"/>
      <c r="T226" s="46"/>
      <c r="U226" s="46"/>
      <c r="V226" s="46"/>
      <c r="W226" s="46"/>
      <c r="X226" s="280"/>
    </row>
    <row r="227" spans="1:24">
      <c r="A227" s="45"/>
      <c r="B227" s="34"/>
      <c r="C227" s="33"/>
      <c r="D227" s="44"/>
      <c r="E227" s="42"/>
      <c r="F227" s="44"/>
      <c r="G227" s="44"/>
      <c r="H227" s="44"/>
      <c r="I227" s="44"/>
      <c r="J227" s="44"/>
      <c r="K227" s="44"/>
      <c r="L227" s="44"/>
      <c r="M227" s="71"/>
      <c r="N227" s="71"/>
      <c r="O227" s="71"/>
      <c r="P227" s="475"/>
      <c r="Q227" s="71"/>
      <c r="R227" s="71"/>
      <c r="T227" s="46"/>
      <c r="U227" s="46"/>
      <c r="V227" s="46"/>
      <c r="W227" s="46"/>
      <c r="X227" s="280"/>
    </row>
    <row r="228" spans="1:24">
      <c r="A228" s="45"/>
      <c r="B228" s="38"/>
      <c r="C228" s="41"/>
      <c r="D228" s="44"/>
      <c r="E228" s="42"/>
      <c r="F228" s="44"/>
      <c r="G228" s="44"/>
      <c r="H228" s="44"/>
      <c r="I228" s="44"/>
      <c r="J228" s="44"/>
      <c r="K228" s="44"/>
      <c r="L228" s="44"/>
      <c r="M228" s="71"/>
      <c r="N228" s="71"/>
      <c r="O228" s="71"/>
      <c r="P228" s="475"/>
      <c r="Q228" s="71"/>
      <c r="R228" s="71"/>
      <c r="T228" s="46"/>
      <c r="U228" s="46"/>
      <c r="V228" s="46"/>
      <c r="W228" s="46"/>
      <c r="X228" s="280"/>
    </row>
    <row r="229" spans="1:24">
      <c r="A229" s="45"/>
      <c r="B229" s="44"/>
      <c r="C229" s="45"/>
      <c r="D229" s="44"/>
      <c r="E229" s="42"/>
      <c r="F229" s="44"/>
      <c r="G229" s="44"/>
      <c r="H229" s="44"/>
      <c r="I229" s="44"/>
      <c r="J229" s="44"/>
      <c r="K229" s="44"/>
      <c r="L229" s="44"/>
      <c r="M229" s="71"/>
      <c r="N229" s="71"/>
      <c r="O229" s="71"/>
      <c r="P229" s="475"/>
      <c r="Q229" s="71"/>
      <c r="R229" s="71"/>
      <c r="T229" s="46"/>
      <c r="U229" s="46"/>
      <c r="V229" s="46"/>
      <c r="W229" s="46"/>
      <c r="X229" s="280"/>
    </row>
    <row r="230" spans="1:24">
      <c r="A230" s="45"/>
      <c r="B230" s="44"/>
      <c r="C230" s="45"/>
      <c r="D230" s="44"/>
      <c r="E230" s="42"/>
      <c r="F230" s="44"/>
      <c r="G230" s="44"/>
      <c r="H230" s="44"/>
      <c r="I230" s="44"/>
      <c r="J230" s="44"/>
      <c r="K230" s="44"/>
      <c r="L230" s="44"/>
      <c r="M230" s="71"/>
      <c r="N230" s="71"/>
      <c r="O230" s="71"/>
      <c r="P230" s="475"/>
      <c r="Q230" s="71"/>
      <c r="R230" s="71"/>
      <c r="T230" s="46"/>
      <c r="U230" s="46"/>
      <c r="V230" s="46"/>
      <c r="W230" s="46"/>
      <c r="X230" s="280"/>
    </row>
    <row r="231" spans="1:24">
      <c r="A231" s="45"/>
      <c r="B231" s="44"/>
      <c r="C231" s="45"/>
      <c r="D231" s="44"/>
      <c r="E231" s="42"/>
      <c r="F231" s="44"/>
      <c r="G231" s="44"/>
      <c r="H231" s="44"/>
      <c r="I231" s="44"/>
      <c r="J231" s="44"/>
      <c r="K231" s="44"/>
      <c r="L231" s="44"/>
      <c r="M231" s="71"/>
      <c r="N231" s="71"/>
      <c r="O231" s="71"/>
      <c r="P231" s="475"/>
      <c r="Q231" s="71"/>
      <c r="R231" s="71"/>
      <c r="T231" s="46"/>
      <c r="U231" s="46"/>
      <c r="V231" s="46"/>
      <c r="W231" s="46"/>
      <c r="X231" s="280"/>
    </row>
    <row r="232" spans="1:24">
      <c r="A232" s="45"/>
      <c r="B232" s="44"/>
      <c r="C232" s="45"/>
      <c r="D232" s="44"/>
      <c r="E232" s="42"/>
      <c r="F232" s="44"/>
      <c r="G232" s="44"/>
      <c r="H232" s="44"/>
      <c r="I232" s="44"/>
      <c r="J232" s="44"/>
      <c r="K232" s="44"/>
      <c r="L232" s="44"/>
      <c r="M232" s="71"/>
      <c r="N232" s="71"/>
      <c r="O232" s="71"/>
      <c r="P232" s="475"/>
      <c r="Q232" s="71"/>
      <c r="R232" s="71"/>
      <c r="T232" s="46"/>
      <c r="U232" s="46"/>
      <c r="V232" s="46"/>
      <c r="W232" s="46"/>
      <c r="X232" s="280"/>
    </row>
    <row r="233" spans="1:24">
      <c r="A233" s="45"/>
      <c r="B233" s="44"/>
      <c r="C233" s="45"/>
      <c r="D233" s="44"/>
      <c r="E233" s="42"/>
      <c r="F233" s="44"/>
      <c r="G233" s="44"/>
      <c r="H233" s="44"/>
      <c r="I233" s="44"/>
      <c r="J233" s="44"/>
      <c r="K233" s="44"/>
      <c r="L233" s="44"/>
      <c r="M233" s="71"/>
      <c r="N233" s="71"/>
      <c r="O233" s="71"/>
      <c r="P233" s="475"/>
      <c r="Q233" s="71"/>
      <c r="R233" s="71"/>
      <c r="T233" s="46"/>
      <c r="U233" s="46"/>
      <c r="V233" s="46"/>
      <c r="W233" s="46"/>
      <c r="X233" s="280"/>
    </row>
    <row r="234" spans="1:24">
      <c r="A234" s="45"/>
      <c r="B234" s="44"/>
      <c r="C234" s="45"/>
      <c r="D234" s="44"/>
      <c r="E234" s="42"/>
      <c r="F234" s="44"/>
      <c r="G234" s="44"/>
      <c r="H234" s="44"/>
      <c r="I234" s="44"/>
      <c r="J234" s="44"/>
      <c r="K234" s="44"/>
      <c r="L234" s="44"/>
      <c r="M234" s="71"/>
      <c r="N234" s="71"/>
      <c r="O234" s="71"/>
      <c r="P234" s="475"/>
      <c r="Q234" s="71"/>
      <c r="R234" s="71"/>
      <c r="T234" s="46"/>
      <c r="U234" s="46"/>
      <c r="V234" s="46"/>
      <c r="W234" s="46"/>
      <c r="X234" s="280"/>
    </row>
    <row r="235" spans="1:24">
      <c r="A235" s="45"/>
      <c r="B235" s="44"/>
      <c r="C235" s="45"/>
      <c r="D235" s="44"/>
      <c r="E235" s="42"/>
      <c r="F235" s="44"/>
      <c r="G235" s="44"/>
      <c r="H235" s="44"/>
      <c r="I235" s="44"/>
      <c r="J235" s="44"/>
      <c r="K235" s="44"/>
      <c r="L235" s="44"/>
      <c r="M235" s="71"/>
      <c r="N235" s="71"/>
      <c r="O235" s="71"/>
      <c r="P235" s="475"/>
      <c r="Q235" s="71"/>
      <c r="R235" s="71"/>
      <c r="T235" s="46"/>
      <c r="U235" s="46"/>
      <c r="V235" s="46"/>
      <c r="W235" s="46"/>
      <c r="X235" s="280"/>
    </row>
    <row r="236" spans="1:24">
      <c r="A236" s="45"/>
      <c r="B236" s="44"/>
      <c r="C236" s="45"/>
      <c r="D236" s="44"/>
      <c r="E236" s="42"/>
      <c r="F236" s="44"/>
      <c r="G236" s="44"/>
      <c r="H236" s="44"/>
      <c r="I236" s="44"/>
      <c r="J236" s="44"/>
      <c r="K236" s="44"/>
      <c r="L236" s="44"/>
      <c r="M236" s="71"/>
      <c r="N236" s="71"/>
      <c r="O236" s="71"/>
      <c r="P236" s="475"/>
      <c r="Q236" s="71"/>
      <c r="R236" s="71"/>
      <c r="T236" s="46"/>
      <c r="U236" s="46"/>
      <c r="V236" s="46"/>
      <c r="W236" s="46"/>
      <c r="X236" s="280"/>
    </row>
    <row r="237" spans="1:24">
      <c r="A237" s="45"/>
      <c r="B237" s="44"/>
      <c r="C237" s="45"/>
      <c r="D237" s="44"/>
      <c r="E237" s="42"/>
      <c r="F237" s="44"/>
      <c r="G237" s="44"/>
      <c r="H237" s="44"/>
      <c r="I237" s="44"/>
      <c r="J237" s="44"/>
      <c r="K237" s="44"/>
      <c r="L237" s="44"/>
      <c r="M237" s="71"/>
      <c r="N237" s="71"/>
      <c r="O237" s="71"/>
      <c r="P237" s="475"/>
      <c r="Q237" s="71"/>
      <c r="R237" s="71"/>
      <c r="T237" s="46"/>
      <c r="U237" s="46"/>
      <c r="V237" s="46"/>
      <c r="W237" s="46"/>
      <c r="X237" s="280"/>
    </row>
    <row r="238" spans="1:24">
      <c r="A238" s="45"/>
      <c r="B238" s="44"/>
      <c r="C238" s="45"/>
      <c r="D238" s="44"/>
      <c r="E238" s="42"/>
      <c r="F238" s="44"/>
      <c r="G238" s="44"/>
      <c r="H238" s="44"/>
      <c r="I238" s="44"/>
      <c r="J238" s="44"/>
      <c r="K238" s="44"/>
      <c r="L238" s="44"/>
      <c r="M238" s="71"/>
      <c r="N238" s="71"/>
      <c r="O238" s="71"/>
      <c r="P238" s="475"/>
      <c r="Q238" s="71"/>
      <c r="R238" s="71"/>
      <c r="T238" s="46"/>
      <c r="U238" s="46"/>
      <c r="V238" s="46"/>
      <c r="W238" s="46"/>
      <c r="X238" s="280"/>
    </row>
    <row r="239" spans="1:24">
      <c r="A239" s="45"/>
      <c r="B239" s="44"/>
      <c r="C239" s="45"/>
      <c r="D239" s="44"/>
      <c r="E239" s="42"/>
      <c r="F239" s="44"/>
      <c r="G239" s="44"/>
      <c r="H239" s="44"/>
      <c r="I239" s="44"/>
      <c r="J239" s="44"/>
      <c r="K239" s="44"/>
      <c r="L239" s="44"/>
      <c r="M239" s="71"/>
      <c r="N239" s="71"/>
      <c r="O239" s="71"/>
      <c r="P239" s="475"/>
      <c r="Q239" s="71"/>
      <c r="R239" s="71"/>
      <c r="T239" s="46"/>
      <c r="U239" s="46"/>
      <c r="V239" s="46"/>
      <c r="W239" s="46"/>
      <c r="X239" s="280"/>
    </row>
    <row r="240" spans="1:24">
      <c r="A240" s="45"/>
      <c r="B240" s="44"/>
      <c r="C240" s="45"/>
      <c r="D240" s="44"/>
      <c r="E240" s="42"/>
      <c r="F240" s="44"/>
      <c r="G240" s="44"/>
      <c r="H240" s="44"/>
      <c r="I240" s="44"/>
      <c r="J240" s="44"/>
      <c r="K240" s="44"/>
      <c r="L240" s="44"/>
      <c r="M240" s="71"/>
      <c r="N240" s="71"/>
      <c r="O240" s="71"/>
      <c r="P240" s="475"/>
      <c r="Q240" s="71"/>
      <c r="R240" s="71"/>
      <c r="T240" s="46"/>
      <c r="U240" s="46"/>
      <c r="V240" s="46"/>
      <c r="W240" s="46"/>
      <c r="X240" s="280"/>
    </row>
    <row r="241" spans="1:24">
      <c r="A241" s="45"/>
      <c r="B241" s="44"/>
      <c r="C241" s="45"/>
      <c r="D241" s="44"/>
      <c r="E241" s="42"/>
      <c r="F241" s="44"/>
      <c r="G241" s="44"/>
      <c r="H241" s="44"/>
      <c r="I241" s="44"/>
      <c r="J241" s="44"/>
      <c r="K241" s="44"/>
      <c r="L241" s="44"/>
      <c r="M241" s="71"/>
      <c r="N241" s="71"/>
      <c r="O241" s="71"/>
      <c r="P241" s="475"/>
      <c r="Q241" s="71"/>
      <c r="R241" s="71"/>
      <c r="T241" s="46"/>
      <c r="U241" s="46"/>
      <c r="V241" s="46"/>
      <c r="W241" s="46"/>
      <c r="X241" s="280"/>
    </row>
    <row r="242" spans="1:24">
      <c r="A242" s="45"/>
      <c r="B242" s="44"/>
      <c r="C242" s="45"/>
      <c r="D242" s="44"/>
      <c r="E242" s="42"/>
      <c r="F242" s="44"/>
      <c r="G242" s="44"/>
      <c r="H242" s="44"/>
      <c r="I242" s="44"/>
      <c r="J242" s="44"/>
      <c r="K242" s="44"/>
      <c r="L242" s="44"/>
      <c r="M242" s="71"/>
      <c r="N242" s="71"/>
      <c r="O242" s="71"/>
      <c r="P242" s="475"/>
      <c r="Q242" s="71"/>
      <c r="R242" s="71"/>
      <c r="T242" s="46"/>
      <c r="U242" s="46"/>
      <c r="V242" s="46"/>
      <c r="W242" s="46"/>
      <c r="X242" s="280"/>
    </row>
    <row r="243" spans="1:24">
      <c r="A243" s="45"/>
      <c r="B243" s="44"/>
      <c r="C243" s="45"/>
      <c r="D243" s="44"/>
      <c r="E243" s="42"/>
      <c r="F243" s="44"/>
      <c r="G243" s="44"/>
      <c r="H243" s="44"/>
      <c r="I243" s="44"/>
      <c r="J243" s="44"/>
      <c r="K243" s="44"/>
      <c r="L243" s="44"/>
      <c r="M243" s="71"/>
      <c r="N243" s="71"/>
      <c r="O243" s="71"/>
      <c r="P243" s="475"/>
      <c r="Q243" s="71"/>
      <c r="R243" s="71"/>
      <c r="T243" s="46"/>
      <c r="U243" s="46"/>
      <c r="V243" s="46"/>
      <c r="W243" s="46"/>
      <c r="X243" s="280"/>
    </row>
    <row r="244" spans="1:24">
      <c r="A244" s="69"/>
      <c r="B244" s="44"/>
      <c r="C244" s="45"/>
      <c r="D244" s="71"/>
      <c r="E244" s="70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475"/>
      <c r="Q244" s="71"/>
      <c r="R244" s="71"/>
      <c r="T244" s="72"/>
      <c r="U244" s="72"/>
      <c r="V244" s="72"/>
      <c r="W244" s="72"/>
      <c r="X244" s="279"/>
    </row>
    <row r="245" spans="1:24">
      <c r="A245" s="69"/>
      <c r="B245" s="44"/>
      <c r="C245" s="45"/>
      <c r="D245" s="71"/>
      <c r="E245" s="70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475"/>
      <c r="Q245" s="71"/>
      <c r="R245" s="71"/>
      <c r="T245" s="72"/>
      <c r="U245" s="72"/>
      <c r="V245" s="72"/>
      <c r="W245" s="72"/>
      <c r="X245" s="279"/>
    </row>
    <row r="246" spans="1:24">
      <c r="A246" s="69"/>
      <c r="B246" s="44"/>
      <c r="C246" s="45"/>
      <c r="D246" s="71"/>
      <c r="E246" s="70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475"/>
      <c r="Q246" s="71"/>
      <c r="R246" s="71"/>
      <c r="T246" s="72"/>
      <c r="U246" s="72"/>
      <c r="V246" s="72"/>
      <c r="W246" s="72"/>
      <c r="X246" s="279"/>
    </row>
    <row r="247" spans="1:24">
      <c r="A247" s="69"/>
      <c r="B247" s="44"/>
      <c r="C247" s="45"/>
      <c r="D247" s="71"/>
      <c r="E247" s="70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475"/>
      <c r="Q247" s="71"/>
      <c r="R247" s="71"/>
      <c r="T247" s="72"/>
      <c r="U247" s="72"/>
      <c r="V247" s="72"/>
      <c r="W247" s="72"/>
      <c r="X247" s="279"/>
    </row>
    <row r="248" spans="1:24">
      <c r="A248" s="69"/>
      <c r="B248" s="44"/>
      <c r="C248" s="45"/>
      <c r="D248" s="71"/>
      <c r="E248" s="70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475"/>
      <c r="Q248" s="71"/>
      <c r="R248" s="71"/>
      <c r="T248" s="72"/>
      <c r="U248" s="72"/>
      <c r="V248" s="72"/>
      <c r="W248" s="72"/>
      <c r="X248" s="279"/>
    </row>
    <row r="249" spans="1:24">
      <c r="A249" s="69"/>
      <c r="B249" s="44"/>
      <c r="C249" s="45"/>
      <c r="D249" s="71"/>
      <c r="E249" s="70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475"/>
      <c r="Q249" s="71"/>
      <c r="R249" s="71"/>
      <c r="T249" s="72"/>
      <c r="U249" s="72"/>
      <c r="V249" s="72"/>
      <c r="W249" s="72"/>
      <c r="X249" s="279"/>
    </row>
    <row r="250" spans="1:24">
      <c r="A250" s="69"/>
      <c r="B250" s="44"/>
      <c r="C250" s="45"/>
      <c r="D250" s="71"/>
      <c r="E250" s="70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475"/>
      <c r="Q250" s="71"/>
      <c r="R250" s="71"/>
      <c r="T250" s="72"/>
      <c r="U250" s="72"/>
      <c r="V250" s="72"/>
      <c r="W250" s="72"/>
      <c r="X250" s="279"/>
    </row>
    <row r="251" spans="1:24">
      <c r="A251" s="69"/>
      <c r="B251" s="44"/>
      <c r="C251" s="45"/>
      <c r="D251" s="71"/>
      <c r="E251" s="70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475"/>
      <c r="Q251" s="71"/>
      <c r="R251" s="71"/>
      <c r="T251" s="72"/>
      <c r="U251" s="72"/>
      <c r="V251" s="72"/>
      <c r="W251" s="72"/>
      <c r="X251" s="279"/>
    </row>
    <row r="252" spans="1:24">
      <c r="A252" s="69"/>
      <c r="B252" s="44"/>
      <c r="C252" s="45"/>
      <c r="D252" s="71"/>
      <c r="E252" s="70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475"/>
      <c r="Q252" s="71"/>
      <c r="R252" s="71"/>
      <c r="T252" s="72"/>
      <c r="U252" s="72"/>
      <c r="V252" s="72"/>
      <c r="W252" s="72"/>
      <c r="X252" s="279"/>
    </row>
    <row r="253" spans="1:24">
      <c r="A253" s="69"/>
      <c r="B253" s="44"/>
      <c r="C253" s="45"/>
      <c r="D253" s="71"/>
      <c r="E253" s="70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475"/>
      <c r="Q253" s="71"/>
      <c r="R253" s="71"/>
      <c r="T253" s="72"/>
      <c r="U253" s="72"/>
      <c r="V253" s="72"/>
      <c r="W253" s="72"/>
      <c r="X253" s="279"/>
    </row>
    <row r="254" spans="1:24">
      <c r="A254" s="69"/>
      <c r="B254" s="44"/>
      <c r="C254" s="45"/>
      <c r="D254" s="71"/>
      <c r="E254" s="70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475"/>
      <c r="Q254" s="71"/>
      <c r="R254" s="71"/>
      <c r="T254" s="72"/>
      <c r="U254" s="72"/>
      <c r="V254" s="72"/>
      <c r="W254" s="72"/>
      <c r="X254" s="279"/>
    </row>
    <row r="255" spans="1:24">
      <c r="A255" s="69"/>
      <c r="B255" s="44"/>
      <c r="C255" s="45"/>
      <c r="D255" s="71"/>
      <c r="E255" s="70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475"/>
      <c r="Q255" s="71"/>
      <c r="R255" s="71"/>
      <c r="T255" s="72"/>
      <c r="U255" s="72"/>
      <c r="V255" s="72"/>
      <c r="W255" s="72"/>
      <c r="X255" s="279"/>
    </row>
    <row r="256" spans="1:24">
      <c r="A256" s="69"/>
      <c r="B256" s="44"/>
      <c r="C256" s="45"/>
      <c r="D256" s="71"/>
      <c r="E256" s="70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475"/>
      <c r="Q256" s="71"/>
      <c r="R256" s="71"/>
      <c r="T256" s="72"/>
      <c r="U256" s="72"/>
      <c r="V256" s="72"/>
      <c r="W256" s="72"/>
      <c r="X256" s="279"/>
    </row>
    <row r="257" spans="1:24">
      <c r="A257" s="69"/>
      <c r="B257" s="71"/>
      <c r="C257" s="69"/>
      <c r="D257" s="71"/>
      <c r="E257" s="70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475"/>
      <c r="Q257" s="71"/>
      <c r="R257" s="71"/>
      <c r="T257" s="72"/>
      <c r="U257" s="72"/>
      <c r="V257" s="72"/>
      <c r="W257" s="72"/>
      <c r="X257" s="279"/>
    </row>
    <row r="258" spans="1:24">
      <c r="A258" s="69"/>
      <c r="B258" s="71"/>
      <c r="C258" s="69"/>
      <c r="D258" s="71"/>
      <c r="E258" s="70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475"/>
      <c r="Q258" s="71"/>
      <c r="R258" s="71"/>
      <c r="T258" s="72"/>
      <c r="U258" s="72"/>
      <c r="V258" s="72"/>
      <c r="W258" s="72"/>
      <c r="X258" s="279"/>
    </row>
    <row r="259" spans="1:24">
      <c r="A259" s="69"/>
      <c r="B259" s="71"/>
      <c r="C259" s="69"/>
      <c r="D259" s="71"/>
      <c r="E259" s="70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475"/>
      <c r="Q259" s="71"/>
      <c r="R259" s="71"/>
      <c r="T259" s="72"/>
      <c r="U259" s="72"/>
      <c r="V259" s="72"/>
      <c r="W259" s="72"/>
      <c r="X259" s="279"/>
    </row>
    <row r="260" spans="1:24">
      <c r="A260" s="69"/>
      <c r="B260" s="71"/>
      <c r="C260" s="69"/>
      <c r="D260" s="71"/>
      <c r="E260" s="70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475"/>
      <c r="Q260" s="71"/>
      <c r="R260" s="71"/>
      <c r="T260" s="72"/>
      <c r="U260" s="72"/>
      <c r="V260" s="72"/>
      <c r="W260" s="72"/>
      <c r="X260" s="279"/>
    </row>
    <row r="261" spans="1:24">
      <c r="A261" s="69"/>
      <c r="B261" s="71"/>
      <c r="C261" s="69"/>
      <c r="D261" s="71"/>
      <c r="E261" s="70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475"/>
      <c r="Q261" s="71"/>
      <c r="R261" s="71"/>
      <c r="T261" s="72"/>
      <c r="U261" s="72"/>
      <c r="V261" s="72"/>
      <c r="W261" s="72"/>
      <c r="X261" s="279"/>
    </row>
    <row r="262" spans="1:24">
      <c r="A262" s="69"/>
      <c r="B262" s="71"/>
      <c r="C262" s="69"/>
      <c r="D262" s="71"/>
      <c r="E262" s="70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475"/>
      <c r="Q262" s="71"/>
      <c r="R262" s="71"/>
      <c r="T262" s="72"/>
      <c r="U262" s="72"/>
      <c r="V262" s="72"/>
      <c r="W262" s="72"/>
      <c r="X262" s="279"/>
    </row>
    <row r="263" spans="1:24">
      <c r="A263" s="69"/>
      <c r="B263" s="71"/>
      <c r="C263" s="69"/>
      <c r="D263" s="71"/>
      <c r="E263" s="70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475"/>
      <c r="Q263" s="71"/>
      <c r="R263" s="71"/>
      <c r="T263" s="72"/>
      <c r="U263" s="72"/>
      <c r="V263" s="72"/>
      <c r="W263" s="72"/>
      <c r="X263" s="279"/>
    </row>
    <row r="264" spans="1:24">
      <c r="A264" s="69"/>
      <c r="B264" s="71"/>
      <c r="C264" s="69"/>
      <c r="D264" s="71"/>
      <c r="E264" s="70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475"/>
      <c r="Q264" s="71"/>
      <c r="R264" s="71"/>
      <c r="T264" s="72"/>
      <c r="U264" s="72"/>
      <c r="V264" s="72"/>
      <c r="W264" s="72"/>
      <c r="X264" s="279"/>
    </row>
    <row r="265" spans="1:24">
      <c r="A265" s="69"/>
      <c r="B265" s="71"/>
      <c r="C265" s="69"/>
      <c r="D265" s="71"/>
      <c r="E265" s="70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475"/>
      <c r="Q265" s="71"/>
      <c r="R265" s="71"/>
      <c r="T265" s="72"/>
      <c r="U265" s="72"/>
      <c r="V265" s="72"/>
      <c r="W265" s="72"/>
      <c r="X265" s="279"/>
    </row>
    <row r="266" spans="1:24">
      <c r="A266" s="69"/>
      <c r="B266" s="71"/>
      <c r="C266" s="69"/>
      <c r="D266" s="71"/>
      <c r="E266" s="70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475"/>
      <c r="Q266" s="71"/>
      <c r="R266" s="71"/>
      <c r="T266" s="72"/>
      <c r="U266" s="72"/>
      <c r="V266" s="72"/>
      <c r="W266" s="72"/>
      <c r="X266" s="279"/>
    </row>
    <row r="267" spans="1:24">
      <c r="A267" s="69"/>
      <c r="B267" s="71"/>
      <c r="C267" s="69"/>
      <c r="D267" s="71"/>
      <c r="E267" s="70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475"/>
      <c r="Q267" s="71"/>
      <c r="R267" s="71"/>
      <c r="T267" s="72"/>
      <c r="U267" s="72"/>
      <c r="V267" s="72"/>
      <c r="W267" s="72"/>
      <c r="X267" s="279"/>
    </row>
    <row r="268" spans="1:24">
      <c r="A268" s="69"/>
      <c r="B268" s="71"/>
      <c r="C268" s="69"/>
      <c r="D268" s="71"/>
      <c r="E268" s="70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475"/>
      <c r="Q268" s="71"/>
      <c r="R268" s="71"/>
      <c r="T268" s="72"/>
      <c r="U268" s="72"/>
      <c r="V268" s="72"/>
      <c r="W268" s="72"/>
      <c r="X268" s="279"/>
    </row>
    <row r="269" spans="1:24">
      <c r="A269" s="69"/>
      <c r="B269" s="71"/>
      <c r="C269" s="69"/>
      <c r="D269" s="71"/>
      <c r="E269" s="70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475"/>
      <c r="Q269" s="71"/>
      <c r="R269" s="71"/>
      <c r="T269" s="72"/>
      <c r="U269" s="72"/>
      <c r="V269" s="72"/>
      <c r="W269" s="72"/>
      <c r="X269" s="279"/>
    </row>
    <row r="270" spans="1:24">
      <c r="A270" s="69"/>
      <c r="B270" s="71"/>
      <c r="C270" s="69"/>
      <c r="D270" s="71"/>
      <c r="E270" s="70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475"/>
      <c r="Q270" s="71"/>
      <c r="R270" s="71"/>
      <c r="T270" s="72"/>
      <c r="U270" s="72"/>
      <c r="V270" s="72"/>
      <c r="W270" s="72"/>
      <c r="X270" s="279"/>
    </row>
    <row r="271" spans="1:24">
      <c r="A271" s="69"/>
      <c r="B271" s="71"/>
      <c r="C271" s="69"/>
      <c r="D271" s="71"/>
      <c r="E271" s="70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475"/>
      <c r="Q271" s="71"/>
      <c r="R271" s="71"/>
      <c r="T271" s="72"/>
      <c r="U271" s="72"/>
      <c r="V271" s="72"/>
      <c r="W271" s="72"/>
      <c r="X271" s="279"/>
    </row>
    <row r="272" spans="1:24">
      <c r="A272" s="69"/>
      <c r="B272" s="71"/>
      <c r="C272" s="69"/>
      <c r="D272" s="71"/>
      <c r="E272" s="70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475"/>
      <c r="Q272" s="71"/>
      <c r="R272" s="71"/>
      <c r="T272" s="72"/>
      <c r="U272" s="72"/>
      <c r="V272" s="72"/>
      <c r="W272" s="72"/>
      <c r="X272" s="279"/>
    </row>
    <row r="273" spans="1:24">
      <c r="A273" s="69"/>
      <c r="B273" s="71"/>
      <c r="C273" s="69"/>
      <c r="D273" s="71"/>
      <c r="E273" s="70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475"/>
      <c r="Q273" s="71"/>
      <c r="R273" s="71"/>
      <c r="T273" s="72"/>
      <c r="U273" s="72"/>
      <c r="V273" s="72"/>
      <c r="W273" s="72"/>
      <c r="X273" s="279"/>
    </row>
    <row r="274" spans="1:24">
      <c r="A274" s="69"/>
      <c r="B274" s="71"/>
      <c r="C274" s="69"/>
      <c r="D274" s="71"/>
      <c r="E274" s="70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475"/>
      <c r="Q274" s="71"/>
      <c r="R274" s="71"/>
      <c r="T274" s="72"/>
      <c r="U274" s="72"/>
      <c r="V274" s="72"/>
      <c r="W274" s="72"/>
      <c r="X274" s="279"/>
    </row>
    <row r="275" spans="1:24">
      <c r="A275" s="69"/>
      <c r="B275" s="71"/>
      <c r="C275" s="69"/>
      <c r="D275" s="71"/>
      <c r="E275" s="70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475"/>
      <c r="Q275" s="71"/>
      <c r="R275" s="71"/>
      <c r="T275" s="72"/>
      <c r="U275" s="72"/>
      <c r="V275" s="72"/>
      <c r="W275" s="72"/>
      <c r="X275" s="279"/>
    </row>
    <row r="276" spans="1:24">
      <c r="A276" s="69"/>
      <c r="B276" s="71"/>
      <c r="C276" s="69"/>
      <c r="D276" s="71"/>
      <c r="E276" s="70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475"/>
      <c r="Q276" s="71"/>
      <c r="R276" s="71"/>
      <c r="T276" s="72"/>
      <c r="U276" s="72"/>
      <c r="V276" s="72"/>
      <c r="W276" s="72"/>
      <c r="X276" s="279"/>
    </row>
    <row r="277" spans="1:24">
      <c r="A277" s="69"/>
      <c r="B277" s="71"/>
      <c r="C277" s="69"/>
      <c r="D277" s="71"/>
      <c r="E277" s="70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475"/>
      <c r="Q277" s="71"/>
      <c r="R277" s="71"/>
      <c r="T277" s="72"/>
      <c r="U277" s="72"/>
      <c r="V277" s="72"/>
      <c r="W277" s="72"/>
      <c r="X277" s="279"/>
    </row>
    <row r="278" spans="1:24">
      <c r="A278" s="69"/>
      <c r="B278" s="71"/>
      <c r="C278" s="69"/>
      <c r="D278" s="71"/>
      <c r="E278" s="70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475"/>
      <c r="Q278" s="71"/>
      <c r="R278" s="71"/>
      <c r="T278" s="72"/>
      <c r="U278" s="72"/>
      <c r="V278" s="72"/>
      <c r="W278" s="72"/>
      <c r="X278" s="279"/>
    </row>
    <row r="279" spans="1:24">
      <c r="A279" s="69"/>
      <c r="B279" s="71"/>
      <c r="C279" s="69"/>
      <c r="D279" s="71"/>
      <c r="E279" s="70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475"/>
      <c r="Q279" s="71"/>
      <c r="R279" s="71"/>
      <c r="T279" s="72"/>
      <c r="U279" s="72"/>
      <c r="V279" s="72"/>
      <c r="W279" s="72"/>
      <c r="X279" s="279"/>
    </row>
    <row r="280" spans="1:24">
      <c r="A280" s="69"/>
      <c r="B280" s="71"/>
      <c r="C280" s="69"/>
      <c r="D280" s="71"/>
      <c r="E280" s="70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475"/>
      <c r="Q280" s="71"/>
      <c r="R280" s="71"/>
      <c r="T280" s="72"/>
      <c r="U280" s="72"/>
      <c r="V280" s="72"/>
      <c r="W280" s="72"/>
      <c r="X280" s="279"/>
    </row>
    <row r="281" spans="1:24">
      <c r="A281" s="69"/>
      <c r="B281" s="71"/>
      <c r="C281" s="69"/>
      <c r="D281" s="71"/>
      <c r="E281" s="70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475"/>
      <c r="Q281" s="71"/>
      <c r="R281" s="71"/>
      <c r="T281" s="72"/>
      <c r="U281" s="72"/>
      <c r="V281" s="72"/>
      <c r="W281" s="72"/>
      <c r="X281" s="279"/>
    </row>
    <row r="282" spans="1:24">
      <c r="A282" s="69"/>
      <c r="B282" s="71"/>
      <c r="C282" s="69"/>
      <c r="D282" s="71"/>
      <c r="E282" s="70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475"/>
      <c r="Q282" s="71"/>
      <c r="R282" s="71"/>
      <c r="T282" s="72"/>
      <c r="U282" s="72"/>
      <c r="V282" s="72"/>
      <c r="W282" s="72"/>
      <c r="X282" s="279"/>
    </row>
    <row r="283" spans="1:24">
      <c r="A283" s="69"/>
      <c r="B283" s="71"/>
      <c r="C283" s="69"/>
      <c r="D283" s="71"/>
      <c r="E283" s="70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475"/>
      <c r="Q283" s="71"/>
      <c r="R283" s="71"/>
      <c r="T283" s="72"/>
      <c r="U283" s="72"/>
      <c r="V283" s="72"/>
      <c r="W283" s="72"/>
      <c r="X283" s="279"/>
    </row>
    <row r="284" spans="1:24">
      <c r="A284" s="69"/>
      <c r="B284" s="71"/>
      <c r="C284" s="69"/>
      <c r="D284" s="71"/>
      <c r="E284" s="70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475"/>
      <c r="Q284" s="71"/>
      <c r="R284" s="71"/>
      <c r="T284" s="72"/>
      <c r="U284" s="72"/>
      <c r="V284" s="72"/>
      <c r="W284" s="72"/>
      <c r="X284" s="279"/>
    </row>
    <row r="285" spans="1:24">
      <c r="A285" s="69"/>
      <c r="B285" s="71"/>
      <c r="C285" s="69"/>
      <c r="D285" s="71"/>
      <c r="E285" s="70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475"/>
      <c r="Q285" s="71"/>
      <c r="R285" s="71"/>
      <c r="T285" s="72"/>
      <c r="U285" s="72"/>
      <c r="V285" s="72"/>
      <c r="W285" s="72"/>
      <c r="X285" s="279"/>
    </row>
    <row r="286" spans="1:24">
      <c r="A286" s="69"/>
      <c r="B286" s="71"/>
      <c r="C286" s="69"/>
      <c r="D286" s="71"/>
      <c r="E286" s="70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475"/>
      <c r="Q286" s="71"/>
      <c r="R286" s="71"/>
      <c r="T286" s="72"/>
      <c r="U286" s="72"/>
      <c r="V286" s="72"/>
      <c r="W286" s="72"/>
      <c r="X286" s="279"/>
    </row>
    <row r="287" spans="1:24">
      <c r="A287" s="69"/>
      <c r="B287" s="71"/>
      <c r="C287" s="69"/>
      <c r="D287" s="71"/>
      <c r="E287" s="70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475"/>
      <c r="Q287" s="71"/>
      <c r="R287" s="71"/>
      <c r="T287" s="72"/>
      <c r="U287" s="72"/>
      <c r="V287" s="72"/>
      <c r="W287" s="72"/>
      <c r="X287" s="279"/>
    </row>
    <row r="288" spans="1:24">
      <c r="A288" s="69"/>
      <c r="B288" s="71"/>
      <c r="C288" s="69"/>
      <c r="D288" s="71"/>
      <c r="E288" s="70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475"/>
      <c r="Q288" s="71"/>
      <c r="R288" s="71"/>
      <c r="T288" s="72"/>
      <c r="U288" s="72"/>
      <c r="V288" s="72"/>
      <c r="W288" s="72"/>
      <c r="X288" s="279"/>
    </row>
    <row r="289" spans="1:24">
      <c r="A289" s="69"/>
      <c r="B289" s="71"/>
      <c r="C289" s="69"/>
      <c r="D289" s="71"/>
      <c r="E289" s="70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475"/>
      <c r="Q289" s="71"/>
      <c r="R289" s="71"/>
      <c r="T289" s="72"/>
      <c r="U289" s="72"/>
      <c r="V289" s="72"/>
      <c r="W289" s="72"/>
      <c r="X289" s="279"/>
    </row>
    <row r="290" spans="1:24">
      <c r="A290" s="69"/>
      <c r="B290" s="71"/>
      <c r="C290" s="69"/>
      <c r="D290" s="71"/>
      <c r="E290" s="70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475"/>
      <c r="Q290" s="71"/>
      <c r="R290" s="71"/>
      <c r="T290" s="72"/>
      <c r="U290" s="72"/>
      <c r="V290" s="72"/>
      <c r="W290" s="72"/>
      <c r="X290" s="279"/>
    </row>
    <row r="291" spans="1:24">
      <c r="A291" s="69"/>
      <c r="B291" s="71"/>
      <c r="C291" s="69"/>
      <c r="D291" s="71"/>
      <c r="E291" s="70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475"/>
      <c r="Q291" s="71"/>
      <c r="R291" s="71"/>
      <c r="T291" s="72"/>
      <c r="U291" s="72"/>
      <c r="V291" s="72"/>
      <c r="W291" s="72"/>
      <c r="X291" s="279"/>
    </row>
    <row r="292" spans="1:24">
      <c r="A292" s="69"/>
      <c r="B292" s="71"/>
      <c r="C292" s="69"/>
      <c r="D292" s="71"/>
      <c r="E292" s="70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475"/>
      <c r="Q292" s="71"/>
      <c r="R292" s="71"/>
      <c r="T292" s="72"/>
      <c r="U292" s="72"/>
      <c r="V292" s="72"/>
      <c r="W292" s="72"/>
      <c r="X292" s="279"/>
    </row>
    <row r="293" spans="1:24">
      <c r="A293" s="69"/>
      <c r="B293" s="71"/>
      <c r="C293" s="69"/>
      <c r="D293" s="71"/>
      <c r="E293" s="70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475"/>
      <c r="Q293" s="71"/>
      <c r="R293" s="71"/>
      <c r="T293" s="72"/>
      <c r="U293" s="72"/>
      <c r="V293" s="72"/>
      <c r="W293" s="72"/>
      <c r="X293" s="279"/>
    </row>
    <row r="294" spans="1:24">
      <c r="A294" s="69"/>
      <c r="B294" s="71"/>
      <c r="C294" s="69"/>
      <c r="D294" s="71"/>
      <c r="E294" s="70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475"/>
      <c r="Q294" s="71"/>
      <c r="R294" s="71"/>
      <c r="T294" s="72"/>
      <c r="U294" s="72"/>
      <c r="V294" s="72"/>
      <c r="W294" s="72"/>
      <c r="X294" s="279"/>
    </row>
    <row r="295" spans="1:24">
      <c r="A295" s="69"/>
      <c r="B295" s="71"/>
      <c r="C295" s="69"/>
      <c r="D295" s="71"/>
      <c r="E295" s="70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475"/>
      <c r="Q295" s="71"/>
      <c r="R295" s="71"/>
      <c r="T295" s="72"/>
      <c r="U295" s="72"/>
      <c r="V295" s="72"/>
      <c r="W295" s="72"/>
      <c r="X295" s="279"/>
    </row>
    <row r="296" spans="1:24">
      <c r="A296" s="69"/>
      <c r="B296" s="71"/>
      <c r="C296" s="69"/>
      <c r="D296" s="71"/>
      <c r="E296" s="70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475"/>
      <c r="Q296" s="71"/>
      <c r="R296" s="71"/>
      <c r="T296" s="72"/>
      <c r="U296" s="72"/>
      <c r="V296" s="72"/>
      <c r="W296" s="72"/>
      <c r="X296" s="279"/>
    </row>
    <row r="297" spans="1:24">
      <c r="A297" s="69"/>
      <c r="B297" s="71"/>
      <c r="C297" s="69"/>
      <c r="D297" s="71"/>
      <c r="E297" s="70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475"/>
      <c r="Q297" s="71"/>
      <c r="R297" s="71"/>
      <c r="T297" s="72"/>
      <c r="U297" s="72"/>
      <c r="V297" s="72"/>
      <c r="W297" s="72"/>
      <c r="X297" s="279"/>
    </row>
    <row r="298" spans="1:24">
      <c r="A298" s="69"/>
      <c r="B298" s="71"/>
      <c r="C298" s="69"/>
      <c r="D298" s="71"/>
      <c r="E298" s="70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475"/>
      <c r="Q298" s="71"/>
      <c r="R298" s="71"/>
      <c r="T298" s="72"/>
      <c r="U298" s="72"/>
      <c r="V298" s="72"/>
      <c r="W298" s="72"/>
      <c r="X298" s="279"/>
    </row>
    <row r="299" spans="1:24">
      <c r="A299" s="69"/>
      <c r="B299" s="71"/>
      <c r="C299" s="69"/>
      <c r="D299" s="71"/>
      <c r="E299" s="70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475"/>
      <c r="Q299" s="71"/>
      <c r="R299" s="71"/>
      <c r="T299" s="72"/>
      <c r="U299" s="72"/>
      <c r="V299" s="72"/>
      <c r="W299" s="72"/>
      <c r="X299" s="279"/>
    </row>
    <row r="300" spans="1:24">
      <c r="A300" s="69"/>
      <c r="B300" s="71"/>
      <c r="C300" s="69"/>
      <c r="D300" s="71"/>
      <c r="E300" s="70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475"/>
      <c r="Q300" s="71"/>
      <c r="R300" s="71"/>
      <c r="T300" s="72"/>
      <c r="U300" s="72"/>
      <c r="V300" s="72"/>
      <c r="W300" s="72"/>
      <c r="X300" s="279"/>
    </row>
    <row r="301" spans="1:24">
      <c r="A301" s="69"/>
      <c r="B301" s="71"/>
      <c r="C301" s="69"/>
      <c r="D301" s="71"/>
      <c r="E301" s="70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475"/>
      <c r="Q301" s="71"/>
      <c r="R301" s="71"/>
      <c r="T301" s="72"/>
      <c r="U301" s="72"/>
      <c r="V301" s="72"/>
      <c r="W301" s="72"/>
      <c r="X301" s="279"/>
    </row>
    <row r="302" spans="1:24">
      <c r="A302" s="69"/>
      <c r="B302" s="71"/>
      <c r="C302" s="69"/>
      <c r="D302" s="71"/>
      <c r="E302" s="70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475"/>
      <c r="Q302" s="71"/>
      <c r="R302" s="71"/>
      <c r="T302" s="72"/>
      <c r="U302" s="72"/>
      <c r="V302" s="72"/>
      <c r="W302" s="72"/>
      <c r="X302" s="279"/>
    </row>
    <row r="303" spans="1:24">
      <c r="A303" s="69"/>
      <c r="B303" s="71"/>
      <c r="C303" s="69"/>
      <c r="D303" s="71"/>
      <c r="E303" s="70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475"/>
      <c r="Q303" s="71"/>
      <c r="R303" s="71"/>
      <c r="T303" s="72"/>
      <c r="U303" s="72"/>
      <c r="V303" s="72"/>
      <c r="W303" s="72"/>
      <c r="X303" s="279"/>
    </row>
    <row r="304" spans="1:24">
      <c r="A304" s="69"/>
      <c r="B304" s="71"/>
      <c r="C304" s="69"/>
      <c r="D304" s="71"/>
      <c r="E304" s="70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475"/>
      <c r="Q304" s="71"/>
      <c r="R304" s="71"/>
      <c r="T304" s="72"/>
      <c r="U304" s="72"/>
      <c r="V304" s="72"/>
      <c r="W304" s="72"/>
      <c r="X304" s="279"/>
    </row>
    <row r="305" spans="1:24">
      <c r="A305" s="69"/>
      <c r="B305" s="71"/>
      <c r="C305" s="69"/>
      <c r="D305" s="71"/>
      <c r="E305" s="70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475"/>
      <c r="Q305" s="71"/>
      <c r="R305" s="71"/>
      <c r="T305" s="72"/>
      <c r="U305" s="72"/>
      <c r="V305" s="72"/>
      <c r="W305" s="72"/>
      <c r="X305" s="279"/>
    </row>
    <row r="306" spans="1:24">
      <c r="A306" s="69"/>
      <c r="B306" s="71"/>
      <c r="C306" s="69"/>
      <c r="D306" s="71"/>
      <c r="E306" s="70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475"/>
      <c r="Q306" s="71"/>
      <c r="R306" s="71"/>
      <c r="T306" s="72"/>
      <c r="U306" s="72"/>
      <c r="V306" s="72"/>
      <c r="W306" s="72"/>
      <c r="X306" s="279"/>
    </row>
    <row r="307" spans="1:24">
      <c r="A307" s="69"/>
      <c r="B307" s="71"/>
      <c r="C307" s="69"/>
      <c r="D307" s="71"/>
      <c r="E307" s="70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475"/>
      <c r="Q307" s="71"/>
      <c r="R307" s="71"/>
      <c r="T307" s="72"/>
      <c r="U307" s="72"/>
      <c r="V307" s="72"/>
      <c r="W307" s="72"/>
      <c r="X307" s="279"/>
    </row>
    <row r="308" spans="1:24">
      <c r="A308" s="69"/>
      <c r="B308" s="71"/>
      <c r="C308" s="69"/>
      <c r="D308" s="71"/>
      <c r="E308" s="70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475"/>
      <c r="Q308" s="71"/>
      <c r="R308" s="71"/>
      <c r="T308" s="72"/>
      <c r="U308" s="72"/>
      <c r="V308" s="72"/>
      <c r="W308" s="72"/>
      <c r="X308" s="279"/>
    </row>
    <row r="309" spans="1:24">
      <c r="A309" s="69"/>
      <c r="B309" s="71"/>
      <c r="C309" s="69"/>
      <c r="D309" s="71"/>
      <c r="E309" s="70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475"/>
      <c r="Q309" s="71"/>
      <c r="R309" s="71"/>
      <c r="T309" s="72"/>
      <c r="U309" s="72"/>
      <c r="V309" s="72"/>
      <c r="W309" s="72"/>
      <c r="X309" s="279"/>
    </row>
    <row r="310" spans="1:24">
      <c r="A310" s="69"/>
      <c r="B310" s="71"/>
      <c r="C310" s="69"/>
      <c r="D310" s="71"/>
      <c r="E310" s="70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475"/>
      <c r="Q310" s="71"/>
      <c r="R310" s="71"/>
      <c r="T310" s="72"/>
      <c r="U310" s="72"/>
      <c r="V310" s="72"/>
      <c r="W310" s="72"/>
      <c r="X310" s="279"/>
    </row>
    <row r="311" spans="1:24">
      <c r="A311" s="69"/>
      <c r="B311" s="71"/>
      <c r="C311" s="69"/>
      <c r="D311" s="71"/>
      <c r="E311" s="70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475"/>
      <c r="Q311" s="71"/>
      <c r="R311" s="71"/>
      <c r="T311" s="72"/>
      <c r="U311" s="72"/>
      <c r="V311" s="72"/>
      <c r="W311" s="72"/>
      <c r="X311" s="279"/>
    </row>
    <row r="312" spans="1:24">
      <c r="A312" s="69"/>
      <c r="B312" s="71"/>
      <c r="C312" s="69"/>
      <c r="D312" s="71"/>
      <c r="E312" s="70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475"/>
      <c r="Q312" s="71"/>
      <c r="R312" s="71"/>
      <c r="T312" s="72"/>
      <c r="U312" s="72"/>
      <c r="V312" s="72"/>
      <c r="W312" s="72"/>
      <c r="X312" s="279"/>
    </row>
    <row r="313" spans="1:24">
      <c r="A313" s="69"/>
      <c r="B313" s="71"/>
      <c r="C313" s="69"/>
      <c r="D313" s="71"/>
      <c r="E313" s="70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475"/>
      <c r="Q313" s="71"/>
      <c r="R313" s="71"/>
      <c r="T313" s="72"/>
      <c r="U313" s="72"/>
      <c r="V313" s="72"/>
      <c r="W313" s="72"/>
      <c r="X313" s="279"/>
    </row>
    <row r="314" spans="1:24">
      <c r="A314" s="69"/>
      <c r="B314" s="71"/>
      <c r="C314" s="69"/>
      <c r="D314" s="71"/>
      <c r="E314" s="70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475"/>
      <c r="Q314" s="71"/>
      <c r="R314" s="71"/>
      <c r="T314" s="72"/>
      <c r="U314" s="72"/>
      <c r="V314" s="72"/>
      <c r="W314" s="72"/>
      <c r="X314" s="279"/>
    </row>
    <row r="315" spans="1:24">
      <c r="A315" s="69"/>
      <c r="B315" s="71"/>
      <c r="C315" s="69"/>
      <c r="D315" s="71"/>
      <c r="E315" s="70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475"/>
      <c r="Q315" s="71"/>
      <c r="R315" s="71"/>
      <c r="T315" s="72"/>
      <c r="U315" s="72"/>
      <c r="V315" s="72"/>
      <c r="W315" s="72"/>
      <c r="X315" s="279"/>
    </row>
    <row r="316" spans="1:24">
      <c r="A316" s="69"/>
      <c r="B316" s="71"/>
      <c r="C316" s="69"/>
      <c r="D316" s="71"/>
      <c r="E316" s="70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475"/>
      <c r="Q316" s="71"/>
      <c r="R316" s="71"/>
      <c r="T316" s="72"/>
      <c r="U316" s="72"/>
      <c r="V316" s="72"/>
      <c r="W316" s="72"/>
      <c r="X316" s="279"/>
    </row>
    <row r="317" spans="1:24">
      <c r="A317" s="69"/>
      <c r="B317" s="71"/>
      <c r="C317" s="69"/>
      <c r="D317" s="71"/>
      <c r="E317" s="70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475"/>
      <c r="Q317" s="71"/>
      <c r="R317" s="71"/>
      <c r="T317" s="72"/>
      <c r="U317" s="72"/>
      <c r="V317" s="72"/>
      <c r="W317" s="72"/>
      <c r="X317" s="279"/>
    </row>
    <row r="318" spans="1:24">
      <c r="A318" s="69"/>
      <c r="B318" s="71"/>
      <c r="C318" s="69"/>
      <c r="D318" s="71"/>
      <c r="E318" s="70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475"/>
      <c r="Q318" s="71"/>
      <c r="R318" s="71"/>
      <c r="T318" s="72"/>
      <c r="U318" s="72"/>
      <c r="V318" s="72"/>
      <c r="W318" s="72"/>
      <c r="X318" s="279"/>
    </row>
    <row r="319" spans="1:24">
      <c r="A319" s="69"/>
      <c r="B319" s="71"/>
      <c r="C319" s="69"/>
      <c r="D319" s="71"/>
      <c r="E319" s="70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475"/>
      <c r="Q319" s="71"/>
      <c r="R319" s="71"/>
      <c r="T319" s="72"/>
      <c r="U319" s="72"/>
      <c r="V319" s="72"/>
      <c r="W319" s="72"/>
      <c r="X319" s="279"/>
    </row>
    <row r="320" spans="1:24">
      <c r="A320" s="69"/>
      <c r="B320" s="71"/>
      <c r="C320" s="69"/>
      <c r="D320" s="71"/>
      <c r="E320" s="70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475"/>
      <c r="Q320" s="71"/>
      <c r="R320" s="71"/>
      <c r="T320" s="72"/>
      <c r="U320" s="72"/>
      <c r="V320" s="72"/>
      <c r="W320" s="72"/>
      <c r="X320" s="279"/>
    </row>
    <row r="321" spans="1:24">
      <c r="A321" s="69"/>
      <c r="B321" s="71"/>
      <c r="C321" s="69"/>
      <c r="D321" s="71"/>
      <c r="E321" s="70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475"/>
      <c r="Q321" s="71"/>
      <c r="R321" s="71"/>
      <c r="T321" s="72"/>
      <c r="U321" s="72"/>
      <c r="V321" s="72"/>
      <c r="W321" s="72"/>
      <c r="X321" s="279"/>
    </row>
    <row r="322" spans="1:24">
      <c r="A322" s="69"/>
      <c r="B322" s="71"/>
      <c r="C322" s="69"/>
      <c r="D322" s="71"/>
      <c r="E322" s="70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475"/>
      <c r="Q322" s="71"/>
      <c r="R322" s="71"/>
      <c r="T322" s="72"/>
      <c r="U322" s="72"/>
      <c r="V322" s="72"/>
      <c r="W322" s="72"/>
      <c r="X322" s="279"/>
    </row>
    <row r="323" spans="1:24">
      <c r="A323" s="69"/>
      <c r="B323" s="71"/>
      <c r="C323" s="69"/>
      <c r="D323" s="71"/>
      <c r="E323" s="70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475"/>
      <c r="Q323" s="71"/>
      <c r="R323" s="71"/>
      <c r="T323" s="72"/>
      <c r="U323" s="72"/>
      <c r="V323" s="72"/>
      <c r="W323" s="72"/>
      <c r="X323" s="279"/>
    </row>
    <row r="324" spans="1:24">
      <c r="A324" s="69"/>
      <c r="B324" s="71"/>
      <c r="C324" s="69"/>
      <c r="D324" s="71"/>
      <c r="E324" s="70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475"/>
      <c r="Q324" s="71"/>
      <c r="R324" s="71"/>
      <c r="T324" s="72"/>
      <c r="U324" s="72"/>
      <c r="V324" s="72"/>
      <c r="W324" s="72"/>
      <c r="X324" s="279"/>
    </row>
    <row r="325" spans="1:24">
      <c r="A325" s="69"/>
      <c r="B325" s="71"/>
      <c r="C325" s="69"/>
      <c r="D325" s="71"/>
      <c r="E325" s="70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475"/>
      <c r="Q325" s="71"/>
      <c r="R325" s="71"/>
      <c r="T325" s="72"/>
      <c r="U325" s="72"/>
      <c r="V325" s="72"/>
      <c r="W325" s="72"/>
      <c r="X325" s="279"/>
    </row>
    <row r="326" spans="1:24">
      <c r="A326" s="69"/>
      <c r="B326" s="71"/>
      <c r="C326" s="69"/>
      <c r="D326" s="71"/>
      <c r="E326" s="70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475"/>
      <c r="Q326" s="71"/>
      <c r="R326" s="71"/>
      <c r="T326" s="72"/>
      <c r="U326" s="72"/>
      <c r="V326" s="72"/>
      <c r="W326" s="72"/>
      <c r="X326" s="279"/>
    </row>
    <row r="327" spans="1:24">
      <c r="A327" s="69"/>
      <c r="B327" s="71"/>
      <c r="C327" s="69"/>
      <c r="D327" s="71"/>
      <c r="E327" s="70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475"/>
      <c r="Q327" s="71"/>
      <c r="R327" s="71"/>
      <c r="T327" s="72"/>
      <c r="U327" s="72"/>
      <c r="V327" s="72"/>
      <c r="W327" s="72"/>
      <c r="X327" s="279"/>
    </row>
    <row r="328" spans="1:24">
      <c r="A328" s="69"/>
      <c r="B328" s="71"/>
      <c r="C328" s="69"/>
      <c r="D328" s="71"/>
      <c r="E328" s="70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475"/>
      <c r="Q328" s="71"/>
      <c r="R328" s="71"/>
      <c r="T328" s="72"/>
      <c r="U328" s="72"/>
      <c r="V328" s="72"/>
      <c r="W328" s="72"/>
      <c r="X328" s="279"/>
    </row>
    <row r="329" spans="1:24">
      <c r="A329" s="69"/>
      <c r="B329" s="71"/>
      <c r="C329" s="69"/>
      <c r="D329" s="71"/>
      <c r="E329" s="70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475"/>
      <c r="Q329" s="71"/>
      <c r="R329" s="71"/>
      <c r="T329" s="72"/>
      <c r="U329" s="72"/>
      <c r="V329" s="72"/>
      <c r="W329" s="72"/>
      <c r="X329" s="279"/>
    </row>
    <row r="330" spans="1:24">
      <c r="A330" s="69"/>
      <c r="B330" s="71"/>
      <c r="C330" s="69"/>
      <c r="D330" s="71"/>
      <c r="E330" s="70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475"/>
      <c r="Q330" s="71"/>
      <c r="R330" s="71"/>
      <c r="T330" s="72"/>
      <c r="U330" s="72"/>
      <c r="V330" s="72"/>
      <c r="W330" s="72"/>
      <c r="X330" s="279"/>
    </row>
    <row r="331" spans="1:24">
      <c r="A331" s="69"/>
      <c r="B331" s="71"/>
      <c r="C331" s="69"/>
      <c r="D331" s="71"/>
      <c r="E331" s="70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475"/>
      <c r="Q331" s="71"/>
      <c r="R331" s="71"/>
      <c r="T331" s="72"/>
      <c r="U331" s="72"/>
      <c r="V331" s="72"/>
      <c r="W331" s="72"/>
      <c r="X331" s="279"/>
    </row>
    <row r="332" spans="1:24">
      <c r="A332" s="69"/>
      <c r="B332" s="71"/>
      <c r="C332" s="69"/>
      <c r="D332" s="71"/>
      <c r="E332" s="70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475"/>
      <c r="Q332" s="71"/>
      <c r="R332" s="71"/>
      <c r="T332" s="72"/>
      <c r="U332" s="72"/>
      <c r="V332" s="72"/>
      <c r="W332" s="72"/>
      <c r="X332" s="279"/>
    </row>
    <row r="333" spans="1:24">
      <c r="A333" s="69"/>
      <c r="B333" s="71"/>
      <c r="C333" s="69"/>
      <c r="D333" s="71"/>
      <c r="E333" s="70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475"/>
      <c r="Q333" s="71"/>
      <c r="R333" s="71"/>
      <c r="T333" s="72"/>
      <c r="U333" s="72"/>
      <c r="V333" s="72"/>
      <c r="W333" s="72"/>
      <c r="X333" s="279"/>
    </row>
    <row r="334" spans="1:24">
      <c r="A334" s="69"/>
      <c r="B334" s="71"/>
      <c r="C334" s="69"/>
      <c r="D334" s="71"/>
      <c r="E334" s="70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475"/>
      <c r="Q334" s="71"/>
      <c r="R334" s="71"/>
      <c r="T334" s="72"/>
      <c r="U334" s="72"/>
      <c r="V334" s="72"/>
      <c r="W334" s="72"/>
      <c r="X334" s="279"/>
    </row>
    <row r="335" spans="1:24">
      <c r="A335" s="69"/>
      <c r="B335" s="71"/>
      <c r="C335" s="69"/>
      <c r="D335" s="71"/>
      <c r="E335" s="70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475"/>
      <c r="Q335" s="71"/>
      <c r="R335" s="71"/>
      <c r="T335" s="72"/>
      <c r="U335" s="72"/>
      <c r="V335" s="72"/>
      <c r="W335" s="72"/>
      <c r="X335" s="279"/>
    </row>
    <row r="336" spans="1:24">
      <c r="A336" s="69"/>
      <c r="B336" s="71"/>
      <c r="C336" s="69"/>
      <c r="D336" s="71"/>
      <c r="E336" s="70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475"/>
      <c r="Q336" s="71"/>
      <c r="R336" s="71"/>
      <c r="T336" s="72"/>
      <c r="U336" s="72"/>
      <c r="V336" s="72"/>
      <c r="W336" s="72"/>
      <c r="X336" s="279"/>
    </row>
    <row r="337" spans="1:24">
      <c r="A337" s="69"/>
      <c r="B337" s="71"/>
      <c r="C337" s="69"/>
      <c r="D337" s="71"/>
      <c r="E337" s="70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475"/>
      <c r="Q337" s="71"/>
      <c r="R337" s="71"/>
      <c r="T337" s="72"/>
      <c r="U337" s="72"/>
      <c r="V337" s="72"/>
      <c r="W337" s="72"/>
      <c r="X337" s="279"/>
    </row>
    <row r="338" spans="1:24">
      <c r="A338" s="69"/>
      <c r="B338" s="71"/>
      <c r="C338" s="69"/>
      <c r="D338" s="71"/>
      <c r="E338" s="70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475"/>
      <c r="Q338" s="71"/>
      <c r="R338" s="71"/>
      <c r="T338" s="72"/>
      <c r="U338" s="72"/>
      <c r="V338" s="72"/>
      <c r="W338" s="72"/>
      <c r="X338" s="279"/>
    </row>
    <row r="339" spans="1:24">
      <c r="A339" s="69"/>
      <c r="B339" s="71"/>
      <c r="C339" s="69"/>
      <c r="D339" s="71"/>
      <c r="E339" s="70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475"/>
      <c r="Q339" s="71"/>
      <c r="R339" s="71"/>
      <c r="T339" s="72"/>
      <c r="U339" s="72"/>
      <c r="V339" s="72"/>
      <c r="W339" s="72"/>
      <c r="X339" s="279"/>
    </row>
    <row r="340" spans="1:24">
      <c r="A340" s="69"/>
      <c r="B340" s="71"/>
      <c r="C340" s="69"/>
      <c r="D340" s="71"/>
      <c r="E340" s="70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475"/>
      <c r="Q340" s="71"/>
      <c r="R340" s="71"/>
      <c r="T340" s="72"/>
      <c r="U340" s="72"/>
      <c r="V340" s="72"/>
      <c r="W340" s="72"/>
      <c r="X340" s="279"/>
    </row>
    <row r="341" spans="1:24">
      <c r="A341" s="69"/>
      <c r="B341" s="71"/>
      <c r="C341" s="69"/>
      <c r="D341" s="71"/>
      <c r="E341" s="70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475"/>
      <c r="Q341" s="71"/>
      <c r="R341" s="71"/>
      <c r="T341" s="72"/>
      <c r="U341" s="72"/>
      <c r="V341" s="72"/>
      <c r="W341" s="72"/>
      <c r="X341" s="279"/>
    </row>
    <row r="342" spans="1:24">
      <c r="A342" s="69"/>
      <c r="B342" s="71"/>
      <c r="C342" s="69"/>
      <c r="D342" s="71"/>
      <c r="E342" s="70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475"/>
      <c r="Q342" s="71"/>
      <c r="R342" s="71"/>
      <c r="T342" s="72"/>
      <c r="U342" s="72"/>
      <c r="V342" s="72"/>
      <c r="W342" s="72"/>
      <c r="X342" s="279"/>
    </row>
    <row r="343" spans="1:24">
      <c r="A343" s="69"/>
      <c r="B343" s="71"/>
      <c r="C343" s="69"/>
      <c r="D343" s="71"/>
      <c r="E343" s="70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475"/>
      <c r="Q343" s="71"/>
      <c r="R343" s="71"/>
      <c r="T343" s="72"/>
      <c r="U343" s="72"/>
      <c r="V343" s="72"/>
      <c r="W343" s="72"/>
      <c r="X343" s="279"/>
    </row>
    <row r="344" spans="1:24">
      <c r="A344" s="69"/>
      <c r="B344" s="71"/>
      <c r="C344" s="69"/>
      <c r="D344" s="71"/>
      <c r="E344" s="70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475"/>
      <c r="Q344" s="71"/>
      <c r="R344" s="71"/>
      <c r="T344" s="72"/>
      <c r="U344" s="72"/>
      <c r="V344" s="72"/>
      <c r="W344" s="72"/>
      <c r="X344" s="279"/>
    </row>
    <row r="345" spans="1:24">
      <c r="A345" s="69"/>
      <c r="B345" s="71"/>
      <c r="C345" s="69"/>
      <c r="D345" s="71"/>
      <c r="E345" s="70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475"/>
      <c r="Q345" s="71"/>
      <c r="R345" s="71"/>
      <c r="T345" s="72"/>
      <c r="U345" s="72"/>
      <c r="V345" s="72"/>
      <c r="W345" s="72"/>
      <c r="X345" s="279"/>
    </row>
    <row r="346" spans="1:24">
      <c r="A346" s="69"/>
      <c r="B346" s="71"/>
      <c r="C346" s="69"/>
      <c r="D346" s="71"/>
      <c r="E346" s="70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475"/>
      <c r="Q346" s="71"/>
      <c r="R346" s="71"/>
      <c r="T346" s="72"/>
      <c r="U346" s="72"/>
      <c r="V346" s="72"/>
      <c r="W346" s="72"/>
      <c r="X346" s="279"/>
    </row>
    <row r="347" spans="1:24">
      <c r="A347" s="69"/>
      <c r="B347" s="71"/>
      <c r="C347" s="69"/>
      <c r="D347" s="71"/>
      <c r="E347" s="70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475"/>
      <c r="Q347" s="71"/>
      <c r="R347" s="71"/>
      <c r="T347" s="72"/>
      <c r="U347" s="72"/>
      <c r="V347" s="72"/>
      <c r="W347" s="72"/>
      <c r="X347" s="279"/>
    </row>
    <row r="348" spans="1:24">
      <c r="A348" s="69"/>
      <c r="B348" s="71"/>
      <c r="C348" s="69"/>
      <c r="D348" s="71"/>
      <c r="E348" s="70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475"/>
      <c r="Q348" s="71"/>
      <c r="R348" s="71"/>
      <c r="T348" s="72"/>
      <c r="U348" s="72"/>
      <c r="V348" s="72"/>
      <c r="W348" s="72"/>
      <c r="X348" s="279"/>
    </row>
    <row r="349" spans="1:24">
      <c r="A349" s="69"/>
      <c r="B349" s="71"/>
      <c r="C349" s="69"/>
      <c r="D349" s="71"/>
      <c r="E349" s="70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475"/>
      <c r="Q349" s="71"/>
      <c r="R349" s="71"/>
      <c r="T349" s="72"/>
      <c r="U349" s="72"/>
      <c r="V349" s="72"/>
      <c r="W349" s="72"/>
      <c r="X349" s="279"/>
    </row>
    <row r="350" spans="1:24">
      <c r="A350" s="69"/>
      <c r="B350" s="71"/>
      <c r="C350" s="69"/>
      <c r="D350" s="71"/>
      <c r="E350" s="70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475"/>
      <c r="Q350" s="71"/>
      <c r="R350" s="71"/>
      <c r="T350" s="72"/>
      <c r="U350" s="72"/>
      <c r="V350" s="72"/>
      <c r="W350" s="72"/>
      <c r="X350" s="279"/>
    </row>
    <row r="351" spans="1:24">
      <c r="A351" s="69"/>
      <c r="B351" s="71"/>
      <c r="C351" s="69"/>
      <c r="D351" s="71"/>
      <c r="E351" s="70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475"/>
      <c r="Q351" s="71"/>
      <c r="R351" s="71"/>
      <c r="T351" s="72"/>
      <c r="U351" s="72"/>
      <c r="V351" s="72"/>
      <c r="W351" s="72"/>
      <c r="X351" s="279"/>
    </row>
    <row r="352" spans="1:24">
      <c r="A352" s="69"/>
      <c r="B352" s="71"/>
      <c r="C352" s="69"/>
      <c r="D352" s="71"/>
      <c r="E352" s="70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475"/>
      <c r="Q352" s="71"/>
      <c r="R352" s="71"/>
      <c r="T352" s="72"/>
      <c r="U352" s="72"/>
      <c r="V352" s="72"/>
      <c r="W352" s="72"/>
      <c r="X352" s="279"/>
    </row>
    <row r="353" spans="1:24">
      <c r="A353" s="69"/>
      <c r="B353" s="71"/>
      <c r="C353" s="69"/>
      <c r="D353" s="71"/>
      <c r="E353" s="70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475"/>
      <c r="Q353" s="71"/>
      <c r="R353" s="71"/>
      <c r="T353" s="72"/>
      <c r="U353" s="72"/>
      <c r="V353" s="72"/>
      <c r="W353" s="72"/>
      <c r="X353" s="279"/>
    </row>
    <row r="354" spans="1:24">
      <c r="A354" s="69"/>
      <c r="B354" s="71"/>
      <c r="C354" s="69"/>
      <c r="D354" s="71"/>
      <c r="E354" s="70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475"/>
      <c r="Q354" s="71"/>
      <c r="R354" s="71"/>
      <c r="T354" s="72"/>
      <c r="U354" s="72"/>
      <c r="V354" s="72"/>
      <c r="W354" s="72"/>
      <c r="X354" s="279"/>
    </row>
    <row r="355" spans="1:24">
      <c r="A355" s="69"/>
      <c r="B355" s="71"/>
      <c r="C355" s="69"/>
      <c r="D355" s="71"/>
      <c r="E355" s="70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475"/>
      <c r="Q355" s="71"/>
      <c r="R355" s="71"/>
      <c r="T355" s="72"/>
      <c r="U355" s="72"/>
      <c r="V355" s="72"/>
      <c r="W355" s="72"/>
      <c r="X355" s="279"/>
    </row>
    <row r="356" spans="1:24">
      <c r="A356" s="69"/>
      <c r="B356" s="71"/>
      <c r="C356" s="69"/>
      <c r="D356" s="71"/>
      <c r="E356" s="70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475"/>
      <c r="Q356" s="71"/>
      <c r="R356" s="71"/>
      <c r="T356" s="72"/>
      <c r="U356" s="72"/>
      <c r="V356" s="72"/>
      <c r="W356" s="72"/>
      <c r="X356" s="279"/>
    </row>
    <row r="357" spans="1:24">
      <c r="A357" s="69"/>
      <c r="B357" s="71"/>
      <c r="C357" s="69"/>
      <c r="D357" s="71"/>
      <c r="E357" s="70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475"/>
      <c r="Q357" s="71"/>
      <c r="R357" s="71"/>
      <c r="T357" s="72"/>
      <c r="U357" s="72"/>
      <c r="V357" s="72"/>
      <c r="W357" s="72"/>
      <c r="X357" s="279"/>
    </row>
    <row r="358" spans="1:24">
      <c r="A358" s="69"/>
      <c r="B358" s="71"/>
      <c r="C358" s="69"/>
      <c r="D358" s="71"/>
      <c r="E358" s="70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475"/>
      <c r="Q358" s="71"/>
      <c r="R358" s="71"/>
      <c r="T358" s="72"/>
      <c r="U358" s="72"/>
      <c r="V358" s="72"/>
      <c r="W358" s="72"/>
      <c r="X358" s="279"/>
    </row>
    <row r="359" spans="1:24">
      <c r="A359" s="69"/>
      <c r="B359" s="71"/>
      <c r="C359" s="69"/>
      <c r="D359" s="71"/>
      <c r="E359" s="70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475"/>
      <c r="Q359" s="71"/>
      <c r="R359" s="71"/>
      <c r="T359" s="72"/>
      <c r="U359" s="72"/>
      <c r="V359" s="72"/>
      <c r="W359" s="72"/>
      <c r="X359" s="279"/>
    </row>
    <row r="360" spans="1:24">
      <c r="A360" s="69"/>
      <c r="B360" s="71"/>
      <c r="C360" s="69"/>
      <c r="D360" s="71"/>
      <c r="E360" s="70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475"/>
      <c r="Q360" s="71"/>
      <c r="R360" s="71"/>
      <c r="T360" s="72"/>
      <c r="U360" s="72"/>
      <c r="V360" s="72"/>
      <c r="W360" s="72"/>
      <c r="X360" s="279"/>
    </row>
    <row r="361" spans="1:24">
      <c r="A361" s="69"/>
      <c r="B361" s="71"/>
      <c r="C361" s="69"/>
      <c r="D361" s="71"/>
      <c r="E361" s="70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475"/>
      <c r="Q361" s="71"/>
      <c r="R361" s="71"/>
      <c r="T361" s="72"/>
      <c r="U361" s="72"/>
      <c r="V361" s="72"/>
      <c r="W361" s="72"/>
      <c r="X361" s="279"/>
    </row>
    <row r="362" spans="1:24">
      <c r="A362" s="69"/>
      <c r="B362" s="71"/>
      <c r="C362" s="69"/>
      <c r="D362" s="71"/>
      <c r="E362" s="70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475"/>
      <c r="Q362" s="71"/>
      <c r="R362" s="71"/>
      <c r="T362" s="72"/>
      <c r="U362" s="72"/>
      <c r="V362" s="72"/>
      <c r="W362" s="72"/>
      <c r="X362" s="279"/>
    </row>
    <row r="363" spans="1:24">
      <c r="A363" s="69"/>
      <c r="B363" s="71"/>
      <c r="C363" s="69"/>
      <c r="D363" s="71"/>
      <c r="E363" s="70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475"/>
      <c r="Q363" s="71"/>
      <c r="R363" s="71"/>
      <c r="T363" s="72"/>
      <c r="U363" s="72"/>
      <c r="V363" s="72"/>
      <c r="W363" s="72"/>
      <c r="X363" s="279"/>
    </row>
    <row r="364" spans="1:24">
      <c r="A364" s="69"/>
      <c r="B364" s="71"/>
      <c r="C364" s="69"/>
      <c r="D364" s="71"/>
      <c r="E364" s="70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475"/>
      <c r="Q364" s="71"/>
      <c r="R364" s="71"/>
      <c r="T364" s="72"/>
      <c r="U364" s="72"/>
      <c r="V364" s="72"/>
      <c r="W364" s="72"/>
      <c r="X364" s="279"/>
    </row>
    <row r="365" spans="1:24">
      <c r="A365" s="69"/>
      <c r="B365" s="71"/>
      <c r="C365" s="69"/>
      <c r="D365" s="71"/>
      <c r="E365" s="70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475"/>
      <c r="Q365" s="71"/>
      <c r="R365" s="71"/>
      <c r="T365" s="72"/>
      <c r="U365" s="72"/>
      <c r="V365" s="72"/>
      <c r="W365" s="72"/>
      <c r="X365" s="279"/>
    </row>
    <row r="366" spans="1:24">
      <c r="A366" s="69"/>
      <c r="B366" s="71"/>
      <c r="C366" s="69"/>
      <c r="D366" s="71"/>
      <c r="E366" s="70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475"/>
      <c r="Q366" s="71"/>
      <c r="R366" s="71"/>
      <c r="T366" s="72"/>
      <c r="U366" s="72"/>
      <c r="V366" s="72"/>
      <c r="W366" s="72"/>
      <c r="X366" s="279"/>
    </row>
    <row r="367" spans="1:24">
      <c r="A367" s="69"/>
      <c r="B367" s="71"/>
      <c r="C367" s="69"/>
      <c r="D367" s="71"/>
      <c r="E367" s="70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475"/>
      <c r="Q367" s="71"/>
      <c r="R367" s="71"/>
      <c r="T367" s="72"/>
      <c r="U367" s="72"/>
      <c r="V367" s="72"/>
      <c r="W367" s="72"/>
      <c r="X367" s="279"/>
    </row>
    <row r="368" spans="1:24">
      <c r="A368" s="69"/>
      <c r="B368" s="71"/>
      <c r="C368" s="69"/>
      <c r="D368" s="71"/>
      <c r="E368" s="70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475"/>
      <c r="Q368" s="71"/>
      <c r="R368" s="71"/>
      <c r="T368" s="72"/>
      <c r="U368" s="72"/>
      <c r="V368" s="72"/>
      <c r="W368" s="72"/>
      <c r="X368" s="279"/>
    </row>
    <row r="369" spans="1:24">
      <c r="A369" s="69"/>
      <c r="B369" s="71"/>
      <c r="C369" s="69"/>
      <c r="D369" s="71"/>
      <c r="E369" s="70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475"/>
      <c r="Q369" s="71"/>
      <c r="R369" s="71"/>
      <c r="T369" s="72"/>
      <c r="U369" s="72"/>
      <c r="V369" s="72"/>
      <c r="W369" s="72"/>
      <c r="X369" s="279"/>
    </row>
    <row r="370" spans="1:24">
      <c r="A370" s="69"/>
      <c r="B370" s="71"/>
      <c r="C370" s="69"/>
      <c r="D370" s="71"/>
      <c r="E370" s="70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475"/>
      <c r="Q370" s="71"/>
      <c r="R370" s="71"/>
      <c r="T370" s="72"/>
      <c r="U370" s="72"/>
      <c r="V370" s="72"/>
      <c r="W370" s="72"/>
      <c r="X370" s="279"/>
    </row>
    <row r="371" spans="1:24">
      <c r="A371" s="69"/>
      <c r="B371" s="71"/>
      <c r="C371" s="69"/>
      <c r="D371" s="71"/>
      <c r="E371" s="70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475"/>
      <c r="Q371" s="71"/>
      <c r="R371" s="71"/>
      <c r="T371" s="72"/>
      <c r="U371" s="72"/>
      <c r="V371" s="72"/>
      <c r="W371" s="72"/>
      <c r="X371" s="279"/>
    </row>
    <row r="372" spans="1:24">
      <c r="A372" s="69"/>
      <c r="B372" s="71"/>
      <c r="C372" s="69"/>
      <c r="D372" s="71"/>
      <c r="E372" s="70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475"/>
      <c r="Q372" s="71"/>
      <c r="R372" s="71"/>
      <c r="T372" s="72"/>
      <c r="U372" s="72"/>
      <c r="V372" s="72"/>
      <c r="W372" s="72"/>
      <c r="X372" s="279"/>
    </row>
    <row r="373" spans="1:24">
      <c r="A373" s="69"/>
      <c r="B373" s="71"/>
      <c r="C373" s="69"/>
      <c r="D373" s="71"/>
      <c r="E373" s="70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475"/>
      <c r="Q373" s="71"/>
      <c r="R373" s="71"/>
      <c r="T373" s="72"/>
      <c r="U373" s="72"/>
      <c r="V373" s="72"/>
      <c r="W373" s="72"/>
      <c r="X373" s="279"/>
    </row>
    <row r="374" spans="1:24">
      <c r="A374" s="69"/>
      <c r="B374" s="71"/>
      <c r="C374" s="69"/>
      <c r="D374" s="71"/>
      <c r="E374" s="70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475"/>
      <c r="Q374" s="71"/>
      <c r="R374" s="71"/>
      <c r="T374" s="72"/>
      <c r="U374" s="72"/>
      <c r="V374" s="72"/>
      <c r="W374" s="72"/>
      <c r="X374" s="279"/>
    </row>
    <row r="375" spans="1:24">
      <c r="A375" s="69"/>
      <c r="B375" s="71"/>
      <c r="C375" s="69"/>
      <c r="D375" s="71"/>
      <c r="E375" s="70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475"/>
      <c r="Q375" s="71"/>
      <c r="R375" s="71"/>
      <c r="T375" s="72"/>
      <c r="U375" s="72"/>
      <c r="V375" s="72"/>
      <c r="W375" s="72"/>
      <c r="X375" s="279"/>
    </row>
    <row r="376" spans="1:24">
      <c r="A376" s="69"/>
      <c r="B376" s="71"/>
      <c r="C376" s="69"/>
      <c r="D376" s="71"/>
      <c r="E376" s="70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475"/>
      <c r="Q376" s="71"/>
      <c r="R376" s="71"/>
      <c r="T376" s="72"/>
      <c r="U376" s="72"/>
      <c r="V376" s="72"/>
      <c r="W376" s="72"/>
      <c r="X376" s="279"/>
    </row>
    <row r="377" spans="1:24">
      <c r="A377" s="69"/>
      <c r="B377" s="71"/>
      <c r="C377" s="69"/>
      <c r="D377" s="71"/>
      <c r="E377" s="70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475"/>
      <c r="Q377" s="71"/>
      <c r="R377" s="71"/>
      <c r="T377" s="72"/>
      <c r="U377" s="72"/>
      <c r="V377" s="72"/>
      <c r="W377" s="72"/>
      <c r="X377" s="279"/>
    </row>
    <row r="378" spans="1:24">
      <c r="A378" s="69"/>
      <c r="B378" s="71"/>
      <c r="C378" s="69"/>
      <c r="D378" s="71"/>
      <c r="E378" s="70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475"/>
      <c r="Q378" s="71"/>
      <c r="R378" s="71"/>
      <c r="T378" s="72"/>
      <c r="U378" s="72"/>
      <c r="V378" s="72"/>
      <c r="W378" s="72"/>
      <c r="X378" s="279"/>
    </row>
    <row r="379" spans="1:24">
      <c r="A379" s="69"/>
      <c r="B379" s="71"/>
      <c r="C379" s="69"/>
      <c r="D379" s="71"/>
      <c r="E379" s="70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475"/>
      <c r="Q379" s="71"/>
      <c r="R379" s="71"/>
      <c r="T379" s="72"/>
      <c r="U379" s="72"/>
      <c r="V379" s="72"/>
      <c r="W379" s="72"/>
      <c r="X379" s="279"/>
    </row>
    <row r="380" spans="1:24">
      <c r="A380" s="69"/>
      <c r="B380" s="71"/>
      <c r="C380" s="69"/>
      <c r="D380" s="71"/>
      <c r="E380" s="70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475"/>
      <c r="Q380" s="71"/>
      <c r="R380" s="71"/>
      <c r="T380" s="72"/>
      <c r="U380" s="72"/>
      <c r="V380" s="72"/>
      <c r="W380" s="72"/>
      <c r="X380" s="279"/>
    </row>
    <row r="381" spans="1:24">
      <c r="A381" s="69"/>
      <c r="B381" s="71"/>
      <c r="C381" s="69"/>
      <c r="D381" s="71"/>
      <c r="E381" s="70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475"/>
      <c r="Q381" s="71"/>
      <c r="R381" s="71"/>
      <c r="T381" s="72"/>
      <c r="U381" s="72"/>
      <c r="V381" s="72"/>
      <c r="W381" s="72"/>
      <c r="X381" s="279"/>
    </row>
    <row r="382" spans="1:24">
      <c r="A382" s="69"/>
      <c r="B382" s="71"/>
      <c r="C382" s="69"/>
      <c r="D382" s="71"/>
      <c r="E382" s="70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475"/>
      <c r="Q382" s="71"/>
      <c r="R382" s="71"/>
      <c r="T382" s="72"/>
      <c r="U382" s="72"/>
      <c r="V382" s="72"/>
      <c r="W382" s="72"/>
      <c r="X382" s="279"/>
    </row>
    <row r="383" spans="1:24">
      <c r="A383" s="69"/>
      <c r="B383" s="71"/>
      <c r="C383" s="69"/>
      <c r="D383" s="71"/>
      <c r="E383" s="70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475"/>
      <c r="Q383" s="71"/>
      <c r="R383" s="71"/>
      <c r="T383" s="72"/>
      <c r="U383" s="72"/>
      <c r="V383" s="72"/>
      <c r="W383" s="72"/>
      <c r="X383" s="279"/>
    </row>
    <row r="384" spans="1:24">
      <c r="A384" s="69"/>
      <c r="B384" s="71"/>
      <c r="C384" s="69"/>
      <c r="D384" s="71"/>
      <c r="E384" s="70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475"/>
      <c r="Q384" s="71"/>
      <c r="R384" s="71"/>
      <c r="T384" s="72"/>
      <c r="U384" s="72"/>
      <c r="V384" s="72"/>
      <c r="W384" s="72"/>
      <c r="X384" s="279"/>
    </row>
    <row r="385" spans="1:24">
      <c r="A385" s="69"/>
      <c r="B385" s="71"/>
      <c r="C385" s="69"/>
      <c r="D385" s="71"/>
      <c r="E385" s="70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475"/>
      <c r="Q385" s="71"/>
      <c r="R385" s="71"/>
      <c r="T385" s="72"/>
      <c r="U385" s="72"/>
      <c r="V385" s="72"/>
      <c r="W385" s="72"/>
      <c r="X385" s="279"/>
    </row>
    <row r="386" spans="1:24">
      <c r="A386" s="69"/>
      <c r="B386" s="71"/>
      <c r="C386" s="69"/>
      <c r="D386" s="71"/>
      <c r="E386" s="70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475"/>
      <c r="Q386" s="71"/>
      <c r="R386" s="71"/>
      <c r="T386" s="72"/>
      <c r="U386" s="72"/>
      <c r="V386" s="72"/>
      <c r="W386" s="72"/>
      <c r="X386" s="279"/>
    </row>
    <row r="387" spans="1:24">
      <c r="A387" s="69"/>
      <c r="B387" s="71"/>
      <c r="C387" s="69"/>
      <c r="D387" s="71"/>
      <c r="E387" s="70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475"/>
      <c r="Q387" s="71"/>
      <c r="R387" s="71"/>
      <c r="T387" s="72"/>
      <c r="U387" s="72"/>
      <c r="V387" s="72"/>
      <c r="W387" s="72"/>
      <c r="X387" s="279"/>
    </row>
    <row r="388" spans="1:24">
      <c r="A388" s="69"/>
      <c r="B388" s="71"/>
      <c r="C388" s="69"/>
      <c r="D388" s="71"/>
      <c r="E388" s="70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475"/>
      <c r="Q388" s="71"/>
      <c r="R388" s="71"/>
      <c r="T388" s="72"/>
      <c r="U388" s="72"/>
      <c r="V388" s="72"/>
      <c r="W388" s="72"/>
      <c r="X388" s="279"/>
    </row>
    <row r="389" spans="1:24">
      <c r="A389" s="69"/>
      <c r="B389" s="71"/>
      <c r="C389" s="69"/>
      <c r="D389" s="71"/>
      <c r="E389" s="70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475"/>
      <c r="Q389" s="71"/>
      <c r="R389" s="71"/>
      <c r="T389" s="72"/>
      <c r="U389" s="72"/>
      <c r="V389" s="72"/>
      <c r="W389" s="72"/>
      <c r="X389" s="279"/>
    </row>
    <row r="390" spans="1:24">
      <c r="A390" s="69"/>
      <c r="B390" s="71"/>
      <c r="C390" s="69"/>
      <c r="D390" s="71"/>
      <c r="E390" s="70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475"/>
      <c r="Q390" s="71"/>
      <c r="R390" s="71"/>
      <c r="T390" s="72"/>
      <c r="U390" s="72"/>
      <c r="V390" s="72"/>
      <c r="W390" s="72"/>
      <c r="X390" s="279"/>
    </row>
    <row r="391" spans="1:24">
      <c r="A391" s="69"/>
      <c r="B391" s="71"/>
      <c r="C391" s="69"/>
      <c r="D391" s="71"/>
      <c r="E391" s="70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475"/>
      <c r="Q391" s="71"/>
      <c r="R391" s="71"/>
      <c r="T391" s="72"/>
      <c r="U391" s="72"/>
      <c r="V391" s="72"/>
      <c r="W391" s="72"/>
      <c r="X391" s="279"/>
    </row>
    <row r="392" spans="1:24">
      <c r="A392" s="69"/>
      <c r="B392" s="71"/>
      <c r="C392" s="69"/>
      <c r="D392" s="71"/>
      <c r="E392" s="70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475"/>
      <c r="Q392" s="71"/>
      <c r="R392" s="71"/>
      <c r="T392" s="72"/>
      <c r="U392" s="72"/>
      <c r="V392" s="72"/>
      <c r="W392" s="72"/>
      <c r="X392" s="279"/>
    </row>
    <row r="393" spans="1:24">
      <c r="A393" s="69"/>
      <c r="B393" s="71"/>
      <c r="C393" s="69"/>
      <c r="D393" s="71"/>
      <c r="E393" s="70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475"/>
      <c r="Q393" s="71"/>
      <c r="R393" s="71"/>
      <c r="T393" s="72"/>
      <c r="U393" s="72"/>
      <c r="V393" s="72"/>
      <c r="W393" s="72"/>
      <c r="X393" s="279"/>
    </row>
    <row r="394" spans="1:24">
      <c r="A394" s="69"/>
      <c r="B394" s="71"/>
      <c r="C394" s="69"/>
      <c r="D394" s="71"/>
      <c r="E394" s="70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475"/>
      <c r="Q394" s="71"/>
      <c r="R394" s="71"/>
      <c r="T394" s="72"/>
      <c r="U394" s="72"/>
      <c r="V394" s="72"/>
      <c r="W394" s="72"/>
      <c r="X394" s="279"/>
    </row>
    <row r="395" spans="1:24">
      <c r="A395" s="69"/>
      <c r="B395" s="71"/>
      <c r="C395" s="69"/>
      <c r="D395" s="71"/>
      <c r="E395" s="70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475"/>
      <c r="Q395" s="71"/>
      <c r="R395" s="71"/>
      <c r="T395" s="72"/>
      <c r="U395" s="72"/>
      <c r="V395" s="72"/>
      <c r="W395" s="72"/>
      <c r="X395" s="279"/>
    </row>
    <row r="396" spans="1:24">
      <c r="A396" s="69"/>
      <c r="B396" s="71"/>
      <c r="C396" s="69"/>
      <c r="D396" s="71"/>
      <c r="E396" s="70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475"/>
      <c r="Q396" s="71"/>
      <c r="R396" s="71"/>
      <c r="T396" s="72"/>
      <c r="U396" s="72"/>
      <c r="V396" s="72"/>
      <c r="W396" s="72"/>
      <c r="X396" s="279"/>
    </row>
    <row r="397" spans="1:24">
      <c r="A397" s="69"/>
      <c r="B397" s="71"/>
      <c r="C397" s="69"/>
      <c r="D397" s="71"/>
      <c r="E397" s="70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475"/>
      <c r="Q397" s="71"/>
      <c r="R397" s="71"/>
      <c r="T397" s="72"/>
      <c r="U397" s="72"/>
      <c r="V397" s="72"/>
      <c r="W397" s="72"/>
      <c r="X397" s="279"/>
    </row>
    <row r="398" spans="1:24">
      <c r="A398" s="69"/>
      <c r="B398" s="71"/>
      <c r="C398" s="69"/>
      <c r="D398" s="71"/>
      <c r="E398" s="70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475"/>
      <c r="Q398" s="71"/>
      <c r="R398" s="71"/>
      <c r="T398" s="72"/>
      <c r="U398" s="72"/>
      <c r="V398" s="72"/>
      <c r="W398" s="72"/>
      <c r="X398" s="279"/>
    </row>
    <row r="399" spans="1:24">
      <c r="A399" s="69"/>
      <c r="B399" s="71"/>
      <c r="C399" s="69"/>
      <c r="D399" s="71"/>
      <c r="E399" s="70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475"/>
      <c r="Q399" s="71"/>
      <c r="R399" s="71"/>
      <c r="T399" s="72"/>
      <c r="U399" s="72"/>
      <c r="V399" s="72"/>
      <c r="W399" s="72"/>
      <c r="X399" s="279"/>
    </row>
    <row r="400" spans="1:24">
      <c r="A400" s="69"/>
      <c r="B400" s="71"/>
      <c r="C400" s="69"/>
      <c r="D400" s="71"/>
      <c r="E400" s="70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475"/>
      <c r="Q400" s="71"/>
      <c r="R400" s="71"/>
      <c r="T400" s="72"/>
      <c r="U400" s="72"/>
      <c r="V400" s="72"/>
      <c r="W400" s="72"/>
      <c r="X400" s="279"/>
    </row>
    <row r="401" spans="1:24">
      <c r="A401" s="69"/>
      <c r="B401" s="71"/>
      <c r="C401" s="69"/>
      <c r="D401" s="71"/>
      <c r="E401" s="70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475"/>
      <c r="Q401" s="71"/>
      <c r="R401" s="71"/>
      <c r="T401" s="72"/>
      <c r="U401" s="72"/>
      <c r="V401" s="72"/>
      <c r="W401" s="72"/>
      <c r="X401" s="279"/>
    </row>
    <row r="402" spans="1:24">
      <c r="A402" s="69"/>
      <c r="B402" s="71"/>
      <c r="C402" s="69"/>
      <c r="D402" s="71"/>
      <c r="E402" s="70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475"/>
      <c r="Q402" s="71"/>
      <c r="R402" s="71"/>
      <c r="T402" s="72"/>
      <c r="U402" s="72"/>
      <c r="V402" s="72"/>
      <c r="W402" s="72"/>
      <c r="X402" s="279"/>
    </row>
    <row r="403" spans="1:24">
      <c r="A403" s="69"/>
      <c r="B403" s="71"/>
      <c r="C403" s="69"/>
      <c r="D403" s="71"/>
      <c r="E403" s="70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475"/>
      <c r="Q403" s="71"/>
      <c r="R403" s="71"/>
      <c r="T403" s="72"/>
      <c r="U403" s="72"/>
      <c r="V403" s="72"/>
      <c r="W403" s="72"/>
      <c r="X403" s="279"/>
    </row>
    <row r="404" spans="1:24">
      <c r="A404" s="69"/>
      <c r="B404" s="71"/>
      <c r="C404" s="69"/>
      <c r="D404" s="71"/>
      <c r="E404" s="70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475"/>
      <c r="Q404" s="71"/>
      <c r="R404" s="71"/>
      <c r="T404" s="72"/>
      <c r="U404" s="72"/>
      <c r="V404" s="72"/>
      <c r="W404" s="72"/>
      <c r="X404" s="279"/>
    </row>
    <row r="405" spans="1:24">
      <c r="A405" s="69"/>
      <c r="B405" s="71"/>
      <c r="C405" s="69"/>
      <c r="D405" s="71"/>
      <c r="E405" s="70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475"/>
      <c r="Q405" s="71"/>
      <c r="R405" s="71"/>
      <c r="T405" s="72"/>
      <c r="U405" s="72"/>
      <c r="V405" s="72"/>
      <c r="W405" s="72"/>
      <c r="X405" s="279"/>
    </row>
    <row r="406" spans="1:24">
      <c r="A406" s="69"/>
      <c r="B406" s="71"/>
      <c r="C406" s="69"/>
      <c r="D406" s="71"/>
      <c r="E406" s="70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475"/>
      <c r="Q406" s="71"/>
      <c r="R406" s="71"/>
      <c r="T406" s="72"/>
      <c r="U406" s="72"/>
      <c r="V406" s="72"/>
      <c r="W406" s="72"/>
      <c r="X406" s="279"/>
    </row>
    <row r="407" spans="1:24">
      <c r="A407" s="69"/>
      <c r="B407" s="71"/>
      <c r="C407" s="69"/>
      <c r="D407" s="71"/>
      <c r="E407" s="70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475"/>
      <c r="Q407" s="71"/>
      <c r="R407" s="71"/>
      <c r="T407" s="72"/>
      <c r="U407" s="72"/>
      <c r="V407" s="72"/>
      <c r="W407" s="72"/>
      <c r="X407" s="279"/>
    </row>
    <row r="408" spans="1:24">
      <c r="A408" s="69"/>
      <c r="B408" s="71"/>
      <c r="C408" s="69"/>
      <c r="D408" s="71"/>
      <c r="E408" s="70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475"/>
      <c r="Q408" s="71"/>
      <c r="R408" s="71"/>
      <c r="T408" s="72"/>
      <c r="U408" s="72"/>
      <c r="V408" s="72"/>
      <c r="W408" s="72"/>
      <c r="X408" s="279"/>
    </row>
    <row r="409" spans="1:24">
      <c r="A409" s="69"/>
      <c r="B409" s="71"/>
      <c r="C409" s="69"/>
      <c r="D409" s="71"/>
      <c r="E409" s="70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475"/>
      <c r="Q409" s="71"/>
      <c r="R409" s="71"/>
      <c r="T409" s="72"/>
      <c r="U409" s="72"/>
      <c r="V409" s="72"/>
      <c r="W409" s="72"/>
      <c r="X409" s="279"/>
    </row>
    <row r="410" spans="1:24">
      <c r="A410" s="69"/>
      <c r="B410" s="71"/>
      <c r="C410" s="69"/>
      <c r="D410" s="71"/>
      <c r="E410" s="70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475"/>
      <c r="Q410" s="71"/>
      <c r="R410" s="71"/>
      <c r="T410" s="72"/>
      <c r="U410" s="72"/>
      <c r="V410" s="72"/>
      <c r="W410" s="72"/>
      <c r="X410" s="279"/>
    </row>
    <row r="411" spans="1:24">
      <c r="A411" s="69"/>
      <c r="B411" s="71"/>
      <c r="C411" s="69"/>
      <c r="D411" s="71"/>
      <c r="E411" s="70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475"/>
      <c r="Q411" s="71"/>
      <c r="R411" s="71"/>
      <c r="T411" s="72"/>
      <c r="U411" s="72"/>
      <c r="V411" s="72"/>
      <c r="W411" s="72"/>
      <c r="X411" s="279"/>
    </row>
    <row r="412" spans="1:24">
      <c r="A412" s="69"/>
      <c r="B412" s="71"/>
      <c r="C412" s="69"/>
      <c r="D412" s="71"/>
      <c r="E412" s="70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475"/>
      <c r="Q412" s="71"/>
      <c r="R412" s="71"/>
      <c r="T412" s="72"/>
      <c r="U412" s="72"/>
      <c r="V412" s="72"/>
      <c r="W412" s="72"/>
      <c r="X412" s="279"/>
    </row>
    <row r="413" spans="1:24">
      <c r="A413" s="69"/>
      <c r="B413" s="71"/>
      <c r="C413" s="69"/>
      <c r="D413" s="71"/>
      <c r="E413" s="70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475"/>
      <c r="Q413" s="71"/>
      <c r="R413" s="71"/>
      <c r="T413" s="72"/>
      <c r="U413" s="72"/>
      <c r="V413" s="72"/>
      <c r="W413" s="72"/>
      <c r="X413" s="279"/>
    </row>
    <row r="414" spans="1:24">
      <c r="A414" s="69"/>
      <c r="B414" s="71"/>
      <c r="C414" s="69"/>
      <c r="D414" s="71"/>
      <c r="E414" s="70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475"/>
      <c r="Q414" s="71"/>
      <c r="R414" s="71"/>
      <c r="T414" s="72"/>
      <c r="U414" s="72"/>
      <c r="V414" s="72"/>
      <c r="W414" s="72"/>
      <c r="X414" s="279"/>
    </row>
    <row r="415" spans="1:24">
      <c r="A415" s="69"/>
      <c r="B415" s="71"/>
      <c r="C415" s="69"/>
      <c r="D415" s="71"/>
      <c r="E415" s="70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475"/>
      <c r="Q415" s="71"/>
      <c r="R415" s="71"/>
      <c r="T415" s="72"/>
      <c r="U415" s="72"/>
      <c r="V415" s="72"/>
      <c r="W415" s="72"/>
      <c r="X415" s="279"/>
    </row>
    <row r="416" spans="1:24">
      <c r="A416" s="69"/>
      <c r="B416" s="71"/>
      <c r="C416" s="69"/>
      <c r="D416" s="71"/>
      <c r="E416" s="70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475"/>
      <c r="Q416" s="71"/>
      <c r="R416" s="71"/>
      <c r="T416" s="72"/>
      <c r="U416" s="72"/>
      <c r="V416" s="72"/>
      <c r="W416" s="72"/>
      <c r="X416" s="279"/>
    </row>
    <row r="417" spans="1:24">
      <c r="A417" s="69"/>
      <c r="B417" s="71"/>
      <c r="C417" s="69"/>
      <c r="D417" s="71"/>
      <c r="E417" s="70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475"/>
      <c r="Q417" s="71"/>
      <c r="R417" s="71"/>
      <c r="T417" s="72"/>
      <c r="U417" s="72"/>
      <c r="V417" s="72"/>
      <c r="W417" s="72"/>
      <c r="X417" s="279"/>
    </row>
    <row r="418" spans="1:24">
      <c r="A418" s="69"/>
      <c r="B418" s="71"/>
      <c r="C418" s="69"/>
      <c r="D418" s="71"/>
      <c r="E418" s="70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475"/>
      <c r="Q418" s="71"/>
      <c r="R418" s="71"/>
      <c r="T418" s="72"/>
      <c r="U418" s="72"/>
      <c r="V418" s="72"/>
      <c r="W418" s="72"/>
      <c r="X418" s="279"/>
    </row>
    <row r="419" spans="1:24">
      <c r="A419" s="69"/>
      <c r="B419" s="71"/>
      <c r="C419" s="69"/>
      <c r="D419" s="71"/>
      <c r="E419" s="70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475"/>
      <c r="Q419" s="71"/>
      <c r="R419" s="71"/>
      <c r="T419" s="72"/>
      <c r="U419" s="72"/>
      <c r="V419" s="72"/>
      <c r="W419" s="72"/>
      <c r="X419" s="279"/>
    </row>
    <row r="420" spans="1:24">
      <c r="A420" s="69"/>
      <c r="B420" s="71"/>
      <c r="C420" s="69"/>
      <c r="D420" s="71"/>
      <c r="E420" s="70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475"/>
      <c r="Q420" s="71"/>
      <c r="R420" s="71"/>
      <c r="T420" s="72"/>
      <c r="U420" s="72"/>
      <c r="V420" s="72"/>
      <c r="W420" s="72"/>
      <c r="X420" s="279"/>
    </row>
    <row r="421" spans="1:24">
      <c r="A421" s="69"/>
      <c r="B421" s="71"/>
      <c r="C421" s="69"/>
      <c r="D421" s="71"/>
      <c r="E421" s="70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475"/>
      <c r="Q421" s="71"/>
      <c r="R421" s="71"/>
      <c r="T421" s="72"/>
      <c r="U421" s="72"/>
      <c r="V421" s="72"/>
      <c r="W421" s="72"/>
      <c r="X421" s="279"/>
    </row>
    <row r="422" spans="1:24">
      <c r="A422" s="69"/>
      <c r="B422" s="71"/>
      <c r="C422" s="69"/>
      <c r="D422" s="71"/>
      <c r="E422" s="70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475"/>
      <c r="Q422" s="71"/>
      <c r="R422" s="71"/>
      <c r="T422" s="72"/>
      <c r="U422" s="72"/>
      <c r="V422" s="72"/>
      <c r="W422" s="72"/>
      <c r="X422" s="279"/>
    </row>
    <row r="423" spans="1:24">
      <c r="A423" s="69"/>
      <c r="B423" s="71"/>
      <c r="C423" s="69"/>
      <c r="D423" s="71"/>
      <c r="E423" s="70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475"/>
      <c r="Q423" s="71"/>
      <c r="R423" s="71"/>
      <c r="T423" s="72"/>
      <c r="U423" s="72"/>
      <c r="V423" s="72"/>
      <c r="W423" s="72"/>
      <c r="X423" s="279"/>
    </row>
    <row r="424" spans="1:24">
      <c r="A424" s="69"/>
      <c r="B424" s="71"/>
      <c r="C424" s="69"/>
      <c r="D424" s="71"/>
      <c r="E424" s="70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475"/>
      <c r="Q424" s="71"/>
      <c r="R424" s="71"/>
      <c r="T424" s="72"/>
      <c r="U424" s="72"/>
      <c r="V424" s="72"/>
      <c r="W424" s="72"/>
      <c r="X424" s="279"/>
    </row>
    <row r="425" spans="1:24">
      <c r="A425" s="69"/>
      <c r="B425" s="71"/>
      <c r="C425" s="69"/>
      <c r="D425" s="71"/>
      <c r="E425" s="70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475"/>
      <c r="Q425" s="71"/>
      <c r="R425" s="71"/>
      <c r="T425" s="72"/>
      <c r="U425" s="72"/>
      <c r="V425" s="72"/>
      <c r="W425" s="72"/>
      <c r="X425" s="279"/>
    </row>
    <row r="426" spans="1:24">
      <c r="A426" s="69"/>
      <c r="B426" s="71"/>
      <c r="C426" s="69"/>
      <c r="D426" s="71"/>
      <c r="E426" s="70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475"/>
      <c r="Q426" s="71"/>
      <c r="R426" s="71"/>
      <c r="T426" s="72"/>
      <c r="U426" s="72"/>
      <c r="V426" s="72"/>
      <c r="W426" s="72"/>
      <c r="X426" s="279"/>
    </row>
    <row r="427" spans="1:24">
      <c r="A427" s="69"/>
      <c r="B427" s="71"/>
      <c r="C427" s="69"/>
      <c r="D427" s="71"/>
      <c r="E427" s="70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475"/>
      <c r="Q427" s="71"/>
      <c r="R427" s="71"/>
      <c r="T427" s="72"/>
      <c r="U427" s="72"/>
      <c r="V427" s="72"/>
      <c r="W427" s="72"/>
      <c r="X427" s="279"/>
    </row>
    <row r="428" spans="1:24">
      <c r="A428" s="69"/>
      <c r="B428" s="71"/>
      <c r="C428" s="69"/>
      <c r="D428" s="71"/>
      <c r="E428" s="70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475"/>
      <c r="Q428" s="71"/>
      <c r="R428" s="71"/>
      <c r="T428" s="72"/>
      <c r="U428" s="72"/>
      <c r="V428" s="72"/>
      <c r="W428" s="72"/>
      <c r="X428" s="279"/>
    </row>
    <row r="429" spans="1:24">
      <c r="A429" s="69"/>
      <c r="B429" s="71"/>
      <c r="C429" s="69"/>
      <c r="D429" s="71"/>
      <c r="E429" s="70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475"/>
      <c r="Q429" s="71"/>
      <c r="R429" s="71"/>
      <c r="T429" s="72"/>
      <c r="U429" s="72"/>
      <c r="V429" s="72"/>
      <c r="W429" s="72"/>
      <c r="X429" s="279"/>
    </row>
    <row r="430" spans="1:24">
      <c r="A430" s="69"/>
      <c r="B430" s="71"/>
      <c r="C430" s="69"/>
      <c r="D430" s="71"/>
      <c r="E430" s="70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475"/>
      <c r="Q430" s="71"/>
      <c r="R430" s="71"/>
      <c r="T430" s="72"/>
      <c r="U430" s="72"/>
      <c r="V430" s="72"/>
      <c r="W430" s="72"/>
      <c r="X430" s="279"/>
    </row>
    <row r="431" spans="1:24">
      <c r="A431" s="69"/>
      <c r="B431" s="71"/>
      <c r="C431" s="69"/>
      <c r="D431" s="71"/>
      <c r="E431" s="70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475"/>
      <c r="Q431" s="71"/>
      <c r="R431" s="71"/>
      <c r="T431" s="72"/>
      <c r="U431" s="72"/>
      <c r="V431" s="72"/>
      <c r="W431" s="72"/>
      <c r="X431" s="279"/>
    </row>
    <row r="432" spans="1:24">
      <c r="A432" s="69"/>
      <c r="B432" s="71"/>
      <c r="C432" s="69"/>
      <c r="D432" s="71"/>
      <c r="E432" s="70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475"/>
      <c r="Q432" s="71"/>
      <c r="R432" s="71"/>
      <c r="T432" s="72"/>
      <c r="U432" s="72"/>
      <c r="V432" s="72"/>
      <c r="W432" s="72"/>
      <c r="X432" s="279"/>
    </row>
    <row r="433" spans="1:24">
      <c r="A433" s="69"/>
      <c r="B433" s="71"/>
      <c r="C433" s="69"/>
      <c r="D433" s="71"/>
      <c r="E433" s="70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475"/>
      <c r="Q433" s="71"/>
      <c r="R433" s="71"/>
      <c r="T433" s="72"/>
      <c r="U433" s="72"/>
      <c r="V433" s="72"/>
      <c r="W433" s="72"/>
      <c r="X433" s="279"/>
    </row>
    <row r="434" spans="1:24">
      <c r="A434" s="69"/>
      <c r="B434" s="71"/>
      <c r="C434" s="69"/>
      <c r="D434" s="71"/>
      <c r="E434" s="70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475"/>
      <c r="Q434" s="71"/>
      <c r="R434" s="71"/>
      <c r="T434" s="72"/>
      <c r="U434" s="72"/>
      <c r="V434" s="72"/>
      <c r="W434" s="72"/>
      <c r="X434" s="279"/>
    </row>
    <row r="435" spans="1:24">
      <c r="A435" s="69"/>
      <c r="B435" s="71"/>
      <c r="C435" s="69"/>
      <c r="D435" s="71"/>
      <c r="E435" s="70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475"/>
      <c r="Q435" s="71"/>
      <c r="R435" s="71"/>
      <c r="T435" s="72"/>
      <c r="U435" s="72"/>
      <c r="V435" s="72"/>
      <c r="W435" s="72"/>
      <c r="X435" s="279"/>
    </row>
    <row r="436" spans="1:24">
      <c r="A436" s="69"/>
      <c r="B436" s="71"/>
      <c r="C436" s="69"/>
      <c r="D436" s="71"/>
      <c r="E436" s="70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475"/>
      <c r="Q436" s="71"/>
      <c r="R436" s="71"/>
      <c r="T436" s="72"/>
      <c r="U436" s="72"/>
      <c r="V436" s="72"/>
      <c r="W436" s="72"/>
      <c r="X436" s="279"/>
    </row>
    <row r="437" spans="1:24">
      <c r="A437" s="69"/>
      <c r="B437" s="71"/>
      <c r="C437" s="69"/>
      <c r="D437" s="71"/>
      <c r="E437" s="70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475"/>
      <c r="Q437" s="71"/>
      <c r="R437" s="71"/>
      <c r="T437" s="72"/>
      <c r="U437" s="72"/>
      <c r="V437" s="72"/>
      <c r="W437" s="72"/>
      <c r="X437" s="279"/>
    </row>
    <row r="438" spans="1:24">
      <c r="A438" s="69"/>
      <c r="B438" s="71"/>
      <c r="C438" s="69"/>
      <c r="D438" s="71"/>
      <c r="E438" s="70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475"/>
      <c r="Q438" s="71"/>
      <c r="R438" s="71"/>
      <c r="T438" s="72"/>
      <c r="U438" s="72"/>
      <c r="V438" s="72"/>
      <c r="W438" s="72"/>
      <c r="X438" s="279"/>
    </row>
    <row r="439" spans="1:24">
      <c r="A439" s="69"/>
      <c r="B439" s="71"/>
      <c r="C439" s="69"/>
      <c r="D439" s="71"/>
      <c r="E439" s="70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475"/>
      <c r="Q439" s="71"/>
      <c r="R439" s="71"/>
      <c r="T439" s="72"/>
      <c r="U439" s="72"/>
      <c r="V439" s="72"/>
      <c r="W439" s="72"/>
      <c r="X439" s="279"/>
    </row>
    <row r="440" spans="1:24">
      <c r="A440" s="69"/>
      <c r="B440" s="71"/>
      <c r="C440" s="69"/>
      <c r="D440" s="71"/>
      <c r="E440" s="70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475"/>
      <c r="Q440" s="71"/>
      <c r="R440" s="71"/>
      <c r="T440" s="72"/>
      <c r="U440" s="72"/>
      <c r="V440" s="72"/>
      <c r="W440" s="72"/>
      <c r="X440" s="279"/>
    </row>
    <row r="441" spans="1:24">
      <c r="A441" s="69"/>
      <c r="B441" s="71"/>
      <c r="C441" s="69"/>
      <c r="D441" s="71"/>
      <c r="E441" s="70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475"/>
      <c r="Q441" s="71"/>
      <c r="R441" s="71"/>
      <c r="T441" s="72"/>
      <c r="U441" s="72"/>
      <c r="V441" s="72"/>
      <c r="W441" s="72"/>
      <c r="X441" s="279"/>
    </row>
    <row r="442" spans="1:24">
      <c r="A442" s="69"/>
      <c r="B442" s="71"/>
      <c r="C442" s="69"/>
      <c r="D442" s="71"/>
      <c r="E442" s="70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475"/>
      <c r="Q442" s="71"/>
      <c r="R442" s="71"/>
      <c r="T442" s="72"/>
      <c r="U442" s="72"/>
      <c r="V442" s="72"/>
      <c r="W442" s="72"/>
      <c r="X442" s="279"/>
    </row>
    <row r="443" spans="1:24">
      <c r="A443" s="69"/>
      <c r="B443" s="71"/>
      <c r="C443" s="69"/>
      <c r="D443" s="71"/>
      <c r="E443" s="70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475"/>
      <c r="Q443" s="71"/>
      <c r="R443" s="71"/>
      <c r="T443" s="72"/>
      <c r="U443" s="72"/>
      <c r="V443" s="72"/>
      <c r="W443" s="72"/>
      <c r="X443" s="279"/>
    </row>
    <row r="444" spans="1:24">
      <c r="A444" s="69"/>
      <c r="B444" s="71"/>
      <c r="C444" s="69"/>
      <c r="D444" s="71"/>
      <c r="E444" s="70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475"/>
      <c r="Q444" s="71"/>
      <c r="R444" s="71"/>
      <c r="T444" s="72"/>
      <c r="U444" s="72"/>
      <c r="V444" s="72"/>
      <c r="W444" s="72"/>
      <c r="X444" s="279"/>
    </row>
    <row r="445" spans="1:24">
      <c r="A445" s="69"/>
      <c r="B445" s="71"/>
      <c r="C445" s="69"/>
      <c r="D445" s="71"/>
      <c r="E445" s="70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475"/>
      <c r="Q445" s="71"/>
      <c r="R445" s="71"/>
      <c r="T445" s="72"/>
      <c r="U445" s="72"/>
      <c r="V445" s="72"/>
      <c r="W445" s="72"/>
      <c r="X445" s="279"/>
    </row>
    <row r="446" spans="1:24">
      <c r="A446" s="69"/>
      <c r="B446" s="71"/>
      <c r="C446" s="69"/>
      <c r="D446" s="71"/>
      <c r="E446" s="70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475"/>
      <c r="Q446" s="71"/>
      <c r="R446" s="71"/>
      <c r="T446" s="72"/>
      <c r="U446" s="72"/>
      <c r="V446" s="72"/>
      <c r="W446" s="72"/>
      <c r="X446" s="279"/>
    </row>
    <row r="447" spans="1:24">
      <c r="A447" s="69"/>
      <c r="B447" s="71"/>
      <c r="C447" s="69"/>
      <c r="D447" s="71"/>
      <c r="E447" s="70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475"/>
      <c r="Q447" s="71"/>
      <c r="R447" s="71"/>
      <c r="T447" s="72"/>
      <c r="U447" s="72"/>
      <c r="V447" s="72"/>
      <c r="W447" s="72"/>
      <c r="X447" s="279"/>
    </row>
    <row r="448" spans="1:24">
      <c r="A448" s="69"/>
      <c r="B448" s="71"/>
      <c r="C448" s="69"/>
      <c r="D448" s="71"/>
      <c r="E448" s="70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475"/>
      <c r="Q448" s="71"/>
      <c r="R448" s="71"/>
      <c r="T448" s="72"/>
      <c r="U448" s="72"/>
      <c r="V448" s="72"/>
      <c r="W448" s="72"/>
      <c r="X448" s="279"/>
    </row>
  </sheetData>
  <mergeCells count="20">
    <mergeCell ref="F5:S5"/>
    <mergeCell ref="D5:E7"/>
    <mergeCell ref="A5:C7"/>
    <mergeCell ref="A1:V1"/>
    <mergeCell ref="N61:N91"/>
    <mergeCell ref="U5:U7"/>
    <mergeCell ref="V5:V7"/>
    <mergeCell ref="X5:X6"/>
    <mergeCell ref="T5:T7"/>
    <mergeCell ref="AD3:AD6"/>
    <mergeCell ref="AE3:AH3"/>
    <mergeCell ref="AI3:AL3"/>
    <mergeCell ref="Y4:Y6"/>
    <mergeCell ref="Z4:Z6"/>
    <mergeCell ref="AA4:AA6"/>
    <mergeCell ref="AB4:AB6"/>
    <mergeCell ref="AC4:AC6"/>
    <mergeCell ref="AE4:AH4"/>
    <mergeCell ref="AI4:AL4"/>
    <mergeCell ref="AA3:AC3"/>
  </mergeCells>
  <phoneticPr fontId="83" type="noConversion"/>
  <printOptions horizontalCentered="1"/>
  <pageMargins left="0.25" right="0.25" top="0.5" bottom="0.75" header="0.3" footer="0.3"/>
  <pageSetup paperSize="9" scale="64" fitToHeight="0" orientation="portrait" r:id="rId1"/>
  <headerFooter alignWithMargins="0">
    <oddFooter>&amp;R&amp;"Arial,Italic"&amp;9PMO-T-OPM-006-R00</oddFooter>
  </headerFooter>
  <rowBreaks count="3" manualBreakCount="3">
    <brk id="60" max="18" man="1"/>
    <brk id="108" max="18" man="1"/>
    <brk id="164" max="18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5C42-616E-46E1-8106-D2086BB8979F}">
  <sheetPr>
    <tabColor rgb="FFFFFF00"/>
    <pageSetUpPr fitToPage="1"/>
  </sheetPr>
  <dimension ref="A1:AB117"/>
  <sheetViews>
    <sheetView topLeftCell="A11" workbookViewId="0">
      <selection activeCell="Z13" sqref="Z13"/>
    </sheetView>
  </sheetViews>
  <sheetFormatPr defaultRowHeight="15"/>
  <cols>
    <col min="1" max="1" width="9.140625" style="286"/>
    <col min="2" max="2" width="3.7109375" style="286" customWidth="1"/>
    <col min="3" max="3" width="5.7109375" style="289" customWidth="1"/>
    <col min="4" max="4" width="3.7109375" style="286" customWidth="1"/>
    <col min="5" max="5" width="46.7109375" style="286" customWidth="1"/>
    <col min="6" max="6" width="3.7109375" style="290" customWidth="1"/>
    <col min="7" max="9" width="12.7109375" style="290" customWidth="1"/>
    <col min="10" max="10" width="3.7109375" style="291" customWidth="1"/>
    <col min="11" max="11" width="5.7109375" style="286" customWidth="1"/>
    <col min="12" max="12" width="3.7109375" style="286" customWidth="1"/>
    <col min="13" max="13" width="9.140625" style="286" bestFit="1"/>
    <col min="14" max="14" width="9.140625" style="286"/>
    <col min="15" max="262" width="9.140625" style="286" bestFit="1"/>
    <col min="263" max="263" width="3.42578125" style="286" customWidth="1"/>
    <col min="264" max="264" width="6.5703125" style="286" customWidth="1"/>
    <col min="265" max="265" width="55.5703125" style="286" customWidth="1"/>
    <col min="266" max="267" width="12.42578125" style="286" customWidth="1"/>
    <col min="268" max="268" width="9.140625" style="286" bestFit="1"/>
    <col min="269" max="269" width="3.42578125" style="286" customWidth="1"/>
    <col min="270" max="518" width="9.140625" style="286" bestFit="1"/>
    <col min="519" max="519" width="3.42578125" style="286" customWidth="1"/>
    <col min="520" max="520" width="6.5703125" style="286" customWidth="1"/>
    <col min="521" max="521" width="55.5703125" style="286" customWidth="1"/>
    <col min="522" max="523" width="12.42578125" style="286" customWidth="1"/>
    <col min="524" max="524" width="9.140625" style="286" bestFit="1"/>
    <col min="525" max="525" width="3.42578125" style="286" customWidth="1"/>
    <col min="526" max="774" width="9.140625" style="286" bestFit="1"/>
    <col min="775" max="775" width="3.42578125" style="286" customWidth="1"/>
    <col min="776" max="776" width="6.5703125" style="286" customWidth="1"/>
    <col min="777" max="777" width="55.5703125" style="286" customWidth="1"/>
    <col min="778" max="779" width="12.42578125" style="286" customWidth="1"/>
    <col min="780" max="780" width="9.140625" style="286" bestFit="1"/>
    <col min="781" max="781" width="3.42578125" style="286" customWidth="1"/>
    <col min="782" max="1030" width="9.140625" style="286" bestFit="1"/>
    <col min="1031" max="1031" width="3.42578125" style="286" customWidth="1"/>
    <col min="1032" max="1032" width="6.5703125" style="286" customWidth="1"/>
    <col min="1033" max="1033" width="55.5703125" style="286" customWidth="1"/>
    <col min="1034" max="1035" width="12.42578125" style="286" customWidth="1"/>
    <col min="1036" max="1036" width="9.140625" style="286" bestFit="1"/>
    <col min="1037" max="1037" width="3.42578125" style="286" customWidth="1"/>
    <col min="1038" max="1286" width="9.140625" style="286" bestFit="1"/>
    <col min="1287" max="1287" width="3.42578125" style="286" customWidth="1"/>
    <col min="1288" max="1288" width="6.5703125" style="286" customWidth="1"/>
    <col min="1289" max="1289" width="55.5703125" style="286" customWidth="1"/>
    <col min="1290" max="1291" width="12.42578125" style="286" customWidth="1"/>
    <col min="1292" max="1292" width="9.140625" style="286" bestFit="1"/>
    <col min="1293" max="1293" width="3.42578125" style="286" customWidth="1"/>
    <col min="1294" max="1542" width="9.140625" style="286" bestFit="1"/>
    <col min="1543" max="1543" width="3.42578125" style="286" customWidth="1"/>
    <col min="1544" max="1544" width="6.5703125" style="286" customWidth="1"/>
    <col min="1545" max="1545" width="55.5703125" style="286" customWidth="1"/>
    <col min="1546" max="1547" width="12.42578125" style="286" customWidth="1"/>
    <col min="1548" max="1548" width="9.140625" style="286" bestFit="1"/>
    <col min="1549" max="1549" width="3.42578125" style="286" customWidth="1"/>
    <col min="1550" max="1798" width="9.140625" style="286" bestFit="1"/>
    <col min="1799" max="1799" width="3.42578125" style="286" customWidth="1"/>
    <col min="1800" max="1800" width="6.5703125" style="286" customWidth="1"/>
    <col min="1801" max="1801" width="55.5703125" style="286" customWidth="1"/>
    <col min="1802" max="1803" width="12.42578125" style="286" customWidth="1"/>
    <col min="1804" max="1804" width="9.140625" style="286" bestFit="1"/>
    <col min="1805" max="1805" width="3.42578125" style="286" customWidth="1"/>
    <col min="1806" max="2054" width="9.140625" style="286" bestFit="1"/>
    <col min="2055" max="2055" width="3.42578125" style="286" customWidth="1"/>
    <col min="2056" max="2056" width="6.5703125" style="286" customWidth="1"/>
    <col min="2057" max="2057" width="55.5703125" style="286" customWidth="1"/>
    <col min="2058" max="2059" width="12.42578125" style="286" customWidth="1"/>
    <col min="2060" max="2060" width="9.140625" style="286" bestFit="1"/>
    <col min="2061" max="2061" width="3.42578125" style="286" customWidth="1"/>
    <col min="2062" max="2310" width="9.140625" style="286" bestFit="1"/>
    <col min="2311" max="2311" width="3.42578125" style="286" customWidth="1"/>
    <col min="2312" max="2312" width="6.5703125" style="286" customWidth="1"/>
    <col min="2313" max="2313" width="55.5703125" style="286" customWidth="1"/>
    <col min="2314" max="2315" width="12.42578125" style="286" customWidth="1"/>
    <col min="2316" max="2316" width="9.140625" style="286" bestFit="1"/>
    <col min="2317" max="2317" width="3.42578125" style="286" customWidth="1"/>
    <col min="2318" max="2566" width="9.140625" style="286" bestFit="1"/>
    <col min="2567" max="2567" width="3.42578125" style="286" customWidth="1"/>
    <col min="2568" max="2568" width="6.5703125" style="286" customWidth="1"/>
    <col min="2569" max="2569" width="55.5703125" style="286" customWidth="1"/>
    <col min="2570" max="2571" width="12.42578125" style="286" customWidth="1"/>
    <col min="2572" max="2572" width="9.140625" style="286" bestFit="1"/>
    <col min="2573" max="2573" width="3.42578125" style="286" customWidth="1"/>
    <col min="2574" max="2822" width="9.140625" style="286" bestFit="1"/>
    <col min="2823" max="2823" width="3.42578125" style="286" customWidth="1"/>
    <col min="2824" max="2824" width="6.5703125" style="286" customWidth="1"/>
    <col min="2825" max="2825" width="55.5703125" style="286" customWidth="1"/>
    <col min="2826" max="2827" width="12.42578125" style="286" customWidth="1"/>
    <col min="2828" max="2828" width="9.140625" style="286" bestFit="1"/>
    <col min="2829" max="2829" width="3.42578125" style="286" customWidth="1"/>
    <col min="2830" max="3078" width="9.140625" style="286" bestFit="1"/>
    <col min="3079" max="3079" width="3.42578125" style="286" customWidth="1"/>
    <col min="3080" max="3080" width="6.5703125" style="286" customWidth="1"/>
    <col min="3081" max="3081" width="55.5703125" style="286" customWidth="1"/>
    <col min="3082" max="3083" width="12.42578125" style="286" customWidth="1"/>
    <col min="3084" max="3084" width="9.140625" style="286" bestFit="1"/>
    <col min="3085" max="3085" width="3.42578125" style="286" customWidth="1"/>
    <col min="3086" max="3334" width="9.140625" style="286" bestFit="1"/>
    <col min="3335" max="3335" width="3.42578125" style="286" customWidth="1"/>
    <col min="3336" max="3336" width="6.5703125" style="286" customWidth="1"/>
    <col min="3337" max="3337" width="55.5703125" style="286" customWidth="1"/>
    <col min="3338" max="3339" width="12.42578125" style="286" customWidth="1"/>
    <col min="3340" max="3340" width="9.140625" style="286" bestFit="1"/>
    <col min="3341" max="3341" width="3.42578125" style="286" customWidth="1"/>
    <col min="3342" max="3590" width="9.140625" style="286" bestFit="1"/>
    <col min="3591" max="3591" width="3.42578125" style="286" customWidth="1"/>
    <col min="3592" max="3592" width="6.5703125" style="286" customWidth="1"/>
    <col min="3593" max="3593" width="55.5703125" style="286" customWidth="1"/>
    <col min="3594" max="3595" width="12.42578125" style="286" customWidth="1"/>
    <col min="3596" max="3596" width="9.140625" style="286" bestFit="1"/>
    <col min="3597" max="3597" width="3.42578125" style="286" customWidth="1"/>
    <col min="3598" max="3846" width="9.140625" style="286" bestFit="1"/>
    <col min="3847" max="3847" width="3.42578125" style="286" customWidth="1"/>
    <col min="3848" max="3848" width="6.5703125" style="286" customWidth="1"/>
    <col min="3849" max="3849" width="55.5703125" style="286" customWidth="1"/>
    <col min="3850" max="3851" width="12.42578125" style="286" customWidth="1"/>
    <col min="3852" max="3852" width="9.140625" style="286" bestFit="1"/>
    <col min="3853" max="3853" width="3.42578125" style="286" customWidth="1"/>
    <col min="3854" max="4102" width="9.140625" style="286" bestFit="1"/>
    <col min="4103" max="4103" width="3.42578125" style="286" customWidth="1"/>
    <col min="4104" max="4104" width="6.5703125" style="286" customWidth="1"/>
    <col min="4105" max="4105" width="55.5703125" style="286" customWidth="1"/>
    <col min="4106" max="4107" width="12.42578125" style="286" customWidth="1"/>
    <col min="4108" max="4108" width="9.140625" style="286" bestFit="1"/>
    <col min="4109" max="4109" width="3.42578125" style="286" customWidth="1"/>
    <col min="4110" max="4358" width="9.140625" style="286" bestFit="1"/>
    <col min="4359" max="4359" width="3.42578125" style="286" customWidth="1"/>
    <col min="4360" max="4360" width="6.5703125" style="286" customWidth="1"/>
    <col min="4361" max="4361" width="55.5703125" style="286" customWidth="1"/>
    <col min="4362" max="4363" width="12.42578125" style="286" customWidth="1"/>
    <col min="4364" max="4364" width="9.140625" style="286" bestFit="1"/>
    <col min="4365" max="4365" width="3.42578125" style="286" customWidth="1"/>
    <col min="4366" max="4614" width="9.140625" style="286" bestFit="1"/>
    <col min="4615" max="4615" width="3.42578125" style="286" customWidth="1"/>
    <col min="4616" max="4616" width="6.5703125" style="286" customWidth="1"/>
    <col min="4617" max="4617" width="55.5703125" style="286" customWidth="1"/>
    <col min="4618" max="4619" width="12.42578125" style="286" customWidth="1"/>
    <col min="4620" max="4620" width="9.140625" style="286" bestFit="1"/>
    <col min="4621" max="4621" width="3.42578125" style="286" customWidth="1"/>
    <col min="4622" max="4870" width="9.140625" style="286" bestFit="1"/>
    <col min="4871" max="4871" width="3.42578125" style="286" customWidth="1"/>
    <col min="4872" max="4872" width="6.5703125" style="286" customWidth="1"/>
    <col min="4873" max="4873" width="55.5703125" style="286" customWidth="1"/>
    <col min="4874" max="4875" width="12.42578125" style="286" customWidth="1"/>
    <col min="4876" max="4876" width="9.140625" style="286" bestFit="1"/>
    <col min="4877" max="4877" width="3.42578125" style="286" customWidth="1"/>
    <col min="4878" max="5126" width="9.140625" style="286" bestFit="1"/>
    <col min="5127" max="5127" width="3.42578125" style="286" customWidth="1"/>
    <col min="5128" max="5128" width="6.5703125" style="286" customWidth="1"/>
    <col min="5129" max="5129" width="55.5703125" style="286" customWidth="1"/>
    <col min="5130" max="5131" width="12.42578125" style="286" customWidth="1"/>
    <col min="5132" max="5132" width="9.140625" style="286" bestFit="1"/>
    <col min="5133" max="5133" width="3.42578125" style="286" customWidth="1"/>
    <col min="5134" max="5382" width="9.140625" style="286" bestFit="1"/>
    <col min="5383" max="5383" width="3.42578125" style="286" customWidth="1"/>
    <col min="5384" max="5384" width="6.5703125" style="286" customWidth="1"/>
    <col min="5385" max="5385" width="55.5703125" style="286" customWidth="1"/>
    <col min="5386" max="5387" width="12.42578125" style="286" customWidth="1"/>
    <col min="5388" max="5388" width="9.140625" style="286" bestFit="1"/>
    <col min="5389" max="5389" width="3.42578125" style="286" customWidth="1"/>
    <col min="5390" max="5638" width="9.140625" style="286" bestFit="1"/>
    <col min="5639" max="5639" width="3.42578125" style="286" customWidth="1"/>
    <col min="5640" max="5640" width="6.5703125" style="286" customWidth="1"/>
    <col min="5641" max="5641" width="55.5703125" style="286" customWidth="1"/>
    <col min="5642" max="5643" width="12.42578125" style="286" customWidth="1"/>
    <col min="5644" max="5644" width="9.140625" style="286" bestFit="1"/>
    <col min="5645" max="5645" width="3.42578125" style="286" customWidth="1"/>
    <col min="5646" max="5894" width="9.140625" style="286" bestFit="1"/>
    <col min="5895" max="5895" width="3.42578125" style="286" customWidth="1"/>
    <col min="5896" max="5896" width="6.5703125" style="286" customWidth="1"/>
    <col min="5897" max="5897" width="55.5703125" style="286" customWidth="1"/>
    <col min="5898" max="5899" width="12.42578125" style="286" customWidth="1"/>
    <col min="5900" max="5900" width="9.140625" style="286" bestFit="1"/>
    <col min="5901" max="5901" width="3.42578125" style="286" customWidth="1"/>
    <col min="5902" max="6150" width="9.140625" style="286" bestFit="1"/>
    <col min="6151" max="6151" width="3.42578125" style="286" customWidth="1"/>
    <col min="6152" max="6152" width="6.5703125" style="286" customWidth="1"/>
    <col min="6153" max="6153" width="55.5703125" style="286" customWidth="1"/>
    <col min="6154" max="6155" width="12.42578125" style="286" customWidth="1"/>
    <col min="6156" max="6156" width="9.140625" style="286" bestFit="1"/>
    <col min="6157" max="6157" width="3.42578125" style="286" customWidth="1"/>
    <col min="6158" max="6406" width="9.140625" style="286" bestFit="1"/>
    <col min="6407" max="6407" width="3.42578125" style="286" customWidth="1"/>
    <col min="6408" max="6408" width="6.5703125" style="286" customWidth="1"/>
    <col min="6409" max="6409" width="55.5703125" style="286" customWidth="1"/>
    <col min="6410" max="6411" width="12.42578125" style="286" customWidth="1"/>
    <col min="6412" max="6412" width="9.140625" style="286" bestFit="1"/>
    <col min="6413" max="6413" width="3.42578125" style="286" customWidth="1"/>
    <col min="6414" max="6662" width="9.140625" style="286" bestFit="1"/>
    <col min="6663" max="6663" width="3.42578125" style="286" customWidth="1"/>
    <col min="6664" max="6664" width="6.5703125" style="286" customWidth="1"/>
    <col min="6665" max="6665" width="55.5703125" style="286" customWidth="1"/>
    <col min="6666" max="6667" width="12.42578125" style="286" customWidth="1"/>
    <col min="6668" max="6668" width="9.140625" style="286" bestFit="1"/>
    <col min="6669" max="6669" width="3.42578125" style="286" customWidth="1"/>
    <col min="6670" max="6918" width="9.140625" style="286" bestFit="1"/>
    <col min="6919" max="6919" width="3.42578125" style="286" customWidth="1"/>
    <col min="6920" max="6920" width="6.5703125" style="286" customWidth="1"/>
    <col min="6921" max="6921" width="55.5703125" style="286" customWidth="1"/>
    <col min="6922" max="6923" width="12.42578125" style="286" customWidth="1"/>
    <col min="6924" max="6924" width="9.140625" style="286" bestFit="1"/>
    <col min="6925" max="6925" width="3.42578125" style="286" customWidth="1"/>
    <col min="6926" max="7174" width="9.140625" style="286" bestFit="1"/>
    <col min="7175" max="7175" width="3.42578125" style="286" customWidth="1"/>
    <col min="7176" max="7176" width="6.5703125" style="286" customWidth="1"/>
    <col min="7177" max="7177" width="55.5703125" style="286" customWidth="1"/>
    <col min="7178" max="7179" width="12.42578125" style="286" customWidth="1"/>
    <col min="7180" max="7180" width="9.140625" style="286" bestFit="1"/>
    <col min="7181" max="7181" width="3.42578125" style="286" customWidth="1"/>
    <col min="7182" max="7430" width="9.140625" style="286" bestFit="1"/>
    <col min="7431" max="7431" width="3.42578125" style="286" customWidth="1"/>
    <col min="7432" max="7432" width="6.5703125" style="286" customWidth="1"/>
    <col min="7433" max="7433" width="55.5703125" style="286" customWidth="1"/>
    <col min="7434" max="7435" width="12.42578125" style="286" customWidth="1"/>
    <col min="7436" max="7436" width="9.140625" style="286" bestFit="1"/>
    <col min="7437" max="7437" width="3.42578125" style="286" customWidth="1"/>
    <col min="7438" max="7686" width="9.140625" style="286" bestFit="1"/>
    <col min="7687" max="7687" width="3.42578125" style="286" customWidth="1"/>
    <col min="7688" max="7688" width="6.5703125" style="286" customWidth="1"/>
    <col min="7689" max="7689" width="55.5703125" style="286" customWidth="1"/>
    <col min="7690" max="7691" width="12.42578125" style="286" customWidth="1"/>
    <col min="7692" max="7692" width="9.140625" style="286" bestFit="1"/>
    <col min="7693" max="7693" width="3.42578125" style="286" customWidth="1"/>
    <col min="7694" max="7942" width="9.140625" style="286" bestFit="1"/>
    <col min="7943" max="7943" width="3.42578125" style="286" customWidth="1"/>
    <col min="7944" max="7944" width="6.5703125" style="286" customWidth="1"/>
    <col min="7945" max="7945" width="55.5703125" style="286" customWidth="1"/>
    <col min="7946" max="7947" width="12.42578125" style="286" customWidth="1"/>
    <col min="7948" max="7948" width="9.140625" style="286" bestFit="1"/>
    <col min="7949" max="7949" width="3.42578125" style="286" customWidth="1"/>
    <col min="7950" max="8198" width="9.140625" style="286" bestFit="1"/>
    <col min="8199" max="8199" width="3.42578125" style="286" customWidth="1"/>
    <col min="8200" max="8200" width="6.5703125" style="286" customWidth="1"/>
    <col min="8201" max="8201" width="55.5703125" style="286" customWidth="1"/>
    <col min="8202" max="8203" width="12.42578125" style="286" customWidth="1"/>
    <col min="8204" max="8204" width="9.140625" style="286" bestFit="1"/>
    <col min="8205" max="8205" width="3.42578125" style="286" customWidth="1"/>
    <col min="8206" max="8454" width="9.140625" style="286" bestFit="1"/>
    <col min="8455" max="8455" width="3.42578125" style="286" customWidth="1"/>
    <col min="8456" max="8456" width="6.5703125" style="286" customWidth="1"/>
    <col min="8457" max="8457" width="55.5703125" style="286" customWidth="1"/>
    <col min="8458" max="8459" width="12.42578125" style="286" customWidth="1"/>
    <col min="8460" max="8460" width="9.140625" style="286" bestFit="1"/>
    <col min="8461" max="8461" width="3.42578125" style="286" customWidth="1"/>
    <col min="8462" max="8710" width="9.140625" style="286" bestFit="1"/>
    <col min="8711" max="8711" width="3.42578125" style="286" customWidth="1"/>
    <col min="8712" max="8712" width="6.5703125" style="286" customWidth="1"/>
    <col min="8713" max="8713" width="55.5703125" style="286" customWidth="1"/>
    <col min="8714" max="8715" width="12.42578125" style="286" customWidth="1"/>
    <col min="8716" max="8716" width="9.140625" style="286" bestFit="1"/>
    <col min="8717" max="8717" width="3.42578125" style="286" customWidth="1"/>
    <col min="8718" max="8966" width="9.140625" style="286" bestFit="1"/>
    <col min="8967" max="8967" width="3.42578125" style="286" customWidth="1"/>
    <col min="8968" max="8968" width="6.5703125" style="286" customWidth="1"/>
    <col min="8969" max="8969" width="55.5703125" style="286" customWidth="1"/>
    <col min="8970" max="8971" width="12.42578125" style="286" customWidth="1"/>
    <col min="8972" max="8972" width="9.140625" style="286" bestFit="1"/>
    <col min="8973" max="8973" width="3.42578125" style="286" customWidth="1"/>
    <col min="8974" max="9222" width="9.140625" style="286" bestFit="1"/>
    <col min="9223" max="9223" width="3.42578125" style="286" customWidth="1"/>
    <col min="9224" max="9224" width="6.5703125" style="286" customWidth="1"/>
    <col min="9225" max="9225" width="55.5703125" style="286" customWidth="1"/>
    <col min="9226" max="9227" width="12.42578125" style="286" customWidth="1"/>
    <col min="9228" max="9228" width="9.140625" style="286" bestFit="1"/>
    <col min="9229" max="9229" width="3.42578125" style="286" customWidth="1"/>
    <col min="9230" max="9478" width="9.140625" style="286" bestFit="1"/>
    <col min="9479" max="9479" width="3.42578125" style="286" customWidth="1"/>
    <col min="9480" max="9480" width="6.5703125" style="286" customWidth="1"/>
    <col min="9481" max="9481" width="55.5703125" style="286" customWidth="1"/>
    <col min="9482" max="9483" width="12.42578125" style="286" customWidth="1"/>
    <col min="9484" max="9484" width="9.140625" style="286" bestFit="1"/>
    <col min="9485" max="9485" width="3.42578125" style="286" customWidth="1"/>
    <col min="9486" max="9734" width="9.140625" style="286" bestFit="1"/>
    <col min="9735" max="9735" width="3.42578125" style="286" customWidth="1"/>
    <col min="9736" max="9736" width="6.5703125" style="286" customWidth="1"/>
    <col min="9737" max="9737" width="55.5703125" style="286" customWidth="1"/>
    <col min="9738" max="9739" width="12.42578125" style="286" customWidth="1"/>
    <col min="9740" max="9740" width="9.140625" style="286" bestFit="1"/>
    <col min="9741" max="9741" width="3.42578125" style="286" customWidth="1"/>
    <col min="9742" max="9990" width="9.140625" style="286" bestFit="1"/>
    <col min="9991" max="9991" width="3.42578125" style="286" customWidth="1"/>
    <col min="9992" max="9992" width="6.5703125" style="286" customWidth="1"/>
    <col min="9993" max="9993" width="55.5703125" style="286" customWidth="1"/>
    <col min="9994" max="9995" width="12.42578125" style="286" customWidth="1"/>
    <col min="9996" max="9996" width="9.140625" style="286" bestFit="1"/>
    <col min="9997" max="9997" width="3.42578125" style="286" customWidth="1"/>
    <col min="9998" max="10246" width="9.140625" style="286" bestFit="1"/>
    <col min="10247" max="10247" width="3.42578125" style="286" customWidth="1"/>
    <col min="10248" max="10248" width="6.5703125" style="286" customWidth="1"/>
    <col min="10249" max="10249" width="55.5703125" style="286" customWidth="1"/>
    <col min="10250" max="10251" width="12.42578125" style="286" customWidth="1"/>
    <col min="10252" max="10252" width="9.140625" style="286" bestFit="1"/>
    <col min="10253" max="10253" width="3.42578125" style="286" customWidth="1"/>
    <col min="10254" max="10502" width="9.140625" style="286" bestFit="1"/>
    <col min="10503" max="10503" width="3.42578125" style="286" customWidth="1"/>
    <col min="10504" max="10504" width="6.5703125" style="286" customWidth="1"/>
    <col min="10505" max="10505" width="55.5703125" style="286" customWidth="1"/>
    <col min="10506" max="10507" width="12.42578125" style="286" customWidth="1"/>
    <col min="10508" max="10508" width="9.140625" style="286" bestFit="1"/>
    <col min="10509" max="10509" width="3.42578125" style="286" customWidth="1"/>
    <col min="10510" max="10758" width="9.140625" style="286" bestFit="1"/>
    <col min="10759" max="10759" width="3.42578125" style="286" customWidth="1"/>
    <col min="10760" max="10760" width="6.5703125" style="286" customWidth="1"/>
    <col min="10761" max="10761" width="55.5703125" style="286" customWidth="1"/>
    <col min="10762" max="10763" width="12.42578125" style="286" customWidth="1"/>
    <col min="10764" max="10764" width="9.140625" style="286" bestFit="1"/>
    <col min="10765" max="10765" width="3.42578125" style="286" customWidth="1"/>
    <col min="10766" max="11014" width="9.140625" style="286" bestFit="1"/>
    <col min="11015" max="11015" width="3.42578125" style="286" customWidth="1"/>
    <col min="11016" max="11016" width="6.5703125" style="286" customWidth="1"/>
    <col min="11017" max="11017" width="55.5703125" style="286" customWidth="1"/>
    <col min="11018" max="11019" width="12.42578125" style="286" customWidth="1"/>
    <col min="11020" max="11020" width="9.140625" style="286" bestFit="1"/>
    <col min="11021" max="11021" width="3.42578125" style="286" customWidth="1"/>
    <col min="11022" max="11270" width="9.140625" style="286" bestFit="1"/>
    <col min="11271" max="11271" width="3.42578125" style="286" customWidth="1"/>
    <col min="11272" max="11272" width="6.5703125" style="286" customWidth="1"/>
    <col min="11273" max="11273" width="55.5703125" style="286" customWidth="1"/>
    <col min="11274" max="11275" width="12.42578125" style="286" customWidth="1"/>
    <col min="11276" max="11276" width="9.140625" style="286" bestFit="1"/>
    <col min="11277" max="11277" width="3.42578125" style="286" customWidth="1"/>
    <col min="11278" max="11526" width="9.140625" style="286" bestFit="1"/>
    <col min="11527" max="11527" width="3.42578125" style="286" customWidth="1"/>
    <col min="11528" max="11528" width="6.5703125" style="286" customWidth="1"/>
    <col min="11529" max="11529" width="55.5703125" style="286" customWidth="1"/>
    <col min="11530" max="11531" width="12.42578125" style="286" customWidth="1"/>
    <col min="11532" max="11532" width="9.140625" style="286" bestFit="1"/>
    <col min="11533" max="11533" width="3.42578125" style="286" customWidth="1"/>
    <col min="11534" max="11782" width="9.140625" style="286" bestFit="1"/>
    <col min="11783" max="11783" width="3.42578125" style="286" customWidth="1"/>
    <col min="11784" max="11784" width="6.5703125" style="286" customWidth="1"/>
    <col min="11785" max="11785" width="55.5703125" style="286" customWidth="1"/>
    <col min="11786" max="11787" width="12.42578125" style="286" customWidth="1"/>
    <col min="11788" max="11788" width="9.140625" style="286" bestFit="1"/>
    <col min="11789" max="11789" width="3.42578125" style="286" customWidth="1"/>
    <col min="11790" max="12038" width="9.140625" style="286" bestFit="1"/>
    <col min="12039" max="12039" width="3.42578125" style="286" customWidth="1"/>
    <col min="12040" max="12040" width="6.5703125" style="286" customWidth="1"/>
    <col min="12041" max="12041" width="55.5703125" style="286" customWidth="1"/>
    <col min="12042" max="12043" width="12.42578125" style="286" customWidth="1"/>
    <col min="12044" max="12044" width="9.140625" style="286" bestFit="1"/>
    <col min="12045" max="12045" width="3.42578125" style="286" customWidth="1"/>
    <col min="12046" max="12294" width="9.140625" style="286" bestFit="1"/>
    <col min="12295" max="12295" width="3.42578125" style="286" customWidth="1"/>
    <col min="12296" max="12296" width="6.5703125" style="286" customWidth="1"/>
    <col min="12297" max="12297" width="55.5703125" style="286" customWidth="1"/>
    <col min="12298" max="12299" width="12.42578125" style="286" customWidth="1"/>
    <col min="12300" max="12300" width="9.140625" style="286" bestFit="1"/>
    <col min="12301" max="12301" width="3.42578125" style="286" customWidth="1"/>
    <col min="12302" max="12550" width="9.140625" style="286" bestFit="1"/>
    <col min="12551" max="12551" width="3.42578125" style="286" customWidth="1"/>
    <col min="12552" max="12552" width="6.5703125" style="286" customWidth="1"/>
    <col min="12553" max="12553" width="55.5703125" style="286" customWidth="1"/>
    <col min="12554" max="12555" width="12.42578125" style="286" customWidth="1"/>
    <col min="12556" max="12556" width="9.140625" style="286" bestFit="1"/>
    <col min="12557" max="12557" width="3.42578125" style="286" customWidth="1"/>
    <col min="12558" max="12806" width="9.140625" style="286" bestFit="1"/>
    <col min="12807" max="12807" width="3.42578125" style="286" customWidth="1"/>
    <col min="12808" max="12808" width="6.5703125" style="286" customWidth="1"/>
    <col min="12809" max="12809" width="55.5703125" style="286" customWidth="1"/>
    <col min="12810" max="12811" width="12.42578125" style="286" customWidth="1"/>
    <col min="12812" max="12812" width="9.140625" style="286" bestFit="1"/>
    <col min="12813" max="12813" width="3.42578125" style="286" customWidth="1"/>
    <col min="12814" max="13062" width="9.140625" style="286" bestFit="1"/>
    <col min="13063" max="13063" width="3.42578125" style="286" customWidth="1"/>
    <col min="13064" max="13064" width="6.5703125" style="286" customWidth="1"/>
    <col min="13065" max="13065" width="55.5703125" style="286" customWidth="1"/>
    <col min="13066" max="13067" width="12.42578125" style="286" customWidth="1"/>
    <col min="13068" max="13068" width="9.140625" style="286" bestFit="1"/>
    <col min="13069" max="13069" width="3.42578125" style="286" customWidth="1"/>
    <col min="13070" max="13318" width="9.140625" style="286" bestFit="1"/>
    <col min="13319" max="13319" width="3.42578125" style="286" customWidth="1"/>
    <col min="13320" max="13320" width="6.5703125" style="286" customWidth="1"/>
    <col min="13321" max="13321" width="55.5703125" style="286" customWidth="1"/>
    <col min="13322" max="13323" width="12.42578125" style="286" customWidth="1"/>
    <col min="13324" max="13324" width="9.140625" style="286" bestFit="1"/>
    <col min="13325" max="13325" width="3.42578125" style="286" customWidth="1"/>
    <col min="13326" max="13574" width="9.140625" style="286" bestFit="1"/>
    <col min="13575" max="13575" width="3.42578125" style="286" customWidth="1"/>
    <col min="13576" max="13576" width="6.5703125" style="286" customWidth="1"/>
    <col min="13577" max="13577" width="55.5703125" style="286" customWidth="1"/>
    <col min="13578" max="13579" width="12.42578125" style="286" customWidth="1"/>
    <col min="13580" max="13580" width="9.140625" style="286" bestFit="1"/>
    <col min="13581" max="13581" width="3.42578125" style="286" customWidth="1"/>
    <col min="13582" max="13830" width="9.140625" style="286" bestFit="1"/>
    <col min="13831" max="13831" width="3.42578125" style="286" customWidth="1"/>
    <col min="13832" max="13832" width="6.5703125" style="286" customWidth="1"/>
    <col min="13833" max="13833" width="55.5703125" style="286" customWidth="1"/>
    <col min="13834" max="13835" width="12.42578125" style="286" customWidth="1"/>
    <col min="13836" max="13836" width="9.140625" style="286" bestFit="1"/>
    <col min="13837" max="13837" width="3.42578125" style="286" customWidth="1"/>
    <col min="13838" max="14086" width="9.140625" style="286" bestFit="1"/>
    <col min="14087" max="14087" width="3.42578125" style="286" customWidth="1"/>
    <col min="14088" max="14088" width="6.5703125" style="286" customWidth="1"/>
    <col min="14089" max="14089" width="55.5703125" style="286" customWidth="1"/>
    <col min="14090" max="14091" width="12.42578125" style="286" customWidth="1"/>
    <col min="14092" max="14092" width="9.140625" style="286" bestFit="1"/>
    <col min="14093" max="14093" width="3.42578125" style="286" customWidth="1"/>
    <col min="14094" max="14342" width="9.140625" style="286" bestFit="1"/>
    <col min="14343" max="14343" width="3.42578125" style="286" customWidth="1"/>
    <col min="14344" max="14344" width="6.5703125" style="286" customWidth="1"/>
    <col min="14345" max="14345" width="55.5703125" style="286" customWidth="1"/>
    <col min="14346" max="14347" width="12.42578125" style="286" customWidth="1"/>
    <col min="14348" max="14348" width="9.140625" style="286" bestFit="1"/>
    <col min="14349" max="14349" width="3.42578125" style="286" customWidth="1"/>
    <col min="14350" max="14598" width="9.140625" style="286" bestFit="1"/>
    <col min="14599" max="14599" width="3.42578125" style="286" customWidth="1"/>
    <col min="14600" max="14600" width="6.5703125" style="286" customWidth="1"/>
    <col min="14601" max="14601" width="55.5703125" style="286" customWidth="1"/>
    <col min="14602" max="14603" width="12.42578125" style="286" customWidth="1"/>
    <col min="14604" max="14604" width="9.140625" style="286" bestFit="1"/>
    <col min="14605" max="14605" width="3.42578125" style="286" customWidth="1"/>
    <col min="14606" max="14854" width="9.140625" style="286" bestFit="1"/>
    <col min="14855" max="14855" width="3.42578125" style="286" customWidth="1"/>
    <col min="14856" max="14856" width="6.5703125" style="286" customWidth="1"/>
    <col min="14857" max="14857" width="55.5703125" style="286" customWidth="1"/>
    <col min="14858" max="14859" width="12.42578125" style="286" customWidth="1"/>
    <col min="14860" max="14860" width="9.140625" style="286" bestFit="1"/>
    <col min="14861" max="14861" width="3.42578125" style="286" customWidth="1"/>
    <col min="14862" max="15110" width="9.140625" style="286" bestFit="1"/>
    <col min="15111" max="15111" width="3.42578125" style="286" customWidth="1"/>
    <col min="15112" max="15112" width="6.5703125" style="286" customWidth="1"/>
    <col min="15113" max="15113" width="55.5703125" style="286" customWidth="1"/>
    <col min="15114" max="15115" width="12.42578125" style="286" customWidth="1"/>
    <col min="15116" max="15116" width="9.140625" style="286" bestFit="1"/>
    <col min="15117" max="15117" width="3.42578125" style="286" customWidth="1"/>
    <col min="15118" max="15366" width="9.140625" style="286" bestFit="1"/>
    <col min="15367" max="15367" width="3.42578125" style="286" customWidth="1"/>
    <col min="15368" max="15368" width="6.5703125" style="286" customWidth="1"/>
    <col min="15369" max="15369" width="55.5703125" style="286" customWidth="1"/>
    <col min="15370" max="15371" width="12.42578125" style="286" customWidth="1"/>
    <col min="15372" max="15372" width="9.140625" style="286" bestFit="1"/>
    <col min="15373" max="15373" width="3.42578125" style="286" customWidth="1"/>
    <col min="15374" max="15622" width="9.140625" style="286" bestFit="1"/>
    <col min="15623" max="15623" width="3.42578125" style="286" customWidth="1"/>
    <col min="15624" max="15624" width="6.5703125" style="286" customWidth="1"/>
    <col min="15625" max="15625" width="55.5703125" style="286" customWidth="1"/>
    <col min="15626" max="15627" width="12.42578125" style="286" customWidth="1"/>
    <col min="15628" max="15628" width="9.140625" style="286" bestFit="1"/>
    <col min="15629" max="15629" width="3.42578125" style="286" customWidth="1"/>
    <col min="15630" max="15878" width="9.140625" style="286" bestFit="1"/>
    <col min="15879" max="15879" width="3.42578125" style="286" customWidth="1"/>
    <col min="15880" max="15880" width="6.5703125" style="286" customWidth="1"/>
    <col min="15881" max="15881" width="55.5703125" style="286" customWidth="1"/>
    <col min="15882" max="15883" width="12.42578125" style="286" customWidth="1"/>
    <col min="15884" max="15884" width="9.140625" style="286" bestFit="1"/>
    <col min="15885" max="15885" width="3.42578125" style="286" customWidth="1"/>
    <col min="15886" max="16134" width="9.140625" style="286" bestFit="1"/>
    <col min="16135" max="16135" width="3.42578125" style="286" customWidth="1"/>
    <col min="16136" max="16136" width="6.5703125" style="286" customWidth="1"/>
    <col min="16137" max="16137" width="55.5703125" style="286" customWidth="1"/>
    <col min="16138" max="16139" width="12.42578125" style="286" customWidth="1"/>
    <col min="16140" max="16140" width="9.140625" style="286" bestFit="1"/>
    <col min="16141" max="16141" width="3.42578125" style="286" customWidth="1"/>
    <col min="16142" max="16382" width="9.140625" style="286" bestFit="1"/>
    <col min="16383" max="16384" width="9.42578125" style="286" customWidth="1"/>
  </cols>
  <sheetData>
    <row r="1" spans="2:28" ht="15.75" thickBot="1"/>
    <row r="2" spans="2:28" s="287" customFormat="1" ht="18" customHeight="1" thickTop="1" thickBot="1">
      <c r="B2" s="564"/>
      <c r="C2" s="565"/>
      <c r="D2" s="565"/>
      <c r="E2" s="565" t="s">
        <v>39</v>
      </c>
      <c r="F2" s="565"/>
      <c r="G2" s="565"/>
      <c r="H2" s="565"/>
      <c r="I2" s="565"/>
      <c r="J2" s="565"/>
      <c r="K2" s="565"/>
      <c r="L2" s="566"/>
    </row>
    <row r="3" spans="2:28" s="287" customFormat="1" ht="19.5" customHeight="1" thickTop="1">
      <c r="B3" s="292"/>
      <c r="C3" s="567"/>
      <c r="D3" s="567"/>
      <c r="E3" s="567"/>
      <c r="F3" s="567"/>
      <c r="G3" s="567"/>
      <c r="H3" s="567"/>
      <c r="I3" s="567"/>
      <c r="J3" s="293"/>
      <c r="K3" s="294"/>
    </row>
    <row r="4" spans="2:28" s="287" customFormat="1" ht="28.5" customHeight="1">
      <c r="C4" s="568"/>
      <c r="D4" s="568"/>
      <c r="E4" s="568"/>
      <c r="F4" s="568"/>
      <c r="G4" s="568"/>
      <c r="H4" s="568"/>
      <c r="I4" s="568"/>
      <c r="J4" s="295"/>
    </row>
    <row r="5" spans="2:28" s="287" customFormat="1">
      <c r="J5" s="295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A5" s="3"/>
      <c r="AB5" s="3"/>
    </row>
    <row r="6" spans="2:28" s="287" customFormat="1" ht="15" customHeight="1">
      <c r="L6" s="3"/>
      <c r="M6" s="3"/>
      <c r="N6" s="335"/>
      <c r="O6" s="3"/>
      <c r="P6" s="3"/>
      <c r="Q6" s="3"/>
      <c r="R6" s="3"/>
      <c r="S6" s="3"/>
      <c r="T6" s="3"/>
      <c r="U6" s="3"/>
      <c r="V6" s="3"/>
      <c r="W6" s="3"/>
      <c r="X6" s="3"/>
      <c r="AA6" s="3"/>
      <c r="AB6" s="3"/>
    </row>
    <row r="7" spans="2:28" s="287" customFormat="1" ht="15.75" customHeight="1">
      <c r="C7" s="562"/>
      <c r="D7" s="562"/>
      <c r="E7" s="562"/>
      <c r="F7" s="562"/>
      <c r="G7" s="562"/>
      <c r="H7" s="562"/>
      <c r="I7" s="562"/>
      <c r="J7" s="295"/>
      <c r="K7" s="2"/>
      <c r="L7" s="3"/>
      <c r="M7" s="3"/>
      <c r="N7" s="335"/>
      <c r="O7" s="3"/>
      <c r="P7" s="3"/>
      <c r="Q7" s="3"/>
      <c r="R7" s="3"/>
      <c r="S7" s="3"/>
      <c r="T7" s="3"/>
      <c r="U7" s="3"/>
      <c r="V7" s="3"/>
      <c r="W7" s="3"/>
      <c r="X7" s="3"/>
      <c r="AA7" s="3"/>
      <c r="AB7" s="3"/>
    </row>
    <row r="8" spans="2:28" s="287" customFormat="1" ht="15.75" customHeight="1">
      <c r="C8" s="562"/>
      <c r="D8" s="562"/>
      <c r="E8" s="562"/>
      <c r="F8" s="562"/>
      <c r="G8" s="562"/>
      <c r="H8" s="562"/>
      <c r="I8" s="562"/>
      <c r="J8" s="29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A8" s="3"/>
      <c r="AB8" s="3"/>
    </row>
    <row r="9" spans="2:28" s="287" customFormat="1" ht="15.75" customHeight="1">
      <c r="C9" s="562"/>
      <c r="D9" s="562"/>
      <c r="E9" s="562"/>
      <c r="F9" s="562"/>
      <c r="G9" s="562"/>
      <c r="H9" s="562"/>
      <c r="I9" s="562"/>
      <c r="J9" s="295"/>
      <c r="K9" s="2"/>
      <c r="L9" s="2"/>
      <c r="M9" s="2"/>
      <c r="N9" s="2"/>
      <c r="O9" s="2"/>
      <c r="P9" s="2"/>
      <c r="Q9" s="2"/>
      <c r="R9" s="3"/>
      <c r="S9" s="3"/>
      <c r="T9" s="3"/>
      <c r="U9" s="3"/>
      <c r="V9" s="3"/>
      <c r="W9" s="3"/>
      <c r="X9" s="3"/>
      <c r="AA9" s="3"/>
      <c r="AB9" s="3"/>
    </row>
    <row r="10" spans="2:28" s="287" customFormat="1" ht="15.75" customHeight="1">
      <c r="C10" s="562"/>
      <c r="D10" s="562"/>
      <c r="E10" s="562"/>
      <c r="F10" s="562"/>
      <c r="G10" s="562"/>
      <c r="H10" s="562"/>
      <c r="I10" s="562"/>
      <c r="J10" s="295"/>
      <c r="K10" s="2"/>
      <c r="L10" s="2"/>
      <c r="M10" s="2"/>
      <c r="N10" s="2"/>
      <c r="O10" s="2"/>
      <c r="P10" s="2"/>
      <c r="Q10" s="2"/>
      <c r="R10" s="5"/>
      <c r="S10" s="3"/>
      <c r="U10" s="3"/>
      <c r="V10" s="3"/>
      <c r="W10" s="3"/>
      <c r="X10" s="3"/>
      <c r="AA10" s="3"/>
      <c r="AB10" s="3"/>
    </row>
    <row r="11" spans="2:28" s="6" customFormat="1" ht="15.75" customHeight="1">
      <c r="C11" s="562"/>
      <c r="D11" s="562"/>
      <c r="E11" s="562"/>
      <c r="F11" s="562"/>
      <c r="G11" s="562"/>
      <c r="H11" s="562"/>
      <c r="I11" s="562"/>
      <c r="J11" s="297"/>
      <c r="K11" s="4"/>
      <c r="L11" s="4"/>
      <c r="M11" s="4"/>
      <c r="N11" s="4"/>
      <c r="O11" s="4"/>
      <c r="P11" s="4"/>
      <c r="Q11" s="4"/>
      <c r="R11" s="5"/>
      <c r="S11" s="5"/>
      <c r="T11" s="287"/>
      <c r="U11" s="5"/>
      <c r="V11" s="5"/>
      <c r="W11" s="5"/>
      <c r="X11" s="5"/>
      <c r="AA11" s="5"/>
      <c r="AB11" s="5"/>
    </row>
    <row r="12" spans="2:28" s="6" customFormat="1" ht="15.75">
      <c r="C12" s="296"/>
      <c r="D12" s="296"/>
      <c r="E12" s="296"/>
      <c r="F12" s="296"/>
      <c r="G12" s="296"/>
      <c r="H12" s="296"/>
      <c r="I12" s="296"/>
      <c r="J12" s="297"/>
      <c r="K12" s="4"/>
      <c r="L12" s="4"/>
      <c r="M12" s="4"/>
      <c r="N12" s="4"/>
      <c r="O12" s="4"/>
      <c r="P12" s="4"/>
      <c r="Q12" s="4"/>
      <c r="R12" s="5"/>
      <c r="S12" s="5"/>
      <c r="T12" s="4"/>
      <c r="U12" s="5"/>
      <c r="V12" s="5"/>
      <c r="W12" s="5"/>
      <c r="X12" s="5"/>
      <c r="AA12" s="5"/>
      <c r="AB12" s="5"/>
    </row>
    <row r="13" spans="2:28" s="6" customFormat="1" ht="15.75">
      <c r="C13" s="296"/>
      <c r="D13" s="296"/>
      <c r="E13" s="296"/>
      <c r="F13" s="296"/>
      <c r="G13" s="296"/>
      <c r="H13" s="296"/>
      <c r="I13" s="296"/>
      <c r="J13" s="297"/>
      <c r="K13" s="4"/>
      <c r="L13" s="4"/>
      <c r="M13" s="4"/>
      <c r="N13" s="4"/>
      <c r="O13" s="4"/>
      <c r="P13" s="4"/>
      <c r="Q13" s="4"/>
      <c r="R13" s="5"/>
      <c r="S13" s="5"/>
      <c r="T13" s="4"/>
      <c r="U13" s="5"/>
      <c r="V13" s="5"/>
      <c r="W13" s="5"/>
      <c r="X13" s="5"/>
      <c r="AA13" s="5"/>
      <c r="AB13" s="5"/>
    </row>
    <row r="14" spans="2:28" s="6" customFormat="1" ht="15.75">
      <c r="C14" s="296"/>
      <c r="D14" s="296"/>
      <c r="E14" s="296"/>
      <c r="F14" s="296"/>
      <c r="G14" s="296"/>
      <c r="H14" s="296"/>
      <c r="I14" s="296"/>
      <c r="J14" s="297"/>
      <c r="K14" s="4"/>
      <c r="L14" s="4"/>
      <c r="M14" s="4"/>
      <c r="N14" s="4"/>
      <c r="O14" s="4"/>
      <c r="P14" s="4"/>
      <c r="Q14" s="4"/>
      <c r="R14" s="5"/>
      <c r="S14" s="5"/>
      <c r="T14" s="4"/>
      <c r="U14" s="5"/>
      <c r="V14" s="5"/>
      <c r="W14" s="5"/>
      <c r="X14" s="5"/>
      <c r="AA14" s="5"/>
      <c r="AB14" s="5"/>
    </row>
    <row r="15" spans="2:28" s="6" customFormat="1" ht="12.75">
      <c r="L15" s="4"/>
      <c r="M15" s="4"/>
      <c r="N15" s="4"/>
      <c r="O15" s="4"/>
      <c r="P15" s="4"/>
      <c r="Q15" s="4"/>
      <c r="R15" s="5"/>
      <c r="S15" s="5"/>
      <c r="T15" s="4"/>
      <c r="U15" s="5"/>
      <c r="V15" s="5"/>
      <c r="W15" s="5"/>
      <c r="X15" s="5"/>
      <c r="AA15" s="5"/>
      <c r="AB15" s="5"/>
    </row>
    <row r="16" spans="2:28" s="6" customFormat="1" ht="15.75">
      <c r="C16" s="296"/>
      <c r="D16" s="296"/>
      <c r="E16" s="296"/>
      <c r="F16" s="296"/>
      <c r="G16" s="296"/>
      <c r="H16" s="296"/>
      <c r="I16" s="296"/>
      <c r="J16" s="297"/>
      <c r="K16" s="4"/>
      <c r="L16" s="4"/>
      <c r="M16" s="4"/>
      <c r="N16" s="4"/>
      <c r="O16" s="4"/>
      <c r="P16" s="4"/>
      <c r="Q16" s="4"/>
      <c r="R16" s="5"/>
      <c r="S16" s="5"/>
      <c r="T16" s="4"/>
      <c r="U16" s="5"/>
      <c r="V16" s="5"/>
      <c r="W16" s="5"/>
      <c r="X16" s="5"/>
      <c r="AA16" s="5"/>
      <c r="AB16" s="5"/>
    </row>
    <row r="17" spans="3:28" s="6" customFormat="1" ht="15.75">
      <c r="C17" s="296"/>
      <c r="D17" s="296"/>
      <c r="E17" s="296"/>
      <c r="F17" s="296"/>
      <c r="G17" s="296"/>
      <c r="H17" s="296"/>
      <c r="I17" s="296"/>
      <c r="J17" s="297"/>
      <c r="K17" s="4"/>
      <c r="L17" s="4"/>
      <c r="M17" s="4"/>
      <c r="N17" s="4"/>
      <c r="O17" s="4"/>
      <c r="P17" s="4"/>
      <c r="Q17" s="4"/>
      <c r="R17" s="5"/>
      <c r="S17" s="5"/>
      <c r="T17" s="4"/>
      <c r="U17" s="5"/>
      <c r="V17" s="5"/>
      <c r="W17" s="5"/>
      <c r="X17" s="5"/>
      <c r="AA17" s="5"/>
      <c r="AB17" s="5"/>
    </row>
    <row r="18" spans="3:28" s="6" customFormat="1" ht="15.75">
      <c r="C18" s="296"/>
      <c r="D18" s="296"/>
      <c r="E18" s="296"/>
      <c r="F18" s="296"/>
      <c r="G18" s="296"/>
      <c r="H18" s="296"/>
      <c r="I18" s="296"/>
      <c r="J18" s="297"/>
      <c r="K18" s="4"/>
      <c r="L18" s="4"/>
      <c r="M18" s="4"/>
      <c r="N18" s="4"/>
      <c r="O18" s="4"/>
      <c r="P18" s="4"/>
      <c r="Q18" s="4"/>
      <c r="R18" s="5"/>
      <c r="S18" s="5"/>
      <c r="T18" s="4"/>
      <c r="U18" s="5"/>
      <c r="V18" s="5"/>
      <c r="W18" s="5"/>
      <c r="X18" s="5"/>
      <c r="AA18" s="5"/>
      <c r="AB18" s="5"/>
    </row>
    <row r="19" spans="3:28" s="6" customFormat="1" ht="15.75">
      <c r="C19" s="296"/>
      <c r="D19" s="296"/>
      <c r="E19" s="296"/>
      <c r="F19" s="296"/>
      <c r="G19" s="296"/>
      <c r="H19" s="296"/>
      <c r="I19" s="296"/>
      <c r="J19" s="297"/>
      <c r="K19" s="4"/>
      <c r="L19" s="4"/>
      <c r="M19" s="4"/>
      <c r="N19" s="4"/>
      <c r="O19" s="4"/>
      <c r="P19" s="4"/>
      <c r="Q19" s="4"/>
      <c r="R19" s="5"/>
      <c r="S19" s="5"/>
      <c r="T19" s="4"/>
      <c r="U19" s="5"/>
      <c r="V19" s="5"/>
      <c r="W19" s="5"/>
      <c r="X19" s="5"/>
      <c r="AA19" s="5"/>
      <c r="AB19" s="5"/>
    </row>
    <row r="20" spans="3:28" s="6" customFormat="1" ht="28.5" customHeight="1">
      <c r="C20" s="563" t="s">
        <v>1079</v>
      </c>
      <c r="D20" s="563"/>
      <c r="E20" s="563"/>
      <c r="F20" s="563"/>
      <c r="G20" s="563"/>
      <c r="H20" s="563"/>
      <c r="I20" s="563"/>
      <c r="J20" s="563"/>
      <c r="K20" s="563"/>
      <c r="L20" s="4"/>
      <c r="M20" s="4"/>
      <c r="N20" s="4"/>
      <c r="O20" s="4"/>
      <c r="P20" s="4"/>
      <c r="Q20" s="4"/>
      <c r="R20" s="5"/>
      <c r="S20" s="5"/>
      <c r="T20" s="4"/>
      <c r="U20" s="5"/>
      <c r="V20" s="5"/>
      <c r="W20" s="5"/>
      <c r="X20" s="5"/>
      <c r="AA20" s="5"/>
      <c r="AB20" s="5"/>
    </row>
    <row r="21" spans="3:28" s="6" customFormat="1" ht="15.75">
      <c r="C21" s="296"/>
      <c r="D21" s="296"/>
      <c r="E21" s="296"/>
      <c r="F21" s="296"/>
      <c r="G21" s="296"/>
      <c r="H21" s="296"/>
      <c r="I21" s="296"/>
      <c r="J21" s="297"/>
      <c r="K21" s="4"/>
      <c r="L21" s="4"/>
      <c r="M21" s="4"/>
      <c r="N21" s="4"/>
      <c r="O21" s="4"/>
      <c r="P21" s="4"/>
      <c r="Q21" s="4"/>
      <c r="R21" s="5"/>
      <c r="S21" s="5"/>
      <c r="T21" s="4"/>
      <c r="U21" s="5"/>
      <c r="V21" s="5"/>
      <c r="W21" s="5"/>
      <c r="X21" s="5"/>
      <c r="AA21" s="5"/>
      <c r="AB21" s="5"/>
    </row>
    <row r="22" spans="3:28" s="6" customFormat="1" ht="15.75">
      <c r="C22" s="296"/>
      <c r="D22" s="296"/>
      <c r="E22" s="296"/>
      <c r="F22" s="296"/>
      <c r="G22" s="296"/>
      <c r="H22" s="296"/>
      <c r="I22" s="296"/>
      <c r="J22" s="297"/>
      <c r="K22" s="4"/>
      <c r="L22" s="4"/>
      <c r="M22" s="4"/>
      <c r="N22" s="4"/>
      <c r="O22" s="4"/>
      <c r="P22" s="4"/>
      <c r="Q22" s="4"/>
      <c r="R22" s="5"/>
      <c r="S22" s="5"/>
      <c r="T22" s="4"/>
      <c r="U22" s="5"/>
      <c r="V22" s="5"/>
      <c r="W22" s="5"/>
      <c r="X22" s="5"/>
      <c r="AA22" s="5"/>
      <c r="AB22" s="5"/>
    </row>
    <row r="23" spans="3:28" s="6" customFormat="1" ht="15.75">
      <c r="C23" s="296"/>
      <c r="D23" s="296"/>
      <c r="E23" s="296"/>
      <c r="F23" s="296"/>
      <c r="G23" s="296"/>
      <c r="H23" s="296"/>
      <c r="I23" s="296"/>
      <c r="J23" s="297"/>
      <c r="K23" s="4"/>
      <c r="L23" s="4"/>
      <c r="M23" s="4"/>
      <c r="N23" s="4"/>
      <c r="O23" s="4"/>
      <c r="P23" s="4"/>
      <c r="Q23" s="4"/>
      <c r="R23" s="5"/>
      <c r="S23" s="5"/>
      <c r="T23" s="4"/>
      <c r="U23" s="5"/>
      <c r="V23" s="5"/>
      <c r="W23" s="5"/>
      <c r="X23" s="5"/>
      <c r="AA23" s="5"/>
      <c r="AB23" s="5"/>
    </row>
    <row r="24" spans="3:28" s="6" customFormat="1" ht="15.75">
      <c r="C24" s="296"/>
      <c r="D24" s="296"/>
      <c r="E24" s="296"/>
      <c r="F24" s="296"/>
      <c r="G24" s="296"/>
      <c r="H24" s="296"/>
      <c r="I24" s="296"/>
      <c r="J24" s="297"/>
      <c r="K24" s="4"/>
      <c r="L24" s="4"/>
      <c r="M24" s="4"/>
      <c r="N24" s="4"/>
      <c r="O24" s="4"/>
      <c r="P24" s="4"/>
      <c r="Q24" s="4"/>
      <c r="R24" s="5"/>
      <c r="S24" s="5"/>
      <c r="T24" s="4"/>
      <c r="U24" s="5"/>
      <c r="V24" s="5"/>
      <c r="W24" s="5"/>
      <c r="X24" s="5"/>
      <c r="AA24" s="5"/>
      <c r="AB24" s="5"/>
    </row>
    <row r="25" spans="3:28" s="6" customFormat="1" ht="15.75">
      <c r="C25" s="296"/>
      <c r="D25" s="296"/>
      <c r="E25" s="296"/>
      <c r="F25" s="296"/>
      <c r="G25" s="296"/>
      <c r="H25" s="296"/>
      <c r="I25" s="296"/>
      <c r="J25" s="297"/>
      <c r="K25" s="4"/>
      <c r="L25" s="4"/>
      <c r="M25" s="4"/>
      <c r="N25" s="4"/>
      <c r="O25" s="4"/>
      <c r="P25" s="4"/>
      <c r="Q25" s="4"/>
      <c r="R25" s="5"/>
      <c r="S25" s="5"/>
      <c r="T25" s="4"/>
      <c r="U25" s="5"/>
      <c r="V25" s="5"/>
      <c r="W25" s="5"/>
      <c r="X25" s="5"/>
      <c r="AA25" s="5"/>
      <c r="AB25" s="5"/>
    </row>
    <row r="26" spans="3:28" s="6" customFormat="1" ht="15.75">
      <c r="C26" s="296"/>
      <c r="D26" s="296"/>
      <c r="E26" s="296"/>
      <c r="F26" s="296"/>
      <c r="G26" s="296"/>
      <c r="H26" s="296"/>
      <c r="I26" s="296"/>
      <c r="J26" s="297"/>
      <c r="K26" s="4"/>
      <c r="L26" s="4"/>
      <c r="M26" s="4"/>
      <c r="N26" s="4"/>
      <c r="O26" s="4"/>
      <c r="P26" s="4"/>
      <c r="Q26" s="4"/>
      <c r="R26" s="5"/>
      <c r="S26" s="5"/>
      <c r="T26" s="4"/>
      <c r="U26" s="5"/>
      <c r="V26" s="5"/>
      <c r="W26" s="5"/>
      <c r="X26" s="5"/>
      <c r="AA26" s="5"/>
      <c r="AB26" s="5"/>
    </row>
    <row r="27" spans="3:28" s="6" customFormat="1" ht="15.75">
      <c r="C27" s="296"/>
      <c r="D27" s="296"/>
      <c r="E27" s="296"/>
      <c r="F27" s="296"/>
      <c r="G27" s="296"/>
      <c r="H27" s="296"/>
      <c r="I27" s="296"/>
      <c r="J27" s="297"/>
      <c r="K27" s="4"/>
      <c r="L27" s="4"/>
      <c r="M27" s="4"/>
      <c r="N27" s="4"/>
      <c r="O27" s="4"/>
      <c r="P27" s="4"/>
      <c r="Q27" s="4"/>
      <c r="R27" s="5"/>
      <c r="S27" s="5"/>
      <c r="T27" s="4"/>
      <c r="U27" s="5"/>
      <c r="V27" s="5"/>
      <c r="W27" s="5"/>
      <c r="X27" s="5"/>
      <c r="AA27" s="5"/>
      <c r="AB27" s="5"/>
    </row>
    <row r="28" spans="3:28" s="6" customFormat="1" ht="15.75">
      <c r="C28" s="296"/>
      <c r="D28" s="296"/>
      <c r="E28" s="296"/>
      <c r="F28" s="296"/>
      <c r="G28" s="296"/>
      <c r="H28" s="296"/>
      <c r="I28" s="296"/>
      <c r="J28" s="297"/>
      <c r="K28" s="4"/>
      <c r="L28" s="4"/>
      <c r="M28" s="4"/>
      <c r="N28" s="4"/>
      <c r="O28" s="4"/>
      <c r="P28" s="4"/>
      <c r="Q28" s="4"/>
      <c r="R28" s="5"/>
      <c r="S28" s="5"/>
      <c r="T28" s="4"/>
      <c r="U28" s="5"/>
      <c r="V28" s="5"/>
      <c r="W28" s="5"/>
      <c r="X28" s="5"/>
      <c r="AA28" s="5"/>
      <c r="AB28" s="5"/>
    </row>
    <row r="29" spans="3:28" s="6" customFormat="1" ht="15.75" customHeight="1">
      <c r="C29" s="562"/>
      <c r="D29" s="562"/>
      <c r="E29" s="562"/>
      <c r="F29" s="562"/>
      <c r="G29" s="562"/>
      <c r="H29" s="562"/>
      <c r="I29" s="562"/>
      <c r="J29" s="297"/>
      <c r="K29" s="4"/>
      <c r="L29" s="4"/>
      <c r="M29" s="5"/>
      <c r="N29" s="5"/>
      <c r="O29" s="4"/>
      <c r="P29" s="5"/>
      <c r="Q29" s="4"/>
      <c r="R29" s="5"/>
      <c r="S29" s="5"/>
      <c r="T29" s="5"/>
      <c r="U29" s="5"/>
      <c r="V29" s="5"/>
      <c r="W29" s="5"/>
      <c r="X29" s="5"/>
      <c r="AA29" s="5"/>
      <c r="AB29" s="5"/>
    </row>
    <row r="30" spans="3:28" s="6" customFormat="1" ht="15.75" customHeight="1">
      <c r="C30" s="562"/>
      <c r="D30" s="562"/>
      <c r="E30" s="562"/>
      <c r="F30" s="562"/>
      <c r="G30" s="562"/>
      <c r="H30" s="562"/>
      <c r="I30" s="562"/>
      <c r="J30" s="297"/>
      <c r="K30" s="4"/>
      <c r="L30" s="4"/>
      <c r="M30" s="4"/>
      <c r="N30" s="4"/>
      <c r="O30" s="4"/>
      <c r="P30" s="4"/>
      <c r="Q30" s="4"/>
      <c r="R30" s="5"/>
      <c r="S30" s="5"/>
      <c r="T30" s="5"/>
      <c r="U30" s="5"/>
      <c r="V30" s="5"/>
      <c r="W30" s="5"/>
      <c r="X30" s="5"/>
      <c r="AA30" s="5"/>
      <c r="AB30" s="5"/>
    </row>
    <row r="31" spans="3:28" s="6" customFormat="1" ht="15.75" customHeight="1">
      <c r="C31" s="562"/>
      <c r="D31" s="562"/>
      <c r="E31" s="562"/>
      <c r="F31" s="562"/>
      <c r="G31" s="562"/>
      <c r="H31" s="562"/>
      <c r="I31" s="562"/>
      <c r="J31" s="297"/>
      <c r="K31" s="4"/>
      <c r="L31" s="4"/>
      <c r="M31" s="4"/>
      <c r="N31" s="4"/>
      <c r="O31" s="4"/>
      <c r="P31" s="4"/>
      <c r="Q31" s="4"/>
      <c r="R31" s="5"/>
      <c r="S31" s="298"/>
      <c r="T31" s="4"/>
      <c r="U31" s="5"/>
      <c r="V31" s="5"/>
      <c r="W31" s="5"/>
      <c r="X31" s="5"/>
      <c r="AA31" s="5"/>
      <c r="AB31" s="5"/>
    </row>
    <row r="32" spans="3:28" s="6" customFormat="1" ht="15.75" customHeight="1">
      <c r="C32" s="562"/>
      <c r="D32" s="562"/>
      <c r="E32" s="562"/>
      <c r="F32" s="562"/>
      <c r="G32" s="562"/>
      <c r="H32" s="562"/>
      <c r="I32" s="562"/>
      <c r="J32" s="297"/>
      <c r="K32" s="4"/>
      <c r="L32" s="4"/>
      <c r="M32" s="4"/>
      <c r="N32" s="4"/>
      <c r="O32" s="4"/>
      <c r="P32" s="4"/>
      <c r="Q32" s="4"/>
      <c r="R32" s="5"/>
      <c r="S32" s="298"/>
      <c r="T32" s="4"/>
      <c r="U32" s="5"/>
      <c r="V32" s="5"/>
      <c r="W32" s="5"/>
      <c r="X32" s="5"/>
      <c r="AA32" s="5"/>
      <c r="AB32" s="5"/>
    </row>
    <row r="33" spans="2:28" s="6" customFormat="1" ht="15.75" customHeight="1">
      <c r="C33" s="562"/>
      <c r="D33" s="562"/>
      <c r="E33" s="562"/>
      <c r="F33" s="562"/>
      <c r="G33" s="562"/>
      <c r="H33" s="562"/>
      <c r="I33" s="562"/>
      <c r="J33" s="297"/>
      <c r="K33" s="4"/>
      <c r="L33" s="4"/>
      <c r="M33" s="4"/>
      <c r="N33" s="4"/>
      <c r="O33" s="4"/>
      <c r="P33" s="4"/>
      <c r="Q33" s="4"/>
      <c r="R33" s="5"/>
      <c r="S33" s="5"/>
      <c r="T33" s="5"/>
      <c r="U33" s="5"/>
      <c r="V33" s="5"/>
      <c r="W33" s="5"/>
      <c r="X33" s="5"/>
      <c r="AA33" s="5"/>
      <c r="AB33" s="5"/>
    </row>
    <row r="34" spans="2:28" s="6" customFormat="1" ht="15.75" customHeight="1">
      <c r="C34" s="562"/>
      <c r="D34" s="562"/>
      <c r="E34" s="562"/>
      <c r="F34" s="562"/>
      <c r="G34" s="562"/>
      <c r="H34" s="562"/>
      <c r="I34" s="562"/>
      <c r="J34" s="297"/>
      <c r="K34" s="4"/>
      <c r="L34" s="4"/>
      <c r="M34" s="4"/>
      <c r="N34" s="4"/>
      <c r="O34" s="4"/>
      <c r="P34" s="4"/>
      <c r="Q34" s="4"/>
      <c r="R34" s="5"/>
      <c r="S34" s="5"/>
      <c r="T34" s="5"/>
      <c r="U34" s="5"/>
      <c r="V34" s="5"/>
      <c r="W34" s="5"/>
      <c r="X34" s="5"/>
      <c r="AA34" s="5"/>
      <c r="AB34" s="5"/>
    </row>
    <row r="35" spans="2:28" s="6" customFormat="1" ht="15.75" customHeight="1">
      <c r="C35" s="562"/>
      <c r="D35" s="562"/>
      <c r="E35" s="562"/>
      <c r="F35" s="562"/>
      <c r="G35" s="562"/>
      <c r="H35" s="562"/>
      <c r="I35" s="562"/>
      <c r="J35" s="297"/>
      <c r="K35" s="4"/>
      <c r="L35" s="4"/>
      <c r="M35" s="4"/>
      <c r="N35" s="4"/>
      <c r="O35" s="4"/>
      <c r="P35" s="4"/>
      <c r="Q35" s="4"/>
      <c r="R35" s="5"/>
      <c r="S35" s="5"/>
      <c r="T35" s="5"/>
      <c r="U35" s="5"/>
      <c r="V35" s="5"/>
      <c r="W35" s="5"/>
      <c r="X35" s="5"/>
      <c r="AA35" s="5"/>
      <c r="AB35" s="5"/>
    </row>
    <row r="36" spans="2:28" s="6" customFormat="1" ht="15.75" customHeight="1">
      <c r="C36" s="562"/>
      <c r="D36" s="562"/>
      <c r="E36" s="562"/>
      <c r="F36" s="562"/>
      <c r="G36" s="562"/>
      <c r="H36" s="562"/>
      <c r="I36" s="562"/>
      <c r="J36" s="297"/>
      <c r="K36" s="4"/>
      <c r="L36" s="4"/>
      <c r="M36" s="4"/>
      <c r="N36" s="4"/>
      <c r="O36" s="4"/>
      <c r="P36" s="4"/>
      <c r="Q36" s="4"/>
      <c r="R36" s="5"/>
      <c r="S36" s="5"/>
      <c r="T36" s="5"/>
      <c r="U36" s="5"/>
      <c r="V36" s="5"/>
      <c r="W36" s="5"/>
      <c r="X36" s="5"/>
      <c r="AA36" s="5"/>
      <c r="AB36" s="5"/>
    </row>
    <row r="37" spans="2:28" s="6" customFormat="1" ht="15.75" customHeight="1">
      <c r="C37" s="562"/>
      <c r="D37" s="562"/>
      <c r="E37" s="562"/>
      <c r="F37" s="562"/>
      <c r="G37" s="562"/>
      <c r="H37" s="562"/>
      <c r="I37" s="562"/>
      <c r="J37" s="297"/>
      <c r="K37" s="4"/>
      <c r="L37" s="4"/>
      <c r="M37" s="4"/>
      <c r="N37" s="4"/>
      <c r="O37" s="4"/>
      <c r="P37" s="4"/>
      <c r="Q37" s="4"/>
      <c r="R37" s="5"/>
      <c r="S37" s="5"/>
      <c r="T37" s="5"/>
      <c r="U37" s="5"/>
      <c r="V37" s="5"/>
      <c r="W37" s="5"/>
      <c r="X37" s="5"/>
      <c r="AA37" s="5"/>
      <c r="AB37" s="5"/>
    </row>
    <row r="38" spans="2:28" s="6" customFormat="1" ht="15.75" customHeight="1">
      <c r="C38" s="562"/>
      <c r="D38" s="562"/>
      <c r="E38" s="562"/>
      <c r="F38" s="562"/>
      <c r="G38" s="562"/>
      <c r="H38" s="562"/>
      <c r="I38" s="562"/>
      <c r="J38" s="297"/>
      <c r="K38" s="4"/>
      <c r="L38" s="4"/>
      <c r="M38" s="4"/>
      <c r="N38" s="4"/>
      <c r="O38" s="4"/>
      <c r="P38" s="4"/>
      <c r="Q38" s="4"/>
      <c r="R38" s="5"/>
      <c r="S38" s="5"/>
      <c r="T38" s="5"/>
      <c r="U38" s="5"/>
      <c r="V38" s="5"/>
      <c r="W38" s="5"/>
      <c r="X38" s="5"/>
      <c r="AA38" s="5"/>
      <c r="AB38" s="5"/>
    </row>
    <row r="39" spans="2:28" s="6" customFormat="1" ht="15.75" customHeight="1">
      <c r="C39" s="562"/>
      <c r="D39" s="562"/>
      <c r="E39" s="562"/>
      <c r="F39" s="562"/>
      <c r="G39" s="562"/>
      <c r="H39" s="562"/>
      <c r="I39" s="562"/>
      <c r="J39" s="297"/>
      <c r="K39" s="4"/>
      <c r="L39" s="4"/>
      <c r="M39" s="4"/>
      <c r="N39" s="4"/>
      <c r="O39" s="4"/>
      <c r="P39" s="4"/>
      <c r="Q39" s="4"/>
      <c r="R39" s="5"/>
      <c r="S39" s="5"/>
      <c r="T39" s="4"/>
      <c r="U39" s="5"/>
      <c r="V39" s="5"/>
      <c r="W39" s="5"/>
      <c r="X39" s="5"/>
      <c r="AA39" s="5"/>
      <c r="AB39" s="5"/>
    </row>
    <row r="40" spans="2:28" s="288" customFormat="1" ht="15.75" customHeight="1">
      <c r="C40" s="562"/>
      <c r="D40" s="562"/>
      <c r="E40" s="562"/>
      <c r="F40" s="562"/>
      <c r="G40" s="562"/>
      <c r="H40" s="562"/>
      <c r="I40" s="562"/>
      <c r="J40" s="299"/>
      <c r="O40" s="345"/>
      <c r="P40" s="345"/>
      <c r="Q40" s="345"/>
      <c r="R40" s="345"/>
      <c r="S40" s="345"/>
      <c r="T40" s="4"/>
    </row>
    <row r="41" spans="2:28" s="287" customFormat="1" ht="15" customHeight="1">
      <c r="C41" s="300"/>
      <c r="D41" s="300"/>
      <c r="E41" s="300"/>
      <c r="F41" s="300"/>
      <c r="G41" s="300"/>
      <c r="H41" s="300"/>
      <c r="I41" s="300"/>
      <c r="J41" s="294"/>
      <c r="O41" s="346"/>
      <c r="P41" s="346"/>
      <c r="Q41" s="346"/>
      <c r="R41" s="346"/>
      <c r="S41" s="346"/>
      <c r="T41" s="4"/>
    </row>
    <row r="42" spans="2:28" s="287" customFormat="1" ht="15" customHeight="1">
      <c r="C42" s="300"/>
      <c r="D42" s="300"/>
      <c r="E42" s="300"/>
      <c r="F42" s="300"/>
      <c r="G42" s="300"/>
      <c r="H42" s="300"/>
      <c r="I42" s="300"/>
      <c r="J42" s="294"/>
      <c r="O42" s="346"/>
      <c r="P42" s="346"/>
      <c r="Q42" s="346"/>
      <c r="R42" s="346"/>
      <c r="S42" s="346"/>
      <c r="T42" s="4"/>
    </row>
    <row r="43" spans="2:28" s="287" customFormat="1" ht="15" customHeight="1">
      <c r="C43" s="300"/>
      <c r="D43" s="300"/>
      <c r="E43" s="300"/>
      <c r="F43" s="300"/>
      <c r="G43" s="300"/>
      <c r="H43" s="300"/>
      <c r="I43" s="300"/>
      <c r="J43" s="294"/>
      <c r="T43" s="4"/>
    </row>
    <row r="44" spans="2:28" s="287" customFormat="1" ht="15" customHeight="1">
      <c r="C44" s="300"/>
      <c r="D44" s="300"/>
      <c r="E44" s="300"/>
      <c r="F44" s="300"/>
      <c r="G44" s="300"/>
      <c r="H44" s="300"/>
      <c r="I44" s="300"/>
      <c r="J44" s="300"/>
      <c r="K44" s="300"/>
      <c r="T44" s="4"/>
    </row>
    <row r="45" spans="2:28" s="287" customFormat="1">
      <c r="C45" s="300"/>
      <c r="D45" s="300"/>
      <c r="E45" s="300"/>
      <c r="F45" s="300"/>
      <c r="G45" s="300"/>
      <c r="H45" s="300"/>
      <c r="I45" s="300"/>
      <c r="J45" s="300"/>
      <c r="K45" s="300"/>
    </row>
    <row r="46" spans="2:28" s="287" customFormat="1">
      <c r="B46" s="300"/>
      <c r="C46" s="300"/>
      <c r="D46" s="300"/>
      <c r="E46" s="300"/>
      <c r="F46" s="300"/>
      <c r="G46" s="300"/>
      <c r="H46" s="300"/>
      <c r="I46" s="300"/>
      <c r="J46" s="300"/>
      <c r="K46" s="300"/>
    </row>
    <row r="47" spans="2:28" s="287" customFormat="1">
      <c r="B47" s="300"/>
      <c r="C47" s="300"/>
      <c r="D47" s="300"/>
      <c r="E47" s="300"/>
      <c r="F47" s="300"/>
      <c r="G47" s="300"/>
      <c r="H47" s="300"/>
      <c r="I47" s="300"/>
      <c r="J47" s="300"/>
      <c r="K47" s="300"/>
    </row>
    <row r="48" spans="2:28" s="287" customFormat="1">
      <c r="B48" s="300"/>
      <c r="C48" s="300"/>
      <c r="D48" s="300"/>
      <c r="E48" s="300"/>
      <c r="F48" s="300"/>
      <c r="G48" s="300"/>
      <c r="H48" s="300"/>
      <c r="I48" s="300"/>
      <c r="J48" s="300"/>
      <c r="K48" s="300"/>
    </row>
    <row r="49" spans="2:20" s="287" customFormat="1">
      <c r="B49" s="300"/>
      <c r="C49" s="300"/>
      <c r="D49" s="300"/>
      <c r="E49" s="300"/>
      <c r="F49" s="300"/>
      <c r="G49" s="300"/>
      <c r="H49" s="300"/>
      <c r="I49" s="300"/>
      <c r="J49" s="300"/>
    </row>
    <row r="50" spans="2:20">
      <c r="B50" s="287"/>
    </row>
    <row r="51" spans="2:20">
      <c r="B51" s="287"/>
      <c r="S51" s="302"/>
      <c r="T51" s="4"/>
    </row>
    <row r="52" spans="2:20">
      <c r="B52" s="287"/>
      <c r="S52" s="302"/>
      <c r="T52" s="4"/>
    </row>
    <row r="53" spans="2:20">
      <c r="S53" s="302"/>
      <c r="T53" s="4"/>
    </row>
    <row r="54" spans="2:20">
      <c r="S54" s="302"/>
      <c r="T54" s="4"/>
    </row>
    <row r="55" spans="2:20">
      <c r="S55" s="302"/>
      <c r="T55" s="4"/>
    </row>
    <row r="56" spans="2:20">
      <c r="S56" s="302"/>
      <c r="T56" s="4"/>
    </row>
    <row r="57" spans="2:20">
      <c r="S57" s="302"/>
      <c r="T57" s="4"/>
    </row>
    <row r="58" spans="2:20">
      <c r="S58" s="302"/>
      <c r="T58" s="4"/>
    </row>
    <row r="59" spans="2:20">
      <c r="S59" s="302"/>
      <c r="T59" s="4"/>
    </row>
    <row r="60" spans="2:20">
      <c r="S60" s="302"/>
      <c r="T60" s="4"/>
    </row>
    <row r="64" spans="2:20">
      <c r="S64" s="302"/>
      <c r="T64" s="4"/>
    </row>
    <row r="65" spans="19:20">
      <c r="S65" s="302"/>
      <c r="T65" s="4"/>
    </row>
    <row r="66" spans="19:20">
      <c r="S66" s="302"/>
      <c r="T66" s="4"/>
    </row>
    <row r="67" spans="19:20">
      <c r="S67" s="302"/>
      <c r="T67" s="4"/>
    </row>
    <row r="68" spans="19:20">
      <c r="S68" s="302"/>
      <c r="T68" s="4"/>
    </row>
    <row r="69" spans="19:20">
      <c r="S69" s="302"/>
      <c r="T69" s="4"/>
    </row>
    <row r="70" spans="19:20">
      <c r="S70" s="302"/>
      <c r="T70" s="4"/>
    </row>
    <row r="71" spans="19:20">
      <c r="S71" s="302"/>
      <c r="T71" s="4"/>
    </row>
    <row r="72" spans="19:20">
      <c r="S72" s="302"/>
      <c r="T72" s="4"/>
    </row>
    <row r="73" spans="19:20">
      <c r="S73" s="302"/>
      <c r="T73" s="4"/>
    </row>
    <row r="74" spans="19:20">
      <c r="S74" s="302"/>
      <c r="T74" s="4"/>
    </row>
    <row r="75" spans="19:20">
      <c r="S75" s="302"/>
      <c r="T75" s="4"/>
    </row>
    <row r="76" spans="19:20">
      <c r="S76" s="302"/>
      <c r="T76" s="4"/>
    </row>
    <row r="77" spans="19:20">
      <c r="S77" s="302"/>
      <c r="T77" s="4"/>
    </row>
    <row r="78" spans="19:20">
      <c r="S78" s="302"/>
      <c r="T78" s="4"/>
    </row>
    <row r="79" spans="19:20">
      <c r="S79" s="302"/>
      <c r="T79" s="4"/>
    </row>
    <row r="80" spans="19:20">
      <c r="S80" s="302"/>
      <c r="T80" s="4"/>
    </row>
    <row r="81" spans="19:20">
      <c r="S81" s="302"/>
      <c r="T81" s="4"/>
    </row>
    <row r="82" spans="19:20">
      <c r="S82" s="302"/>
      <c r="T82" s="4"/>
    </row>
    <row r="83" spans="19:20">
      <c r="S83" s="302"/>
      <c r="T83" s="4"/>
    </row>
    <row r="84" spans="19:20">
      <c r="S84" s="302"/>
      <c r="T84" s="4"/>
    </row>
    <row r="85" spans="19:20">
      <c r="S85" s="302"/>
      <c r="T85" s="4"/>
    </row>
    <row r="86" spans="19:20">
      <c r="S86" s="302"/>
      <c r="T86" s="4"/>
    </row>
    <row r="87" spans="19:20">
      <c r="S87" s="302"/>
      <c r="T87" s="4"/>
    </row>
    <row r="88" spans="19:20">
      <c r="S88" s="302"/>
      <c r="T88" s="4"/>
    </row>
    <row r="89" spans="19:20">
      <c r="S89" s="302"/>
      <c r="T89" s="4"/>
    </row>
    <row r="90" spans="19:20">
      <c r="S90" s="302"/>
      <c r="T90" s="4"/>
    </row>
    <row r="91" spans="19:20">
      <c r="S91" s="302"/>
      <c r="T91" s="4"/>
    </row>
    <row r="97" spans="14:20">
      <c r="N97" s="286" t="s">
        <v>34</v>
      </c>
    </row>
    <row r="98" spans="14:20">
      <c r="S98" s="302"/>
      <c r="T98" s="4"/>
    </row>
    <row r="99" spans="14:20">
      <c r="S99" s="302"/>
      <c r="T99" s="4"/>
    </row>
    <row r="100" spans="14:20">
      <c r="N100" s="286" t="s">
        <v>34</v>
      </c>
      <c r="S100" s="302"/>
      <c r="T100" s="4"/>
    </row>
    <row r="101" spans="14:20">
      <c r="N101" s="286" t="s">
        <v>34</v>
      </c>
      <c r="T101" s="4"/>
    </row>
    <row r="102" spans="14:20">
      <c r="T102" s="4"/>
    </row>
    <row r="103" spans="14:20">
      <c r="N103" s="286" t="s">
        <v>34</v>
      </c>
      <c r="S103" s="286">
        <f>SUBTOTAL(9,(S11:S102))</f>
        <v>0</v>
      </c>
      <c r="T103" s="4"/>
    </row>
    <row r="104" spans="14:20">
      <c r="T104" s="4"/>
    </row>
    <row r="105" spans="14:20">
      <c r="T105" s="4"/>
    </row>
    <row r="106" spans="14:20">
      <c r="T106" s="4"/>
    </row>
    <row r="107" spans="14:20">
      <c r="T107" s="4"/>
    </row>
    <row r="114" spans="1:20">
      <c r="T114" s="4"/>
    </row>
    <row r="115" spans="1:20">
      <c r="E115" s="286" t="s">
        <v>35</v>
      </c>
      <c r="N115" s="286" t="s">
        <v>31</v>
      </c>
    </row>
    <row r="117" spans="1:20">
      <c r="A117" s="286" t="s">
        <v>36</v>
      </c>
      <c r="E117" s="286" t="s">
        <v>37</v>
      </c>
      <c r="N117" s="286" t="s">
        <v>38</v>
      </c>
    </row>
  </sheetData>
  <mergeCells count="23">
    <mergeCell ref="C7:I7"/>
    <mergeCell ref="B2:D2"/>
    <mergeCell ref="E2:I2"/>
    <mergeCell ref="J2:L2"/>
    <mergeCell ref="C3:I3"/>
    <mergeCell ref="C4:I4"/>
    <mergeCell ref="C35:I35"/>
    <mergeCell ref="C8:I8"/>
    <mergeCell ref="C9:I9"/>
    <mergeCell ref="C10:I10"/>
    <mergeCell ref="C11:I11"/>
    <mergeCell ref="C20:K20"/>
    <mergeCell ref="C29:I29"/>
    <mergeCell ref="C30:I30"/>
    <mergeCell ref="C31:I31"/>
    <mergeCell ref="C32:I32"/>
    <mergeCell ref="C33:I33"/>
    <mergeCell ref="C34:I34"/>
    <mergeCell ref="C36:I36"/>
    <mergeCell ref="C37:I37"/>
    <mergeCell ref="C38:I38"/>
    <mergeCell ref="C39:I39"/>
    <mergeCell ref="C40:I40"/>
  </mergeCells>
  <dataValidations count="3">
    <dataValidation type="list" allowBlank="1" showInputMessage="1" showErrorMessage="1" promptTitle="SYSTEM" prompt="SELECT FROM DROP DOWN LIST" sqref="WVP983074:WVT983074 SZ9:TD9 ACV9:ACZ9 AMR9:AMV9 AWN9:AWR9 BGJ9:BGN9 BQF9:BQJ9 CAB9:CAF9 CJX9:CKB9 CTT9:CTX9 DDP9:DDT9 DNL9:DNP9 DXH9:DXL9 EHD9:EHH9 EQZ9:ERD9 FAV9:FAZ9 FKR9:FKV9 FUN9:FUR9 GEJ9:GEN9 GOF9:GOJ9 GYB9:GYF9 HHX9:HIB9 HRT9:HRX9 IBP9:IBT9 ILL9:ILP9 IVH9:IVL9 JFD9:JFH9 JOZ9:JPD9 JYV9:JYZ9 KIR9:KIV9 KSN9:KSR9 LCJ9:LCN9 LMF9:LMJ9 LWB9:LWF9 MFX9:MGB9 MPT9:MPX9 MZP9:MZT9 NJL9:NJP9 NTH9:NTL9 ODD9:ODH9 OMZ9:OND9 OWV9:OWZ9 PGR9:PGV9 PQN9:PQR9 QAJ9:QAN9 QKF9:QKJ9 QUB9:QUF9 RDX9:REB9 RNT9:RNX9 RXP9:RXT9 SHL9:SHP9 SRH9:SRL9 TBD9:TBH9 TKZ9:TLD9 TUV9:TUZ9 UER9:UEV9 UON9:UOR9 UYJ9:UYN9 VIF9:VIJ9 VSB9:VSF9 WBX9:WCB9 WLT9:WLX9 WVP9:WVT9 C65570:I65570 JD65570:JH65570 SZ65570:TD65570 ACV65570:ACZ65570 AMR65570:AMV65570 AWN65570:AWR65570 BGJ65570:BGN65570 BQF65570:BQJ65570 CAB65570:CAF65570 CJX65570:CKB65570 CTT65570:CTX65570 DDP65570:DDT65570 DNL65570:DNP65570 DXH65570:DXL65570 EHD65570:EHH65570 EQZ65570:ERD65570 FAV65570:FAZ65570 FKR65570:FKV65570 FUN65570:FUR65570 GEJ65570:GEN65570 GOF65570:GOJ65570 GYB65570:GYF65570 HHX65570:HIB65570 HRT65570:HRX65570 IBP65570:IBT65570 ILL65570:ILP65570 IVH65570:IVL65570 JFD65570:JFH65570 JOZ65570:JPD65570 JYV65570:JYZ65570 KIR65570:KIV65570 KSN65570:KSR65570 LCJ65570:LCN65570 LMF65570:LMJ65570 LWB65570:LWF65570 MFX65570:MGB65570 MPT65570:MPX65570 MZP65570:MZT65570 NJL65570:NJP65570 NTH65570:NTL65570 ODD65570:ODH65570 OMZ65570:OND65570 OWV65570:OWZ65570 PGR65570:PGV65570 PQN65570:PQR65570 QAJ65570:QAN65570 QKF65570:QKJ65570 QUB65570:QUF65570 RDX65570:REB65570 RNT65570:RNX65570 RXP65570:RXT65570 SHL65570:SHP65570 SRH65570:SRL65570 TBD65570:TBH65570 TKZ65570:TLD65570 TUV65570:TUZ65570 UER65570:UEV65570 UON65570:UOR65570 UYJ65570:UYN65570 VIF65570:VIJ65570 VSB65570:VSF65570 WBX65570:WCB65570 WLT65570:WLX65570 WVP65570:WVT65570 C131106:I131106 JD131106:JH131106 SZ131106:TD131106 ACV131106:ACZ131106 AMR131106:AMV131106 AWN131106:AWR131106 BGJ131106:BGN131106 BQF131106:BQJ131106 CAB131106:CAF131106 CJX131106:CKB131106 CTT131106:CTX131106 DDP131106:DDT131106 DNL131106:DNP131106 DXH131106:DXL131106 EHD131106:EHH131106 EQZ131106:ERD131106 FAV131106:FAZ131106 FKR131106:FKV131106 FUN131106:FUR131106 GEJ131106:GEN131106 GOF131106:GOJ131106 GYB131106:GYF131106 HHX131106:HIB131106 HRT131106:HRX131106 IBP131106:IBT131106 ILL131106:ILP131106 IVH131106:IVL131106 JFD131106:JFH131106 JOZ131106:JPD131106 JYV131106:JYZ131106 KIR131106:KIV131106 KSN131106:KSR131106 LCJ131106:LCN131106 LMF131106:LMJ131106 LWB131106:LWF131106 MFX131106:MGB131106 MPT131106:MPX131106 MZP131106:MZT131106 NJL131106:NJP131106 NTH131106:NTL131106 ODD131106:ODH131106 OMZ131106:OND131106 OWV131106:OWZ131106 PGR131106:PGV131106 PQN131106:PQR131106 QAJ131106:QAN131106 QKF131106:QKJ131106 QUB131106:QUF131106 RDX131106:REB131106 RNT131106:RNX131106 RXP131106:RXT131106 SHL131106:SHP131106 SRH131106:SRL131106 TBD131106:TBH131106 TKZ131106:TLD131106 TUV131106:TUZ131106 UER131106:UEV131106 UON131106:UOR131106 UYJ131106:UYN131106 VIF131106:VIJ131106 VSB131106:VSF131106 WBX131106:WCB131106 WLT131106:WLX131106 WVP131106:WVT131106 C196642:I196642 JD196642:JH196642 SZ196642:TD196642 ACV196642:ACZ196642 AMR196642:AMV196642 AWN196642:AWR196642 BGJ196642:BGN196642 BQF196642:BQJ196642 CAB196642:CAF196642 CJX196642:CKB196642 CTT196642:CTX196642 DDP196642:DDT196642 DNL196642:DNP196642 DXH196642:DXL196642 EHD196642:EHH196642 EQZ196642:ERD196642 FAV196642:FAZ196642 FKR196642:FKV196642 FUN196642:FUR196642 GEJ196642:GEN196642 GOF196642:GOJ196642 GYB196642:GYF196642 HHX196642:HIB196642 HRT196642:HRX196642 IBP196642:IBT196642 ILL196642:ILP196642 IVH196642:IVL196642 JFD196642:JFH196642 JOZ196642:JPD196642 JYV196642:JYZ196642 KIR196642:KIV196642 KSN196642:KSR196642 LCJ196642:LCN196642 LMF196642:LMJ196642 LWB196642:LWF196642 MFX196642:MGB196642 MPT196642:MPX196642 MZP196642:MZT196642 NJL196642:NJP196642 NTH196642:NTL196642 ODD196642:ODH196642 OMZ196642:OND196642 OWV196642:OWZ196642 PGR196642:PGV196642 PQN196642:PQR196642 QAJ196642:QAN196642 QKF196642:QKJ196642 QUB196642:QUF196642 RDX196642:REB196642 RNT196642:RNX196642 RXP196642:RXT196642 SHL196642:SHP196642 SRH196642:SRL196642 TBD196642:TBH196642 TKZ196642:TLD196642 TUV196642:TUZ196642 UER196642:UEV196642 UON196642:UOR196642 UYJ196642:UYN196642 VIF196642:VIJ196642 VSB196642:VSF196642 WBX196642:WCB196642 WLT196642:WLX196642 WVP196642:WVT196642 C262178:I262178 JD262178:JH262178 SZ262178:TD262178 ACV262178:ACZ262178 AMR262178:AMV262178 AWN262178:AWR262178 BGJ262178:BGN262178 BQF262178:BQJ262178 CAB262178:CAF262178 CJX262178:CKB262178 CTT262178:CTX262178 DDP262178:DDT262178 DNL262178:DNP262178 DXH262178:DXL262178 EHD262178:EHH262178 EQZ262178:ERD262178 FAV262178:FAZ262178 FKR262178:FKV262178 FUN262178:FUR262178 GEJ262178:GEN262178 GOF262178:GOJ262178 GYB262178:GYF262178 HHX262178:HIB262178 HRT262178:HRX262178 IBP262178:IBT262178 ILL262178:ILP262178 IVH262178:IVL262178 JFD262178:JFH262178 JOZ262178:JPD262178 JYV262178:JYZ262178 KIR262178:KIV262178 KSN262178:KSR262178 LCJ262178:LCN262178 LMF262178:LMJ262178 LWB262178:LWF262178 MFX262178:MGB262178 MPT262178:MPX262178 MZP262178:MZT262178 NJL262178:NJP262178 NTH262178:NTL262178 ODD262178:ODH262178 OMZ262178:OND262178 OWV262178:OWZ262178 PGR262178:PGV262178 PQN262178:PQR262178 QAJ262178:QAN262178 QKF262178:QKJ262178 QUB262178:QUF262178 RDX262178:REB262178 RNT262178:RNX262178 RXP262178:RXT262178 SHL262178:SHP262178 SRH262178:SRL262178 TBD262178:TBH262178 TKZ262178:TLD262178 TUV262178:TUZ262178 UER262178:UEV262178 UON262178:UOR262178 UYJ262178:UYN262178 VIF262178:VIJ262178 VSB262178:VSF262178 WBX262178:WCB262178 WLT262178:WLX262178 WVP262178:WVT262178 C327714:I327714 JD327714:JH327714 SZ327714:TD327714 ACV327714:ACZ327714 AMR327714:AMV327714 AWN327714:AWR327714 BGJ327714:BGN327714 BQF327714:BQJ327714 CAB327714:CAF327714 CJX327714:CKB327714 CTT327714:CTX327714 DDP327714:DDT327714 DNL327714:DNP327714 DXH327714:DXL327714 EHD327714:EHH327714 EQZ327714:ERD327714 FAV327714:FAZ327714 FKR327714:FKV327714 FUN327714:FUR327714 GEJ327714:GEN327714 GOF327714:GOJ327714 GYB327714:GYF327714 HHX327714:HIB327714 HRT327714:HRX327714 IBP327714:IBT327714 ILL327714:ILP327714 IVH327714:IVL327714 JFD327714:JFH327714 JOZ327714:JPD327714 JYV327714:JYZ327714 KIR327714:KIV327714 KSN327714:KSR327714 LCJ327714:LCN327714 LMF327714:LMJ327714 LWB327714:LWF327714 MFX327714:MGB327714 MPT327714:MPX327714 MZP327714:MZT327714 NJL327714:NJP327714 NTH327714:NTL327714 ODD327714:ODH327714 OMZ327714:OND327714 OWV327714:OWZ327714 PGR327714:PGV327714 PQN327714:PQR327714 QAJ327714:QAN327714 QKF327714:QKJ327714 QUB327714:QUF327714 RDX327714:REB327714 RNT327714:RNX327714 RXP327714:RXT327714 SHL327714:SHP327714 SRH327714:SRL327714 TBD327714:TBH327714 TKZ327714:TLD327714 TUV327714:TUZ327714 UER327714:UEV327714 UON327714:UOR327714 UYJ327714:UYN327714 VIF327714:VIJ327714 VSB327714:VSF327714 WBX327714:WCB327714 WLT327714:WLX327714 WVP327714:WVT327714 C393250:I393250 JD393250:JH393250 SZ393250:TD393250 ACV393250:ACZ393250 AMR393250:AMV393250 AWN393250:AWR393250 BGJ393250:BGN393250 BQF393250:BQJ393250 CAB393250:CAF393250 CJX393250:CKB393250 CTT393250:CTX393250 DDP393250:DDT393250 DNL393250:DNP393250 DXH393250:DXL393250 EHD393250:EHH393250 EQZ393250:ERD393250 FAV393250:FAZ393250 FKR393250:FKV393250 FUN393250:FUR393250 GEJ393250:GEN393250 GOF393250:GOJ393250 GYB393250:GYF393250 HHX393250:HIB393250 HRT393250:HRX393250 IBP393250:IBT393250 ILL393250:ILP393250 IVH393250:IVL393250 JFD393250:JFH393250 JOZ393250:JPD393250 JYV393250:JYZ393250 KIR393250:KIV393250 KSN393250:KSR393250 LCJ393250:LCN393250 LMF393250:LMJ393250 LWB393250:LWF393250 MFX393250:MGB393250 MPT393250:MPX393250 MZP393250:MZT393250 NJL393250:NJP393250 NTH393250:NTL393250 ODD393250:ODH393250 OMZ393250:OND393250 OWV393250:OWZ393250 PGR393250:PGV393250 PQN393250:PQR393250 QAJ393250:QAN393250 QKF393250:QKJ393250 QUB393250:QUF393250 RDX393250:REB393250 RNT393250:RNX393250 RXP393250:RXT393250 SHL393250:SHP393250 SRH393250:SRL393250 TBD393250:TBH393250 TKZ393250:TLD393250 TUV393250:TUZ393250 UER393250:UEV393250 UON393250:UOR393250 UYJ393250:UYN393250 VIF393250:VIJ393250 VSB393250:VSF393250 WBX393250:WCB393250 WLT393250:WLX393250 WVP393250:WVT393250 C458786:I458786 JD458786:JH458786 SZ458786:TD458786 ACV458786:ACZ458786 AMR458786:AMV458786 AWN458786:AWR458786 BGJ458786:BGN458786 BQF458786:BQJ458786 CAB458786:CAF458786 CJX458786:CKB458786 CTT458786:CTX458786 DDP458786:DDT458786 DNL458786:DNP458786 DXH458786:DXL458786 EHD458786:EHH458786 EQZ458786:ERD458786 FAV458786:FAZ458786 FKR458786:FKV458786 FUN458786:FUR458786 GEJ458786:GEN458786 GOF458786:GOJ458786 GYB458786:GYF458786 HHX458786:HIB458786 HRT458786:HRX458786 IBP458786:IBT458786 ILL458786:ILP458786 IVH458786:IVL458786 JFD458786:JFH458786 JOZ458786:JPD458786 JYV458786:JYZ458786 KIR458786:KIV458786 KSN458786:KSR458786 LCJ458786:LCN458786 LMF458786:LMJ458786 LWB458786:LWF458786 MFX458786:MGB458786 MPT458786:MPX458786 MZP458786:MZT458786 NJL458786:NJP458786 NTH458786:NTL458786 ODD458786:ODH458786 OMZ458786:OND458786 OWV458786:OWZ458786 PGR458786:PGV458786 PQN458786:PQR458786 QAJ458786:QAN458786 QKF458786:QKJ458786 QUB458786:QUF458786 RDX458786:REB458786 RNT458786:RNX458786 RXP458786:RXT458786 SHL458786:SHP458786 SRH458786:SRL458786 TBD458786:TBH458786 TKZ458786:TLD458786 TUV458786:TUZ458786 UER458786:UEV458786 UON458786:UOR458786 UYJ458786:UYN458786 VIF458786:VIJ458786 VSB458786:VSF458786 WBX458786:WCB458786 WLT458786:WLX458786 WVP458786:WVT458786 C524322:I524322 JD524322:JH524322 SZ524322:TD524322 ACV524322:ACZ524322 AMR524322:AMV524322 AWN524322:AWR524322 BGJ524322:BGN524322 BQF524322:BQJ524322 CAB524322:CAF524322 CJX524322:CKB524322 CTT524322:CTX524322 DDP524322:DDT524322 DNL524322:DNP524322 DXH524322:DXL524322 EHD524322:EHH524322 EQZ524322:ERD524322 FAV524322:FAZ524322 FKR524322:FKV524322 FUN524322:FUR524322 GEJ524322:GEN524322 GOF524322:GOJ524322 GYB524322:GYF524322 HHX524322:HIB524322 HRT524322:HRX524322 IBP524322:IBT524322 ILL524322:ILP524322 IVH524322:IVL524322 JFD524322:JFH524322 JOZ524322:JPD524322 JYV524322:JYZ524322 KIR524322:KIV524322 KSN524322:KSR524322 LCJ524322:LCN524322 LMF524322:LMJ524322 LWB524322:LWF524322 MFX524322:MGB524322 MPT524322:MPX524322 MZP524322:MZT524322 NJL524322:NJP524322 NTH524322:NTL524322 ODD524322:ODH524322 OMZ524322:OND524322 OWV524322:OWZ524322 PGR524322:PGV524322 PQN524322:PQR524322 QAJ524322:QAN524322 QKF524322:QKJ524322 QUB524322:QUF524322 RDX524322:REB524322 RNT524322:RNX524322 RXP524322:RXT524322 SHL524322:SHP524322 SRH524322:SRL524322 TBD524322:TBH524322 TKZ524322:TLD524322 TUV524322:TUZ524322 UER524322:UEV524322 UON524322:UOR524322 UYJ524322:UYN524322 VIF524322:VIJ524322 VSB524322:VSF524322 WBX524322:WCB524322 WLT524322:WLX524322 WVP524322:WVT524322 C589858:I589858 JD589858:JH589858 SZ589858:TD589858 ACV589858:ACZ589858 AMR589858:AMV589858 AWN589858:AWR589858 BGJ589858:BGN589858 BQF589858:BQJ589858 CAB589858:CAF589858 CJX589858:CKB589858 CTT589858:CTX589858 DDP589858:DDT589858 DNL589858:DNP589858 DXH589858:DXL589858 EHD589858:EHH589858 EQZ589858:ERD589858 FAV589858:FAZ589858 FKR589858:FKV589858 FUN589858:FUR589858 GEJ589858:GEN589858 GOF589858:GOJ589858 GYB589858:GYF589858 HHX589858:HIB589858 HRT589858:HRX589858 IBP589858:IBT589858 ILL589858:ILP589858 IVH589858:IVL589858 JFD589858:JFH589858 JOZ589858:JPD589858 JYV589858:JYZ589858 KIR589858:KIV589858 KSN589858:KSR589858 LCJ589858:LCN589858 LMF589858:LMJ589858 LWB589858:LWF589858 MFX589858:MGB589858 MPT589858:MPX589858 MZP589858:MZT589858 NJL589858:NJP589858 NTH589858:NTL589858 ODD589858:ODH589858 OMZ589858:OND589858 OWV589858:OWZ589858 PGR589858:PGV589858 PQN589858:PQR589858 QAJ589858:QAN589858 QKF589858:QKJ589858 QUB589858:QUF589858 RDX589858:REB589858 RNT589858:RNX589858 RXP589858:RXT589858 SHL589858:SHP589858 SRH589858:SRL589858 TBD589858:TBH589858 TKZ589858:TLD589858 TUV589858:TUZ589858 UER589858:UEV589858 UON589858:UOR589858 UYJ589858:UYN589858 VIF589858:VIJ589858 VSB589858:VSF589858 WBX589858:WCB589858 WLT589858:WLX589858 WVP589858:WVT589858 C655394:I655394 JD655394:JH655394 SZ655394:TD655394 ACV655394:ACZ655394 AMR655394:AMV655394 AWN655394:AWR655394 BGJ655394:BGN655394 BQF655394:BQJ655394 CAB655394:CAF655394 CJX655394:CKB655394 CTT655394:CTX655394 DDP655394:DDT655394 DNL655394:DNP655394 DXH655394:DXL655394 EHD655394:EHH655394 EQZ655394:ERD655394 FAV655394:FAZ655394 FKR655394:FKV655394 FUN655394:FUR655394 GEJ655394:GEN655394 GOF655394:GOJ655394 GYB655394:GYF655394 HHX655394:HIB655394 HRT655394:HRX655394 IBP655394:IBT655394 ILL655394:ILP655394 IVH655394:IVL655394 JFD655394:JFH655394 JOZ655394:JPD655394 JYV655394:JYZ655394 KIR655394:KIV655394 KSN655394:KSR655394 LCJ655394:LCN655394 LMF655394:LMJ655394 LWB655394:LWF655394 MFX655394:MGB655394 MPT655394:MPX655394 MZP655394:MZT655394 NJL655394:NJP655394 NTH655394:NTL655394 ODD655394:ODH655394 OMZ655394:OND655394 OWV655394:OWZ655394 PGR655394:PGV655394 PQN655394:PQR655394 QAJ655394:QAN655394 QKF655394:QKJ655394 QUB655394:QUF655394 RDX655394:REB655394 RNT655394:RNX655394 RXP655394:RXT655394 SHL655394:SHP655394 SRH655394:SRL655394 TBD655394:TBH655394 TKZ655394:TLD655394 TUV655394:TUZ655394 UER655394:UEV655394 UON655394:UOR655394 UYJ655394:UYN655394 VIF655394:VIJ655394 VSB655394:VSF655394 WBX655394:WCB655394 WLT655394:WLX655394 WVP655394:WVT655394 C720930:I720930 JD720930:JH720930 SZ720930:TD720930 ACV720930:ACZ720930 AMR720930:AMV720930 AWN720930:AWR720930 BGJ720930:BGN720930 BQF720930:BQJ720930 CAB720930:CAF720930 CJX720930:CKB720930 CTT720930:CTX720930 DDP720930:DDT720930 DNL720930:DNP720930 DXH720930:DXL720930 EHD720930:EHH720930 EQZ720930:ERD720930 FAV720930:FAZ720930 FKR720930:FKV720930 FUN720930:FUR720930 GEJ720930:GEN720930 GOF720930:GOJ720930 GYB720930:GYF720930 HHX720930:HIB720930 HRT720930:HRX720930 IBP720930:IBT720930 ILL720930:ILP720930 IVH720930:IVL720930 JFD720930:JFH720930 JOZ720930:JPD720930 JYV720930:JYZ720930 KIR720930:KIV720930 KSN720930:KSR720930 LCJ720930:LCN720930 LMF720930:LMJ720930 LWB720930:LWF720930 MFX720930:MGB720930 MPT720930:MPX720930 MZP720930:MZT720930 NJL720930:NJP720930 NTH720930:NTL720930 ODD720930:ODH720930 OMZ720930:OND720930 OWV720930:OWZ720930 PGR720930:PGV720930 PQN720930:PQR720930 QAJ720930:QAN720930 QKF720930:QKJ720930 QUB720930:QUF720930 RDX720930:REB720930 RNT720930:RNX720930 RXP720930:RXT720930 SHL720930:SHP720930 SRH720930:SRL720930 TBD720930:TBH720930 TKZ720930:TLD720930 TUV720930:TUZ720930 UER720930:UEV720930 UON720930:UOR720930 UYJ720930:UYN720930 VIF720930:VIJ720930 VSB720930:VSF720930 WBX720930:WCB720930 WLT720930:WLX720930 WVP720930:WVT720930 C786466:I786466 JD786466:JH786466 SZ786466:TD786466 ACV786466:ACZ786466 AMR786466:AMV786466 AWN786466:AWR786466 BGJ786466:BGN786466 BQF786466:BQJ786466 CAB786466:CAF786466 CJX786466:CKB786466 CTT786466:CTX786466 DDP786466:DDT786466 DNL786466:DNP786466 DXH786466:DXL786466 EHD786466:EHH786466 EQZ786466:ERD786466 FAV786466:FAZ786466 FKR786466:FKV786466 FUN786466:FUR786466 GEJ786466:GEN786466 GOF786466:GOJ786466 GYB786466:GYF786466 HHX786466:HIB786466 HRT786466:HRX786466 IBP786466:IBT786466 ILL786466:ILP786466 IVH786466:IVL786466 JFD786466:JFH786466 JOZ786466:JPD786466 JYV786466:JYZ786466 KIR786466:KIV786466 KSN786466:KSR786466 LCJ786466:LCN786466 LMF786466:LMJ786466 LWB786466:LWF786466 MFX786466:MGB786466 MPT786466:MPX786466 MZP786466:MZT786466 NJL786466:NJP786466 NTH786466:NTL786466 ODD786466:ODH786466 OMZ786466:OND786466 OWV786466:OWZ786466 PGR786466:PGV786466 PQN786466:PQR786466 QAJ786466:QAN786466 QKF786466:QKJ786466 QUB786466:QUF786466 RDX786466:REB786466 RNT786466:RNX786466 RXP786466:RXT786466 SHL786466:SHP786466 SRH786466:SRL786466 TBD786466:TBH786466 TKZ786466:TLD786466 TUV786466:TUZ786466 UER786466:UEV786466 UON786466:UOR786466 UYJ786466:UYN786466 VIF786466:VIJ786466 VSB786466:VSF786466 WBX786466:WCB786466 WLT786466:WLX786466 WVP786466:WVT786466 C852002:I852002 JD852002:JH852002 SZ852002:TD852002 ACV852002:ACZ852002 AMR852002:AMV852002 AWN852002:AWR852002 BGJ852002:BGN852002 BQF852002:BQJ852002 CAB852002:CAF852002 CJX852002:CKB852002 CTT852002:CTX852002 DDP852002:DDT852002 DNL852002:DNP852002 DXH852002:DXL852002 EHD852002:EHH852002 EQZ852002:ERD852002 FAV852002:FAZ852002 FKR852002:FKV852002 FUN852002:FUR852002 GEJ852002:GEN852002 GOF852002:GOJ852002 GYB852002:GYF852002 HHX852002:HIB852002 HRT852002:HRX852002 IBP852002:IBT852002 ILL852002:ILP852002 IVH852002:IVL852002 JFD852002:JFH852002 JOZ852002:JPD852002 JYV852002:JYZ852002 KIR852002:KIV852002 KSN852002:KSR852002 LCJ852002:LCN852002 LMF852002:LMJ852002 LWB852002:LWF852002 MFX852002:MGB852002 MPT852002:MPX852002 MZP852002:MZT852002 NJL852002:NJP852002 NTH852002:NTL852002 ODD852002:ODH852002 OMZ852002:OND852002 OWV852002:OWZ852002 PGR852002:PGV852002 PQN852002:PQR852002 QAJ852002:QAN852002 QKF852002:QKJ852002 QUB852002:QUF852002 RDX852002:REB852002 RNT852002:RNX852002 RXP852002:RXT852002 SHL852002:SHP852002 SRH852002:SRL852002 TBD852002:TBH852002 TKZ852002:TLD852002 TUV852002:TUZ852002 UER852002:UEV852002 UON852002:UOR852002 UYJ852002:UYN852002 VIF852002:VIJ852002 VSB852002:VSF852002 WBX852002:WCB852002 WLT852002:WLX852002 WVP852002:WVT852002 C917538:I917538 JD917538:JH917538 SZ917538:TD917538 ACV917538:ACZ917538 AMR917538:AMV917538 AWN917538:AWR917538 BGJ917538:BGN917538 BQF917538:BQJ917538 CAB917538:CAF917538 CJX917538:CKB917538 CTT917538:CTX917538 DDP917538:DDT917538 DNL917538:DNP917538 DXH917538:DXL917538 EHD917538:EHH917538 EQZ917538:ERD917538 FAV917538:FAZ917538 FKR917538:FKV917538 FUN917538:FUR917538 GEJ917538:GEN917538 GOF917538:GOJ917538 GYB917538:GYF917538 HHX917538:HIB917538 HRT917538:HRX917538 IBP917538:IBT917538 ILL917538:ILP917538 IVH917538:IVL917538 JFD917538:JFH917538 JOZ917538:JPD917538 JYV917538:JYZ917538 KIR917538:KIV917538 KSN917538:KSR917538 LCJ917538:LCN917538 LMF917538:LMJ917538 LWB917538:LWF917538 MFX917538:MGB917538 MPT917538:MPX917538 MZP917538:MZT917538 NJL917538:NJP917538 NTH917538:NTL917538 ODD917538:ODH917538 OMZ917538:OND917538 OWV917538:OWZ917538 PGR917538:PGV917538 PQN917538:PQR917538 QAJ917538:QAN917538 QKF917538:QKJ917538 QUB917538:QUF917538 RDX917538:REB917538 RNT917538:RNX917538 RXP917538:RXT917538 SHL917538:SHP917538 SRH917538:SRL917538 TBD917538:TBH917538 TKZ917538:TLD917538 TUV917538:TUZ917538 UER917538:UEV917538 UON917538:UOR917538 UYJ917538:UYN917538 VIF917538:VIJ917538 VSB917538:VSF917538 WBX917538:WCB917538 WLT917538:WLX917538 WVP917538:WVT917538 C983074:I983074 JD983074:JH983074 SZ983074:TD983074 ACV983074:ACZ983074 AMR983074:AMV983074 AWN983074:AWR983074 BGJ983074:BGN983074 BQF983074:BQJ983074 CAB983074:CAF983074 CJX983074:CKB983074 CTT983074:CTX983074 DDP983074:DDT983074 DNL983074:DNP983074 DXH983074:DXL983074 EHD983074:EHH983074 EQZ983074:ERD983074 FAV983074:FAZ983074 FKR983074:FKV983074 FUN983074:FUR983074 GEJ983074:GEN983074 GOF983074:GOJ983074 GYB983074:GYF983074 HHX983074:HIB983074 HRT983074:HRX983074 IBP983074:IBT983074 ILL983074:ILP983074 IVH983074:IVL983074 JFD983074:JFH983074 JOZ983074:JPD983074 JYV983074:JYZ983074 KIR983074:KIV983074 KSN983074:KSR983074 LCJ983074:LCN983074 LMF983074:LMJ983074 LWB983074:LWF983074 MFX983074:MGB983074 MPT983074:MPX983074 MZP983074:MZT983074 NJL983074:NJP983074 NTH983074:NTL983074 ODD983074:ODH983074 OMZ983074:OND983074 OWV983074:OWZ983074 PGR983074:PGV983074 PQN983074:PQR983074 QAJ983074:QAN983074 QKF983074:QKJ983074 QUB983074:QUF983074 RDX983074:REB983074 RNT983074:RNX983074 RXP983074:RXT983074 SHL983074:SHP983074 SRH983074:SRL983074 TBD983074:TBH983074 TKZ983074:TLD983074 TUV983074:TUZ983074 UER983074:UEV983074 UON983074:UOR983074 UYJ983074:UYN983074 VIF983074:VIJ983074 VSB983074:VSF983074 WBX983074:WCB983074 WLT983074:WLX983074 JD9:JH9" xr:uid="{3D14096F-5AF8-4A7F-8231-920D44DDE5EE}">
      <formula1>$K$9:$Q$9</formula1>
    </dataValidation>
    <dataValidation type="list" allowBlank="1" showInputMessage="1" showErrorMessage="1" promptTitle="WORK" prompt="SELECT FROM DROP DOWN LIST" sqref="WVP983073:WVT983073 JD65569:JH65569 SZ65569:TD65569 ACV65569:ACZ65569 AMR65569:AMV65569 AWN65569:AWR65569 BGJ65569:BGN65569 BQF65569:BQJ65569 CAB65569:CAF65569 CJX65569:CKB65569 CTT65569:CTX65569 DDP65569:DDT65569 DNL65569:DNP65569 DXH65569:DXL65569 EHD65569:EHH65569 EQZ65569:ERD65569 FAV65569:FAZ65569 FKR65569:FKV65569 FUN65569:FUR65569 GEJ65569:GEN65569 GOF65569:GOJ65569 GYB65569:GYF65569 HHX65569:HIB65569 HRT65569:HRX65569 IBP65569:IBT65569 ILL65569:ILP65569 IVH65569:IVL65569 JFD65569:JFH65569 JOZ65569:JPD65569 JYV65569:JYZ65569 KIR65569:KIV65569 KSN65569:KSR65569 LCJ65569:LCN65569 LMF65569:LMJ65569 LWB65569:LWF65569 MFX65569:MGB65569 MPT65569:MPX65569 MZP65569:MZT65569 NJL65569:NJP65569 NTH65569:NTL65569 ODD65569:ODH65569 OMZ65569:OND65569 OWV65569:OWZ65569 PGR65569:PGV65569 PQN65569:PQR65569 QAJ65569:QAN65569 QKF65569:QKJ65569 QUB65569:QUF65569 RDX65569:REB65569 RNT65569:RNX65569 RXP65569:RXT65569 SHL65569:SHP65569 SRH65569:SRL65569 TBD65569:TBH65569 TKZ65569:TLD65569 TUV65569:TUZ65569 UER65569:UEV65569 UON65569:UOR65569 UYJ65569:UYN65569 VIF65569:VIJ65569 VSB65569:VSF65569 WBX65569:WCB65569 WLT65569:WLX65569 WVP65569:WVT65569 JD131105:JH131105 SZ131105:TD131105 ACV131105:ACZ131105 AMR131105:AMV131105 AWN131105:AWR131105 BGJ131105:BGN131105 BQF131105:BQJ131105 CAB131105:CAF131105 CJX131105:CKB131105 CTT131105:CTX131105 DDP131105:DDT131105 DNL131105:DNP131105 DXH131105:DXL131105 EHD131105:EHH131105 EQZ131105:ERD131105 FAV131105:FAZ131105 FKR131105:FKV131105 FUN131105:FUR131105 GEJ131105:GEN131105 GOF131105:GOJ131105 GYB131105:GYF131105 HHX131105:HIB131105 HRT131105:HRX131105 IBP131105:IBT131105 ILL131105:ILP131105 IVH131105:IVL131105 JFD131105:JFH131105 JOZ131105:JPD131105 JYV131105:JYZ131105 KIR131105:KIV131105 KSN131105:KSR131105 LCJ131105:LCN131105 LMF131105:LMJ131105 LWB131105:LWF131105 MFX131105:MGB131105 MPT131105:MPX131105 MZP131105:MZT131105 NJL131105:NJP131105 NTH131105:NTL131105 ODD131105:ODH131105 OMZ131105:OND131105 OWV131105:OWZ131105 PGR131105:PGV131105 PQN131105:PQR131105 QAJ131105:QAN131105 QKF131105:QKJ131105 QUB131105:QUF131105 RDX131105:REB131105 RNT131105:RNX131105 RXP131105:RXT131105 SHL131105:SHP131105 SRH131105:SRL131105 TBD131105:TBH131105 TKZ131105:TLD131105 TUV131105:TUZ131105 UER131105:UEV131105 UON131105:UOR131105 UYJ131105:UYN131105 VIF131105:VIJ131105 VSB131105:VSF131105 WBX131105:WCB131105 WLT131105:WLX131105 WVP131105:WVT131105 JD196641:JH196641 SZ196641:TD196641 ACV196641:ACZ196641 AMR196641:AMV196641 AWN196641:AWR196641 BGJ196641:BGN196641 BQF196641:BQJ196641 CAB196641:CAF196641 CJX196641:CKB196641 CTT196641:CTX196641 DDP196641:DDT196641 DNL196641:DNP196641 DXH196641:DXL196641 EHD196641:EHH196641 EQZ196641:ERD196641 FAV196641:FAZ196641 FKR196641:FKV196641 FUN196641:FUR196641 GEJ196641:GEN196641 GOF196641:GOJ196641 GYB196641:GYF196641 HHX196641:HIB196641 HRT196641:HRX196641 IBP196641:IBT196641 ILL196641:ILP196641 IVH196641:IVL196641 JFD196641:JFH196641 JOZ196641:JPD196641 JYV196641:JYZ196641 KIR196641:KIV196641 KSN196641:KSR196641 LCJ196641:LCN196641 LMF196641:LMJ196641 LWB196641:LWF196641 MFX196641:MGB196641 MPT196641:MPX196641 MZP196641:MZT196641 NJL196641:NJP196641 NTH196641:NTL196641 ODD196641:ODH196641 OMZ196641:OND196641 OWV196641:OWZ196641 PGR196641:PGV196641 PQN196641:PQR196641 QAJ196641:QAN196641 QKF196641:QKJ196641 QUB196641:QUF196641 RDX196641:REB196641 RNT196641:RNX196641 RXP196641:RXT196641 SHL196641:SHP196641 SRH196641:SRL196641 TBD196641:TBH196641 TKZ196641:TLD196641 TUV196641:TUZ196641 UER196641:UEV196641 UON196641:UOR196641 UYJ196641:UYN196641 VIF196641:VIJ196641 VSB196641:VSF196641 WBX196641:WCB196641 WLT196641:WLX196641 WVP196641:WVT196641 JD262177:JH262177 SZ262177:TD262177 ACV262177:ACZ262177 AMR262177:AMV262177 AWN262177:AWR262177 BGJ262177:BGN262177 BQF262177:BQJ262177 CAB262177:CAF262177 CJX262177:CKB262177 CTT262177:CTX262177 DDP262177:DDT262177 DNL262177:DNP262177 DXH262177:DXL262177 EHD262177:EHH262177 EQZ262177:ERD262177 FAV262177:FAZ262177 FKR262177:FKV262177 FUN262177:FUR262177 GEJ262177:GEN262177 GOF262177:GOJ262177 GYB262177:GYF262177 HHX262177:HIB262177 HRT262177:HRX262177 IBP262177:IBT262177 ILL262177:ILP262177 IVH262177:IVL262177 JFD262177:JFH262177 JOZ262177:JPD262177 JYV262177:JYZ262177 KIR262177:KIV262177 KSN262177:KSR262177 LCJ262177:LCN262177 LMF262177:LMJ262177 LWB262177:LWF262177 MFX262177:MGB262177 MPT262177:MPX262177 MZP262177:MZT262177 NJL262177:NJP262177 NTH262177:NTL262177 ODD262177:ODH262177 OMZ262177:OND262177 OWV262177:OWZ262177 PGR262177:PGV262177 PQN262177:PQR262177 QAJ262177:QAN262177 QKF262177:QKJ262177 QUB262177:QUF262177 RDX262177:REB262177 RNT262177:RNX262177 RXP262177:RXT262177 SHL262177:SHP262177 SRH262177:SRL262177 TBD262177:TBH262177 TKZ262177:TLD262177 TUV262177:TUZ262177 UER262177:UEV262177 UON262177:UOR262177 UYJ262177:UYN262177 VIF262177:VIJ262177 VSB262177:VSF262177 WBX262177:WCB262177 WLT262177:WLX262177 WVP262177:WVT262177 JD327713:JH327713 SZ327713:TD327713 ACV327713:ACZ327713 AMR327713:AMV327713 AWN327713:AWR327713 BGJ327713:BGN327713 BQF327713:BQJ327713 CAB327713:CAF327713 CJX327713:CKB327713 CTT327713:CTX327713 DDP327713:DDT327713 DNL327713:DNP327713 DXH327713:DXL327713 EHD327713:EHH327713 EQZ327713:ERD327713 FAV327713:FAZ327713 FKR327713:FKV327713 FUN327713:FUR327713 GEJ327713:GEN327713 GOF327713:GOJ327713 GYB327713:GYF327713 HHX327713:HIB327713 HRT327713:HRX327713 IBP327713:IBT327713 ILL327713:ILP327713 IVH327713:IVL327713 JFD327713:JFH327713 JOZ327713:JPD327713 JYV327713:JYZ327713 KIR327713:KIV327713 KSN327713:KSR327713 LCJ327713:LCN327713 LMF327713:LMJ327713 LWB327713:LWF327713 MFX327713:MGB327713 MPT327713:MPX327713 MZP327713:MZT327713 NJL327713:NJP327713 NTH327713:NTL327713 ODD327713:ODH327713 OMZ327713:OND327713 OWV327713:OWZ327713 PGR327713:PGV327713 PQN327713:PQR327713 QAJ327713:QAN327713 QKF327713:QKJ327713 QUB327713:QUF327713 RDX327713:REB327713 RNT327713:RNX327713 RXP327713:RXT327713 SHL327713:SHP327713 SRH327713:SRL327713 TBD327713:TBH327713 TKZ327713:TLD327713 TUV327713:TUZ327713 UER327713:UEV327713 UON327713:UOR327713 UYJ327713:UYN327713 VIF327713:VIJ327713 VSB327713:VSF327713 WBX327713:WCB327713 WLT327713:WLX327713 WVP327713:WVT327713 JD393249:JH393249 SZ393249:TD393249 ACV393249:ACZ393249 AMR393249:AMV393249 AWN393249:AWR393249 BGJ393249:BGN393249 BQF393249:BQJ393249 CAB393249:CAF393249 CJX393249:CKB393249 CTT393249:CTX393249 DDP393249:DDT393249 DNL393249:DNP393249 DXH393249:DXL393249 EHD393249:EHH393249 EQZ393249:ERD393249 FAV393249:FAZ393249 FKR393249:FKV393249 FUN393249:FUR393249 GEJ393249:GEN393249 GOF393249:GOJ393249 GYB393249:GYF393249 HHX393249:HIB393249 HRT393249:HRX393249 IBP393249:IBT393249 ILL393249:ILP393249 IVH393249:IVL393249 JFD393249:JFH393249 JOZ393249:JPD393249 JYV393249:JYZ393249 KIR393249:KIV393249 KSN393249:KSR393249 LCJ393249:LCN393249 LMF393249:LMJ393249 LWB393249:LWF393249 MFX393249:MGB393249 MPT393249:MPX393249 MZP393249:MZT393249 NJL393249:NJP393249 NTH393249:NTL393249 ODD393249:ODH393249 OMZ393249:OND393249 OWV393249:OWZ393249 PGR393249:PGV393249 PQN393249:PQR393249 QAJ393249:QAN393249 QKF393249:QKJ393249 QUB393249:QUF393249 RDX393249:REB393249 RNT393249:RNX393249 RXP393249:RXT393249 SHL393249:SHP393249 SRH393249:SRL393249 TBD393249:TBH393249 TKZ393249:TLD393249 TUV393249:TUZ393249 UER393249:UEV393249 UON393249:UOR393249 UYJ393249:UYN393249 VIF393249:VIJ393249 VSB393249:VSF393249 WBX393249:WCB393249 WLT393249:WLX393249 WVP393249:WVT393249 JD458785:JH458785 SZ458785:TD458785 ACV458785:ACZ458785 AMR458785:AMV458785 AWN458785:AWR458785 BGJ458785:BGN458785 BQF458785:BQJ458785 CAB458785:CAF458785 CJX458785:CKB458785 CTT458785:CTX458785 DDP458785:DDT458785 DNL458785:DNP458785 DXH458785:DXL458785 EHD458785:EHH458785 EQZ458785:ERD458785 FAV458785:FAZ458785 FKR458785:FKV458785 FUN458785:FUR458785 GEJ458785:GEN458785 GOF458785:GOJ458785 GYB458785:GYF458785 HHX458785:HIB458785 HRT458785:HRX458785 IBP458785:IBT458785 ILL458785:ILP458785 IVH458785:IVL458785 JFD458785:JFH458785 JOZ458785:JPD458785 JYV458785:JYZ458785 KIR458785:KIV458785 KSN458785:KSR458785 LCJ458785:LCN458785 LMF458785:LMJ458785 LWB458785:LWF458785 MFX458785:MGB458785 MPT458785:MPX458785 MZP458785:MZT458785 NJL458785:NJP458785 NTH458785:NTL458785 ODD458785:ODH458785 OMZ458785:OND458785 OWV458785:OWZ458785 PGR458785:PGV458785 PQN458785:PQR458785 QAJ458785:QAN458785 QKF458785:QKJ458785 QUB458785:QUF458785 RDX458785:REB458785 RNT458785:RNX458785 RXP458785:RXT458785 SHL458785:SHP458785 SRH458785:SRL458785 TBD458785:TBH458785 TKZ458785:TLD458785 TUV458785:TUZ458785 UER458785:UEV458785 UON458785:UOR458785 UYJ458785:UYN458785 VIF458785:VIJ458785 VSB458785:VSF458785 WBX458785:WCB458785 WLT458785:WLX458785 WVP458785:WVT458785 JD524321:JH524321 SZ524321:TD524321 ACV524321:ACZ524321 AMR524321:AMV524321 AWN524321:AWR524321 BGJ524321:BGN524321 BQF524321:BQJ524321 CAB524321:CAF524321 CJX524321:CKB524321 CTT524321:CTX524321 DDP524321:DDT524321 DNL524321:DNP524321 DXH524321:DXL524321 EHD524321:EHH524321 EQZ524321:ERD524321 FAV524321:FAZ524321 FKR524321:FKV524321 FUN524321:FUR524321 GEJ524321:GEN524321 GOF524321:GOJ524321 GYB524321:GYF524321 HHX524321:HIB524321 HRT524321:HRX524321 IBP524321:IBT524321 ILL524321:ILP524321 IVH524321:IVL524321 JFD524321:JFH524321 JOZ524321:JPD524321 JYV524321:JYZ524321 KIR524321:KIV524321 KSN524321:KSR524321 LCJ524321:LCN524321 LMF524321:LMJ524321 LWB524321:LWF524321 MFX524321:MGB524321 MPT524321:MPX524321 MZP524321:MZT524321 NJL524321:NJP524321 NTH524321:NTL524321 ODD524321:ODH524321 OMZ524321:OND524321 OWV524321:OWZ524321 PGR524321:PGV524321 PQN524321:PQR524321 QAJ524321:QAN524321 QKF524321:QKJ524321 QUB524321:QUF524321 RDX524321:REB524321 RNT524321:RNX524321 RXP524321:RXT524321 SHL524321:SHP524321 SRH524321:SRL524321 TBD524321:TBH524321 TKZ524321:TLD524321 TUV524321:TUZ524321 UER524321:UEV524321 UON524321:UOR524321 UYJ524321:UYN524321 VIF524321:VIJ524321 VSB524321:VSF524321 WBX524321:WCB524321 WLT524321:WLX524321 WVP524321:WVT524321 JD589857:JH589857 SZ589857:TD589857 ACV589857:ACZ589857 AMR589857:AMV589857 AWN589857:AWR589857 BGJ589857:BGN589857 BQF589857:BQJ589857 CAB589857:CAF589857 CJX589857:CKB589857 CTT589857:CTX589857 DDP589857:DDT589857 DNL589857:DNP589857 DXH589857:DXL589857 EHD589857:EHH589857 EQZ589857:ERD589857 FAV589857:FAZ589857 FKR589857:FKV589857 FUN589857:FUR589857 GEJ589857:GEN589857 GOF589857:GOJ589857 GYB589857:GYF589857 HHX589857:HIB589857 HRT589857:HRX589857 IBP589857:IBT589857 ILL589857:ILP589857 IVH589857:IVL589857 JFD589857:JFH589857 JOZ589857:JPD589857 JYV589857:JYZ589857 KIR589857:KIV589857 KSN589857:KSR589857 LCJ589857:LCN589857 LMF589857:LMJ589857 LWB589857:LWF589857 MFX589857:MGB589857 MPT589857:MPX589857 MZP589857:MZT589857 NJL589857:NJP589857 NTH589857:NTL589857 ODD589857:ODH589857 OMZ589857:OND589857 OWV589857:OWZ589857 PGR589857:PGV589857 PQN589857:PQR589857 QAJ589857:QAN589857 QKF589857:QKJ589857 QUB589857:QUF589857 RDX589857:REB589857 RNT589857:RNX589857 RXP589857:RXT589857 SHL589857:SHP589857 SRH589857:SRL589857 TBD589857:TBH589857 TKZ589857:TLD589857 TUV589857:TUZ589857 UER589857:UEV589857 UON589857:UOR589857 UYJ589857:UYN589857 VIF589857:VIJ589857 VSB589857:VSF589857 WBX589857:WCB589857 WLT589857:WLX589857 WVP589857:WVT589857 JD655393:JH655393 SZ655393:TD655393 ACV655393:ACZ655393 AMR655393:AMV655393 AWN655393:AWR655393 BGJ655393:BGN655393 BQF655393:BQJ655393 CAB655393:CAF655393 CJX655393:CKB655393 CTT655393:CTX655393 DDP655393:DDT655393 DNL655393:DNP655393 DXH655393:DXL655393 EHD655393:EHH655393 EQZ655393:ERD655393 FAV655393:FAZ655393 FKR655393:FKV655393 FUN655393:FUR655393 GEJ655393:GEN655393 GOF655393:GOJ655393 GYB655393:GYF655393 HHX655393:HIB655393 HRT655393:HRX655393 IBP655393:IBT655393 ILL655393:ILP655393 IVH655393:IVL655393 JFD655393:JFH655393 JOZ655393:JPD655393 JYV655393:JYZ655393 KIR655393:KIV655393 KSN655393:KSR655393 LCJ655393:LCN655393 LMF655393:LMJ655393 LWB655393:LWF655393 MFX655393:MGB655393 MPT655393:MPX655393 MZP655393:MZT655393 NJL655393:NJP655393 NTH655393:NTL655393 ODD655393:ODH655393 OMZ655393:OND655393 OWV655393:OWZ655393 PGR655393:PGV655393 PQN655393:PQR655393 QAJ655393:QAN655393 QKF655393:QKJ655393 QUB655393:QUF655393 RDX655393:REB655393 RNT655393:RNX655393 RXP655393:RXT655393 SHL655393:SHP655393 SRH655393:SRL655393 TBD655393:TBH655393 TKZ655393:TLD655393 TUV655393:TUZ655393 UER655393:UEV655393 UON655393:UOR655393 UYJ655393:UYN655393 VIF655393:VIJ655393 VSB655393:VSF655393 WBX655393:WCB655393 WLT655393:WLX655393 WVP655393:WVT655393 JD720929:JH720929 SZ720929:TD720929 ACV720929:ACZ720929 AMR720929:AMV720929 AWN720929:AWR720929 BGJ720929:BGN720929 BQF720929:BQJ720929 CAB720929:CAF720929 CJX720929:CKB720929 CTT720929:CTX720929 DDP720929:DDT720929 DNL720929:DNP720929 DXH720929:DXL720929 EHD720929:EHH720929 EQZ720929:ERD720929 FAV720929:FAZ720929 FKR720929:FKV720929 FUN720929:FUR720929 GEJ720929:GEN720929 GOF720929:GOJ720929 GYB720929:GYF720929 HHX720929:HIB720929 HRT720929:HRX720929 IBP720929:IBT720929 ILL720929:ILP720929 IVH720929:IVL720929 JFD720929:JFH720929 JOZ720929:JPD720929 JYV720929:JYZ720929 KIR720929:KIV720929 KSN720929:KSR720929 LCJ720929:LCN720929 LMF720929:LMJ720929 LWB720929:LWF720929 MFX720929:MGB720929 MPT720929:MPX720929 MZP720929:MZT720929 NJL720929:NJP720929 NTH720929:NTL720929 ODD720929:ODH720929 OMZ720929:OND720929 OWV720929:OWZ720929 PGR720929:PGV720929 PQN720929:PQR720929 QAJ720929:QAN720929 QKF720929:QKJ720929 QUB720929:QUF720929 RDX720929:REB720929 RNT720929:RNX720929 RXP720929:RXT720929 SHL720929:SHP720929 SRH720929:SRL720929 TBD720929:TBH720929 TKZ720929:TLD720929 TUV720929:TUZ720929 UER720929:UEV720929 UON720929:UOR720929 UYJ720929:UYN720929 VIF720929:VIJ720929 VSB720929:VSF720929 WBX720929:WCB720929 WLT720929:WLX720929 WVP720929:WVT720929 JD786465:JH786465 SZ786465:TD786465 ACV786465:ACZ786465 AMR786465:AMV786465 AWN786465:AWR786465 BGJ786465:BGN786465 BQF786465:BQJ786465 CAB786465:CAF786465 CJX786465:CKB786465 CTT786465:CTX786465 DDP786465:DDT786465 DNL786465:DNP786465 DXH786465:DXL786465 EHD786465:EHH786465 EQZ786465:ERD786465 FAV786465:FAZ786465 FKR786465:FKV786465 FUN786465:FUR786465 GEJ786465:GEN786465 GOF786465:GOJ786465 GYB786465:GYF786465 HHX786465:HIB786465 HRT786465:HRX786465 IBP786465:IBT786465 ILL786465:ILP786465 IVH786465:IVL786465 JFD786465:JFH786465 JOZ786465:JPD786465 JYV786465:JYZ786465 KIR786465:KIV786465 KSN786465:KSR786465 LCJ786465:LCN786465 LMF786465:LMJ786465 LWB786465:LWF786465 MFX786465:MGB786465 MPT786465:MPX786465 MZP786465:MZT786465 NJL786465:NJP786465 NTH786465:NTL786465 ODD786465:ODH786465 OMZ786465:OND786465 OWV786465:OWZ786465 PGR786465:PGV786465 PQN786465:PQR786465 QAJ786465:QAN786465 QKF786465:QKJ786465 QUB786465:QUF786465 RDX786465:REB786465 RNT786465:RNX786465 RXP786465:RXT786465 SHL786465:SHP786465 SRH786465:SRL786465 TBD786465:TBH786465 TKZ786465:TLD786465 TUV786465:TUZ786465 UER786465:UEV786465 UON786465:UOR786465 UYJ786465:UYN786465 VIF786465:VIJ786465 VSB786465:VSF786465 WBX786465:WCB786465 WLT786465:WLX786465 WVP786465:WVT786465 JD852001:JH852001 SZ852001:TD852001 ACV852001:ACZ852001 AMR852001:AMV852001 AWN852001:AWR852001 BGJ852001:BGN852001 BQF852001:BQJ852001 CAB852001:CAF852001 CJX852001:CKB852001 CTT852001:CTX852001 DDP852001:DDT852001 DNL852001:DNP852001 DXH852001:DXL852001 EHD852001:EHH852001 EQZ852001:ERD852001 FAV852001:FAZ852001 FKR852001:FKV852001 FUN852001:FUR852001 GEJ852001:GEN852001 GOF852001:GOJ852001 GYB852001:GYF852001 HHX852001:HIB852001 HRT852001:HRX852001 IBP852001:IBT852001 ILL852001:ILP852001 IVH852001:IVL852001 JFD852001:JFH852001 JOZ852001:JPD852001 JYV852001:JYZ852001 KIR852001:KIV852001 KSN852001:KSR852001 LCJ852001:LCN852001 LMF852001:LMJ852001 LWB852001:LWF852001 MFX852001:MGB852001 MPT852001:MPX852001 MZP852001:MZT852001 NJL852001:NJP852001 NTH852001:NTL852001 ODD852001:ODH852001 OMZ852001:OND852001 OWV852001:OWZ852001 PGR852001:PGV852001 PQN852001:PQR852001 QAJ852001:QAN852001 QKF852001:QKJ852001 QUB852001:QUF852001 RDX852001:REB852001 RNT852001:RNX852001 RXP852001:RXT852001 SHL852001:SHP852001 SRH852001:SRL852001 TBD852001:TBH852001 TKZ852001:TLD852001 TUV852001:TUZ852001 UER852001:UEV852001 UON852001:UOR852001 UYJ852001:UYN852001 VIF852001:VIJ852001 VSB852001:VSF852001 WBX852001:WCB852001 WLT852001:WLX852001 WVP852001:WVT852001 JD917537:JH917537 SZ917537:TD917537 ACV917537:ACZ917537 AMR917537:AMV917537 AWN917537:AWR917537 BGJ917537:BGN917537 BQF917537:BQJ917537 CAB917537:CAF917537 CJX917537:CKB917537 CTT917537:CTX917537 DDP917537:DDT917537 DNL917537:DNP917537 DXH917537:DXL917537 EHD917537:EHH917537 EQZ917537:ERD917537 FAV917537:FAZ917537 FKR917537:FKV917537 FUN917537:FUR917537 GEJ917537:GEN917537 GOF917537:GOJ917537 GYB917537:GYF917537 HHX917537:HIB917537 HRT917537:HRX917537 IBP917537:IBT917537 ILL917537:ILP917537 IVH917537:IVL917537 JFD917537:JFH917537 JOZ917537:JPD917537 JYV917537:JYZ917537 KIR917537:KIV917537 KSN917537:KSR917537 LCJ917537:LCN917537 LMF917537:LMJ917537 LWB917537:LWF917537 MFX917537:MGB917537 MPT917537:MPX917537 MZP917537:MZT917537 NJL917537:NJP917537 NTH917537:NTL917537 ODD917537:ODH917537 OMZ917537:OND917537 OWV917537:OWZ917537 PGR917537:PGV917537 PQN917537:PQR917537 QAJ917537:QAN917537 QKF917537:QKJ917537 QUB917537:QUF917537 RDX917537:REB917537 RNT917537:RNX917537 RXP917537:RXT917537 SHL917537:SHP917537 SRH917537:SRL917537 TBD917537:TBH917537 TKZ917537:TLD917537 TUV917537:TUZ917537 UER917537:UEV917537 UON917537:UOR917537 UYJ917537:UYN917537 VIF917537:VIJ917537 VSB917537:VSF917537 WBX917537:WCB917537 WLT917537:WLX917537 WVP917537:WVT917537 JD983073:JH983073 SZ983073:TD983073 ACV983073:ACZ983073 AMR983073:AMV983073 AWN983073:AWR983073 BGJ983073:BGN983073 BQF983073:BQJ983073 CAB983073:CAF983073 CJX983073:CKB983073 CTT983073:CTX983073 DDP983073:DDT983073 DNL983073:DNP983073 DXH983073:DXL983073 EHD983073:EHH983073 EQZ983073:ERD983073 FAV983073:FAZ983073 FKR983073:FKV983073 FUN983073:FUR983073 GEJ983073:GEN983073 GOF983073:GOJ983073 GYB983073:GYF983073 HHX983073:HIB983073 HRT983073:HRX983073 IBP983073:IBT983073 ILL983073:ILP983073 IVH983073:IVL983073 JFD983073:JFH983073 JOZ983073:JPD983073 JYV983073:JYZ983073 KIR983073:KIV983073 KSN983073:KSR983073 LCJ983073:LCN983073 LMF983073:LMJ983073 LWB983073:LWF983073 MFX983073:MGB983073 MPT983073:MPX983073 MZP983073:MZT983073 NJL983073:NJP983073 NTH983073:NTL983073 ODD983073:ODH983073 OMZ983073:OND983073 OWV983073:OWZ983073 PGR983073:PGV983073 PQN983073:PQR983073 QAJ983073:QAN983073 QKF983073:QKJ983073 QUB983073:QUF983073 RDX983073:REB983073 RNT983073:RNX983073 RXP983073:RXT983073 SHL983073:SHP983073 SRH983073:SRL983073 TBD983073:TBH983073 TKZ983073:TLD983073 TUV983073:TUZ983073 UER983073:UEV983073 UON983073:UOR983073 UYJ983073:UYN983073 VIF983073:VIJ983073 VSB983073:VSF983073 WBX983073:WCB983073 WLT983073:WLX983073 C983073:I983073 C917537:I917537 C852001:I852001 C786465:I786465 C720929:I720929 C655393:I655393 C589857:I589857 C524321:I524321 C458785:I458785 C393249:I393249 C327713:I327713 C262177:I262177 C196641:I196641 C131105:I131105 C65569:I65569" xr:uid="{6FA94FD8-C316-4331-8A63-F163FC066568}">
      <formula1>#REF!</formula1>
    </dataValidation>
    <dataValidation allowBlank="1" showInputMessage="1" showErrorMessage="1" promptTitle="SYSTEM" prompt="SELECT FROM DROP DOWN LIST" sqref="WVP983075:WVT983075 AMR10:AMV39 AWN10:AWR39 BGJ10:BGN39 BQF10:BQJ39 CAB10:CAF39 CJX10:CKB39 CTT10:CTX39 DDP10:DDT39 DNL10:DNP39 DXH10:DXL39 EHD10:EHH39 EQZ10:ERD39 FAV10:FAZ39 FKR10:FKV39 FUN10:FUR39 GEJ10:GEN39 GOF10:GOJ39 GYB10:GYF39 HHX10:HIB39 HRT10:HRX39 IBP10:IBT39 ILL10:ILP39 IVH10:IVL39 JFD10:JFH39 JOZ10:JPD39 JYV10:JYZ39 KIR10:KIV39 KSN10:KSR39 LCJ10:LCN39 LMF10:LMJ39 LWB10:LWF39 MFX10:MGB39 MPT10:MPX39 MZP10:MZT39 NJL10:NJP39 NTH10:NTL39 ODD10:ODH39 OMZ10:OND39 OWV10:OWZ39 PGR10:PGV39 PQN10:PQR39 QAJ10:QAN39 QKF10:QKJ39 QUB10:QUF39 RDX10:REB39 RNT10:RNX39 RXP10:RXT39 SHL10:SHP39 SRH10:SRL39 TBD10:TBH39 TKZ10:TLD39 TUV10:TUZ39 UER10:UEV39 UON10:UOR39 UYJ10:UYN39 VIF10:VIJ39 VSB10:VSF39 WBX10:WCB39 WLT10:WLX39 WVP10:WVT39 JD10:JH39 SZ10:TD39 WLT983075:WLX983075 JD65571:JH65571 SZ65571:TD65571 ACV65571:ACZ65571 AMR65571:AMV65571 AWN65571:AWR65571 BGJ65571:BGN65571 BQF65571:BQJ65571 CAB65571:CAF65571 CJX65571:CKB65571 CTT65571:CTX65571 DDP65571:DDT65571 DNL65571:DNP65571 DXH65571:DXL65571 EHD65571:EHH65571 EQZ65571:ERD65571 FAV65571:FAZ65571 FKR65571:FKV65571 FUN65571:FUR65571 GEJ65571:GEN65571 GOF65571:GOJ65571 GYB65571:GYF65571 HHX65571:HIB65571 HRT65571:HRX65571 IBP65571:IBT65571 ILL65571:ILP65571 IVH65571:IVL65571 JFD65571:JFH65571 JOZ65571:JPD65571 JYV65571:JYZ65571 KIR65571:KIV65571 KSN65571:KSR65571 LCJ65571:LCN65571 LMF65571:LMJ65571 LWB65571:LWF65571 MFX65571:MGB65571 MPT65571:MPX65571 MZP65571:MZT65571 NJL65571:NJP65571 NTH65571:NTL65571 ODD65571:ODH65571 OMZ65571:OND65571 OWV65571:OWZ65571 PGR65571:PGV65571 PQN65571:PQR65571 QAJ65571:QAN65571 QKF65571:QKJ65571 QUB65571:QUF65571 RDX65571:REB65571 RNT65571:RNX65571 RXP65571:RXT65571 SHL65571:SHP65571 SRH65571:SRL65571 TBD65571:TBH65571 TKZ65571:TLD65571 TUV65571:TUZ65571 UER65571:UEV65571 UON65571:UOR65571 UYJ65571:UYN65571 VIF65571:VIJ65571 VSB65571:VSF65571 WBX65571:WCB65571 WLT65571:WLX65571 WVP65571:WVT65571 JD131107:JH131107 SZ131107:TD131107 ACV131107:ACZ131107 AMR131107:AMV131107 AWN131107:AWR131107 BGJ131107:BGN131107 BQF131107:BQJ131107 CAB131107:CAF131107 CJX131107:CKB131107 CTT131107:CTX131107 DDP131107:DDT131107 DNL131107:DNP131107 DXH131107:DXL131107 EHD131107:EHH131107 EQZ131107:ERD131107 FAV131107:FAZ131107 FKR131107:FKV131107 FUN131107:FUR131107 GEJ131107:GEN131107 GOF131107:GOJ131107 GYB131107:GYF131107 HHX131107:HIB131107 HRT131107:HRX131107 IBP131107:IBT131107 ILL131107:ILP131107 IVH131107:IVL131107 JFD131107:JFH131107 JOZ131107:JPD131107 JYV131107:JYZ131107 KIR131107:KIV131107 KSN131107:KSR131107 LCJ131107:LCN131107 LMF131107:LMJ131107 LWB131107:LWF131107 MFX131107:MGB131107 MPT131107:MPX131107 MZP131107:MZT131107 NJL131107:NJP131107 NTH131107:NTL131107 ODD131107:ODH131107 OMZ131107:OND131107 OWV131107:OWZ131107 PGR131107:PGV131107 PQN131107:PQR131107 QAJ131107:QAN131107 QKF131107:QKJ131107 QUB131107:QUF131107 RDX131107:REB131107 RNT131107:RNX131107 RXP131107:RXT131107 SHL131107:SHP131107 SRH131107:SRL131107 TBD131107:TBH131107 TKZ131107:TLD131107 TUV131107:TUZ131107 UER131107:UEV131107 UON131107:UOR131107 UYJ131107:UYN131107 VIF131107:VIJ131107 VSB131107:VSF131107 WBX131107:WCB131107 WLT131107:WLX131107 WVP131107:WVT131107 JD196643:JH196643 SZ196643:TD196643 ACV196643:ACZ196643 AMR196643:AMV196643 AWN196643:AWR196643 BGJ196643:BGN196643 BQF196643:BQJ196643 CAB196643:CAF196643 CJX196643:CKB196643 CTT196643:CTX196643 DDP196643:DDT196643 DNL196643:DNP196643 DXH196643:DXL196643 EHD196643:EHH196643 EQZ196643:ERD196643 FAV196643:FAZ196643 FKR196643:FKV196643 FUN196643:FUR196643 GEJ196643:GEN196643 GOF196643:GOJ196643 GYB196643:GYF196643 HHX196643:HIB196643 HRT196643:HRX196643 IBP196643:IBT196643 ILL196643:ILP196643 IVH196643:IVL196643 JFD196643:JFH196643 JOZ196643:JPD196643 JYV196643:JYZ196643 KIR196643:KIV196643 KSN196643:KSR196643 LCJ196643:LCN196643 LMF196643:LMJ196643 LWB196643:LWF196643 MFX196643:MGB196643 MPT196643:MPX196643 MZP196643:MZT196643 NJL196643:NJP196643 NTH196643:NTL196643 ODD196643:ODH196643 OMZ196643:OND196643 OWV196643:OWZ196643 PGR196643:PGV196643 PQN196643:PQR196643 QAJ196643:QAN196643 QKF196643:QKJ196643 QUB196643:QUF196643 RDX196643:REB196643 RNT196643:RNX196643 RXP196643:RXT196643 SHL196643:SHP196643 SRH196643:SRL196643 TBD196643:TBH196643 TKZ196643:TLD196643 TUV196643:TUZ196643 UER196643:UEV196643 UON196643:UOR196643 UYJ196643:UYN196643 VIF196643:VIJ196643 VSB196643:VSF196643 WBX196643:WCB196643 WLT196643:WLX196643 WVP196643:WVT196643 JD262179:JH262179 SZ262179:TD262179 ACV262179:ACZ262179 AMR262179:AMV262179 AWN262179:AWR262179 BGJ262179:BGN262179 BQF262179:BQJ262179 CAB262179:CAF262179 CJX262179:CKB262179 CTT262179:CTX262179 DDP262179:DDT262179 DNL262179:DNP262179 DXH262179:DXL262179 EHD262179:EHH262179 EQZ262179:ERD262179 FAV262179:FAZ262179 FKR262179:FKV262179 FUN262179:FUR262179 GEJ262179:GEN262179 GOF262179:GOJ262179 GYB262179:GYF262179 HHX262179:HIB262179 HRT262179:HRX262179 IBP262179:IBT262179 ILL262179:ILP262179 IVH262179:IVL262179 JFD262179:JFH262179 JOZ262179:JPD262179 JYV262179:JYZ262179 KIR262179:KIV262179 KSN262179:KSR262179 LCJ262179:LCN262179 LMF262179:LMJ262179 LWB262179:LWF262179 MFX262179:MGB262179 MPT262179:MPX262179 MZP262179:MZT262179 NJL262179:NJP262179 NTH262179:NTL262179 ODD262179:ODH262179 OMZ262179:OND262179 OWV262179:OWZ262179 PGR262179:PGV262179 PQN262179:PQR262179 QAJ262179:QAN262179 QKF262179:QKJ262179 QUB262179:QUF262179 RDX262179:REB262179 RNT262179:RNX262179 RXP262179:RXT262179 SHL262179:SHP262179 SRH262179:SRL262179 TBD262179:TBH262179 TKZ262179:TLD262179 TUV262179:TUZ262179 UER262179:UEV262179 UON262179:UOR262179 UYJ262179:UYN262179 VIF262179:VIJ262179 VSB262179:VSF262179 WBX262179:WCB262179 WLT262179:WLX262179 WVP262179:WVT262179 JD327715:JH327715 SZ327715:TD327715 ACV327715:ACZ327715 AMR327715:AMV327715 AWN327715:AWR327715 BGJ327715:BGN327715 BQF327715:BQJ327715 CAB327715:CAF327715 CJX327715:CKB327715 CTT327715:CTX327715 DDP327715:DDT327715 DNL327715:DNP327715 DXH327715:DXL327715 EHD327715:EHH327715 EQZ327715:ERD327715 FAV327715:FAZ327715 FKR327715:FKV327715 FUN327715:FUR327715 GEJ327715:GEN327715 GOF327715:GOJ327715 GYB327715:GYF327715 HHX327715:HIB327715 HRT327715:HRX327715 IBP327715:IBT327715 ILL327715:ILP327715 IVH327715:IVL327715 JFD327715:JFH327715 JOZ327715:JPD327715 JYV327715:JYZ327715 KIR327715:KIV327715 KSN327715:KSR327715 LCJ327715:LCN327715 LMF327715:LMJ327715 LWB327715:LWF327715 MFX327715:MGB327715 MPT327715:MPX327715 MZP327715:MZT327715 NJL327715:NJP327715 NTH327715:NTL327715 ODD327715:ODH327715 OMZ327715:OND327715 OWV327715:OWZ327715 PGR327715:PGV327715 PQN327715:PQR327715 QAJ327715:QAN327715 QKF327715:QKJ327715 QUB327715:QUF327715 RDX327715:REB327715 RNT327715:RNX327715 RXP327715:RXT327715 SHL327715:SHP327715 SRH327715:SRL327715 TBD327715:TBH327715 TKZ327715:TLD327715 TUV327715:TUZ327715 UER327715:UEV327715 UON327715:UOR327715 UYJ327715:UYN327715 VIF327715:VIJ327715 VSB327715:VSF327715 WBX327715:WCB327715 WLT327715:WLX327715 WVP327715:WVT327715 JD393251:JH393251 SZ393251:TD393251 ACV393251:ACZ393251 AMR393251:AMV393251 AWN393251:AWR393251 BGJ393251:BGN393251 BQF393251:BQJ393251 CAB393251:CAF393251 CJX393251:CKB393251 CTT393251:CTX393251 DDP393251:DDT393251 DNL393251:DNP393251 DXH393251:DXL393251 EHD393251:EHH393251 EQZ393251:ERD393251 FAV393251:FAZ393251 FKR393251:FKV393251 FUN393251:FUR393251 GEJ393251:GEN393251 GOF393251:GOJ393251 GYB393251:GYF393251 HHX393251:HIB393251 HRT393251:HRX393251 IBP393251:IBT393251 ILL393251:ILP393251 IVH393251:IVL393251 JFD393251:JFH393251 JOZ393251:JPD393251 JYV393251:JYZ393251 KIR393251:KIV393251 KSN393251:KSR393251 LCJ393251:LCN393251 LMF393251:LMJ393251 LWB393251:LWF393251 MFX393251:MGB393251 MPT393251:MPX393251 MZP393251:MZT393251 NJL393251:NJP393251 NTH393251:NTL393251 ODD393251:ODH393251 OMZ393251:OND393251 OWV393251:OWZ393251 PGR393251:PGV393251 PQN393251:PQR393251 QAJ393251:QAN393251 QKF393251:QKJ393251 QUB393251:QUF393251 RDX393251:REB393251 RNT393251:RNX393251 RXP393251:RXT393251 SHL393251:SHP393251 SRH393251:SRL393251 TBD393251:TBH393251 TKZ393251:TLD393251 TUV393251:TUZ393251 UER393251:UEV393251 UON393251:UOR393251 UYJ393251:UYN393251 VIF393251:VIJ393251 VSB393251:VSF393251 WBX393251:WCB393251 WLT393251:WLX393251 WVP393251:WVT393251 JD458787:JH458787 SZ458787:TD458787 ACV458787:ACZ458787 AMR458787:AMV458787 AWN458787:AWR458787 BGJ458787:BGN458787 BQF458787:BQJ458787 CAB458787:CAF458787 CJX458787:CKB458787 CTT458787:CTX458787 DDP458787:DDT458787 DNL458787:DNP458787 DXH458787:DXL458787 EHD458787:EHH458787 EQZ458787:ERD458787 FAV458787:FAZ458787 FKR458787:FKV458787 FUN458787:FUR458787 GEJ458787:GEN458787 GOF458787:GOJ458787 GYB458787:GYF458787 HHX458787:HIB458787 HRT458787:HRX458787 IBP458787:IBT458787 ILL458787:ILP458787 IVH458787:IVL458787 JFD458787:JFH458787 JOZ458787:JPD458787 JYV458787:JYZ458787 KIR458787:KIV458787 KSN458787:KSR458787 LCJ458787:LCN458787 LMF458787:LMJ458787 LWB458787:LWF458787 MFX458787:MGB458787 MPT458787:MPX458787 MZP458787:MZT458787 NJL458787:NJP458787 NTH458787:NTL458787 ODD458787:ODH458787 OMZ458787:OND458787 OWV458787:OWZ458787 PGR458787:PGV458787 PQN458787:PQR458787 QAJ458787:QAN458787 QKF458787:QKJ458787 QUB458787:QUF458787 RDX458787:REB458787 RNT458787:RNX458787 RXP458787:RXT458787 SHL458787:SHP458787 SRH458787:SRL458787 TBD458787:TBH458787 TKZ458787:TLD458787 TUV458787:TUZ458787 UER458787:UEV458787 UON458787:UOR458787 UYJ458787:UYN458787 VIF458787:VIJ458787 VSB458787:VSF458787 WBX458787:WCB458787 WLT458787:WLX458787 WVP458787:WVT458787 JD524323:JH524323 SZ524323:TD524323 ACV524323:ACZ524323 AMR524323:AMV524323 AWN524323:AWR524323 BGJ524323:BGN524323 BQF524323:BQJ524323 CAB524323:CAF524323 CJX524323:CKB524323 CTT524323:CTX524323 DDP524323:DDT524323 DNL524323:DNP524323 DXH524323:DXL524323 EHD524323:EHH524323 EQZ524323:ERD524323 FAV524323:FAZ524323 FKR524323:FKV524323 FUN524323:FUR524323 GEJ524323:GEN524323 GOF524323:GOJ524323 GYB524323:GYF524323 HHX524323:HIB524323 HRT524323:HRX524323 IBP524323:IBT524323 ILL524323:ILP524323 IVH524323:IVL524323 JFD524323:JFH524323 JOZ524323:JPD524323 JYV524323:JYZ524323 KIR524323:KIV524323 KSN524323:KSR524323 LCJ524323:LCN524323 LMF524323:LMJ524323 LWB524323:LWF524323 MFX524323:MGB524323 MPT524323:MPX524323 MZP524323:MZT524323 NJL524323:NJP524323 NTH524323:NTL524323 ODD524323:ODH524323 OMZ524323:OND524323 OWV524323:OWZ524323 PGR524323:PGV524323 PQN524323:PQR524323 QAJ524323:QAN524323 QKF524323:QKJ524323 QUB524323:QUF524323 RDX524323:REB524323 RNT524323:RNX524323 RXP524323:RXT524323 SHL524323:SHP524323 SRH524323:SRL524323 TBD524323:TBH524323 TKZ524323:TLD524323 TUV524323:TUZ524323 UER524323:UEV524323 UON524323:UOR524323 UYJ524323:UYN524323 VIF524323:VIJ524323 VSB524323:VSF524323 WBX524323:WCB524323 WLT524323:WLX524323 WVP524323:WVT524323 JD589859:JH589859 SZ589859:TD589859 ACV589859:ACZ589859 AMR589859:AMV589859 AWN589859:AWR589859 BGJ589859:BGN589859 BQF589859:BQJ589859 CAB589859:CAF589859 CJX589859:CKB589859 CTT589859:CTX589859 DDP589859:DDT589859 DNL589859:DNP589859 DXH589859:DXL589859 EHD589859:EHH589859 EQZ589859:ERD589859 FAV589859:FAZ589859 FKR589859:FKV589859 FUN589859:FUR589859 GEJ589859:GEN589859 GOF589859:GOJ589859 GYB589859:GYF589859 HHX589859:HIB589859 HRT589859:HRX589859 IBP589859:IBT589859 ILL589859:ILP589859 IVH589859:IVL589859 JFD589859:JFH589859 JOZ589859:JPD589859 JYV589859:JYZ589859 KIR589859:KIV589859 KSN589859:KSR589859 LCJ589859:LCN589859 LMF589859:LMJ589859 LWB589859:LWF589859 MFX589859:MGB589859 MPT589859:MPX589859 MZP589859:MZT589859 NJL589859:NJP589859 NTH589859:NTL589859 ODD589859:ODH589859 OMZ589859:OND589859 OWV589859:OWZ589859 PGR589859:PGV589859 PQN589859:PQR589859 QAJ589859:QAN589859 QKF589859:QKJ589859 QUB589859:QUF589859 RDX589859:REB589859 RNT589859:RNX589859 RXP589859:RXT589859 SHL589859:SHP589859 SRH589859:SRL589859 TBD589859:TBH589859 TKZ589859:TLD589859 TUV589859:TUZ589859 UER589859:UEV589859 UON589859:UOR589859 UYJ589859:UYN589859 VIF589859:VIJ589859 VSB589859:VSF589859 WBX589859:WCB589859 WLT589859:WLX589859 WVP589859:WVT589859 JD655395:JH655395 SZ655395:TD655395 ACV655395:ACZ655395 AMR655395:AMV655395 AWN655395:AWR655395 BGJ655395:BGN655395 BQF655395:BQJ655395 CAB655395:CAF655395 CJX655395:CKB655395 CTT655395:CTX655395 DDP655395:DDT655395 DNL655395:DNP655395 DXH655395:DXL655395 EHD655395:EHH655395 EQZ655395:ERD655395 FAV655395:FAZ655395 FKR655395:FKV655395 FUN655395:FUR655395 GEJ655395:GEN655395 GOF655395:GOJ655395 GYB655395:GYF655395 HHX655395:HIB655395 HRT655395:HRX655395 IBP655395:IBT655395 ILL655395:ILP655395 IVH655395:IVL655395 JFD655395:JFH655395 JOZ655395:JPD655395 JYV655395:JYZ655395 KIR655395:KIV655395 KSN655395:KSR655395 LCJ655395:LCN655395 LMF655395:LMJ655395 LWB655395:LWF655395 MFX655395:MGB655395 MPT655395:MPX655395 MZP655395:MZT655395 NJL655395:NJP655395 NTH655395:NTL655395 ODD655395:ODH655395 OMZ655395:OND655395 OWV655395:OWZ655395 PGR655395:PGV655395 PQN655395:PQR655395 QAJ655395:QAN655395 QKF655395:QKJ655395 QUB655395:QUF655395 RDX655395:REB655395 RNT655395:RNX655395 RXP655395:RXT655395 SHL655395:SHP655395 SRH655395:SRL655395 TBD655395:TBH655395 TKZ655395:TLD655395 TUV655395:TUZ655395 UER655395:UEV655395 UON655395:UOR655395 UYJ655395:UYN655395 VIF655395:VIJ655395 VSB655395:VSF655395 WBX655395:WCB655395 WLT655395:WLX655395 WVP655395:WVT655395 JD720931:JH720931 SZ720931:TD720931 ACV720931:ACZ720931 AMR720931:AMV720931 AWN720931:AWR720931 BGJ720931:BGN720931 BQF720931:BQJ720931 CAB720931:CAF720931 CJX720931:CKB720931 CTT720931:CTX720931 DDP720931:DDT720931 DNL720931:DNP720931 DXH720931:DXL720931 EHD720931:EHH720931 EQZ720931:ERD720931 FAV720931:FAZ720931 FKR720931:FKV720931 FUN720931:FUR720931 GEJ720931:GEN720931 GOF720931:GOJ720931 GYB720931:GYF720931 HHX720931:HIB720931 HRT720931:HRX720931 IBP720931:IBT720931 ILL720931:ILP720931 IVH720931:IVL720931 JFD720931:JFH720931 JOZ720931:JPD720931 JYV720931:JYZ720931 KIR720931:KIV720931 KSN720931:KSR720931 LCJ720931:LCN720931 LMF720931:LMJ720931 LWB720931:LWF720931 MFX720931:MGB720931 MPT720931:MPX720931 MZP720931:MZT720931 NJL720931:NJP720931 NTH720931:NTL720931 ODD720931:ODH720931 OMZ720931:OND720931 OWV720931:OWZ720931 PGR720931:PGV720931 PQN720931:PQR720931 QAJ720931:QAN720931 QKF720931:QKJ720931 QUB720931:QUF720931 RDX720931:REB720931 RNT720931:RNX720931 RXP720931:RXT720931 SHL720931:SHP720931 SRH720931:SRL720931 TBD720931:TBH720931 TKZ720931:TLD720931 TUV720931:TUZ720931 UER720931:UEV720931 UON720931:UOR720931 UYJ720931:UYN720931 VIF720931:VIJ720931 VSB720931:VSF720931 WBX720931:WCB720931 WLT720931:WLX720931 WVP720931:WVT720931 JD786467:JH786467 SZ786467:TD786467 ACV786467:ACZ786467 AMR786467:AMV786467 AWN786467:AWR786467 BGJ786467:BGN786467 BQF786467:BQJ786467 CAB786467:CAF786467 CJX786467:CKB786467 CTT786467:CTX786467 DDP786467:DDT786467 DNL786467:DNP786467 DXH786467:DXL786467 EHD786467:EHH786467 EQZ786467:ERD786467 FAV786467:FAZ786467 FKR786467:FKV786467 FUN786467:FUR786467 GEJ786467:GEN786467 GOF786467:GOJ786467 GYB786467:GYF786467 HHX786467:HIB786467 HRT786467:HRX786467 IBP786467:IBT786467 ILL786467:ILP786467 IVH786467:IVL786467 JFD786467:JFH786467 JOZ786467:JPD786467 JYV786467:JYZ786467 KIR786467:KIV786467 KSN786467:KSR786467 LCJ786467:LCN786467 LMF786467:LMJ786467 LWB786467:LWF786467 MFX786467:MGB786467 MPT786467:MPX786467 MZP786467:MZT786467 NJL786467:NJP786467 NTH786467:NTL786467 ODD786467:ODH786467 OMZ786467:OND786467 OWV786467:OWZ786467 PGR786467:PGV786467 PQN786467:PQR786467 QAJ786467:QAN786467 QKF786467:QKJ786467 QUB786467:QUF786467 RDX786467:REB786467 RNT786467:RNX786467 RXP786467:RXT786467 SHL786467:SHP786467 SRH786467:SRL786467 TBD786467:TBH786467 TKZ786467:TLD786467 TUV786467:TUZ786467 UER786467:UEV786467 UON786467:UOR786467 UYJ786467:UYN786467 VIF786467:VIJ786467 VSB786467:VSF786467 WBX786467:WCB786467 WLT786467:WLX786467 WVP786467:WVT786467 JD852003:JH852003 SZ852003:TD852003 ACV852003:ACZ852003 AMR852003:AMV852003 AWN852003:AWR852003 BGJ852003:BGN852003 BQF852003:BQJ852003 CAB852003:CAF852003 CJX852003:CKB852003 CTT852003:CTX852003 DDP852003:DDT852003 DNL852003:DNP852003 DXH852003:DXL852003 EHD852003:EHH852003 EQZ852003:ERD852003 FAV852003:FAZ852003 FKR852003:FKV852003 FUN852003:FUR852003 GEJ852003:GEN852003 GOF852003:GOJ852003 GYB852003:GYF852003 HHX852003:HIB852003 HRT852003:HRX852003 IBP852003:IBT852003 ILL852003:ILP852003 IVH852003:IVL852003 JFD852003:JFH852003 JOZ852003:JPD852003 JYV852003:JYZ852003 KIR852003:KIV852003 KSN852003:KSR852003 LCJ852003:LCN852003 LMF852003:LMJ852003 LWB852003:LWF852003 MFX852003:MGB852003 MPT852003:MPX852003 MZP852003:MZT852003 NJL852003:NJP852003 NTH852003:NTL852003 ODD852003:ODH852003 OMZ852003:OND852003 OWV852003:OWZ852003 PGR852003:PGV852003 PQN852003:PQR852003 QAJ852003:QAN852003 QKF852003:QKJ852003 QUB852003:QUF852003 RDX852003:REB852003 RNT852003:RNX852003 RXP852003:RXT852003 SHL852003:SHP852003 SRH852003:SRL852003 TBD852003:TBH852003 TKZ852003:TLD852003 TUV852003:TUZ852003 UER852003:UEV852003 UON852003:UOR852003 UYJ852003:UYN852003 VIF852003:VIJ852003 VSB852003:VSF852003 WBX852003:WCB852003 WLT852003:WLX852003 WVP852003:WVT852003 JD917539:JH917539 SZ917539:TD917539 ACV917539:ACZ917539 AMR917539:AMV917539 AWN917539:AWR917539 BGJ917539:BGN917539 BQF917539:BQJ917539 CAB917539:CAF917539 CJX917539:CKB917539 CTT917539:CTX917539 DDP917539:DDT917539 DNL917539:DNP917539 DXH917539:DXL917539 EHD917539:EHH917539 EQZ917539:ERD917539 FAV917539:FAZ917539 FKR917539:FKV917539 FUN917539:FUR917539 GEJ917539:GEN917539 GOF917539:GOJ917539 GYB917539:GYF917539 HHX917539:HIB917539 HRT917539:HRX917539 IBP917539:IBT917539 ILL917539:ILP917539 IVH917539:IVL917539 JFD917539:JFH917539 JOZ917539:JPD917539 JYV917539:JYZ917539 KIR917539:KIV917539 KSN917539:KSR917539 LCJ917539:LCN917539 LMF917539:LMJ917539 LWB917539:LWF917539 MFX917539:MGB917539 MPT917539:MPX917539 MZP917539:MZT917539 NJL917539:NJP917539 NTH917539:NTL917539 ODD917539:ODH917539 OMZ917539:OND917539 OWV917539:OWZ917539 PGR917539:PGV917539 PQN917539:PQR917539 QAJ917539:QAN917539 QKF917539:QKJ917539 QUB917539:QUF917539 RDX917539:REB917539 RNT917539:RNX917539 RXP917539:RXT917539 SHL917539:SHP917539 SRH917539:SRL917539 TBD917539:TBH917539 TKZ917539:TLD917539 TUV917539:TUZ917539 UER917539:UEV917539 UON917539:UOR917539 UYJ917539:UYN917539 VIF917539:VIJ917539 VSB917539:VSF917539 WBX917539:WCB917539 WLT917539:WLX917539 WVP917539:WVT917539 JD983075:JH983075 SZ983075:TD983075 ACV983075:ACZ983075 AMR983075:AMV983075 AWN983075:AWR983075 BGJ983075:BGN983075 BQF983075:BQJ983075 CAB983075:CAF983075 CJX983075:CKB983075 CTT983075:CTX983075 DDP983075:DDT983075 DNL983075:DNP983075 DXH983075:DXL983075 EHD983075:EHH983075 EQZ983075:ERD983075 FAV983075:FAZ983075 FKR983075:FKV983075 FUN983075:FUR983075 GEJ983075:GEN983075 GOF983075:GOJ983075 GYB983075:GYF983075 HHX983075:HIB983075 HRT983075:HRX983075 IBP983075:IBT983075 ILL983075:ILP983075 IVH983075:IVL983075 JFD983075:JFH983075 JOZ983075:JPD983075 JYV983075:JYZ983075 KIR983075:KIV983075 KSN983075:KSR983075 LCJ983075:LCN983075 LMF983075:LMJ983075 LWB983075:LWF983075 MFX983075:MGB983075 MPT983075:MPX983075 MZP983075:MZT983075 NJL983075:NJP983075 NTH983075:NTL983075 ODD983075:ODH983075 OMZ983075:OND983075 OWV983075:OWZ983075 PGR983075:PGV983075 PQN983075:PQR983075 QAJ983075:QAN983075 QKF983075:QKJ983075 QUB983075:QUF983075 RDX983075:REB983075 RNT983075:RNX983075 RXP983075:RXT983075 SHL983075:SHP983075 SRH983075:SRL983075 TBD983075:TBH983075 TKZ983075:TLD983075 TUV983075:TUZ983075 UER983075:UEV983075 UON983075:UOR983075 UYJ983075:UYN983075 VIF983075:VIJ983075 VSB983075:VSF983075 WBX983075:WCB983075 ACV10:ACZ39 C983075:I983075 C917539:I917539 C852003:I852003 C786467:I786467 C720931:I720931 C655395:I655395 C589859:I589859 C524323:I524323 C458787:I458787 C393251:I393251 C327715:I327715 C262179:I262179 C196643:I196643 C131107:I131107 C65571:I65571" xr:uid="{22FE20CA-03B3-4E41-8C97-5B01C327E5AE}"/>
  </dataValidations>
  <printOptions horizontalCentered="1"/>
  <pageMargins left="0.25" right="0.25" top="0.5" bottom="0.75" header="0.3" footer="0.3"/>
  <pageSetup paperSize="9" scale="86" fitToHeight="0" orientation="portrait" r:id="rId1"/>
  <headerFooter alignWithMargins="0">
    <oddFooter>&amp;R&amp;"Arial,Italic"&amp;9PMO-T-OPM-006-R00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DD97-9E6C-407E-A4AE-42319FE70DF6}">
  <sheetPr>
    <tabColor rgb="FF92D050"/>
    <pageSetUpPr fitToPage="1"/>
  </sheetPr>
  <dimension ref="A1:AU578"/>
  <sheetViews>
    <sheetView view="pageBreakPreview" zoomScale="85" zoomScaleNormal="100" zoomScaleSheetLayoutView="85" workbookViewId="0">
      <pane ySplit="7" topLeftCell="A157" activePane="bottomLeft" state="frozen"/>
      <selection pane="bottomLeft" activeCell="S169" sqref="S169"/>
      <selection activeCell="Z13" sqref="Z13"/>
    </sheetView>
  </sheetViews>
  <sheetFormatPr defaultColWidth="9.140625" defaultRowHeight="14.25" customHeight="1" outlineLevelRow="1" outlineLevelCol="1"/>
  <cols>
    <col min="1" max="1" width="20.7109375" style="73" customWidth="1"/>
    <col min="2" max="2" width="2.42578125" style="75" hidden="1" customWidth="1"/>
    <col min="3" max="3" width="5.5703125" style="73" hidden="1" customWidth="1"/>
    <col min="4" max="4" width="2.42578125" style="75" customWidth="1"/>
    <col min="5" max="5" width="85.7109375" style="74" customWidth="1"/>
    <col min="6" max="6" width="4.7109375" style="342" hidden="1" customWidth="1" outlineLevel="1"/>
    <col min="7" max="7" width="4.7109375" style="342" customWidth="1" outlineLevel="1"/>
    <col min="8" max="8" width="4.7109375" style="342" hidden="1" customWidth="1" outlineLevel="1"/>
    <col min="9" max="13" width="4.7109375" style="342" customWidth="1" outlineLevel="1"/>
    <col min="14" max="14" width="4.7109375" style="75" hidden="1" customWidth="1" outlineLevel="1"/>
    <col min="15" max="15" width="4.7109375" style="75" customWidth="1" outlineLevel="1"/>
    <col min="16" max="16" width="9.140625" style="75" hidden="1" customWidth="1" outlineLevel="1"/>
    <col min="17" max="19" width="4.7109375" style="75" customWidth="1" outlineLevel="1"/>
    <col min="20" max="20" width="9.140625" style="76" customWidth="1"/>
    <col min="21" max="21" width="9.140625" style="76" hidden="1" customWidth="1"/>
    <col min="22" max="23" width="15.7109375" style="76" customWidth="1"/>
    <col min="24" max="24" width="8.85546875" style="64" customWidth="1" outlineLevel="1"/>
    <col min="25" max="25" width="9.140625" style="65" customWidth="1" outlineLevel="1"/>
    <col min="26" max="26" width="11.5703125" style="65" customWidth="1" outlineLevel="1"/>
    <col min="27" max="27" width="12.42578125" style="65" customWidth="1" outlineLevel="1"/>
    <col min="28" max="29" width="9.140625" style="65" customWidth="1" outlineLevel="1"/>
    <col min="30" max="31" width="9.140625" style="65" customWidth="1"/>
    <col min="32" max="35" width="7.5703125" style="65" customWidth="1"/>
    <col min="36" max="36" width="9.140625" style="68" customWidth="1"/>
    <col min="37" max="37" width="69.85546875" style="68" customWidth="1"/>
    <col min="38" max="16384" width="9.140625" style="68"/>
  </cols>
  <sheetData>
    <row r="1" spans="1:47" s="50" customFormat="1" ht="45" customHeight="1">
      <c r="A1" s="533" t="s">
        <v>420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271"/>
      <c r="X1" s="131" t="s">
        <v>421</v>
      </c>
      <c r="Y1" s="47"/>
      <c r="Z1" s="47"/>
      <c r="AA1" s="47"/>
      <c r="AB1" s="48"/>
      <c r="AC1" s="49"/>
      <c r="AD1" s="48"/>
      <c r="AE1" s="48"/>
      <c r="AF1" s="48"/>
      <c r="AG1" s="49"/>
      <c r="AH1" s="49"/>
      <c r="AI1" s="4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</row>
    <row r="2" spans="1:47" s="50" customFormat="1" ht="15" customHeight="1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42"/>
      <c r="W2" s="142"/>
      <c r="X2" s="51"/>
      <c r="Y2" s="51"/>
      <c r="Z2" s="51"/>
      <c r="AA2" s="52">
        <f>SUM(AA8:AA214)</f>
        <v>0</v>
      </c>
      <c r="AB2" s="51"/>
      <c r="AC2" s="51"/>
      <c r="AD2" s="51"/>
      <c r="AE2" s="51"/>
      <c r="AF2" s="51"/>
      <c r="AG2" s="51"/>
      <c r="AH2" s="51"/>
      <c r="AI2" s="51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</row>
    <row r="3" spans="1:47" s="50" customFormat="1" ht="18" customHeight="1">
      <c r="A3" s="166" t="e" cm="1">
        <f t="array" aca="1" ref="A3" ca="1">MID(CELL("filename", A1), FIND("]", CELL("filename", A1)) + 1, LEN(CELL("filename", A1)))</f>
        <v>#VALUE!</v>
      </c>
      <c r="B3" s="35"/>
      <c r="C3" s="166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6"/>
      <c r="U3" s="36"/>
      <c r="V3" s="143"/>
      <c r="W3" s="143"/>
      <c r="X3" s="198" t="s">
        <v>45</v>
      </c>
      <c r="Y3" s="518" t="s">
        <v>46</v>
      </c>
      <c r="Z3" s="518"/>
      <c r="AA3" s="504" t="s">
        <v>47</v>
      </c>
      <c r="AB3" s="507" t="s">
        <v>811</v>
      </c>
      <c r="AC3" s="507"/>
      <c r="AD3" s="507"/>
      <c r="AE3" s="507"/>
      <c r="AF3" s="508" t="s">
        <v>51</v>
      </c>
      <c r="AG3" s="508"/>
      <c r="AH3" s="508"/>
      <c r="AI3" s="508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</row>
    <row r="4" spans="1:47" s="50" customFormat="1" ht="18" customHeight="1">
      <c r="A4" s="33"/>
      <c r="B4" s="34"/>
      <c r="C4" s="33"/>
      <c r="D4" s="34"/>
      <c r="E4" s="35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6"/>
      <c r="U4" s="36"/>
      <c r="V4" s="36"/>
      <c r="W4" s="36"/>
      <c r="X4" s="513" t="s">
        <v>54</v>
      </c>
      <c r="Y4" s="513" t="s">
        <v>55</v>
      </c>
      <c r="Z4" s="513" t="s">
        <v>56</v>
      </c>
      <c r="AA4" s="504"/>
      <c r="AB4" s="516">
        <v>45707</v>
      </c>
      <c r="AC4" s="516"/>
      <c r="AD4" s="516"/>
      <c r="AE4" s="516"/>
      <c r="AF4" s="517">
        <v>45838</v>
      </c>
      <c r="AG4" s="517"/>
      <c r="AH4" s="517"/>
      <c r="AI4" s="51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</row>
    <row r="5" spans="1:47" s="50" customFormat="1" ht="18" customHeight="1">
      <c r="A5" s="524" t="s">
        <v>57</v>
      </c>
      <c r="B5" s="530"/>
      <c r="C5" s="525"/>
      <c r="D5" s="524" t="s">
        <v>58</v>
      </c>
      <c r="E5" s="525"/>
      <c r="F5" s="360"/>
      <c r="G5" s="586" t="s">
        <v>59</v>
      </c>
      <c r="H5" s="587"/>
      <c r="I5" s="587"/>
      <c r="J5" s="587"/>
      <c r="K5" s="587"/>
      <c r="L5" s="587"/>
      <c r="M5" s="587"/>
      <c r="N5" s="587"/>
      <c r="O5" s="587"/>
      <c r="P5" s="587"/>
      <c r="Q5" s="588"/>
      <c r="R5" s="464"/>
      <c r="S5" s="403"/>
      <c r="T5" s="499" t="s">
        <v>60</v>
      </c>
      <c r="U5" s="499" t="s">
        <v>61</v>
      </c>
      <c r="V5" s="499" t="s">
        <v>62</v>
      </c>
      <c r="W5" s="526" t="s">
        <v>63</v>
      </c>
      <c r="X5" s="514"/>
      <c r="Y5" s="514"/>
      <c r="Z5" s="514"/>
      <c r="AA5" s="504"/>
      <c r="AB5" s="201"/>
      <c r="AC5" s="199"/>
      <c r="AD5" s="199"/>
      <c r="AE5" s="199"/>
      <c r="AF5" s="200"/>
      <c r="AG5" s="199"/>
      <c r="AH5" s="199"/>
      <c r="AI5" s="199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</row>
    <row r="6" spans="1:47" s="50" customFormat="1" ht="45" customHeight="1">
      <c r="A6" s="526"/>
      <c r="B6" s="531"/>
      <c r="C6" s="527"/>
      <c r="D6" s="526"/>
      <c r="E6" s="527"/>
      <c r="F6" s="260" t="s">
        <v>814</v>
      </c>
      <c r="G6" s="260" t="s">
        <v>66</v>
      </c>
      <c r="H6" s="260" t="s">
        <v>815</v>
      </c>
      <c r="I6" s="260" t="s">
        <v>68</v>
      </c>
      <c r="J6" s="260" t="s">
        <v>69</v>
      </c>
      <c r="K6" s="260" t="s">
        <v>70</v>
      </c>
      <c r="L6" s="260" t="s">
        <v>71</v>
      </c>
      <c r="M6" s="260" t="s">
        <v>426</v>
      </c>
      <c r="N6" s="339" t="s">
        <v>816</v>
      </c>
      <c r="O6" s="260" t="s">
        <v>2</v>
      </c>
      <c r="P6" s="260" t="s">
        <v>67</v>
      </c>
      <c r="Q6" s="260" t="s">
        <v>72</v>
      </c>
      <c r="R6" s="260" t="s">
        <v>73</v>
      </c>
      <c r="S6" s="339" t="s">
        <v>74</v>
      </c>
      <c r="T6" s="537"/>
      <c r="U6" s="537"/>
      <c r="V6" s="537"/>
      <c r="W6" s="526"/>
      <c r="X6" s="514"/>
      <c r="Y6" s="514"/>
      <c r="Z6" s="514"/>
      <c r="AA6" s="504"/>
      <c r="AB6" s="203" t="s">
        <v>75</v>
      </c>
      <c r="AC6" s="204" t="e">
        <f>AC215/$AA215</f>
        <v>#DIV/0!</v>
      </c>
      <c r="AD6" s="204" t="s">
        <v>76</v>
      </c>
      <c r="AE6" s="204" t="e">
        <f>AE215/$AA215</f>
        <v>#DIV/0!</v>
      </c>
      <c r="AF6" s="205" t="s">
        <v>75</v>
      </c>
      <c r="AG6" s="204" t="e">
        <f>AG215/$AA215</f>
        <v>#DIV/0!</v>
      </c>
      <c r="AH6" s="204" t="s">
        <v>76</v>
      </c>
      <c r="AI6" s="204" t="e">
        <f>AI215/$AA215</f>
        <v>#DIV/0!</v>
      </c>
      <c r="AJ6" s="37" t="s">
        <v>1080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</row>
    <row r="7" spans="1:47" s="50" customFormat="1" ht="28.5" customHeight="1">
      <c r="A7" s="528"/>
      <c r="B7" s="532"/>
      <c r="C7" s="529"/>
      <c r="D7" s="528"/>
      <c r="E7" s="529"/>
      <c r="F7" s="202" t="s">
        <v>818</v>
      </c>
      <c r="G7" s="202" t="s">
        <v>78</v>
      </c>
      <c r="H7" s="202" t="s">
        <v>79</v>
      </c>
      <c r="I7" s="202" t="s">
        <v>80</v>
      </c>
      <c r="J7" s="202" t="s">
        <v>428</v>
      </c>
      <c r="K7" s="202" t="s">
        <v>82</v>
      </c>
      <c r="L7" s="202" t="s">
        <v>83</v>
      </c>
      <c r="M7" s="202" t="s">
        <v>1081</v>
      </c>
      <c r="N7" s="340" t="s">
        <v>820</v>
      </c>
      <c r="O7" s="202" t="s">
        <v>1082</v>
      </c>
      <c r="P7" s="202" t="s">
        <v>1083</v>
      </c>
      <c r="Q7" s="459" t="s">
        <v>1084</v>
      </c>
      <c r="R7" s="465" t="s">
        <v>1085</v>
      </c>
      <c r="S7" s="340"/>
      <c r="T7" s="500"/>
      <c r="U7" s="500"/>
      <c r="V7" s="500"/>
      <c r="W7" s="526"/>
      <c r="X7" s="266"/>
      <c r="Y7" s="266"/>
      <c r="Z7" s="266"/>
      <c r="AA7" s="267"/>
      <c r="AB7" s="203" t="s">
        <v>75</v>
      </c>
      <c r="AC7" s="204" t="e">
        <f>AC216/$AA216</f>
        <v>#DIV/0!</v>
      </c>
      <c r="AD7" s="204" t="s">
        <v>76</v>
      </c>
      <c r="AE7" s="204" t="e">
        <f>AE216/$AA216</f>
        <v>#DIV/0!</v>
      </c>
      <c r="AF7" s="205" t="s">
        <v>75</v>
      </c>
      <c r="AG7" s="204" t="e">
        <f>AG216/$AA216</f>
        <v>#DIV/0!</v>
      </c>
      <c r="AH7" s="204" t="s">
        <v>76</v>
      </c>
      <c r="AI7" s="204" t="e">
        <f>AI216/$AA216</f>
        <v>#DIV/0!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</row>
    <row r="8" spans="1:47" s="165" customFormat="1" ht="18" customHeight="1">
      <c r="A8" s="160" t="s">
        <v>431</v>
      </c>
      <c r="B8" s="162"/>
      <c r="C8" s="160"/>
      <c r="D8" s="162"/>
      <c r="E8" s="162"/>
      <c r="F8" s="353"/>
      <c r="G8" s="353"/>
      <c r="H8" s="353"/>
      <c r="I8" s="353"/>
      <c r="J8" s="353"/>
      <c r="K8" s="353"/>
      <c r="L8" s="353"/>
      <c r="M8" s="353"/>
      <c r="N8" s="161"/>
      <c r="O8" s="161"/>
      <c r="P8" s="431"/>
      <c r="Q8" s="161"/>
      <c r="R8" s="161"/>
      <c r="S8" s="161"/>
      <c r="T8" s="162"/>
      <c r="U8" s="162"/>
      <c r="V8" s="162"/>
      <c r="W8" s="162"/>
      <c r="X8" s="163"/>
      <c r="Y8" s="163"/>
      <c r="Z8" s="163"/>
      <c r="AA8" s="164"/>
      <c r="AB8" s="159"/>
      <c r="AC8" s="135"/>
      <c r="AD8" s="135"/>
      <c r="AE8" s="135"/>
      <c r="AF8" s="159"/>
      <c r="AG8" s="135"/>
      <c r="AH8" s="135"/>
      <c r="AI8" s="135"/>
    </row>
    <row r="9" spans="1:47" s="50" customFormat="1" ht="18" customHeight="1">
      <c r="A9" s="32" t="s">
        <v>823</v>
      </c>
      <c r="B9" s="11"/>
      <c r="C9" s="3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36"/>
      <c r="Q9" s="11"/>
      <c r="R9" s="11"/>
      <c r="S9" s="11"/>
      <c r="T9" s="11"/>
      <c r="U9" s="11"/>
      <c r="V9" s="11"/>
      <c r="W9" s="11"/>
      <c r="X9" s="53"/>
      <c r="Y9" s="53"/>
      <c r="Z9" s="53"/>
      <c r="AA9" s="54"/>
      <c r="AB9" s="79"/>
      <c r="AC9" s="51"/>
      <c r="AD9" s="79"/>
      <c r="AE9" s="51"/>
      <c r="AF9" s="51"/>
      <c r="AG9" s="51"/>
      <c r="AH9" s="51"/>
      <c r="AI9" s="51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</row>
    <row r="10" spans="1:47" s="351" customFormat="1" ht="15" customHeight="1">
      <c r="A10" s="37"/>
      <c r="B10" s="38"/>
      <c r="C10" s="41"/>
      <c r="D10" s="38"/>
      <c r="E10" s="39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55"/>
      <c r="Y10" s="55"/>
      <c r="Z10" s="55"/>
      <c r="AA10" s="52"/>
      <c r="AB10" s="56"/>
      <c r="AC10" s="51"/>
      <c r="AD10" s="56"/>
      <c r="AE10" s="51"/>
      <c r="AF10" s="56"/>
      <c r="AG10" s="51"/>
      <c r="AH10" s="56"/>
      <c r="AI10" s="51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</row>
    <row r="11" spans="1:47" s="351" customFormat="1" ht="15" customHeight="1" outlineLevel="1">
      <c r="A11" s="41" t="str">
        <f t="shared" ref="A11:A19" si="0">"18043-"&amp;LEFT(AK11,11)</f>
        <v>18043-LMBMS 09017</v>
      </c>
      <c r="B11" s="38" t="s">
        <v>94</v>
      </c>
      <c r="C11" s="41"/>
      <c r="D11" s="38"/>
      <c r="E11" s="37" t="str">
        <f t="shared" ref="E11:E19" si="1">MID(AK11,FIND(" ",AK11,15)+1,100)</f>
        <v>Electrical Legend and Symbols</v>
      </c>
      <c r="F11" s="38"/>
      <c r="G11" s="38" t="s">
        <v>97</v>
      </c>
      <c r="H11" s="38"/>
      <c r="I11" s="38"/>
      <c r="J11" s="38"/>
      <c r="K11" s="38" t="s">
        <v>34</v>
      </c>
      <c r="L11" s="38"/>
      <c r="M11" s="38"/>
      <c r="N11" s="38"/>
      <c r="O11" s="38"/>
      <c r="P11" s="38"/>
      <c r="Q11" s="38"/>
      <c r="R11" s="38"/>
      <c r="S11" s="236">
        <v>0</v>
      </c>
      <c r="T11" s="38" t="s">
        <v>98</v>
      </c>
      <c r="U11" s="38"/>
      <c r="V11" s="38"/>
      <c r="W11" s="40" t="str" cm="1">
        <f t="array" ref="W11">IF(A11&lt;&gt;"",_xlfn.XLOOKUP(_xlfn.XLOOKUP(TRUE,G11:R11&lt;&gt;"",G11:R11,"-",-1,-1),G11:R11,$G$6:$R$6,,,-1),"")</f>
        <v>Add3</v>
      </c>
      <c r="X11" s="55" t="s">
        <v>117</v>
      </c>
      <c r="Y11" s="55"/>
      <c r="Z11" s="55" t="s">
        <v>1086</v>
      </c>
      <c r="AA11" s="56"/>
      <c r="AB11" s="51"/>
      <c r="AC11" s="56"/>
      <c r="AD11" s="51"/>
      <c r="AE11" s="56"/>
      <c r="AF11" s="51"/>
      <c r="AG11" s="56"/>
      <c r="AH11" s="51"/>
      <c r="AI11" s="37"/>
      <c r="AJ11" s="236" t="s">
        <v>1087</v>
      </c>
      <c r="AK11" s="37" t="s">
        <v>1088</v>
      </c>
      <c r="AL11" s="37"/>
      <c r="AM11" s="37"/>
      <c r="AN11" s="37"/>
      <c r="AO11" s="37"/>
      <c r="AP11" s="37"/>
      <c r="AQ11" s="37"/>
      <c r="AR11" s="37"/>
      <c r="AS11" s="37"/>
      <c r="AT11" s="37"/>
      <c r="AU11" s="37"/>
    </row>
    <row r="12" spans="1:47" s="351" customFormat="1" ht="15" customHeight="1" outlineLevel="1">
      <c r="A12" s="41" t="str">
        <f t="shared" si="0"/>
        <v>18043-LMBMS 09026</v>
      </c>
      <c r="B12" s="38" t="s">
        <v>94</v>
      </c>
      <c r="C12" s="41"/>
      <c r="D12" s="38"/>
      <c r="E12" s="37" t="str">
        <f t="shared" si="1"/>
        <v>Electrical Typical Details Sheet 1</v>
      </c>
      <c r="F12" s="38"/>
      <c r="G12" s="38" t="s">
        <v>97</v>
      </c>
      <c r="H12" s="38"/>
      <c r="I12" s="38"/>
      <c r="J12" s="38"/>
      <c r="K12" s="38"/>
      <c r="L12" s="38"/>
      <c r="M12" s="38"/>
      <c r="N12" s="38"/>
      <c r="O12" s="38" t="s">
        <v>34</v>
      </c>
      <c r="P12" s="38"/>
      <c r="Q12" s="38"/>
      <c r="R12" s="38"/>
      <c r="S12" s="236">
        <v>0</v>
      </c>
      <c r="T12" s="38" t="s">
        <v>98</v>
      </c>
      <c r="U12" s="38"/>
      <c r="V12" s="38"/>
      <c r="W12" s="40" t="str" cm="1">
        <f t="array" ref="W12">IF(A12&lt;&gt;"",_xlfn.XLOOKUP(_xlfn.XLOOKUP(TRUE,G12:R12&lt;&gt;"",G12:R12,"-",-1,-1),G12:R12,$G$6:$R$6,,,-1),"")</f>
        <v>Add7</v>
      </c>
      <c r="X12" s="55" t="s">
        <v>117</v>
      </c>
      <c r="Y12" s="55"/>
      <c r="Z12" s="55" t="s">
        <v>1086</v>
      </c>
      <c r="AA12" s="56"/>
      <c r="AB12" s="51"/>
      <c r="AC12" s="56"/>
      <c r="AD12" s="51"/>
      <c r="AE12" s="56"/>
      <c r="AF12" s="51"/>
      <c r="AG12" s="56"/>
      <c r="AH12" s="51"/>
      <c r="AI12" s="37"/>
      <c r="AJ12" s="236" t="s">
        <v>1087</v>
      </c>
      <c r="AK12" s="37" t="s">
        <v>1089</v>
      </c>
      <c r="AL12" s="37"/>
      <c r="AM12" s="37"/>
      <c r="AN12" s="37"/>
      <c r="AO12" s="37"/>
      <c r="AP12" s="37"/>
      <c r="AQ12" s="37"/>
      <c r="AR12" s="37"/>
      <c r="AS12" s="37"/>
      <c r="AT12" s="37"/>
      <c r="AU12" s="37"/>
    </row>
    <row r="13" spans="1:47" s="351" customFormat="1" ht="15" customHeight="1" outlineLevel="1">
      <c r="A13" s="41" t="str">
        <f t="shared" si="0"/>
        <v>18043-LMBMS 09027</v>
      </c>
      <c r="B13" s="38" t="s">
        <v>94</v>
      </c>
      <c r="C13" s="41"/>
      <c r="D13" s="38"/>
      <c r="E13" s="37" t="str">
        <f t="shared" si="1"/>
        <v>Electrical Typical Details Sheet 2</v>
      </c>
      <c r="F13" s="38"/>
      <c r="G13" s="38" t="s">
        <v>97</v>
      </c>
      <c r="H13" s="38"/>
      <c r="I13" s="38"/>
      <c r="J13" s="38"/>
      <c r="K13" s="38"/>
      <c r="L13" s="38"/>
      <c r="M13" s="38"/>
      <c r="N13" s="38"/>
      <c r="O13" s="38" t="s">
        <v>34</v>
      </c>
      <c r="P13" s="38"/>
      <c r="Q13" s="38"/>
      <c r="R13" s="484" t="s">
        <v>31</v>
      </c>
      <c r="S13" s="236">
        <v>0</v>
      </c>
      <c r="T13" s="38" t="s">
        <v>98</v>
      </c>
      <c r="U13" s="38"/>
      <c r="V13" s="38"/>
      <c r="W13" s="40" t="str" cm="1">
        <f t="array" ref="W13">IF(A13&lt;&gt;"",_xlfn.XLOOKUP(_xlfn.XLOOKUP(TRUE,G13:R13&lt;&gt;"",G13:R13,"-",-1,-1),G13:R13,$G$6:$R$6,,,-1),"")</f>
        <v>Add9</v>
      </c>
      <c r="X13" s="55" t="s">
        <v>117</v>
      </c>
      <c r="Y13" s="55"/>
      <c r="Z13" s="55" t="s">
        <v>1086</v>
      </c>
      <c r="AA13" s="56"/>
      <c r="AB13" s="51"/>
      <c r="AC13" s="56"/>
      <c r="AD13" s="51"/>
      <c r="AE13" s="56"/>
      <c r="AF13" s="51"/>
      <c r="AG13" s="56"/>
      <c r="AH13" s="51"/>
      <c r="AI13" s="37"/>
      <c r="AJ13" s="236" t="s">
        <v>1087</v>
      </c>
      <c r="AK13" s="37" t="s">
        <v>1090</v>
      </c>
      <c r="AL13" s="37"/>
      <c r="AM13" s="37"/>
      <c r="AN13" s="37"/>
      <c r="AO13" s="37"/>
      <c r="AP13" s="37"/>
      <c r="AQ13" s="37"/>
      <c r="AR13" s="37"/>
      <c r="AS13" s="37"/>
      <c r="AT13" s="37"/>
      <c r="AU13" s="37"/>
    </row>
    <row r="14" spans="1:47" s="351" customFormat="1" ht="15" customHeight="1" outlineLevel="1">
      <c r="A14" s="41" t="str">
        <f t="shared" si="0"/>
        <v>18043-LMBMS 09028</v>
      </c>
      <c r="B14" s="38" t="s">
        <v>94</v>
      </c>
      <c r="C14" s="41"/>
      <c r="D14" s="38"/>
      <c r="E14" s="37" t="str">
        <f t="shared" si="1"/>
        <v>Electrical Typical Details Sheet 3</v>
      </c>
      <c r="F14" s="38"/>
      <c r="G14" s="38" t="s">
        <v>97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236">
        <v>0</v>
      </c>
      <c r="T14" s="38" t="s">
        <v>98</v>
      </c>
      <c r="U14" s="38"/>
      <c r="V14" s="38"/>
      <c r="W14" s="40" t="str" cm="1">
        <f t="array" ref="W14">IF(A14&lt;&gt;"",_xlfn.XLOOKUP(_xlfn.XLOOKUP(TRUE,G14:R14&lt;&gt;"",G14:R14,"-",-1,-1),G14:R14,$G$6:$R$6,,,-1),"")</f>
        <v>For Bid</v>
      </c>
      <c r="X14" s="55" t="s">
        <v>117</v>
      </c>
      <c r="Y14" s="55"/>
      <c r="Z14" s="55" t="s">
        <v>1086</v>
      </c>
      <c r="AA14" s="56"/>
      <c r="AB14" s="51"/>
      <c r="AC14" s="56"/>
      <c r="AD14" s="51"/>
      <c r="AE14" s="56"/>
      <c r="AF14" s="51"/>
      <c r="AG14" s="56"/>
      <c r="AH14" s="51"/>
      <c r="AI14" s="37"/>
      <c r="AJ14" s="236" t="s">
        <v>1087</v>
      </c>
      <c r="AK14" s="37" t="s">
        <v>1091</v>
      </c>
      <c r="AL14" s="37"/>
      <c r="AM14" s="37"/>
      <c r="AN14" s="37"/>
      <c r="AO14" s="37"/>
      <c r="AP14" s="37"/>
      <c r="AQ14" s="37"/>
      <c r="AR14" s="37"/>
      <c r="AS14" s="37"/>
      <c r="AT14" s="37"/>
      <c r="AU14" s="37"/>
    </row>
    <row r="15" spans="1:47" s="351" customFormat="1" ht="15" customHeight="1" outlineLevel="1">
      <c r="A15" s="41" t="str">
        <f t="shared" si="0"/>
        <v>18043-LMBMS 09029</v>
      </c>
      <c r="B15" s="38" t="s">
        <v>94</v>
      </c>
      <c r="C15" s="41"/>
      <c r="D15" s="38"/>
      <c r="E15" s="37" t="str">
        <f t="shared" si="1"/>
        <v>Electrical Typical Details Sheet 4</v>
      </c>
      <c r="F15" s="38"/>
      <c r="G15" s="38" t="s">
        <v>97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236">
        <v>0</v>
      </c>
      <c r="T15" s="38" t="s">
        <v>98</v>
      </c>
      <c r="U15" s="38"/>
      <c r="V15" s="38"/>
      <c r="W15" s="40" t="str" cm="1">
        <f t="array" ref="W15">IF(A15&lt;&gt;"",_xlfn.XLOOKUP(_xlfn.XLOOKUP(TRUE,G15:R15&lt;&gt;"",G15:R15,"-",-1,-1),G15:R15,$G$6:$R$6,,,-1),"")</f>
        <v>For Bid</v>
      </c>
      <c r="X15" s="55" t="s">
        <v>117</v>
      </c>
      <c r="Y15" s="55"/>
      <c r="Z15" s="55" t="s">
        <v>1086</v>
      </c>
      <c r="AA15" s="56"/>
      <c r="AB15" s="51"/>
      <c r="AC15" s="56"/>
      <c r="AD15" s="51"/>
      <c r="AE15" s="56"/>
      <c r="AF15" s="51"/>
      <c r="AG15" s="56"/>
      <c r="AH15" s="51"/>
      <c r="AI15" s="37"/>
      <c r="AJ15" s="236" t="s">
        <v>1087</v>
      </c>
      <c r="AK15" s="37" t="s">
        <v>1092</v>
      </c>
      <c r="AL15" s="37"/>
      <c r="AM15" s="37"/>
      <c r="AN15" s="37"/>
      <c r="AO15" s="37"/>
      <c r="AP15" s="37"/>
      <c r="AQ15" s="37"/>
      <c r="AR15" s="37"/>
      <c r="AS15" s="37"/>
      <c r="AT15" s="37"/>
      <c r="AU15" s="37"/>
    </row>
    <row r="16" spans="1:47" s="351" customFormat="1" ht="15" customHeight="1" outlineLevel="1">
      <c r="A16" s="41" t="str">
        <f t="shared" si="0"/>
        <v>18043-LMBMS 09030</v>
      </c>
      <c r="B16" s="38" t="s">
        <v>94</v>
      </c>
      <c r="C16" s="41"/>
      <c r="D16" s="38"/>
      <c r="E16" s="37" t="str">
        <f t="shared" si="1"/>
        <v>Electrical Typical Details Sheet 5</v>
      </c>
      <c r="F16" s="38"/>
      <c r="G16" s="38" t="s">
        <v>97</v>
      </c>
      <c r="H16" s="38"/>
      <c r="I16" s="38"/>
      <c r="J16" s="38"/>
      <c r="K16" s="38"/>
      <c r="L16" s="38"/>
      <c r="M16" s="38"/>
      <c r="N16" s="38"/>
      <c r="O16" s="38" t="s">
        <v>34</v>
      </c>
      <c r="P16" s="38"/>
      <c r="Q16" s="38"/>
      <c r="R16" s="38"/>
      <c r="S16" s="236">
        <v>0</v>
      </c>
      <c r="T16" s="38" t="s">
        <v>98</v>
      </c>
      <c r="U16" s="38"/>
      <c r="V16" s="38"/>
      <c r="W16" s="40" t="str" cm="1">
        <f t="array" ref="W16">IF(A16&lt;&gt;"",_xlfn.XLOOKUP(_xlfn.XLOOKUP(TRUE,G16:R16&lt;&gt;"",G16:R16,"-",-1,-1),G16:R16,$G$6:$R$6,,,-1),"")</f>
        <v>Add7</v>
      </c>
      <c r="X16" s="55" t="s">
        <v>117</v>
      </c>
      <c r="Y16" s="55"/>
      <c r="Z16" s="55" t="s">
        <v>1086</v>
      </c>
      <c r="AA16" s="56"/>
      <c r="AB16" s="51"/>
      <c r="AC16" s="56"/>
      <c r="AD16" s="51"/>
      <c r="AE16" s="56"/>
      <c r="AF16" s="51"/>
      <c r="AG16" s="56"/>
      <c r="AH16" s="51"/>
      <c r="AI16" s="37"/>
      <c r="AJ16" s="236" t="s">
        <v>1087</v>
      </c>
      <c r="AK16" s="242" t="s">
        <v>1093</v>
      </c>
      <c r="AL16" s="37"/>
      <c r="AM16" s="37"/>
      <c r="AN16" s="37"/>
      <c r="AO16" s="37"/>
      <c r="AP16" s="37"/>
      <c r="AQ16" s="37"/>
      <c r="AR16" s="37"/>
      <c r="AS16" s="37"/>
      <c r="AT16" s="37"/>
      <c r="AU16" s="37"/>
    </row>
    <row r="17" spans="1:47" s="351" customFormat="1" ht="15" customHeight="1" outlineLevel="1">
      <c r="A17" s="41" t="str">
        <f t="shared" si="0"/>
        <v>18043-LMBMS 09031</v>
      </c>
      <c r="B17" s="38" t="s">
        <v>94</v>
      </c>
      <c r="C17" s="41"/>
      <c r="D17" s="38"/>
      <c r="E17" s="37" t="str">
        <f t="shared" si="1"/>
        <v>Electrical General Note</v>
      </c>
      <c r="F17" s="38"/>
      <c r="G17" s="38" t="s">
        <v>97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236">
        <v>0</v>
      </c>
      <c r="T17" s="38" t="s">
        <v>98</v>
      </c>
      <c r="U17" s="38"/>
      <c r="V17" s="38"/>
      <c r="W17" s="40" t="str" cm="1">
        <f t="array" ref="W17">IF(A17&lt;&gt;"",_xlfn.XLOOKUP(_xlfn.XLOOKUP(TRUE,G17:R17&lt;&gt;"",G17:R17,"-",-1,-1),G17:R17,$G$6:$R$6,,,-1),"")</f>
        <v>For Bid</v>
      </c>
      <c r="X17" s="55" t="s">
        <v>117</v>
      </c>
      <c r="Y17" s="55"/>
      <c r="Z17" s="55" t="s">
        <v>1086</v>
      </c>
      <c r="AA17" s="56"/>
      <c r="AB17" s="51"/>
      <c r="AC17" s="56"/>
      <c r="AD17" s="51"/>
      <c r="AE17" s="56"/>
      <c r="AF17" s="51"/>
      <c r="AG17" s="56"/>
      <c r="AH17" s="51"/>
      <c r="AI17" s="37"/>
      <c r="AJ17" s="236" t="s">
        <v>1087</v>
      </c>
      <c r="AK17" t="s">
        <v>1094</v>
      </c>
      <c r="AL17" s="37"/>
      <c r="AM17" s="37"/>
      <c r="AN17" s="37"/>
      <c r="AO17" s="37"/>
      <c r="AP17" s="37"/>
      <c r="AQ17" s="37"/>
      <c r="AR17" s="37"/>
      <c r="AS17" s="37"/>
      <c r="AT17" s="37"/>
      <c r="AU17" s="37"/>
    </row>
    <row r="18" spans="1:47" s="351" customFormat="1" ht="15" customHeight="1" outlineLevel="1">
      <c r="A18" s="41" t="str">
        <f t="shared" si="0"/>
        <v>18043-LMBMS 09032</v>
      </c>
      <c r="B18" s="38" t="s">
        <v>94</v>
      </c>
      <c r="C18" s="41"/>
      <c r="D18" s="38"/>
      <c r="E18" s="37" t="str">
        <f t="shared" si="1"/>
        <v>Lighting Specification</v>
      </c>
      <c r="F18" s="38"/>
      <c r="G18" s="38" t="s">
        <v>97</v>
      </c>
      <c r="H18" s="38"/>
      <c r="I18" s="38" t="s">
        <v>34</v>
      </c>
      <c r="J18" s="38"/>
      <c r="K18" s="38" t="s">
        <v>31</v>
      </c>
      <c r="L18" s="38"/>
      <c r="M18" s="38"/>
      <c r="N18" s="38"/>
      <c r="O18" s="38" t="s">
        <v>116</v>
      </c>
      <c r="P18" s="38"/>
      <c r="Q18" s="38"/>
      <c r="R18" s="484" t="s">
        <v>38</v>
      </c>
      <c r="S18" s="236">
        <v>0</v>
      </c>
      <c r="T18" s="38" t="s">
        <v>1058</v>
      </c>
      <c r="U18" s="38"/>
      <c r="V18" s="38"/>
      <c r="W18" s="40" t="str" cm="1">
        <f t="array" ref="W18">IF(A18&lt;&gt;"",_xlfn.XLOOKUP(_xlfn.XLOOKUP(TRUE,G18:R18&lt;&gt;"",G18:R18,"-",-1,-1),G18:R18,$G$6:$R$6,,,-1),"")</f>
        <v>Add9</v>
      </c>
      <c r="X18" s="55" t="s">
        <v>117</v>
      </c>
      <c r="Y18" s="55"/>
      <c r="Z18" s="55" t="s">
        <v>1095</v>
      </c>
      <c r="AA18" s="56"/>
      <c r="AB18" s="51"/>
      <c r="AC18" s="56"/>
      <c r="AD18" s="51"/>
      <c r="AE18" s="56"/>
      <c r="AF18" s="51"/>
      <c r="AG18" s="56"/>
      <c r="AH18" s="51"/>
      <c r="AI18" s="37"/>
      <c r="AJ18" s="236" t="s">
        <v>1095</v>
      </c>
      <c r="AK18" s="242" t="s">
        <v>1096</v>
      </c>
      <c r="AL18" s="37"/>
      <c r="AM18" s="37"/>
      <c r="AN18" s="37"/>
      <c r="AO18" s="37"/>
      <c r="AP18" s="37"/>
      <c r="AQ18" s="37"/>
      <c r="AR18" s="37"/>
      <c r="AS18" s="37"/>
      <c r="AT18" s="37"/>
      <c r="AU18" s="37"/>
    </row>
    <row r="19" spans="1:47" s="351" customFormat="1" ht="15" customHeight="1" outlineLevel="1">
      <c r="A19" s="41" t="str">
        <f t="shared" si="0"/>
        <v>18043-LMBMS 09033</v>
      </c>
      <c r="B19" s="38" t="s">
        <v>94</v>
      </c>
      <c r="C19" s="41"/>
      <c r="D19" s="38"/>
      <c r="E19" s="37" t="str">
        <f t="shared" si="1"/>
        <v>Lighting Legend and Symbol</v>
      </c>
      <c r="F19" s="38"/>
      <c r="G19" s="38" t="s">
        <v>97</v>
      </c>
      <c r="H19" s="38"/>
      <c r="I19" s="38" t="s">
        <v>34</v>
      </c>
      <c r="J19" s="38"/>
      <c r="K19" s="38" t="s">
        <v>31</v>
      </c>
      <c r="L19" s="38"/>
      <c r="M19" s="38"/>
      <c r="N19" s="38"/>
      <c r="O19" s="38" t="s">
        <v>116</v>
      </c>
      <c r="P19" s="38"/>
      <c r="Q19" s="38"/>
      <c r="R19" s="484" t="s">
        <v>38</v>
      </c>
      <c r="S19" s="236">
        <v>0</v>
      </c>
      <c r="T19" s="38" t="s">
        <v>1058</v>
      </c>
      <c r="U19" s="38"/>
      <c r="V19" s="38"/>
      <c r="W19" s="40" t="str" cm="1">
        <f t="array" ref="W19">IF(A19&lt;&gt;"",_xlfn.XLOOKUP(_xlfn.XLOOKUP(TRUE,G19:R19&lt;&gt;"",G19:R19,"-",-1,-1),G19:R19,$G$6:$R$6,,,-1),"")</f>
        <v>Add9</v>
      </c>
      <c r="X19" s="55" t="s">
        <v>117</v>
      </c>
      <c r="Y19" s="55"/>
      <c r="Z19" s="55" t="s">
        <v>1095</v>
      </c>
      <c r="AA19" s="56"/>
      <c r="AB19" s="51"/>
      <c r="AC19" s="56"/>
      <c r="AD19" s="51"/>
      <c r="AE19" s="56"/>
      <c r="AF19" s="51"/>
      <c r="AG19" s="56"/>
      <c r="AH19" s="51"/>
      <c r="AI19" s="37"/>
      <c r="AJ19" s="236" t="s">
        <v>1095</v>
      </c>
      <c r="AK19" s="242" t="s">
        <v>1097</v>
      </c>
      <c r="AL19" s="37"/>
      <c r="AM19" s="37"/>
      <c r="AN19" s="37"/>
      <c r="AO19" s="37"/>
      <c r="AP19" s="37"/>
      <c r="AQ19" s="37"/>
      <c r="AR19" s="37"/>
      <c r="AS19" s="37"/>
      <c r="AT19" s="37"/>
      <c r="AU19" s="37"/>
    </row>
    <row r="20" spans="1:47" s="351" customFormat="1" ht="15" customHeight="1" outlineLevel="1">
      <c r="A20" s="43"/>
      <c r="B20" s="38"/>
      <c r="C20" s="41"/>
      <c r="D20" s="38"/>
      <c r="E20" s="42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7"/>
      <c r="T20" s="38"/>
      <c r="U20" s="38"/>
      <c r="V20" s="38"/>
      <c r="W20" s="40" t="str" cm="1">
        <f t="array" ref="W20">IF(A20&lt;&gt;"",_xlfn.XLOOKUP(_xlfn.XLOOKUP(TRUE,G20:R20&lt;&gt;"",G20:R20,"-",-1,-1),G20:R20,$G$6:$R$6,,,-1),"")</f>
        <v/>
      </c>
      <c r="X20" s="55"/>
      <c r="Y20" s="55"/>
      <c r="Z20" s="55"/>
      <c r="AA20" s="56"/>
      <c r="AB20" s="51"/>
      <c r="AC20" s="56"/>
      <c r="AD20" s="51"/>
      <c r="AE20" s="56"/>
      <c r="AF20" s="51"/>
      <c r="AG20" s="56"/>
      <c r="AH20" s="51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</row>
    <row r="21" spans="1:47" s="351" customFormat="1" ht="15" customHeight="1" outlineLevel="1">
      <c r="A21" s="332" t="str">
        <f t="shared" ref="A21:A31" si="2">"18043-"&amp;LEFT(AK21,11)</f>
        <v>18043-LMBME 09032</v>
      </c>
      <c r="B21" s="310" t="s">
        <v>94</v>
      </c>
      <c r="C21" s="332"/>
      <c r="D21" s="310"/>
      <c r="E21" s="315" t="str">
        <f t="shared" ref="E21:E31" si="3">MID(AK21,FIND(" ",AK21,15)+1,100)</f>
        <v>Modification Work For Conveyor Opening</v>
      </c>
      <c r="F21" s="310"/>
      <c r="G21" s="310"/>
      <c r="H21" s="310"/>
      <c r="I21" s="310"/>
      <c r="J21" s="310"/>
      <c r="K21" s="310" t="s">
        <v>97</v>
      </c>
      <c r="L21" s="310"/>
      <c r="M21" s="310"/>
      <c r="N21" s="310"/>
      <c r="O21" s="310"/>
      <c r="P21" s="310"/>
      <c r="Q21" s="310"/>
      <c r="R21" s="310"/>
      <c r="S21" s="350"/>
      <c r="T21" s="310" t="s">
        <v>98</v>
      </c>
      <c r="U21" s="310"/>
      <c r="V21" s="310"/>
      <c r="W21" s="245" t="s">
        <v>1098</v>
      </c>
      <c r="X21" s="55" t="s">
        <v>117</v>
      </c>
      <c r="Y21" s="55"/>
      <c r="Z21" s="55" t="s">
        <v>1086</v>
      </c>
      <c r="AA21" s="56"/>
      <c r="AB21" s="51"/>
      <c r="AC21" s="56"/>
      <c r="AD21" s="51"/>
      <c r="AE21" s="56"/>
      <c r="AF21" s="51"/>
      <c r="AG21" s="56"/>
      <c r="AH21" s="51"/>
      <c r="AI21" s="37"/>
      <c r="AJ21" s="236" t="s">
        <v>1087</v>
      </c>
      <c r="AK21" s="259" t="s">
        <v>1099</v>
      </c>
      <c r="AL21" s="37"/>
      <c r="AM21" s="37"/>
      <c r="AN21" s="37"/>
      <c r="AO21" s="37"/>
      <c r="AP21" s="37"/>
      <c r="AQ21" s="37"/>
      <c r="AR21" s="37"/>
      <c r="AS21" s="37"/>
      <c r="AT21" s="37"/>
      <c r="AU21" s="37"/>
    </row>
    <row r="22" spans="1:47" s="351" customFormat="1" ht="15" customHeight="1" outlineLevel="1">
      <c r="A22" s="41" t="str">
        <f t="shared" si="2"/>
        <v>18043-LMBME 09211</v>
      </c>
      <c r="B22" s="38" t="s">
        <v>94</v>
      </c>
      <c r="C22" s="41"/>
      <c r="D22" s="38"/>
      <c r="E22" s="37" t="str">
        <f t="shared" si="3"/>
        <v>Fire Alarm Control Diagram - Overview</v>
      </c>
      <c r="F22" s="38" t="s">
        <v>97</v>
      </c>
      <c r="G22" s="38" t="s">
        <v>34</v>
      </c>
      <c r="H22" s="38"/>
      <c r="I22" s="38"/>
      <c r="J22" s="38"/>
      <c r="K22" s="38"/>
      <c r="L22" s="38"/>
      <c r="M22" s="38"/>
      <c r="N22" s="38"/>
      <c r="O22" s="38" t="s">
        <v>31</v>
      </c>
      <c r="P22" s="38"/>
      <c r="Q22" s="38"/>
      <c r="R22" s="38"/>
      <c r="S22" s="236">
        <v>0</v>
      </c>
      <c r="T22" s="38" t="s">
        <v>98</v>
      </c>
      <c r="U22" s="38"/>
      <c r="V22" s="38"/>
      <c r="W22" s="40" t="str" cm="1">
        <f t="array" ref="W22">IF(A22&lt;&gt;"",_xlfn.XLOOKUP(_xlfn.XLOOKUP(TRUE,G22:R22&lt;&gt;"",G22:R22,"-",-1,-1),G22:R22,$G$6:$R$6,,,-1),"")</f>
        <v>Add7</v>
      </c>
      <c r="X22" s="55" t="s">
        <v>117</v>
      </c>
      <c r="Y22" s="55"/>
      <c r="Z22" s="55" t="s">
        <v>1100</v>
      </c>
      <c r="AA22" s="56"/>
      <c r="AB22" s="51"/>
      <c r="AC22" s="56"/>
      <c r="AD22" s="51"/>
      <c r="AE22" s="56"/>
      <c r="AF22" s="51"/>
      <c r="AG22" s="56"/>
      <c r="AH22" s="51"/>
      <c r="AI22" s="37"/>
      <c r="AJ22" s="236" t="s">
        <v>1087</v>
      </c>
      <c r="AK22" s="259" t="s">
        <v>1101</v>
      </c>
      <c r="AL22" s="37"/>
      <c r="AM22" s="37"/>
      <c r="AN22" s="37"/>
      <c r="AO22" s="37"/>
      <c r="AP22" s="37"/>
      <c r="AQ22" s="37"/>
      <c r="AR22" s="37"/>
      <c r="AS22" s="37"/>
      <c r="AT22" s="37"/>
      <c r="AU22" s="37"/>
    </row>
    <row r="23" spans="1:47" s="351" customFormat="1" ht="15" customHeight="1" outlineLevel="1">
      <c r="A23" s="41" t="str">
        <f t="shared" si="2"/>
        <v>18043-LMBME 09213</v>
      </c>
      <c r="B23" s="38" t="s">
        <v>94</v>
      </c>
      <c r="C23" s="41"/>
      <c r="D23" s="38"/>
      <c r="E23" s="37" t="str">
        <f t="shared" si="3"/>
        <v>Fire Alarm Control Diagram - Node 11 Loop1 Sheet 1 of 2</v>
      </c>
      <c r="F23" s="38" t="s">
        <v>97</v>
      </c>
      <c r="G23" s="38" t="s">
        <v>34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236">
        <v>0</v>
      </c>
      <c r="T23" s="38" t="s">
        <v>98</v>
      </c>
      <c r="U23" s="38"/>
      <c r="V23" s="38"/>
      <c r="W23" s="40" t="str" cm="1">
        <f t="array" ref="W23">IF(A23&lt;&gt;"",_xlfn.XLOOKUP(_xlfn.XLOOKUP(TRUE,G23:R23&lt;&gt;"",G23:R23,"-",-1,-1),G23:R23,$G$6:$R$6,,,-1),"")</f>
        <v>For Bid</v>
      </c>
      <c r="X23" s="55" t="s">
        <v>117</v>
      </c>
      <c r="Y23" s="55"/>
      <c r="Z23" s="55" t="s">
        <v>1100</v>
      </c>
      <c r="AA23" s="56"/>
      <c r="AB23" s="51"/>
      <c r="AC23" s="56"/>
      <c r="AD23" s="51"/>
      <c r="AE23" s="56"/>
      <c r="AF23" s="51"/>
      <c r="AG23" s="56"/>
      <c r="AH23" s="51"/>
      <c r="AI23" s="37"/>
      <c r="AJ23" s="236" t="s">
        <v>1087</v>
      </c>
      <c r="AK23" s="259" t="s">
        <v>1102</v>
      </c>
      <c r="AL23" s="37"/>
      <c r="AM23" s="37"/>
      <c r="AN23" s="37"/>
      <c r="AO23" s="37"/>
      <c r="AP23" s="37"/>
      <c r="AQ23" s="37"/>
      <c r="AR23" s="37"/>
      <c r="AS23" s="37"/>
      <c r="AT23" s="37"/>
      <c r="AU23" s="37"/>
    </row>
    <row r="24" spans="1:47" s="351" customFormat="1" ht="15" customHeight="1" outlineLevel="1">
      <c r="A24" s="41" t="str">
        <f t="shared" si="2"/>
        <v>18043-LMBME 09214</v>
      </c>
      <c r="B24" s="38" t="s">
        <v>94</v>
      </c>
      <c r="C24" s="41"/>
      <c r="D24" s="38"/>
      <c r="E24" s="37" t="str">
        <f t="shared" si="3"/>
        <v>Fire Alarm Control Diagram - Node 11 Loop1 Sheet 2 of 2</v>
      </c>
      <c r="F24" s="38" t="s">
        <v>97</v>
      </c>
      <c r="G24" s="38" t="s">
        <v>34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236">
        <v>0</v>
      </c>
      <c r="T24" s="38" t="s">
        <v>98</v>
      </c>
      <c r="U24" s="38"/>
      <c r="V24" s="233"/>
      <c r="W24" s="40" t="str" cm="1">
        <f t="array" ref="W24">IF(A24&lt;&gt;"",_xlfn.XLOOKUP(_xlfn.XLOOKUP(TRUE,G24:R24&lt;&gt;"",G24:R24,"-",-1,-1),G24:R24,$G$6:$R$6,,,-1),"")</f>
        <v>For Bid</v>
      </c>
      <c r="X24" s="55" t="s">
        <v>117</v>
      </c>
      <c r="Y24" s="55"/>
      <c r="Z24" s="55" t="s">
        <v>1100</v>
      </c>
      <c r="AA24" s="56"/>
      <c r="AB24" s="51"/>
      <c r="AC24" s="56"/>
      <c r="AD24" s="51"/>
      <c r="AE24" s="56"/>
      <c r="AF24" s="51"/>
      <c r="AG24" s="56"/>
      <c r="AH24" s="51"/>
      <c r="AI24" s="37"/>
      <c r="AJ24" s="236" t="s">
        <v>1087</v>
      </c>
      <c r="AK24" s="259" t="s">
        <v>1103</v>
      </c>
      <c r="AL24" s="37"/>
      <c r="AM24" s="37"/>
      <c r="AN24" s="37"/>
      <c r="AO24" s="37"/>
      <c r="AP24" s="37"/>
      <c r="AQ24" s="37"/>
      <c r="AR24" s="37"/>
      <c r="AS24" s="37"/>
      <c r="AT24" s="37"/>
      <c r="AU24" s="37"/>
    </row>
    <row r="25" spans="1:47" s="351" customFormat="1" ht="15" customHeight="1" outlineLevel="1">
      <c r="A25" s="41" t="str">
        <f t="shared" si="2"/>
        <v>18043-LMBME 09224</v>
      </c>
      <c r="B25" s="38" t="s">
        <v>94</v>
      </c>
      <c r="C25" s="41"/>
      <c r="D25" s="38"/>
      <c r="E25" s="37" t="str">
        <f t="shared" si="3"/>
        <v>Fire Alarm Control Diagram - Node 12 Loop 6</v>
      </c>
      <c r="F25" s="38" t="s">
        <v>97</v>
      </c>
      <c r="G25" s="38" t="s">
        <v>34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236">
        <v>0</v>
      </c>
      <c r="T25" s="38" t="s">
        <v>98</v>
      </c>
      <c r="U25" s="38"/>
      <c r="V25" s="233"/>
      <c r="W25" s="40" t="str" cm="1">
        <f t="array" ref="W25">IF(A25&lt;&gt;"",_xlfn.XLOOKUP(_xlfn.XLOOKUP(TRUE,G25:R25&lt;&gt;"",G25:R25,"-",-1,-1),G25:R25,$G$6:$R$6,,,-1),"")</f>
        <v>For Bid</v>
      </c>
      <c r="X25" s="55" t="s">
        <v>117</v>
      </c>
      <c r="Y25" s="55"/>
      <c r="Z25" s="55" t="s">
        <v>1100</v>
      </c>
      <c r="AA25" s="56"/>
      <c r="AB25" s="51"/>
      <c r="AC25" s="56"/>
      <c r="AD25" s="51"/>
      <c r="AE25" s="56"/>
      <c r="AF25" s="51"/>
      <c r="AG25" s="56"/>
      <c r="AH25" s="51"/>
      <c r="AI25" s="37"/>
      <c r="AJ25" s="236" t="s">
        <v>1087</v>
      </c>
      <c r="AK25" s="259" t="s">
        <v>1104</v>
      </c>
      <c r="AL25" s="37"/>
      <c r="AM25" s="37"/>
      <c r="AN25" s="37"/>
      <c r="AO25" s="37"/>
      <c r="AP25" s="37"/>
      <c r="AQ25" s="37"/>
      <c r="AR25" s="37"/>
      <c r="AS25" s="37"/>
      <c r="AT25" s="37"/>
      <c r="AU25" s="37"/>
    </row>
    <row r="26" spans="1:47" s="351" customFormat="1" ht="15" customHeight="1" outlineLevel="1">
      <c r="A26" s="41" t="str">
        <f t="shared" si="2"/>
        <v>18043-LMBME 09225</v>
      </c>
      <c r="B26" s="38" t="s">
        <v>94</v>
      </c>
      <c r="C26" s="41"/>
      <c r="D26" s="38"/>
      <c r="E26" s="37" t="str">
        <f>MID(AK26,FIND(" ",AK26,15)+1,100)</f>
        <v>Fire Alarm Control Diagram - Node 12 Loop 7</v>
      </c>
      <c r="F26" s="38" t="s">
        <v>97</v>
      </c>
      <c r="G26" s="38" t="s">
        <v>34</v>
      </c>
      <c r="H26" s="38"/>
      <c r="I26" s="38" t="s">
        <v>31</v>
      </c>
      <c r="J26" s="38" t="s">
        <v>116</v>
      </c>
      <c r="K26" s="38" t="s">
        <v>38</v>
      </c>
      <c r="L26" s="38" t="s">
        <v>28</v>
      </c>
      <c r="M26" s="38"/>
      <c r="N26" s="38"/>
      <c r="O26" s="38" t="s">
        <v>289</v>
      </c>
      <c r="P26" s="38"/>
      <c r="Q26" s="38"/>
      <c r="R26" s="38"/>
      <c r="S26" s="236">
        <v>0</v>
      </c>
      <c r="T26" s="38" t="s">
        <v>98</v>
      </c>
      <c r="U26" s="38"/>
      <c r="V26" s="233"/>
      <c r="W26" s="40" t="str" cm="1">
        <f t="array" ref="W26">IF(A26&lt;&gt;"",_xlfn.XLOOKUP(_xlfn.XLOOKUP(TRUE,G26:R26&lt;&gt;"",G26:R26,"-",-1,-1),G26:R26,$G$6:$R$6,,,-1),"")</f>
        <v>Add7</v>
      </c>
      <c r="X26" s="55" t="s">
        <v>117</v>
      </c>
      <c r="Y26" s="55"/>
      <c r="Z26" s="55" t="s">
        <v>1100</v>
      </c>
      <c r="AA26" s="56"/>
      <c r="AB26" s="51"/>
      <c r="AC26" s="56"/>
      <c r="AD26" s="51"/>
      <c r="AE26" s="56"/>
      <c r="AF26" s="51"/>
      <c r="AG26" s="56"/>
      <c r="AH26" s="51"/>
      <c r="AI26" s="37"/>
      <c r="AJ26" s="236" t="s">
        <v>1087</v>
      </c>
      <c r="AK26" s="259" t="s">
        <v>1105</v>
      </c>
      <c r="AL26" s="37"/>
      <c r="AM26" s="37"/>
      <c r="AN26" s="37"/>
      <c r="AO26" s="37"/>
      <c r="AP26" s="37"/>
      <c r="AQ26" s="37"/>
      <c r="AR26" s="37"/>
      <c r="AS26" s="37"/>
      <c r="AT26" s="37"/>
      <c r="AU26" s="37"/>
    </row>
    <row r="27" spans="1:47" s="351" customFormat="1" ht="15" customHeight="1" outlineLevel="1">
      <c r="A27" s="41" t="str">
        <f t="shared" si="2"/>
        <v>18043-LMBME 09405</v>
      </c>
      <c r="B27" s="38" t="s">
        <v>94</v>
      </c>
      <c r="C27" s="41"/>
      <c r="D27" s="38"/>
      <c r="E27" s="37" t="str">
        <f t="shared" si="3"/>
        <v>Monitoring Information list</v>
      </c>
      <c r="F27" s="38" t="s">
        <v>97</v>
      </c>
      <c r="G27" s="38" t="s">
        <v>34</v>
      </c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236">
        <v>0</v>
      </c>
      <c r="T27" s="38" t="s">
        <v>98</v>
      </c>
      <c r="U27" s="38"/>
      <c r="V27" s="233"/>
      <c r="W27" s="40" t="str" cm="1">
        <f t="array" ref="W27">IF(A27&lt;&gt;"",_xlfn.XLOOKUP(_xlfn.XLOOKUP(TRUE,G27:R27&lt;&gt;"",G27:R27,"-",-1,-1),G27:R27,$G$6:$R$6,,,-1),"")</f>
        <v>For Bid</v>
      </c>
      <c r="X27" s="55" t="s">
        <v>117</v>
      </c>
      <c r="Y27" s="55"/>
      <c r="Z27" s="55" t="s">
        <v>1086</v>
      </c>
      <c r="AA27" s="56"/>
      <c r="AB27" s="51"/>
      <c r="AC27" s="56"/>
      <c r="AD27" s="51"/>
      <c r="AE27" s="56"/>
      <c r="AF27" s="51"/>
      <c r="AG27" s="56"/>
      <c r="AH27" s="51"/>
      <c r="AI27" s="37"/>
      <c r="AJ27" s="236" t="s">
        <v>1087</v>
      </c>
      <c r="AK27" s="259" t="s">
        <v>1106</v>
      </c>
      <c r="AL27" s="37"/>
      <c r="AM27" s="37"/>
      <c r="AN27" s="37"/>
      <c r="AO27" s="37"/>
      <c r="AP27" s="37"/>
      <c r="AQ27" s="37"/>
      <c r="AR27" s="37"/>
      <c r="AS27" s="37"/>
      <c r="AT27" s="37"/>
      <c r="AU27" s="37"/>
    </row>
    <row r="28" spans="1:47" s="351" customFormat="1" ht="15" customHeight="1" outlineLevel="1">
      <c r="A28" s="41" t="str">
        <f t="shared" si="2"/>
        <v>18043-LMBME 09411</v>
      </c>
      <c r="B28" s="38" t="s">
        <v>94</v>
      </c>
      <c r="C28" s="41"/>
      <c r="D28" s="38"/>
      <c r="E28" s="37" t="str">
        <f t="shared" si="3"/>
        <v>Data Network System Diagram</v>
      </c>
      <c r="F28" s="38" t="s">
        <v>97</v>
      </c>
      <c r="G28" s="38" t="s">
        <v>34</v>
      </c>
      <c r="H28" s="38"/>
      <c r="I28" s="38"/>
      <c r="J28" s="38"/>
      <c r="K28" s="38"/>
      <c r="L28" s="38"/>
      <c r="M28" s="38"/>
      <c r="N28" s="38"/>
      <c r="O28" s="38" t="s">
        <v>31</v>
      </c>
      <c r="P28" s="38"/>
      <c r="Q28" s="38"/>
      <c r="R28" s="38"/>
      <c r="S28" s="236">
        <v>0</v>
      </c>
      <c r="T28" s="38" t="s">
        <v>98</v>
      </c>
      <c r="U28" s="38"/>
      <c r="V28" s="38"/>
      <c r="W28" s="40" t="str" cm="1">
        <f t="array" ref="W28">IF(A28&lt;&gt;"",_xlfn.XLOOKUP(_xlfn.XLOOKUP(TRUE,G28:R28&lt;&gt;"",G28:R28,"-",-1,-1),G28:R28,$G$6:$R$6,,,-1),"")</f>
        <v>Add7</v>
      </c>
      <c r="X28" s="55" t="s">
        <v>117</v>
      </c>
      <c r="Y28" s="55"/>
      <c r="Z28" s="55" t="s">
        <v>1100</v>
      </c>
      <c r="AA28" s="56"/>
      <c r="AB28" s="51"/>
      <c r="AC28" s="56"/>
      <c r="AD28" s="51"/>
      <c r="AE28" s="56"/>
      <c r="AF28" s="51"/>
      <c r="AG28" s="56"/>
      <c r="AH28" s="51"/>
      <c r="AI28" s="37"/>
      <c r="AJ28" s="236" t="s">
        <v>1087</v>
      </c>
      <c r="AK28" s="259" t="s">
        <v>1107</v>
      </c>
      <c r="AL28" s="37"/>
      <c r="AM28" s="37"/>
      <c r="AN28" s="37"/>
      <c r="AO28" s="37"/>
      <c r="AP28" s="37"/>
      <c r="AQ28" s="37"/>
      <c r="AR28" s="37"/>
      <c r="AS28" s="37"/>
      <c r="AT28" s="37"/>
      <c r="AU28" s="37"/>
    </row>
    <row r="29" spans="1:47" s="351" customFormat="1" ht="15" customHeight="1" outlineLevel="1">
      <c r="A29" s="41" t="str">
        <f t="shared" si="2"/>
        <v>18043-LMBME 09443</v>
      </c>
      <c r="B29" s="38" t="s">
        <v>94</v>
      </c>
      <c r="C29" s="41"/>
      <c r="D29" s="38"/>
      <c r="E29" s="37" t="str">
        <f t="shared" si="3"/>
        <v>Monitoring Main Control Diagram</v>
      </c>
      <c r="F29" s="38"/>
      <c r="G29" s="38"/>
      <c r="H29" s="38"/>
      <c r="I29" s="38"/>
      <c r="J29" s="38" t="s">
        <v>97</v>
      </c>
      <c r="K29" s="38"/>
      <c r="L29" s="38"/>
      <c r="M29" s="38"/>
      <c r="N29" s="38"/>
      <c r="O29" s="38"/>
      <c r="P29" s="38"/>
      <c r="Q29" s="38"/>
      <c r="R29" s="38"/>
      <c r="S29" s="236">
        <v>0</v>
      </c>
      <c r="T29" s="38" t="s">
        <v>98</v>
      </c>
      <c r="U29" s="38"/>
      <c r="V29" s="38"/>
      <c r="W29" s="40" t="str" cm="1">
        <f t="array" ref="W29">IF(A29&lt;&gt;"",_xlfn.XLOOKUP(_xlfn.XLOOKUP(TRUE,G29:R29&lt;&gt;"",G29:R29,"-",-1,-1),G29:R29,$G$6:$R$6,,,-1),"")</f>
        <v>Add2</v>
      </c>
      <c r="X29" s="55" t="s">
        <v>117</v>
      </c>
      <c r="Y29" s="55"/>
      <c r="Z29" s="55" t="s">
        <v>1086</v>
      </c>
      <c r="AA29" s="56"/>
      <c r="AB29" s="51"/>
      <c r="AC29" s="56"/>
      <c r="AD29" s="51"/>
      <c r="AE29" s="56"/>
      <c r="AF29" s="51"/>
      <c r="AG29" s="56"/>
      <c r="AH29" s="51"/>
      <c r="AI29" s="37"/>
      <c r="AJ29" s="236" t="s">
        <v>1087</v>
      </c>
      <c r="AK29" s="259" t="s">
        <v>1108</v>
      </c>
      <c r="AL29" s="37"/>
      <c r="AM29" s="37"/>
      <c r="AN29" s="37"/>
      <c r="AO29" s="37"/>
      <c r="AP29" s="37"/>
      <c r="AQ29" s="37"/>
      <c r="AR29" s="37"/>
      <c r="AS29" s="37"/>
      <c r="AT29" s="37"/>
      <c r="AU29" s="37"/>
    </row>
    <row r="30" spans="1:47" s="351" customFormat="1" ht="15" customHeight="1" outlineLevel="1">
      <c r="A30" s="332" t="str">
        <f t="shared" si="2"/>
        <v>18043-LMBME 09462</v>
      </c>
      <c r="B30" s="310" t="s">
        <v>94</v>
      </c>
      <c r="C30" s="332"/>
      <c r="D30" s="310"/>
      <c r="E30" s="315" t="str">
        <f t="shared" si="3"/>
        <v>Monitoring Informaiton List (Pi-Vision)</v>
      </c>
      <c r="F30" s="310"/>
      <c r="G30" s="310" t="s">
        <v>97</v>
      </c>
      <c r="H30" s="310"/>
      <c r="I30" s="310"/>
      <c r="J30" s="310" t="s">
        <v>34</v>
      </c>
      <c r="K30" s="310"/>
      <c r="L30" s="310" t="s">
        <v>31</v>
      </c>
      <c r="M30" s="310"/>
      <c r="N30" s="310"/>
      <c r="O30" s="310"/>
      <c r="P30" s="310"/>
      <c r="Q30" s="310"/>
      <c r="R30" s="310"/>
      <c r="S30" s="350"/>
      <c r="T30" s="310" t="s">
        <v>98</v>
      </c>
      <c r="U30" s="310"/>
      <c r="V30" s="310"/>
      <c r="W30" s="245" t="s">
        <v>1098</v>
      </c>
      <c r="X30" s="55" t="s">
        <v>117</v>
      </c>
      <c r="Y30" s="55"/>
      <c r="Z30" s="55" t="s">
        <v>1086</v>
      </c>
      <c r="AA30" s="56"/>
      <c r="AB30" s="51"/>
      <c r="AC30" s="56"/>
      <c r="AD30" s="51"/>
      <c r="AE30" s="56"/>
      <c r="AF30" s="51"/>
      <c r="AG30" s="56"/>
      <c r="AH30" s="51"/>
      <c r="AI30" s="37"/>
      <c r="AJ30" s="236" t="s">
        <v>1087</v>
      </c>
      <c r="AK30" s="259" t="s">
        <v>1109</v>
      </c>
      <c r="AL30" s="37"/>
      <c r="AM30" s="37"/>
      <c r="AN30" s="37"/>
      <c r="AO30" s="37"/>
      <c r="AP30" s="37"/>
      <c r="AQ30" s="37"/>
      <c r="AR30" s="37"/>
      <c r="AS30" s="37"/>
      <c r="AT30" s="37"/>
      <c r="AU30" s="37"/>
    </row>
    <row r="31" spans="1:47" s="351" customFormat="1" ht="15" customHeight="1" outlineLevel="1">
      <c r="A31" s="41" t="str">
        <f t="shared" si="2"/>
        <v>18043-LMBME 09463</v>
      </c>
      <c r="B31" s="38" t="s">
        <v>94</v>
      </c>
      <c r="C31" s="41"/>
      <c r="D31" s="38"/>
      <c r="E31" s="37" t="str">
        <f t="shared" si="3"/>
        <v>Monitoring System Diagram (Pi-Vision)</v>
      </c>
      <c r="F31" s="38" t="s">
        <v>97</v>
      </c>
      <c r="G31" s="38" t="s">
        <v>34</v>
      </c>
      <c r="H31" s="38"/>
      <c r="I31" s="38"/>
      <c r="J31" s="38" t="s">
        <v>31</v>
      </c>
      <c r="K31" s="38"/>
      <c r="L31" s="38" t="s">
        <v>116</v>
      </c>
      <c r="M31" s="38"/>
      <c r="N31" s="38"/>
      <c r="O31" s="38"/>
      <c r="P31" s="38"/>
      <c r="Q31" s="38"/>
      <c r="R31" s="38"/>
      <c r="S31" s="236">
        <v>0</v>
      </c>
      <c r="T31" s="38" t="s">
        <v>98</v>
      </c>
      <c r="U31" s="38"/>
      <c r="V31" s="38"/>
      <c r="W31" s="40" t="str" cm="1">
        <f t="array" ref="W31">IF(A31&lt;&gt;"",_xlfn.XLOOKUP(_xlfn.XLOOKUP(TRUE,G31:R31&lt;&gt;"",G31:R31,"-",-1,-1),G31:R31,$G$6:$R$6,,,-1),"")</f>
        <v>Add5</v>
      </c>
      <c r="X31" s="55" t="s">
        <v>117</v>
      </c>
      <c r="Y31" s="55"/>
      <c r="Z31" s="55" t="s">
        <v>1086</v>
      </c>
      <c r="AA31" s="56"/>
      <c r="AB31" s="51"/>
      <c r="AC31" s="56"/>
      <c r="AD31" s="51"/>
      <c r="AE31" s="56"/>
      <c r="AF31" s="51"/>
      <c r="AG31" s="56"/>
      <c r="AH31" s="51"/>
      <c r="AI31" s="37"/>
      <c r="AJ31" s="236" t="s">
        <v>1087</v>
      </c>
      <c r="AK31" s="259" t="s">
        <v>1110</v>
      </c>
      <c r="AL31" s="37"/>
      <c r="AM31" s="37"/>
      <c r="AN31" s="37"/>
      <c r="AO31" s="37"/>
      <c r="AP31" s="37"/>
      <c r="AQ31" s="37"/>
      <c r="AR31" s="37"/>
      <c r="AS31" s="37"/>
      <c r="AT31" s="37"/>
      <c r="AU31" s="37"/>
    </row>
    <row r="32" spans="1:47" s="351" customFormat="1" ht="15" customHeight="1" outlineLevel="1">
      <c r="A32" s="43"/>
      <c r="B32" s="38"/>
      <c r="C32" s="41"/>
      <c r="D32" s="38"/>
      <c r="E32" s="42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7"/>
      <c r="T32" s="38"/>
      <c r="U32" s="38"/>
      <c r="V32" s="38"/>
      <c r="W32" s="40" t="str" cm="1">
        <f t="array" ref="W32">IF(A32&lt;&gt;"",_xlfn.XLOOKUP(_xlfn.XLOOKUP(TRUE,G32:R32&lt;&gt;"",G32:R32,"-",-1,-1),G32:R32,$G$6:$R$6,,,-1),"")</f>
        <v/>
      </c>
      <c r="X32" s="55"/>
      <c r="Y32" s="55"/>
      <c r="Z32" s="55"/>
      <c r="AA32" s="56"/>
      <c r="AB32" s="51"/>
      <c r="AC32" s="56"/>
      <c r="AD32" s="51"/>
      <c r="AE32" s="56"/>
      <c r="AF32" s="51"/>
      <c r="AG32" s="56"/>
      <c r="AH32" s="51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</row>
    <row r="33" spans="1:47" s="351" customFormat="1" ht="15" customHeight="1" outlineLevel="1">
      <c r="A33" s="41" t="str">
        <f t="shared" ref="A33:A41" si="4">"18043-"&amp;LEFT(AK33,11)</f>
        <v>18043-LM000 09010</v>
      </c>
      <c r="B33" s="38" t="s">
        <v>94</v>
      </c>
      <c r="C33" s="41"/>
      <c r="D33" s="38"/>
      <c r="E33" s="37" t="str">
        <f t="shared" ref="E33:E41" si="5">MID(AK33,FIND(" ",AK33,15)+1,100)</f>
        <v>Overall Demolition Work</v>
      </c>
      <c r="F33" s="38"/>
      <c r="G33" s="38" t="s">
        <v>97</v>
      </c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484" t="s">
        <v>34</v>
      </c>
      <c r="S33" s="236">
        <v>0</v>
      </c>
      <c r="T33" s="38" t="s">
        <v>98</v>
      </c>
      <c r="U33" s="38"/>
      <c r="V33" s="38"/>
      <c r="W33" s="40" t="str" cm="1">
        <f t="array" ref="W33">IF(A33&lt;&gt;"",_xlfn.XLOOKUP(_xlfn.XLOOKUP(TRUE,G33:R33&lt;&gt;"",G33:R33,"-",-1,-1),G33:R33,$G$6:$R$6,,,-1),"")</f>
        <v>Add9</v>
      </c>
      <c r="X33" s="55" t="s">
        <v>117</v>
      </c>
      <c r="Y33" s="55"/>
      <c r="Z33" s="55" t="s">
        <v>1086</v>
      </c>
      <c r="AA33" s="56"/>
      <c r="AB33" s="51"/>
      <c r="AC33" s="56"/>
      <c r="AD33" s="51"/>
      <c r="AE33" s="56"/>
      <c r="AF33" s="51"/>
      <c r="AG33" s="56"/>
      <c r="AH33" s="51"/>
      <c r="AI33" s="37"/>
      <c r="AJ33" s="236" t="s">
        <v>1087</v>
      </c>
      <c r="AK33" s="259" t="s">
        <v>1111</v>
      </c>
      <c r="AL33" s="37"/>
      <c r="AM33" s="37"/>
      <c r="AN33" s="37"/>
      <c r="AO33" s="37"/>
      <c r="AP33" s="37"/>
      <c r="AQ33" s="37"/>
      <c r="AR33" s="37"/>
      <c r="AS33" s="37"/>
      <c r="AT33" s="37"/>
      <c r="AU33" s="37"/>
    </row>
    <row r="34" spans="1:47" s="351" customFormat="1" ht="15" customHeight="1" outlineLevel="1">
      <c r="A34" s="41" t="str">
        <f t="shared" si="4"/>
        <v>18043-LM000 09208</v>
      </c>
      <c r="B34" s="38" t="s">
        <v>94</v>
      </c>
      <c r="C34" s="41"/>
      <c r="D34" s="38"/>
      <c r="E34" s="37" t="str">
        <f t="shared" si="5"/>
        <v>Main Fire Alarm System Layout - Integrated</v>
      </c>
      <c r="F34" s="38" t="s">
        <v>97</v>
      </c>
      <c r="G34" s="38" t="s">
        <v>34</v>
      </c>
      <c r="H34" s="38"/>
      <c r="I34" s="38"/>
      <c r="J34" s="38" t="s">
        <v>31</v>
      </c>
      <c r="K34" s="38" t="s">
        <v>116</v>
      </c>
      <c r="L34" s="38"/>
      <c r="M34" s="38"/>
      <c r="N34" s="38"/>
      <c r="O34" s="38" t="s">
        <v>38</v>
      </c>
      <c r="P34" s="38"/>
      <c r="Q34" s="38"/>
      <c r="R34" s="38"/>
      <c r="S34" s="236">
        <v>0</v>
      </c>
      <c r="T34" s="38" t="s">
        <v>98</v>
      </c>
      <c r="U34" s="38"/>
      <c r="V34" s="38"/>
      <c r="W34" s="40" t="str" cm="1">
        <f t="array" ref="W34">IF(A34&lt;&gt;"",_xlfn.XLOOKUP(_xlfn.XLOOKUP(TRUE,G34:R34&lt;&gt;"",G34:R34,"-",-1,-1),G34:R34,$G$6:$R$6,,,-1),"")</f>
        <v>Add7</v>
      </c>
      <c r="X34" s="55">
        <v>750</v>
      </c>
      <c r="Y34" s="55"/>
      <c r="Z34" s="55" t="s">
        <v>1100</v>
      </c>
      <c r="AA34" s="56"/>
      <c r="AB34" s="51"/>
      <c r="AC34" s="56"/>
      <c r="AD34" s="51"/>
      <c r="AE34" s="56"/>
      <c r="AF34" s="51"/>
      <c r="AG34" s="56"/>
      <c r="AH34" s="51"/>
      <c r="AI34" s="37"/>
      <c r="AJ34" s="236" t="s">
        <v>1087</v>
      </c>
      <c r="AK34" s="259" t="s">
        <v>1112</v>
      </c>
      <c r="AL34" s="37"/>
      <c r="AM34" s="37"/>
      <c r="AN34" s="37"/>
      <c r="AO34" s="37"/>
      <c r="AP34" s="37"/>
      <c r="AQ34" s="37"/>
      <c r="AR34" s="37"/>
      <c r="AS34" s="37"/>
      <c r="AT34" s="37"/>
      <c r="AU34" s="37"/>
    </row>
    <row r="35" spans="1:47" s="351" customFormat="1" ht="15" customHeight="1" outlineLevel="1">
      <c r="A35" s="41" t="str">
        <f t="shared" si="4"/>
        <v>18043-LM000 09411</v>
      </c>
      <c r="B35" s="38" t="s">
        <v>94</v>
      </c>
      <c r="C35" s="41"/>
      <c r="D35" s="38"/>
      <c r="E35" s="37" t="str">
        <f t="shared" si="5"/>
        <v>Data Network System Layout</v>
      </c>
      <c r="F35" s="38"/>
      <c r="G35" s="38" t="s">
        <v>97</v>
      </c>
      <c r="H35" s="38"/>
      <c r="I35" s="38"/>
      <c r="J35" s="38"/>
      <c r="K35" s="38" t="s">
        <v>34</v>
      </c>
      <c r="L35" s="38"/>
      <c r="M35" s="38"/>
      <c r="N35" s="38"/>
      <c r="O35" s="38" t="s">
        <v>31</v>
      </c>
      <c r="P35" s="38"/>
      <c r="Q35" s="38"/>
      <c r="R35" s="38"/>
      <c r="S35" s="236">
        <v>0</v>
      </c>
      <c r="T35" s="38" t="s">
        <v>98</v>
      </c>
      <c r="U35" s="38"/>
      <c r="V35" s="38"/>
      <c r="W35" s="40" t="str" cm="1">
        <f t="array" ref="W35">IF(A35&lt;&gt;"",_xlfn.XLOOKUP(_xlfn.XLOOKUP(TRUE,G35:R35&lt;&gt;"",G35:R35,"-",-1,-1),G35:R35,$G$6:$R$6,,,-1),"")</f>
        <v>Add7</v>
      </c>
      <c r="X35" s="55">
        <v>500</v>
      </c>
      <c r="Y35" s="55"/>
      <c r="Z35" s="55" t="s">
        <v>1100</v>
      </c>
      <c r="AA35" s="56"/>
      <c r="AB35" s="51"/>
      <c r="AC35" s="56"/>
      <c r="AD35" s="51"/>
      <c r="AE35" s="56"/>
      <c r="AF35" s="51"/>
      <c r="AG35" s="56"/>
      <c r="AH35" s="51"/>
      <c r="AI35" s="37"/>
      <c r="AJ35" s="236" t="s">
        <v>1087</v>
      </c>
      <c r="AK35" s="259" t="s">
        <v>1113</v>
      </c>
      <c r="AL35" s="37"/>
      <c r="AM35" s="37"/>
      <c r="AN35" s="37"/>
      <c r="AO35" s="37"/>
      <c r="AP35" s="37"/>
      <c r="AQ35" s="37"/>
      <c r="AR35" s="37"/>
      <c r="AS35" s="37"/>
      <c r="AT35" s="37"/>
      <c r="AU35" s="37"/>
    </row>
    <row r="36" spans="1:47" s="351" customFormat="1" ht="15" customHeight="1" outlineLevel="1">
      <c r="A36" s="41" t="str">
        <f t="shared" si="4"/>
        <v>18043-LM000 09459</v>
      </c>
      <c r="B36" s="38" t="s">
        <v>94</v>
      </c>
      <c r="C36" s="41"/>
      <c r="D36" s="38"/>
      <c r="E36" s="37" t="str">
        <f t="shared" si="5"/>
        <v>Monitoring System Layout (Pi-Vision)</v>
      </c>
      <c r="F36" s="38"/>
      <c r="G36" s="38"/>
      <c r="H36" s="38"/>
      <c r="I36" s="38"/>
      <c r="J36" s="38" t="s">
        <v>97</v>
      </c>
      <c r="K36" s="38" t="s">
        <v>34</v>
      </c>
      <c r="L36" s="38" t="s">
        <v>31</v>
      </c>
      <c r="M36" s="38"/>
      <c r="N36" s="38"/>
      <c r="O36" s="38" t="s">
        <v>116</v>
      </c>
      <c r="P36" s="38"/>
      <c r="Q36" s="38"/>
      <c r="R36" s="38"/>
      <c r="S36" s="236">
        <v>0</v>
      </c>
      <c r="T36" s="38" t="s">
        <v>98</v>
      </c>
      <c r="U36" s="38"/>
      <c r="V36" s="38"/>
      <c r="W36" s="40" t="str" cm="1">
        <f t="array" ref="W36">IF(A36&lt;&gt;"",_xlfn.XLOOKUP(_xlfn.XLOOKUP(TRUE,G36:R36&lt;&gt;"",G36:R36,"-",-1,-1),G36:R36,$G$6:$R$6,,,-1),"")</f>
        <v>Add7</v>
      </c>
      <c r="X36" s="55">
        <v>200</v>
      </c>
      <c r="Y36" s="55"/>
      <c r="Z36" s="55" t="s">
        <v>1086</v>
      </c>
      <c r="AA36" s="56"/>
      <c r="AB36" s="51"/>
      <c r="AC36" s="56"/>
      <c r="AD36" s="51"/>
      <c r="AE36" s="56"/>
      <c r="AF36" s="51"/>
      <c r="AG36" s="56"/>
      <c r="AH36" s="51"/>
      <c r="AI36" s="37"/>
      <c r="AJ36" s="236" t="s">
        <v>1087</v>
      </c>
      <c r="AK36" s="37" t="s">
        <v>1114</v>
      </c>
      <c r="AL36" s="37"/>
      <c r="AM36" s="37"/>
      <c r="AN36" s="37"/>
      <c r="AO36" s="37"/>
      <c r="AP36" s="37"/>
      <c r="AQ36" s="37"/>
      <c r="AR36" s="37"/>
      <c r="AS36" s="37"/>
      <c r="AT36" s="37"/>
      <c r="AU36" s="37"/>
    </row>
    <row r="37" spans="1:47" s="351" customFormat="1" ht="15" customHeight="1" outlineLevel="1">
      <c r="A37" s="41" t="str">
        <f t="shared" si="4"/>
        <v>18043-LM000 09558</v>
      </c>
      <c r="B37" s="38" t="s">
        <v>94</v>
      </c>
      <c r="C37" s="41"/>
      <c r="D37" s="38"/>
      <c r="E37" s="37" t="str">
        <f t="shared" si="5"/>
        <v>General Electrical Work - Cable Tray Layout For B.191 (Modification)</v>
      </c>
      <c r="F37" s="38" t="s">
        <v>97</v>
      </c>
      <c r="G37" s="38" t="s">
        <v>34</v>
      </c>
      <c r="H37" s="38"/>
      <c r="I37" s="38" t="s">
        <v>31</v>
      </c>
      <c r="J37" s="38"/>
      <c r="K37" s="38"/>
      <c r="L37" s="38"/>
      <c r="M37" s="38"/>
      <c r="N37" s="37"/>
      <c r="O37" s="38" t="s">
        <v>116</v>
      </c>
      <c r="P37" s="38"/>
      <c r="Q37" s="446" t="s">
        <v>38</v>
      </c>
      <c r="R37" s="38"/>
      <c r="S37" s="236">
        <v>0</v>
      </c>
      <c r="T37" s="38" t="s">
        <v>98</v>
      </c>
      <c r="U37" s="38"/>
      <c r="V37" s="38"/>
      <c r="W37" s="40" t="str" cm="1">
        <f t="array" ref="W37">IF(A37&lt;&gt;"",_xlfn.XLOOKUP(_xlfn.XLOOKUP(TRUE,G37:R37&lt;&gt;"",G37:R37,"-",-1,-1),G37:R37,$G$6:$R$6,,,-1),"")</f>
        <v>Add8</v>
      </c>
      <c r="X37" s="55">
        <v>200</v>
      </c>
      <c r="Y37" s="55"/>
      <c r="Z37" s="55" t="s">
        <v>1086</v>
      </c>
      <c r="AA37" s="56"/>
      <c r="AB37" s="51"/>
      <c r="AC37" s="56"/>
      <c r="AD37" s="51"/>
      <c r="AE37" s="56"/>
      <c r="AF37" s="51"/>
      <c r="AG37" s="56"/>
      <c r="AH37" s="51"/>
      <c r="AI37" s="37"/>
      <c r="AJ37" s="236" t="s">
        <v>1087</v>
      </c>
      <c r="AK37" s="37" t="s">
        <v>1115</v>
      </c>
      <c r="AL37" s="37"/>
      <c r="AM37" s="37"/>
      <c r="AN37" s="37"/>
      <c r="AO37" s="37"/>
      <c r="AP37" s="37"/>
      <c r="AQ37" s="37"/>
      <c r="AR37" s="37"/>
      <c r="AS37" s="37"/>
      <c r="AT37" s="37"/>
      <c r="AU37" s="37"/>
    </row>
    <row r="38" spans="1:47" s="351" customFormat="1" ht="15" customHeight="1" outlineLevel="1">
      <c r="A38" s="41" t="str">
        <f t="shared" si="4"/>
        <v>18043-LM000 09577</v>
      </c>
      <c r="B38" s="38" t="s">
        <v>94</v>
      </c>
      <c r="C38" s="41"/>
      <c r="D38" s="38"/>
      <c r="E38" s="331" t="str">
        <f t="shared" si="5"/>
        <v>Main feeder layout plan 646 Building</v>
      </c>
      <c r="F38" s="38" t="s">
        <v>97</v>
      </c>
      <c r="G38" s="38" t="s">
        <v>34</v>
      </c>
      <c r="H38" s="38"/>
      <c r="I38" s="38" t="s">
        <v>31</v>
      </c>
      <c r="J38" s="38" t="s">
        <v>116</v>
      </c>
      <c r="K38" s="38" t="s">
        <v>38</v>
      </c>
      <c r="L38" s="38"/>
      <c r="M38" s="38"/>
      <c r="N38" s="37"/>
      <c r="O38" s="38" t="s">
        <v>28</v>
      </c>
      <c r="P38" s="38"/>
      <c r="Q38" s="446" t="s">
        <v>289</v>
      </c>
      <c r="R38" s="484" t="s">
        <v>290</v>
      </c>
      <c r="S38" s="236">
        <v>0</v>
      </c>
      <c r="T38" s="38" t="s">
        <v>98</v>
      </c>
      <c r="U38" s="38"/>
      <c r="V38" s="38"/>
      <c r="W38" s="40" t="str" cm="1">
        <f t="array" ref="W38">IF(A38&lt;&gt;"",_xlfn.XLOOKUP(_xlfn.XLOOKUP(TRUE,G38:R38&lt;&gt;"",G38:R38,"-",-1,-1),G38:R38,$G$6:$R$6,,,-1),"")</f>
        <v>Add9</v>
      </c>
      <c r="X38" s="55">
        <v>500</v>
      </c>
      <c r="Y38" s="55"/>
      <c r="Z38" s="55" t="s">
        <v>1086</v>
      </c>
      <c r="AA38" s="56"/>
      <c r="AB38" s="51"/>
      <c r="AC38" s="56"/>
      <c r="AD38" s="51"/>
      <c r="AE38" s="56"/>
      <c r="AF38" s="51"/>
      <c r="AG38" s="56"/>
      <c r="AH38" s="51"/>
      <c r="AI38" s="37"/>
      <c r="AJ38" s="236" t="s">
        <v>1087</v>
      </c>
      <c r="AK38" s="37" t="s">
        <v>1116</v>
      </c>
      <c r="AL38" s="37"/>
      <c r="AM38" s="37"/>
      <c r="AN38" s="37"/>
      <c r="AO38" s="37"/>
      <c r="AP38" s="37"/>
      <c r="AQ38" s="37"/>
      <c r="AR38" s="37"/>
      <c r="AS38" s="37"/>
      <c r="AT38" s="37"/>
      <c r="AU38" s="37"/>
    </row>
    <row r="39" spans="1:47" s="351" customFormat="1" ht="15" customHeight="1" outlineLevel="1">
      <c r="A39" s="41" t="str">
        <f t="shared" si="4"/>
        <v>18043-LM000 09578</v>
      </c>
      <c r="B39" s="38" t="s">
        <v>94</v>
      </c>
      <c r="C39" s="41"/>
      <c r="D39" s="38"/>
      <c r="E39" s="331" t="str">
        <f t="shared" si="5"/>
        <v>Main feeder layout plan 231 Building</v>
      </c>
      <c r="F39" s="38" t="s">
        <v>97</v>
      </c>
      <c r="G39" s="38" t="s">
        <v>34</v>
      </c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236">
        <v>0</v>
      </c>
      <c r="T39" s="38" t="s">
        <v>98</v>
      </c>
      <c r="U39" s="38"/>
      <c r="V39" s="37"/>
      <c r="W39" s="40" t="str" cm="1">
        <f t="array" ref="W39">IF(A39&lt;&gt;"",_xlfn.XLOOKUP(_xlfn.XLOOKUP(TRUE,G39:R39&lt;&gt;"",G39:R39,"-",-1,-1),G39:R39,$G$6:$R$6,,,-1),"")</f>
        <v>For Bid</v>
      </c>
      <c r="X39" s="55">
        <v>500</v>
      </c>
      <c r="Y39" s="55"/>
      <c r="Z39" s="55" t="s">
        <v>1086</v>
      </c>
      <c r="AA39" s="56"/>
      <c r="AB39" s="51"/>
      <c r="AC39" s="56"/>
      <c r="AD39" s="51"/>
      <c r="AE39" s="56"/>
      <c r="AF39" s="51"/>
      <c r="AG39" s="56"/>
      <c r="AH39" s="51"/>
      <c r="AI39" s="37"/>
      <c r="AJ39" s="236" t="s">
        <v>1087</v>
      </c>
      <c r="AK39" s="37" t="s">
        <v>1117</v>
      </c>
      <c r="AL39" s="37"/>
      <c r="AM39" s="37"/>
      <c r="AN39" s="37"/>
      <c r="AO39" s="37"/>
      <c r="AP39" s="37"/>
      <c r="AQ39" s="37"/>
      <c r="AR39" s="37"/>
      <c r="AS39" s="37"/>
      <c r="AT39" s="37"/>
      <c r="AU39" s="37"/>
    </row>
    <row r="40" spans="1:47" s="351" customFormat="1" ht="15" customHeight="1" outlineLevel="1">
      <c r="A40" s="41" t="str">
        <f t="shared" si="4"/>
        <v>18043-LM000 09579</v>
      </c>
      <c r="B40" s="38" t="s">
        <v>94</v>
      </c>
      <c r="C40" s="41"/>
      <c r="D40" s="38"/>
      <c r="E40" s="331" t="str">
        <f t="shared" si="5"/>
        <v>Main feeder layout plan 642-DB-2</v>
      </c>
      <c r="F40" s="38" t="s">
        <v>97</v>
      </c>
      <c r="G40" s="38" t="s">
        <v>34</v>
      </c>
      <c r="H40" s="38"/>
      <c r="I40" s="38"/>
      <c r="J40" s="310"/>
      <c r="K40" s="310"/>
      <c r="L40" s="310"/>
      <c r="M40" s="310"/>
      <c r="N40" s="310"/>
      <c r="O40" s="310"/>
      <c r="P40" s="310"/>
      <c r="Q40" s="38"/>
      <c r="R40" s="38"/>
      <c r="S40" s="236">
        <v>0</v>
      </c>
      <c r="T40" s="38" t="s">
        <v>98</v>
      </c>
      <c r="U40" s="310"/>
      <c r="V40" s="38"/>
      <c r="W40" s="40" t="str" cm="1">
        <f t="array" ref="W40">IF(A40&lt;&gt;"",_xlfn.XLOOKUP(_xlfn.XLOOKUP(TRUE,G40:R40&lt;&gt;"",G40:R40,"-",-1,-1),G40:R40,$G$6:$R$6,,,-1),"")</f>
        <v>For Bid</v>
      </c>
      <c r="X40" s="55">
        <v>500</v>
      </c>
      <c r="Y40" s="247"/>
      <c r="Z40" s="55" t="s">
        <v>1086</v>
      </c>
      <c r="AA40" s="249"/>
      <c r="AB40" s="250"/>
      <c r="AC40" s="249"/>
      <c r="AD40" s="250"/>
      <c r="AE40" s="249"/>
      <c r="AF40" s="250"/>
      <c r="AG40" s="249"/>
      <c r="AH40" s="250"/>
      <c r="AI40" s="37"/>
      <c r="AJ40" s="236" t="s">
        <v>1087</v>
      </c>
      <c r="AK40" s="37" t="s">
        <v>1118</v>
      </c>
      <c r="AL40" s="37"/>
      <c r="AM40" s="37"/>
      <c r="AN40" s="37"/>
      <c r="AO40" s="37"/>
      <c r="AP40" s="37"/>
      <c r="AQ40" s="37"/>
      <c r="AR40" s="37"/>
      <c r="AS40" s="37"/>
      <c r="AT40" s="37"/>
      <c r="AU40" s="37"/>
    </row>
    <row r="41" spans="1:47" s="351" customFormat="1" ht="15" customHeight="1" outlineLevel="1">
      <c r="A41" s="41" t="str">
        <f t="shared" si="4"/>
        <v>18043-LM000 09580</v>
      </c>
      <c r="B41" s="38" t="s">
        <v>94</v>
      </c>
      <c r="C41" s="41"/>
      <c r="D41" s="38"/>
      <c r="E41" s="331" t="str">
        <f t="shared" si="5"/>
        <v>Emergency feeder layout plan 561 Building</v>
      </c>
      <c r="F41" s="38"/>
      <c r="G41" s="38"/>
      <c r="H41" s="38"/>
      <c r="I41" s="38"/>
      <c r="J41" s="310"/>
      <c r="K41" s="310"/>
      <c r="L41" s="310"/>
      <c r="M41" s="310"/>
      <c r="N41" s="392"/>
      <c r="O41" s="38" t="s">
        <v>97</v>
      </c>
      <c r="P41" s="38"/>
      <c r="Q41" s="38"/>
      <c r="R41" s="38"/>
      <c r="S41" s="236">
        <v>0</v>
      </c>
      <c r="T41" s="38" t="s">
        <v>98</v>
      </c>
      <c r="U41" s="310"/>
      <c r="V41" s="38"/>
      <c r="W41" s="40" t="str" cm="1">
        <f t="array" ref="W41">IF(A41&lt;&gt;"",_xlfn.XLOOKUP(_xlfn.XLOOKUP(TRUE,G41:R41&lt;&gt;"",G41:R41,"-",-1,-1),G41:R41,$G$6:$R$6,,,-1),"")</f>
        <v>Add7</v>
      </c>
      <c r="X41" s="55">
        <v>500</v>
      </c>
      <c r="Y41" s="247"/>
      <c r="Z41" s="55" t="s">
        <v>1086</v>
      </c>
      <c r="AA41" s="249"/>
      <c r="AB41" s="250"/>
      <c r="AC41" s="249"/>
      <c r="AD41" s="250"/>
      <c r="AE41" s="249"/>
      <c r="AF41" s="250"/>
      <c r="AG41" s="249"/>
      <c r="AH41" s="250"/>
      <c r="AI41" s="37"/>
      <c r="AJ41" s="236" t="s">
        <v>1087</v>
      </c>
      <c r="AK41" s="37" t="s">
        <v>1119</v>
      </c>
      <c r="AL41" s="37"/>
      <c r="AM41" s="37"/>
      <c r="AN41" s="37"/>
      <c r="AO41" s="37"/>
      <c r="AP41" s="37"/>
      <c r="AQ41" s="37"/>
      <c r="AR41" s="37"/>
      <c r="AS41" s="37"/>
      <c r="AT41" s="37"/>
      <c r="AU41" s="37"/>
    </row>
    <row r="42" spans="1:47" s="351" customFormat="1" ht="15" customHeight="1" outlineLevel="1">
      <c r="A42" s="41"/>
      <c r="B42" s="38"/>
      <c r="C42" s="41"/>
      <c r="D42" s="38"/>
      <c r="E42" s="37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55"/>
      <c r="Y42" s="55"/>
      <c r="Z42" s="55"/>
      <c r="AA42" s="52"/>
      <c r="AB42" s="56"/>
      <c r="AC42" s="51"/>
      <c r="AD42" s="56"/>
      <c r="AE42" s="51"/>
      <c r="AF42" s="56"/>
      <c r="AG42" s="51"/>
      <c r="AH42" s="56"/>
      <c r="AI42" s="51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</row>
    <row r="43" spans="1:47" s="351" customFormat="1" ht="15" customHeight="1" thickBot="1">
      <c r="A43" s="41"/>
      <c r="B43" s="38"/>
      <c r="C43" s="41"/>
      <c r="D43" s="38"/>
      <c r="E43" s="43" t="str">
        <f>"SUB-TOTAL "&amp;UPPER(A9)&amp;" DRAWINGS"</f>
        <v>SUB-TOTAL GENERAL DRAWING DRAWINGS</v>
      </c>
      <c r="F43" s="133">
        <f t="shared" ref="F43:S43" si="6">COUNTA(F11:F41)</f>
        <v>13</v>
      </c>
      <c r="G43" s="133">
        <f t="shared" si="6"/>
        <v>25</v>
      </c>
      <c r="H43" s="133">
        <f t="shared" si="6"/>
        <v>0</v>
      </c>
      <c r="I43" s="133">
        <f t="shared" si="6"/>
        <v>5</v>
      </c>
      <c r="J43" s="133">
        <f t="shared" si="6"/>
        <v>7</v>
      </c>
      <c r="K43" s="133">
        <f t="shared" si="6"/>
        <v>9</v>
      </c>
      <c r="L43" s="133">
        <f t="shared" si="6"/>
        <v>4</v>
      </c>
      <c r="M43" s="133">
        <f t="shared" si="6"/>
        <v>0</v>
      </c>
      <c r="N43" s="133">
        <f t="shared" si="6"/>
        <v>0</v>
      </c>
      <c r="O43" s="133">
        <f t="shared" si="6"/>
        <v>14</v>
      </c>
      <c r="P43" s="133"/>
      <c r="Q43" s="133">
        <f t="shared" si="6"/>
        <v>2</v>
      </c>
      <c r="R43" s="133"/>
      <c r="S43" s="133">
        <f t="shared" si="6"/>
        <v>27</v>
      </c>
      <c r="T43"/>
      <c r="U43" s="36"/>
      <c r="V43" s="36"/>
      <c r="W43" s="36"/>
      <c r="X43" s="55"/>
      <c r="Y43" s="55"/>
      <c r="Z43" s="55"/>
      <c r="AA43" s="52"/>
      <c r="AB43" s="56"/>
      <c r="AC43" s="51"/>
      <c r="AD43" s="56"/>
      <c r="AE43" s="51"/>
      <c r="AF43" s="56"/>
      <c r="AG43" s="51"/>
      <c r="AH43" s="56"/>
      <c r="AI43" s="51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</row>
    <row r="44" spans="1:47" s="352" customFormat="1">
      <c r="A44" s="33"/>
      <c r="B44" s="36"/>
      <c r="C44" s="41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64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</row>
    <row r="45" spans="1:47" s="351" customFormat="1" ht="18" customHeight="1">
      <c r="A45" s="32" t="s">
        <v>189</v>
      </c>
      <c r="B45" s="11"/>
      <c r="C45" s="3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36"/>
      <c r="Q45" s="11"/>
      <c r="R45" s="11"/>
      <c r="S45" s="11"/>
      <c r="T45" s="11"/>
      <c r="U45" s="11"/>
      <c r="V45" s="11"/>
      <c r="W45" s="11"/>
      <c r="X45" s="53"/>
      <c r="Y45" s="53"/>
      <c r="Z45" s="53"/>
      <c r="AA45" s="54"/>
      <c r="AB45" s="79"/>
      <c r="AC45" s="51"/>
      <c r="AD45" s="79"/>
      <c r="AE45" s="51"/>
      <c r="AF45" s="51"/>
      <c r="AG45" s="51"/>
      <c r="AH45" s="51"/>
      <c r="AI45" s="51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</row>
    <row r="46" spans="1:47" s="351" customFormat="1" ht="18" customHeight="1">
      <c r="A46" s="37"/>
      <c r="B46" s="38"/>
      <c r="C46" s="41"/>
      <c r="D46" s="38"/>
      <c r="E46" s="39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171"/>
      <c r="AE46" s="55"/>
      <c r="AF46" s="55"/>
      <c r="AG46" s="55"/>
      <c r="AH46" s="52"/>
      <c r="AI46" s="56"/>
      <c r="AJ46" s="51"/>
      <c r="AK46" s="56"/>
      <c r="AL46" s="51"/>
      <c r="AM46" s="56"/>
      <c r="AN46" s="51"/>
      <c r="AO46" s="56"/>
      <c r="AP46" s="51"/>
      <c r="AQ46" s="37"/>
      <c r="AR46" s="37"/>
      <c r="AS46" s="37"/>
      <c r="AT46" s="37"/>
      <c r="AU46" s="37"/>
    </row>
    <row r="47" spans="1:47" s="351" customFormat="1" ht="18" customHeight="1" outlineLevel="1">
      <c r="A47" s="332" t="str">
        <f t="shared" ref="A47:A65" si="7">"18043-"&amp;LEFT(AK47,11)</f>
        <v>18043-LM646 09001</v>
      </c>
      <c r="B47" s="310"/>
      <c r="C47" s="332"/>
      <c r="D47" s="310"/>
      <c r="E47" s="315" t="str">
        <f t="shared" ref="E47:E83" si="8">MID(AK47,FIND(" ",AK47,15)+1,100)</f>
        <v>Outbound Conveyor Lighting, Receptacle and Fire Alarm System</v>
      </c>
      <c r="F47" s="310"/>
      <c r="G47" s="310"/>
      <c r="H47" s="310" t="s">
        <v>97</v>
      </c>
      <c r="I47" s="310"/>
      <c r="J47" s="310" t="s">
        <v>34</v>
      </c>
      <c r="K47" s="310" t="s">
        <v>31</v>
      </c>
      <c r="L47" s="310"/>
      <c r="M47" s="310"/>
      <c r="N47" s="310"/>
      <c r="O47" s="536" t="s">
        <v>286</v>
      </c>
      <c r="P47" s="432"/>
      <c r="Q47" s="310"/>
      <c r="R47" s="310"/>
      <c r="S47" s="310"/>
      <c r="T47" s="310" t="s">
        <v>98</v>
      </c>
      <c r="U47" s="310"/>
      <c r="V47" s="310"/>
      <c r="W47" s="310"/>
      <c r="X47" s="247">
        <v>100</v>
      </c>
      <c r="Y47" s="247"/>
      <c r="Z47" s="247" t="s">
        <v>1095</v>
      </c>
      <c r="AA47" s="310"/>
      <c r="AB47" s="245"/>
      <c r="AC47" s="310"/>
      <c r="AD47" s="246"/>
      <c r="AE47" s="315"/>
      <c r="AF47" s="315"/>
      <c r="AG47" s="315"/>
      <c r="AH47" s="248"/>
      <c r="AI47" s="249"/>
      <c r="AJ47" s="247" t="s">
        <v>1120</v>
      </c>
      <c r="AK47" s="315" t="s">
        <v>1121</v>
      </c>
      <c r="AL47" s="51"/>
      <c r="AM47" s="56"/>
      <c r="AN47" s="51"/>
      <c r="AO47" s="56"/>
      <c r="AP47" s="51"/>
      <c r="AQ47" s="37"/>
      <c r="AR47" s="37"/>
      <c r="AS47" s="37"/>
      <c r="AT47" s="37"/>
      <c r="AU47" s="37"/>
    </row>
    <row r="48" spans="1:47" s="351" customFormat="1" ht="18" customHeight="1" outlineLevel="1">
      <c r="A48" s="332" t="str">
        <f t="shared" si="7"/>
        <v>18043-LM646 09101</v>
      </c>
      <c r="B48" s="310"/>
      <c r="C48" s="332"/>
      <c r="D48" s="310"/>
      <c r="E48" s="315" t="str">
        <f t="shared" si="8"/>
        <v>List of Lighting Requirement</v>
      </c>
      <c r="F48" s="310" t="s">
        <v>97</v>
      </c>
      <c r="G48" s="310" t="s">
        <v>34</v>
      </c>
      <c r="H48" s="310"/>
      <c r="I48" s="310" t="s">
        <v>31</v>
      </c>
      <c r="J48" s="310"/>
      <c r="K48" s="310"/>
      <c r="L48" s="310"/>
      <c r="M48" s="310"/>
      <c r="N48" s="38"/>
      <c r="O48" s="536"/>
      <c r="P48" s="432"/>
      <c r="Q48" s="38"/>
      <c r="R48" s="38"/>
      <c r="S48" s="38"/>
      <c r="T48" s="310" t="s">
        <v>1058</v>
      </c>
      <c r="U48" s="38"/>
      <c r="V48" s="38"/>
      <c r="W48" s="38"/>
      <c r="X48" s="349" t="s">
        <v>117</v>
      </c>
      <c r="Y48" s="247"/>
      <c r="Z48" s="247" t="s">
        <v>1095</v>
      </c>
      <c r="AA48" s="310"/>
      <c r="AB48" s="310"/>
      <c r="AC48" s="310"/>
      <c r="AD48" s="246"/>
      <c r="AE48" s="315"/>
      <c r="AF48" s="315"/>
      <c r="AG48" s="315"/>
      <c r="AH48" s="248"/>
      <c r="AI48" s="249"/>
      <c r="AJ48" s="247" t="s">
        <v>1095</v>
      </c>
      <c r="AK48" s="315" t="s">
        <v>1122</v>
      </c>
      <c r="AL48" s="51"/>
      <c r="AM48" s="56"/>
      <c r="AN48" s="51"/>
      <c r="AO48" s="56"/>
      <c r="AP48" s="51"/>
      <c r="AQ48" s="37"/>
      <c r="AR48" s="37"/>
      <c r="AS48" s="37"/>
      <c r="AT48" s="37"/>
      <c r="AU48" s="37"/>
    </row>
    <row r="49" spans="1:47" s="351" customFormat="1" ht="18" customHeight="1" outlineLevel="1">
      <c r="A49" s="332" t="str">
        <f t="shared" si="7"/>
        <v>18043-LM646 09102</v>
      </c>
      <c r="B49" s="310"/>
      <c r="C49" s="332"/>
      <c r="D49" s="310"/>
      <c r="E49" s="315" t="str">
        <f t="shared" si="8"/>
        <v>Ground Floor Lighting Plan</v>
      </c>
      <c r="F49" s="310" t="s">
        <v>97</v>
      </c>
      <c r="G49" s="310" t="s">
        <v>34</v>
      </c>
      <c r="H49" s="310" t="s">
        <v>31</v>
      </c>
      <c r="I49" s="310" t="s">
        <v>116</v>
      </c>
      <c r="J49" s="310" t="s">
        <v>38</v>
      </c>
      <c r="K49" s="310"/>
      <c r="L49" s="310" t="s">
        <v>28</v>
      </c>
      <c r="M49" s="310"/>
      <c r="N49" s="38"/>
      <c r="O49" s="536"/>
      <c r="P49" s="432"/>
      <c r="Q49" s="38"/>
      <c r="R49" s="38"/>
      <c r="S49" s="38"/>
      <c r="T49" s="310" t="s">
        <v>98</v>
      </c>
      <c r="U49" s="38"/>
      <c r="V49" s="38"/>
      <c r="W49" s="38"/>
      <c r="X49" s="247">
        <v>100</v>
      </c>
      <c r="Y49" s="247"/>
      <c r="Z49" s="247" t="s">
        <v>1095</v>
      </c>
      <c r="AA49" s="310"/>
      <c r="AB49" s="310"/>
      <c r="AC49" s="310"/>
      <c r="AD49" s="246"/>
      <c r="AE49" s="315"/>
      <c r="AF49" s="315"/>
      <c r="AG49" s="315"/>
      <c r="AH49" s="248"/>
      <c r="AI49" s="249"/>
      <c r="AJ49" s="247" t="s">
        <v>1120</v>
      </c>
      <c r="AK49" s="315" t="s">
        <v>1123</v>
      </c>
      <c r="AL49" s="51"/>
      <c r="AM49" s="56"/>
      <c r="AN49" s="51"/>
      <c r="AO49" s="56"/>
      <c r="AP49" s="51"/>
      <c r="AQ49" s="37"/>
      <c r="AR49" s="37"/>
      <c r="AS49" s="37"/>
      <c r="AT49" s="37"/>
      <c r="AU49" s="37"/>
    </row>
    <row r="50" spans="1:47" s="351" customFormat="1" ht="18" customHeight="1" outlineLevel="1">
      <c r="A50" s="332" t="str">
        <f t="shared" si="7"/>
        <v>18043-LM646 09103</v>
      </c>
      <c r="B50" s="310"/>
      <c r="C50" s="332"/>
      <c r="D50" s="310"/>
      <c r="E50" s="315" t="str">
        <f t="shared" si="8"/>
        <v>1.1st Floor and 1.2st Floor Lighting Plan</v>
      </c>
      <c r="F50" s="310" t="s">
        <v>97</v>
      </c>
      <c r="G50" s="310" t="s">
        <v>34</v>
      </c>
      <c r="H50" s="310" t="s">
        <v>34</v>
      </c>
      <c r="I50" s="310"/>
      <c r="J50" s="310" t="s">
        <v>31</v>
      </c>
      <c r="K50" s="310" t="s">
        <v>116</v>
      </c>
      <c r="L50" s="310" t="s">
        <v>38</v>
      </c>
      <c r="M50" s="310"/>
      <c r="N50" s="38"/>
      <c r="O50" s="536"/>
      <c r="P50" s="432"/>
      <c r="Q50" s="38"/>
      <c r="R50" s="38"/>
      <c r="S50" s="38"/>
      <c r="T50" s="310" t="s">
        <v>98</v>
      </c>
      <c r="U50" s="38"/>
      <c r="V50" s="38"/>
      <c r="W50" s="38"/>
      <c r="X50" s="247">
        <v>100</v>
      </c>
      <c r="Y50" s="247"/>
      <c r="Z50" s="247" t="s">
        <v>1095</v>
      </c>
      <c r="AA50" s="310"/>
      <c r="AB50" s="310"/>
      <c r="AC50" s="310"/>
      <c r="AD50" s="246"/>
      <c r="AE50" s="315"/>
      <c r="AF50" s="315"/>
      <c r="AG50" s="315"/>
      <c r="AH50" s="248"/>
      <c r="AI50" s="249"/>
      <c r="AJ50" s="247" t="s">
        <v>1120</v>
      </c>
      <c r="AK50" s="315" t="s">
        <v>1124</v>
      </c>
      <c r="AL50" s="51"/>
      <c r="AM50" s="56"/>
      <c r="AN50" s="51"/>
      <c r="AO50" s="56"/>
      <c r="AP50" s="51"/>
      <c r="AQ50" s="37"/>
      <c r="AR50" s="37"/>
      <c r="AS50" s="37"/>
      <c r="AT50" s="37"/>
      <c r="AU50" s="37"/>
    </row>
    <row r="51" spans="1:47" s="351" customFormat="1" ht="18" customHeight="1" outlineLevel="1">
      <c r="A51" s="332" t="str">
        <f t="shared" si="7"/>
        <v>18043-LM646 09104</v>
      </c>
      <c r="B51" s="310"/>
      <c r="C51" s="332"/>
      <c r="D51" s="310"/>
      <c r="E51" s="315" t="str">
        <f t="shared" si="8"/>
        <v xml:space="preserve"> 2nd Floor Lighting Plan</v>
      </c>
      <c r="F51" s="310" t="s">
        <v>97</v>
      </c>
      <c r="G51" s="310" t="s">
        <v>34</v>
      </c>
      <c r="H51" s="310" t="s">
        <v>34</v>
      </c>
      <c r="I51" s="310" t="s">
        <v>31</v>
      </c>
      <c r="J51" s="310" t="s">
        <v>116</v>
      </c>
      <c r="K51" s="310" t="s">
        <v>38</v>
      </c>
      <c r="L51" s="310"/>
      <c r="M51" s="310"/>
      <c r="N51" s="38"/>
      <c r="O51" s="536"/>
      <c r="P51" s="432"/>
      <c r="Q51" s="38"/>
      <c r="R51" s="38"/>
      <c r="S51" s="38"/>
      <c r="T51" s="310" t="s">
        <v>98</v>
      </c>
      <c r="U51" s="38"/>
      <c r="V51" s="38"/>
      <c r="W51" s="38"/>
      <c r="X51" s="247">
        <v>100</v>
      </c>
      <c r="Y51" s="247"/>
      <c r="Z51" s="247" t="s">
        <v>1095</v>
      </c>
      <c r="AA51" s="310"/>
      <c r="AB51" s="310"/>
      <c r="AC51" s="310"/>
      <c r="AD51" s="246"/>
      <c r="AE51" s="315"/>
      <c r="AF51" s="315"/>
      <c r="AG51" s="315"/>
      <c r="AH51" s="248"/>
      <c r="AI51" s="249"/>
      <c r="AJ51" s="247" t="s">
        <v>1120</v>
      </c>
      <c r="AK51" s="315" t="s">
        <v>1125</v>
      </c>
      <c r="AL51" s="51"/>
      <c r="AM51" s="56"/>
      <c r="AN51" s="51"/>
      <c r="AO51" s="56"/>
      <c r="AP51" s="51"/>
      <c r="AQ51" s="37"/>
      <c r="AR51" s="37"/>
      <c r="AS51" s="37"/>
      <c r="AT51" s="37"/>
      <c r="AU51" s="37"/>
    </row>
    <row r="52" spans="1:47" s="351" customFormat="1" ht="18" customHeight="1" outlineLevel="1">
      <c r="A52" s="332" t="str">
        <f t="shared" si="7"/>
        <v>18043-LM646 09105</v>
      </c>
      <c r="B52" s="310"/>
      <c r="C52" s="332"/>
      <c r="D52" s="310"/>
      <c r="E52" s="315" t="str">
        <f t="shared" si="8"/>
        <v>2.1nd Floor and 2.2nd Floor Lighting Plan</v>
      </c>
      <c r="F52" s="310" t="s">
        <v>97</v>
      </c>
      <c r="G52" s="310" t="s">
        <v>34</v>
      </c>
      <c r="H52" s="310" t="s">
        <v>34</v>
      </c>
      <c r="I52" s="310"/>
      <c r="J52" s="310" t="s">
        <v>31</v>
      </c>
      <c r="K52" s="310" t="s">
        <v>116</v>
      </c>
      <c r="L52" s="310"/>
      <c r="M52" s="310"/>
      <c r="N52" s="38"/>
      <c r="O52" s="536"/>
      <c r="P52" s="432"/>
      <c r="Q52" s="38"/>
      <c r="R52" s="38"/>
      <c r="S52" s="38"/>
      <c r="T52" s="310" t="s">
        <v>98</v>
      </c>
      <c r="U52" s="38"/>
      <c r="V52" s="38"/>
      <c r="W52" s="38"/>
      <c r="X52" s="247">
        <v>100</v>
      </c>
      <c r="Y52" s="247"/>
      <c r="Z52" s="247" t="s">
        <v>1095</v>
      </c>
      <c r="AA52" s="310"/>
      <c r="AB52" s="310"/>
      <c r="AC52" s="310"/>
      <c r="AD52" s="246"/>
      <c r="AE52" s="315"/>
      <c r="AF52" s="315"/>
      <c r="AG52" s="315"/>
      <c r="AH52" s="248"/>
      <c r="AI52" s="249"/>
      <c r="AJ52" s="247" t="s">
        <v>1120</v>
      </c>
      <c r="AK52" s="315" t="s">
        <v>1126</v>
      </c>
      <c r="AL52" s="51"/>
      <c r="AM52" s="56"/>
      <c r="AN52" s="51"/>
      <c r="AO52" s="56"/>
      <c r="AP52" s="51"/>
      <c r="AQ52" s="37"/>
      <c r="AR52" s="37"/>
      <c r="AS52" s="37"/>
      <c r="AT52" s="37"/>
      <c r="AU52" s="37"/>
    </row>
    <row r="53" spans="1:47" s="351" customFormat="1" ht="18" customHeight="1" outlineLevel="1">
      <c r="A53" s="332" t="str">
        <f t="shared" si="7"/>
        <v>18043-LM646 09106</v>
      </c>
      <c r="B53" s="310"/>
      <c r="C53" s="332"/>
      <c r="D53" s="310"/>
      <c r="E53" s="315" t="str">
        <f t="shared" si="8"/>
        <v>Roof Deck Lighting Plan</v>
      </c>
      <c r="F53" s="310" t="s">
        <v>97</v>
      </c>
      <c r="G53" s="310" t="s">
        <v>34</v>
      </c>
      <c r="H53" s="310" t="s">
        <v>34</v>
      </c>
      <c r="I53" s="310" t="s">
        <v>31</v>
      </c>
      <c r="J53" s="310" t="s">
        <v>116</v>
      </c>
      <c r="K53" s="310" t="s">
        <v>38</v>
      </c>
      <c r="L53" s="310"/>
      <c r="M53" s="310"/>
      <c r="N53" s="38"/>
      <c r="O53" s="536"/>
      <c r="P53" s="432"/>
      <c r="Q53" s="38"/>
      <c r="R53" s="38"/>
      <c r="S53" s="38"/>
      <c r="T53" s="310" t="s">
        <v>98</v>
      </c>
      <c r="U53" s="38"/>
      <c r="V53" s="38"/>
      <c r="W53" s="38"/>
      <c r="X53" s="247">
        <v>100</v>
      </c>
      <c r="Y53" s="247"/>
      <c r="Z53" s="247" t="s">
        <v>1095</v>
      </c>
      <c r="AA53" s="310"/>
      <c r="AB53" s="310"/>
      <c r="AC53" s="310"/>
      <c r="AD53" s="246"/>
      <c r="AE53" s="315"/>
      <c r="AF53" s="315"/>
      <c r="AG53" s="315"/>
      <c r="AH53" s="248"/>
      <c r="AI53" s="249"/>
      <c r="AJ53" s="247" t="s">
        <v>1120</v>
      </c>
      <c r="AK53" s="315" t="s">
        <v>1127</v>
      </c>
      <c r="AL53" s="51"/>
      <c r="AM53" s="56"/>
      <c r="AN53" s="51"/>
      <c r="AO53" s="56"/>
      <c r="AP53" s="51"/>
      <c r="AQ53" s="37"/>
      <c r="AR53" s="37"/>
      <c r="AS53" s="37"/>
      <c r="AT53" s="37"/>
      <c r="AU53" s="37"/>
    </row>
    <row r="54" spans="1:47" s="351" customFormat="1" ht="18" customHeight="1" outlineLevel="1">
      <c r="A54" s="332" t="str">
        <f t="shared" si="7"/>
        <v>18043-LM646 09107</v>
      </c>
      <c r="B54" s="310"/>
      <c r="C54" s="332"/>
      <c r="D54" s="310"/>
      <c r="E54" s="315" t="str">
        <f t="shared" si="8"/>
        <v>Ground Floor Emergency Light and Exit Light Plan</v>
      </c>
      <c r="F54" s="310" t="s">
        <v>97</v>
      </c>
      <c r="G54" s="310" t="s">
        <v>34</v>
      </c>
      <c r="H54" s="310" t="s">
        <v>31</v>
      </c>
      <c r="I54" s="310" t="s">
        <v>116</v>
      </c>
      <c r="J54" s="310" t="s">
        <v>38</v>
      </c>
      <c r="K54" s="310"/>
      <c r="L54" s="310" t="s">
        <v>28</v>
      </c>
      <c r="M54" s="310"/>
      <c r="N54" s="38"/>
      <c r="O54" s="536"/>
      <c r="P54" s="432"/>
      <c r="Q54" s="38"/>
      <c r="R54" s="38"/>
      <c r="S54" s="38"/>
      <c r="T54" s="310" t="s">
        <v>98</v>
      </c>
      <c r="U54" s="38"/>
      <c r="V54" s="38"/>
      <c r="W54" s="38"/>
      <c r="X54" s="247">
        <v>100</v>
      </c>
      <c r="Y54" s="247"/>
      <c r="Z54" s="247" t="s">
        <v>1095</v>
      </c>
      <c r="AA54" s="310"/>
      <c r="AB54" s="310"/>
      <c r="AC54" s="310"/>
      <c r="AD54" s="246"/>
      <c r="AE54" s="315"/>
      <c r="AF54" s="315"/>
      <c r="AG54" s="315"/>
      <c r="AH54" s="248"/>
      <c r="AI54" s="249"/>
      <c r="AJ54" s="247" t="s">
        <v>1120</v>
      </c>
      <c r="AK54" s="315" t="s">
        <v>1128</v>
      </c>
      <c r="AL54" s="51"/>
      <c r="AM54" s="56"/>
      <c r="AN54" s="51"/>
      <c r="AO54" s="56"/>
      <c r="AP54" s="51"/>
      <c r="AQ54" s="37"/>
      <c r="AR54" s="37"/>
      <c r="AS54" s="37"/>
      <c r="AT54" s="37"/>
      <c r="AU54" s="37"/>
    </row>
    <row r="55" spans="1:47" s="351" customFormat="1" ht="18" customHeight="1" outlineLevel="1">
      <c r="A55" s="332" t="str">
        <f t="shared" si="7"/>
        <v>18043-LM646 09108</v>
      </c>
      <c r="B55" s="310"/>
      <c r="C55" s="332"/>
      <c r="D55" s="310"/>
      <c r="E55" s="315" t="str">
        <f t="shared" si="8"/>
        <v>1.1st Floor and 1.2st Floor Emergency Light and Exit Light Plan</v>
      </c>
      <c r="F55" s="310" t="s">
        <v>97</v>
      </c>
      <c r="G55" s="310" t="s">
        <v>34</v>
      </c>
      <c r="H55" s="310" t="s">
        <v>34</v>
      </c>
      <c r="I55" s="310"/>
      <c r="J55" s="310" t="s">
        <v>31</v>
      </c>
      <c r="K55" s="310" t="s">
        <v>116</v>
      </c>
      <c r="L55" s="310" t="s">
        <v>38</v>
      </c>
      <c r="M55" s="310"/>
      <c r="N55" s="38"/>
      <c r="O55" s="536"/>
      <c r="P55" s="432"/>
      <c r="Q55" s="38"/>
      <c r="R55" s="38"/>
      <c r="S55" s="38"/>
      <c r="T55" s="310" t="s">
        <v>98</v>
      </c>
      <c r="U55" s="38"/>
      <c r="V55" s="38"/>
      <c r="W55" s="38"/>
      <c r="X55" s="247">
        <v>100</v>
      </c>
      <c r="Y55" s="247"/>
      <c r="Z55" s="247" t="s">
        <v>1095</v>
      </c>
      <c r="AA55" s="310"/>
      <c r="AB55" s="310"/>
      <c r="AC55" s="310"/>
      <c r="AD55" s="246"/>
      <c r="AE55" s="315"/>
      <c r="AF55" s="315"/>
      <c r="AG55" s="315"/>
      <c r="AH55" s="248"/>
      <c r="AI55" s="249"/>
      <c r="AJ55" s="247" t="s">
        <v>1120</v>
      </c>
      <c r="AK55" s="315" t="s">
        <v>1129</v>
      </c>
      <c r="AL55" s="51"/>
      <c r="AM55" s="56"/>
      <c r="AN55" s="51"/>
      <c r="AO55" s="56"/>
      <c r="AP55" s="51"/>
      <c r="AQ55" s="37"/>
      <c r="AR55" s="37"/>
      <c r="AS55" s="37"/>
      <c r="AT55" s="37"/>
      <c r="AU55" s="37"/>
    </row>
    <row r="56" spans="1:47" s="351" customFormat="1" ht="18" customHeight="1" outlineLevel="1">
      <c r="A56" s="332" t="str">
        <f t="shared" si="7"/>
        <v>18043-LM646 09109</v>
      </c>
      <c r="B56" s="310"/>
      <c r="C56" s="332"/>
      <c r="D56" s="310"/>
      <c r="E56" s="315" t="str">
        <f t="shared" si="8"/>
        <v>2nd Floor Emergency Light and Exit Light Plan</v>
      </c>
      <c r="F56" s="310" t="s">
        <v>97</v>
      </c>
      <c r="G56" s="310" t="s">
        <v>34</v>
      </c>
      <c r="H56" s="310" t="s">
        <v>34</v>
      </c>
      <c r="I56" s="310"/>
      <c r="J56" s="310" t="s">
        <v>31</v>
      </c>
      <c r="K56" s="310"/>
      <c r="L56" s="310"/>
      <c r="M56" s="310"/>
      <c r="N56" s="38"/>
      <c r="O56" s="536"/>
      <c r="P56" s="432"/>
      <c r="Q56" s="38"/>
      <c r="R56" s="38"/>
      <c r="S56" s="38"/>
      <c r="T56" s="310" t="s">
        <v>98</v>
      </c>
      <c r="U56" s="38"/>
      <c r="V56" s="38"/>
      <c r="W56" s="38"/>
      <c r="X56" s="247">
        <v>100</v>
      </c>
      <c r="Y56" s="247"/>
      <c r="Z56" s="247" t="s">
        <v>1095</v>
      </c>
      <c r="AA56" s="310"/>
      <c r="AB56" s="310"/>
      <c r="AC56" s="310"/>
      <c r="AD56" s="246"/>
      <c r="AE56" s="315"/>
      <c r="AF56" s="315"/>
      <c r="AG56" s="315"/>
      <c r="AH56" s="248"/>
      <c r="AI56" s="249"/>
      <c r="AJ56" s="247" t="s">
        <v>1120</v>
      </c>
      <c r="AK56" s="315" t="s">
        <v>1130</v>
      </c>
      <c r="AL56" s="51"/>
      <c r="AM56" s="56"/>
      <c r="AN56" s="51"/>
      <c r="AO56" s="56"/>
      <c r="AP56" s="51"/>
      <c r="AQ56" s="37"/>
      <c r="AR56" s="37"/>
      <c r="AS56" s="37"/>
      <c r="AT56" s="37"/>
      <c r="AU56" s="37"/>
    </row>
    <row r="57" spans="1:47" s="351" customFormat="1" ht="18" customHeight="1" outlineLevel="1">
      <c r="A57" s="332" t="str">
        <f t="shared" si="7"/>
        <v>18043-LM646 09110</v>
      </c>
      <c r="B57" s="310"/>
      <c r="C57" s="332"/>
      <c r="D57" s="310"/>
      <c r="E57" s="315" t="str">
        <f t="shared" si="8"/>
        <v>2.1nd Floor and 2.2nd Floor Emergency Light and Exit Light Plan</v>
      </c>
      <c r="F57" s="310" t="s">
        <v>97</v>
      </c>
      <c r="G57" s="310" t="s">
        <v>34</v>
      </c>
      <c r="H57" s="310" t="s">
        <v>34</v>
      </c>
      <c r="I57" s="310"/>
      <c r="J57" s="310" t="s">
        <v>31</v>
      </c>
      <c r="K57" s="310"/>
      <c r="L57" s="310"/>
      <c r="M57" s="310"/>
      <c r="N57" s="38"/>
      <c r="O57" s="536"/>
      <c r="P57" s="432"/>
      <c r="Q57" s="38"/>
      <c r="R57" s="38"/>
      <c r="S57" s="38"/>
      <c r="T57" s="310" t="s">
        <v>98</v>
      </c>
      <c r="U57" s="38"/>
      <c r="V57" s="38"/>
      <c r="W57" s="38"/>
      <c r="X57" s="247">
        <v>100</v>
      </c>
      <c r="Y57" s="247"/>
      <c r="Z57" s="247" t="s">
        <v>1095</v>
      </c>
      <c r="AA57" s="310"/>
      <c r="AB57" s="310"/>
      <c r="AC57" s="310"/>
      <c r="AD57" s="246"/>
      <c r="AE57" s="315"/>
      <c r="AF57" s="315"/>
      <c r="AG57" s="315"/>
      <c r="AH57" s="248"/>
      <c r="AI57" s="249"/>
      <c r="AJ57" s="247" t="s">
        <v>1120</v>
      </c>
      <c r="AK57" s="315" t="s">
        <v>1131</v>
      </c>
      <c r="AL57" s="51"/>
      <c r="AM57" s="56"/>
      <c r="AN57" s="51"/>
      <c r="AO57" s="56"/>
      <c r="AP57" s="51"/>
      <c r="AQ57" s="37"/>
      <c r="AR57" s="37"/>
      <c r="AS57" s="37"/>
      <c r="AT57" s="37"/>
      <c r="AU57" s="37"/>
    </row>
    <row r="58" spans="1:47" s="351" customFormat="1" ht="18" customHeight="1" outlineLevel="1">
      <c r="A58" s="332" t="str">
        <f t="shared" si="7"/>
        <v>18043-LM646 09111</v>
      </c>
      <c r="B58" s="310"/>
      <c r="C58" s="332"/>
      <c r="D58" s="310"/>
      <c r="E58" s="315" t="str">
        <f t="shared" si="8"/>
        <v>Roof Deck Emergency Light and Exit Light</v>
      </c>
      <c r="F58" s="310" t="s">
        <v>97</v>
      </c>
      <c r="G58" s="310" t="s">
        <v>34</v>
      </c>
      <c r="H58" s="310" t="s">
        <v>34</v>
      </c>
      <c r="I58" s="310" t="s">
        <v>31</v>
      </c>
      <c r="J58" s="310" t="s">
        <v>116</v>
      </c>
      <c r="K58" s="310" t="s">
        <v>38</v>
      </c>
      <c r="L58" s="310"/>
      <c r="M58" s="310"/>
      <c r="N58" s="38"/>
      <c r="O58" s="536"/>
      <c r="P58" s="432"/>
      <c r="Q58" s="38"/>
      <c r="R58" s="38"/>
      <c r="S58" s="38"/>
      <c r="T58" s="310" t="s">
        <v>98</v>
      </c>
      <c r="U58" s="38"/>
      <c r="V58" s="38"/>
      <c r="W58" s="38"/>
      <c r="X58" s="247">
        <v>100</v>
      </c>
      <c r="Y58" s="247"/>
      <c r="Z58" s="247" t="s">
        <v>1095</v>
      </c>
      <c r="AA58" s="310"/>
      <c r="AB58" s="310"/>
      <c r="AC58" s="310"/>
      <c r="AD58" s="246"/>
      <c r="AE58" s="315"/>
      <c r="AF58" s="315"/>
      <c r="AG58" s="315"/>
      <c r="AH58" s="248"/>
      <c r="AI58" s="249"/>
      <c r="AJ58" s="247" t="s">
        <v>1120</v>
      </c>
      <c r="AK58" s="315" t="s">
        <v>1132</v>
      </c>
      <c r="AL58" s="51"/>
      <c r="AM58" s="56"/>
      <c r="AN58" s="51"/>
      <c r="AO58" s="56"/>
      <c r="AP58" s="51"/>
      <c r="AQ58" s="37"/>
      <c r="AR58" s="37"/>
      <c r="AS58" s="37"/>
      <c r="AT58" s="37"/>
      <c r="AU58" s="37"/>
    </row>
    <row r="59" spans="1:47" s="351" customFormat="1" ht="18" customHeight="1" outlineLevel="1">
      <c r="A59" s="332" t="str">
        <f t="shared" si="7"/>
        <v>18043-LM646 09112</v>
      </c>
      <c r="B59" s="310"/>
      <c r="C59" s="332"/>
      <c r="D59" s="310"/>
      <c r="E59" s="315" t="str">
        <f t="shared" si="8"/>
        <v>Ground Floor Receptacle and Power Supply Plan</v>
      </c>
      <c r="F59" s="310" t="s">
        <v>97</v>
      </c>
      <c r="G59" s="310" t="s">
        <v>34</v>
      </c>
      <c r="H59" s="310"/>
      <c r="I59" s="310" t="s">
        <v>31</v>
      </c>
      <c r="J59" s="354" t="s">
        <v>116</v>
      </c>
      <c r="K59" s="310" t="s">
        <v>38</v>
      </c>
      <c r="L59" s="310" t="s">
        <v>28</v>
      </c>
      <c r="M59" s="310"/>
      <c r="N59" s="38"/>
      <c r="O59" s="536"/>
      <c r="P59" s="432"/>
      <c r="Q59" s="38"/>
      <c r="R59" s="38"/>
      <c r="S59" s="38"/>
      <c r="T59" s="310" t="s">
        <v>98</v>
      </c>
      <c r="U59" s="38"/>
      <c r="V59" s="38"/>
      <c r="W59" s="38"/>
      <c r="X59" s="247">
        <v>100</v>
      </c>
      <c r="Y59" s="247"/>
      <c r="Z59" s="247" t="s">
        <v>1095</v>
      </c>
      <c r="AA59" s="310"/>
      <c r="AB59" s="310"/>
      <c r="AC59" s="310"/>
      <c r="AD59" s="246"/>
      <c r="AE59" s="315"/>
      <c r="AF59" s="315"/>
      <c r="AG59" s="315"/>
      <c r="AH59" s="248"/>
      <c r="AI59" s="249"/>
      <c r="AJ59" s="247" t="s">
        <v>1133</v>
      </c>
      <c r="AK59" s="315" t="s">
        <v>1134</v>
      </c>
      <c r="AL59" s="51"/>
      <c r="AM59" s="56"/>
      <c r="AN59" s="51"/>
      <c r="AO59" s="56"/>
      <c r="AP59" s="51"/>
      <c r="AQ59" s="37"/>
      <c r="AR59" s="37"/>
      <c r="AS59" s="37"/>
      <c r="AT59" s="37"/>
      <c r="AU59" s="37"/>
    </row>
    <row r="60" spans="1:47" s="351" customFormat="1" ht="18" customHeight="1" outlineLevel="1">
      <c r="A60" s="332" t="str">
        <f t="shared" si="7"/>
        <v>18043-LM646 09113</v>
      </c>
      <c r="B60" s="310"/>
      <c r="C60" s="332"/>
      <c r="D60" s="310"/>
      <c r="E60" s="315" t="str">
        <f t="shared" si="8"/>
        <v>1.1st Floor and 1.2st Floor Receptacle and Power Supply Plan</v>
      </c>
      <c r="F60" s="310" t="s">
        <v>97</v>
      </c>
      <c r="G60" s="310" t="s">
        <v>34</v>
      </c>
      <c r="H60" s="310"/>
      <c r="I60" s="310"/>
      <c r="J60" s="354" t="s">
        <v>31</v>
      </c>
      <c r="K60" s="310"/>
      <c r="L60" s="310" t="s">
        <v>116</v>
      </c>
      <c r="M60" s="310"/>
      <c r="N60" s="38"/>
      <c r="O60" s="536"/>
      <c r="P60" s="432"/>
      <c r="Q60" s="38"/>
      <c r="R60" s="38"/>
      <c r="S60" s="38"/>
      <c r="T60" s="310" t="s">
        <v>98</v>
      </c>
      <c r="U60" s="38"/>
      <c r="V60" s="38"/>
      <c r="W60" s="38"/>
      <c r="X60" s="247">
        <v>100</v>
      </c>
      <c r="Y60" s="247"/>
      <c r="Z60" s="247" t="s">
        <v>1095</v>
      </c>
      <c r="AA60" s="310"/>
      <c r="AB60" s="310"/>
      <c r="AC60" s="310"/>
      <c r="AD60" s="246"/>
      <c r="AE60" s="315"/>
      <c r="AF60" s="315"/>
      <c r="AG60" s="315"/>
      <c r="AH60" s="248"/>
      <c r="AI60" s="249"/>
      <c r="AJ60" s="247" t="s">
        <v>1133</v>
      </c>
      <c r="AK60" s="315" t="s">
        <v>1135</v>
      </c>
      <c r="AL60" s="51"/>
      <c r="AM60" s="56"/>
      <c r="AN60" s="51"/>
      <c r="AO60" s="56"/>
      <c r="AP60" s="51"/>
      <c r="AQ60" s="37"/>
      <c r="AR60" s="37"/>
      <c r="AS60" s="37"/>
      <c r="AT60" s="37"/>
      <c r="AU60" s="37"/>
    </row>
    <row r="61" spans="1:47" s="351" customFormat="1" ht="18" customHeight="1" outlineLevel="1">
      <c r="A61" s="332" t="str">
        <f t="shared" si="7"/>
        <v>18043-LM646 09114</v>
      </c>
      <c r="B61" s="310"/>
      <c r="C61" s="332"/>
      <c r="D61" s="310"/>
      <c r="E61" s="315" t="str">
        <f t="shared" si="8"/>
        <v>2nd Floor Receptacle and Power Supply Plan</v>
      </c>
      <c r="F61" s="310" t="s">
        <v>97</v>
      </c>
      <c r="G61" s="310" t="s">
        <v>34</v>
      </c>
      <c r="H61" s="310"/>
      <c r="I61" s="310"/>
      <c r="J61" s="354" t="s">
        <v>31</v>
      </c>
      <c r="K61" s="310" t="s">
        <v>116</v>
      </c>
      <c r="L61" s="310"/>
      <c r="M61" s="310"/>
      <c r="N61" s="38"/>
      <c r="O61" s="536"/>
      <c r="P61" s="432"/>
      <c r="Q61" s="38"/>
      <c r="R61" s="38"/>
      <c r="S61" s="38"/>
      <c r="T61" s="310" t="s">
        <v>98</v>
      </c>
      <c r="U61" s="38"/>
      <c r="V61" s="38"/>
      <c r="W61" s="38"/>
      <c r="X61" s="247">
        <v>100</v>
      </c>
      <c r="Y61" s="247"/>
      <c r="Z61" s="247" t="s">
        <v>1095</v>
      </c>
      <c r="AA61" s="310"/>
      <c r="AB61" s="310"/>
      <c r="AC61" s="310"/>
      <c r="AD61" s="246"/>
      <c r="AE61" s="315"/>
      <c r="AF61" s="315"/>
      <c r="AG61" s="315"/>
      <c r="AH61" s="248"/>
      <c r="AI61" s="249"/>
      <c r="AJ61" s="247" t="s">
        <v>1133</v>
      </c>
      <c r="AK61" s="315" t="s">
        <v>1136</v>
      </c>
      <c r="AL61" s="51"/>
      <c r="AM61" s="56"/>
      <c r="AN61" s="51"/>
      <c r="AO61" s="56"/>
      <c r="AP61" s="51"/>
      <c r="AQ61" s="37"/>
      <c r="AR61" s="37"/>
      <c r="AS61" s="37"/>
      <c r="AT61" s="37"/>
      <c r="AU61" s="37"/>
    </row>
    <row r="62" spans="1:47" s="351" customFormat="1" ht="18" customHeight="1" outlineLevel="1">
      <c r="A62" s="332" t="str">
        <f t="shared" si="7"/>
        <v>18043-LM646 09115</v>
      </c>
      <c r="B62" s="310"/>
      <c r="C62" s="332"/>
      <c r="D62" s="310"/>
      <c r="E62" s="315" t="str">
        <f t="shared" si="8"/>
        <v>2.1nd Floor and 2.2nd Floor Receptacle and Power Supply Plan</v>
      </c>
      <c r="F62" s="310" t="s">
        <v>97</v>
      </c>
      <c r="G62" s="310" t="s">
        <v>34</v>
      </c>
      <c r="H62" s="310"/>
      <c r="I62" s="310"/>
      <c r="J62" s="310" t="s">
        <v>31</v>
      </c>
      <c r="K62" s="310"/>
      <c r="L62" s="310"/>
      <c r="M62" s="310"/>
      <c r="N62" s="38"/>
      <c r="O62" s="536"/>
      <c r="P62" s="432"/>
      <c r="Q62" s="38"/>
      <c r="R62" s="38"/>
      <c r="S62" s="38"/>
      <c r="T62" s="310" t="s">
        <v>98</v>
      </c>
      <c r="U62" s="38"/>
      <c r="V62" s="38"/>
      <c r="W62" s="38"/>
      <c r="X62" s="247">
        <v>100</v>
      </c>
      <c r="Y62" s="247"/>
      <c r="Z62" s="247" t="s">
        <v>1095</v>
      </c>
      <c r="AA62" s="310"/>
      <c r="AB62" s="310"/>
      <c r="AC62" s="310"/>
      <c r="AD62" s="246"/>
      <c r="AE62" s="315"/>
      <c r="AF62" s="315"/>
      <c r="AG62" s="315"/>
      <c r="AH62" s="248"/>
      <c r="AI62" s="249"/>
      <c r="AJ62" s="247" t="s">
        <v>1133</v>
      </c>
      <c r="AK62" s="315" t="s">
        <v>1137</v>
      </c>
      <c r="AL62" s="51"/>
      <c r="AM62" s="56"/>
      <c r="AN62" s="51"/>
      <c r="AO62" s="56"/>
      <c r="AP62" s="51"/>
      <c r="AQ62" s="37"/>
      <c r="AR62" s="37"/>
      <c r="AS62" s="37"/>
      <c r="AT62" s="37"/>
      <c r="AU62" s="37"/>
    </row>
    <row r="63" spans="1:47" s="351" customFormat="1" ht="18" customHeight="1" outlineLevel="1">
      <c r="A63" s="332" t="str">
        <f t="shared" si="7"/>
        <v>18043-LM646 09116</v>
      </c>
      <c r="B63" s="310"/>
      <c r="C63" s="332"/>
      <c r="D63" s="310"/>
      <c r="E63" s="315" t="str">
        <f t="shared" si="8"/>
        <v>Roof Deck Receptacle and Power Supply Plan</v>
      </c>
      <c r="F63" s="310" t="s">
        <v>97</v>
      </c>
      <c r="G63" s="310" t="s">
        <v>34</v>
      </c>
      <c r="H63" s="310"/>
      <c r="I63" s="310"/>
      <c r="J63" s="310" t="s">
        <v>31</v>
      </c>
      <c r="K63" s="310" t="s">
        <v>116</v>
      </c>
      <c r="L63" s="310"/>
      <c r="M63" s="310"/>
      <c r="N63" s="38"/>
      <c r="O63" s="536"/>
      <c r="P63" s="432"/>
      <c r="Q63" s="38"/>
      <c r="R63" s="38"/>
      <c r="S63" s="38"/>
      <c r="T63" s="310" t="s">
        <v>98</v>
      </c>
      <c r="U63" s="38"/>
      <c r="V63" s="38"/>
      <c r="W63" s="38"/>
      <c r="X63" s="247">
        <v>100</v>
      </c>
      <c r="Y63" s="247"/>
      <c r="Z63" s="247" t="s">
        <v>1095</v>
      </c>
      <c r="AA63" s="310"/>
      <c r="AB63" s="310"/>
      <c r="AC63" s="310"/>
      <c r="AD63" s="246"/>
      <c r="AE63" s="315"/>
      <c r="AF63" s="315"/>
      <c r="AG63" s="315"/>
      <c r="AH63" s="248"/>
      <c r="AI63" s="249"/>
      <c r="AJ63" s="247" t="s">
        <v>1133</v>
      </c>
      <c r="AK63" s="315" t="s">
        <v>1138</v>
      </c>
      <c r="AL63" s="51"/>
      <c r="AM63" s="56"/>
      <c r="AN63" s="51"/>
      <c r="AO63" s="56"/>
      <c r="AP63" s="51"/>
      <c r="AQ63" s="37"/>
      <c r="AR63" s="37"/>
      <c r="AS63" s="37"/>
      <c r="AT63" s="37"/>
      <c r="AU63" s="37"/>
    </row>
    <row r="64" spans="1:47" s="351" customFormat="1" ht="18" customHeight="1" outlineLevel="1">
      <c r="A64" s="332" t="str">
        <f t="shared" si="7"/>
        <v>18043-LM646 09201</v>
      </c>
      <c r="B64" s="310"/>
      <c r="C64" s="332"/>
      <c r="D64" s="310"/>
      <c r="E64" s="315" t="str">
        <f t="shared" si="8"/>
        <v>Ground Floor Fire Alarm Plan</v>
      </c>
      <c r="F64" s="310" t="s">
        <v>97</v>
      </c>
      <c r="G64" s="310" t="s">
        <v>34</v>
      </c>
      <c r="H64" s="310" t="s">
        <v>31</v>
      </c>
      <c r="I64" s="354" t="s">
        <v>116</v>
      </c>
      <c r="J64" s="310" t="s">
        <v>38</v>
      </c>
      <c r="K64" s="310"/>
      <c r="L64" s="310" t="s">
        <v>28</v>
      </c>
      <c r="M64" s="310"/>
      <c r="N64" s="38"/>
      <c r="O64" s="536"/>
      <c r="P64" s="432"/>
      <c r="Q64" s="38"/>
      <c r="R64" s="38"/>
      <c r="S64" s="38"/>
      <c r="T64" s="310" t="s">
        <v>98</v>
      </c>
      <c r="U64" s="38"/>
      <c r="V64" s="38"/>
      <c r="W64" s="38"/>
      <c r="X64" s="247">
        <v>100</v>
      </c>
      <c r="Y64" s="247"/>
      <c r="Z64" s="247" t="s">
        <v>1100</v>
      </c>
      <c r="AA64" s="310"/>
      <c r="AB64" s="310"/>
      <c r="AC64" s="310"/>
      <c r="AD64" s="246"/>
      <c r="AE64" s="315"/>
      <c r="AF64" s="315"/>
      <c r="AG64" s="315"/>
      <c r="AH64" s="248"/>
      <c r="AI64" s="249"/>
      <c r="AJ64" s="247" t="s">
        <v>1133</v>
      </c>
      <c r="AK64" s="315" t="s">
        <v>1139</v>
      </c>
      <c r="AL64" s="51"/>
      <c r="AM64" s="56"/>
      <c r="AN64" s="51"/>
      <c r="AO64" s="56"/>
      <c r="AP64" s="51"/>
      <c r="AQ64" s="37"/>
      <c r="AR64" s="37"/>
      <c r="AS64" s="37"/>
      <c r="AT64" s="37"/>
      <c r="AU64" s="37"/>
    </row>
    <row r="65" spans="1:47" s="351" customFormat="1" ht="18" customHeight="1" outlineLevel="1">
      <c r="A65" s="332" t="str">
        <f t="shared" si="7"/>
        <v>18043-LM646 09202</v>
      </c>
      <c r="B65" s="310"/>
      <c r="C65" s="332"/>
      <c r="D65" s="310"/>
      <c r="E65" s="315" t="str">
        <f t="shared" si="8"/>
        <v>1.1st Floor and 1.2st Floor Fire Alarm Plan</v>
      </c>
      <c r="F65" s="310" t="s">
        <v>97</v>
      </c>
      <c r="G65" s="310" t="s">
        <v>34</v>
      </c>
      <c r="H65" s="310" t="s">
        <v>31</v>
      </c>
      <c r="I65" s="354" t="s">
        <v>116</v>
      </c>
      <c r="J65" s="310" t="s">
        <v>38</v>
      </c>
      <c r="K65" s="310" t="s">
        <v>28</v>
      </c>
      <c r="L65" s="310" t="s">
        <v>289</v>
      </c>
      <c r="M65" s="310"/>
      <c r="N65" s="38"/>
      <c r="O65" s="536"/>
      <c r="P65" s="432"/>
      <c r="Q65" s="38"/>
      <c r="R65" s="38"/>
      <c r="S65" s="38"/>
      <c r="T65" s="310" t="s">
        <v>98</v>
      </c>
      <c r="U65" s="38"/>
      <c r="V65" s="38"/>
      <c r="W65" s="38"/>
      <c r="X65" s="247">
        <v>100</v>
      </c>
      <c r="Y65" s="247"/>
      <c r="Z65" s="247" t="s">
        <v>1100</v>
      </c>
      <c r="AA65" s="310"/>
      <c r="AB65" s="310"/>
      <c r="AC65" s="310"/>
      <c r="AD65" s="246"/>
      <c r="AE65" s="315"/>
      <c r="AF65" s="315"/>
      <c r="AG65" s="315"/>
      <c r="AH65" s="248"/>
      <c r="AI65" s="249"/>
      <c r="AJ65" s="247" t="s">
        <v>1133</v>
      </c>
      <c r="AK65" s="315" t="s">
        <v>1140</v>
      </c>
      <c r="AL65" s="51"/>
      <c r="AM65" s="56"/>
      <c r="AN65" s="51"/>
      <c r="AO65" s="56"/>
      <c r="AP65" s="51"/>
      <c r="AQ65" s="37"/>
      <c r="AR65" s="37"/>
      <c r="AS65" s="37"/>
      <c r="AT65" s="37"/>
      <c r="AU65" s="37"/>
    </row>
    <row r="66" spans="1:47" s="351" customFormat="1" ht="18" customHeight="1" outlineLevel="1">
      <c r="A66" s="332" t="s">
        <v>29</v>
      </c>
      <c r="B66" s="310"/>
      <c r="C66" s="332"/>
      <c r="D66" s="310"/>
      <c r="E66" s="315" t="str">
        <f t="shared" si="8"/>
        <v>2nd Floor Fire Alarm Plan</v>
      </c>
      <c r="F66" s="310" t="s">
        <v>97</v>
      </c>
      <c r="G66" s="310" t="s">
        <v>34</v>
      </c>
      <c r="H66" s="310" t="s">
        <v>34</v>
      </c>
      <c r="I66" s="310"/>
      <c r="J66" s="310" t="s">
        <v>31</v>
      </c>
      <c r="K66" s="310"/>
      <c r="L66" s="310"/>
      <c r="M66" s="310"/>
      <c r="N66" s="38"/>
      <c r="O66" s="536"/>
      <c r="P66" s="432"/>
      <c r="Q66" s="38"/>
      <c r="R66" s="38"/>
      <c r="S66" s="38"/>
      <c r="T66" s="310" t="s">
        <v>98</v>
      </c>
      <c r="U66" s="38"/>
      <c r="V66" s="38"/>
      <c r="W66" s="38"/>
      <c r="X66" s="247">
        <v>100</v>
      </c>
      <c r="Y66" s="247"/>
      <c r="Z66" s="247" t="s">
        <v>1100</v>
      </c>
      <c r="AA66" s="310"/>
      <c r="AB66" s="310"/>
      <c r="AC66" s="315"/>
      <c r="AD66" s="246"/>
      <c r="AE66" s="315"/>
      <c r="AF66" s="315"/>
      <c r="AG66" s="315"/>
      <c r="AH66" s="248"/>
      <c r="AI66" s="249"/>
      <c r="AJ66" s="247" t="s">
        <v>1133</v>
      </c>
      <c r="AK66" s="315" t="s">
        <v>1141</v>
      </c>
      <c r="AL66" s="51"/>
      <c r="AM66" s="56"/>
      <c r="AN66" s="51"/>
      <c r="AO66" s="56"/>
      <c r="AP66" s="51"/>
      <c r="AQ66" s="37"/>
      <c r="AR66" s="37"/>
      <c r="AS66" s="37"/>
      <c r="AT66" s="37"/>
      <c r="AU66" s="37"/>
    </row>
    <row r="67" spans="1:47" s="351" customFormat="1" ht="18" customHeight="1" outlineLevel="1">
      <c r="A67" s="332" t="s">
        <v>32</v>
      </c>
      <c r="B67" s="310"/>
      <c r="C67" s="332"/>
      <c r="D67" s="310"/>
      <c r="E67" s="315" t="str">
        <f t="shared" si="8"/>
        <v>2.1nd Floor and 2.2nd Floor Fire Alarm Plan</v>
      </c>
      <c r="F67" s="310" t="s">
        <v>97</v>
      </c>
      <c r="G67" s="310" t="s">
        <v>34</v>
      </c>
      <c r="H67" s="310" t="s">
        <v>34</v>
      </c>
      <c r="I67" s="310"/>
      <c r="J67" s="354" t="s">
        <v>31</v>
      </c>
      <c r="K67" s="310" t="s">
        <v>116</v>
      </c>
      <c r="L67" s="310"/>
      <c r="M67" s="310"/>
      <c r="N67" s="38"/>
      <c r="O67" s="536"/>
      <c r="P67" s="432"/>
      <c r="Q67" s="38"/>
      <c r="R67" s="38"/>
      <c r="S67" s="38"/>
      <c r="T67" s="310" t="s">
        <v>98</v>
      </c>
      <c r="U67" s="38"/>
      <c r="V67" s="38"/>
      <c r="W67" s="38"/>
      <c r="X67" s="247">
        <v>100</v>
      </c>
      <c r="Y67" s="247"/>
      <c r="Z67" s="247" t="s">
        <v>1100</v>
      </c>
      <c r="AA67" s="310"/>
      <c r="AB67" s="310"/>
      <c r="AC67" s="310"/>
      <c r="AD67" s="246"/>
      <c r="AE67" s="315"/>
      <c r="AF67" s="315"/>
      <c r="AG67" s="315"/>
      <c r="AH67" s="248"/>
      <c r="AI67" s="249"/>
      <c r="AJ67" s="247" t="s">
        <v>1133</v>
      </c>
      <c r="AK67" s="315" t="s">
        <v>1142</v>
      </c>
      <c r="AL67" s="51"/>
      <c r="AM67" s="56"/>
      <c r="AN67" s="51"/>
      <c r="AO67" s="56"/>
      <c r="AP67" s="51"/>
      <c r="AQ67" s="37"/>
      <c r="AR67" s="37"/>
      <c r="AS67" s="37"/>
      <c r="AT67" s="37"/>
      <c r="AU67" s="37"/>
    </row>
    <row r="68" spans="1:47" s="351" customFormat="1" ht="18" customHeight="1" outlineLevel="1">
      <c r="A68" s="332" t="str">
        <f t="shared" ref="A68:A83" si="9">"18043-"&amp;LEFT(AK68,11)</f>
        <v>18043-LM646 09205</v>
      </c>
      <c r="B68" s="310"/>
      <c r="C68" s="332"/>
      <c r="D68" s="310"/>
      <c r="E68" s="315" t="str">
        <f t="shared" si="8"/>
        <v>Roof Deck Fire Alarm Plan</v>
      </c>
      <c r="F68" s="310" t="s">
        <v>97</v>
      </c>
      <c r="G68" s="310" t="s">
        <v>34</v>
      </c>
      <c r="H68" s="310" t="s">
        <v>34</v>
      </c>
      <c r="I68" s="310"/>
      <c r="J68" s="310"/>
      <c r="K68" s="310"/>
      <c r="L68" s="310"/>
      <c r="M68" s="310"/>
      <c r="N68" s="38"/>
      <c r="O68" s="536"/>
      <c r="P68" s="432"/>
      <c r="Q68" s="38"/>
      <c r="R68" s="38"/>
      <c r="S68" s="38"/>
      <c r="T68" s="310" t="s">
        <v>98</v>
      </c>
      <c r="U68" s="38"/>
      <c r="V68" s="38"/>
      <c r="W68" s="38"/>
      <c r="X68" s="247">
        <v>100</v>
      </c>
      <c r="Y68" s="247"/>
      <c r="Z68" s="247" t="s">
        <v>1100</v>
      </c>
      <c r="AA68" s="310"/>
      <c r="AB68" s="310"/>
      <c r="AC68" s="310"/>
      <c r="AD68" s="246"/>
      <c r="AE68" s="315"/>
      <c r="AF68" s="315"/>
      <c r="AG68" s="315"/>
      <c r="AH68" s="248"/>
      <c r="AI68" s="249"/>
      <c r="AJ68" s="247" t="s">
        <v>1133</v>
      </c>
      <c r="AK68" s="315" t="s">
        <v>1143</v>
      </c>
      <c r="AL68" s="51"/>
      <c r="AM68" s="56"/>
      <c r="AN68" s="51"/>
      <c r="AO68" s="56"/>
      <c r="AP68" s="51"/>
      <c r="AQ68" s="37"/>
      <c r="AR68" s="37"/>
      <c r="AS68" s="37"/>
      <c r="AT68" s="37"/>
      <c r="AU68" s="37"/>
    </row>
    <row r="69" spans="1:47" s="351" customFormat="1" ht="18" customHeight="1" outlineLevel="1">
      <c r="A69" s="332" t="str">
        <f t="shared" si="9"/>
        <v>18043-LM646 09401</v>
      </c>
      <c r="B69" s="310"/>
      <c r="C69" s="332"/>
      <c r="D69" s="310"/>
      <c r="E69" s="315" t="str">
        <f t="shared" si="8"/>
        <v>Data Network Plan</v>
      </c>
      <c r="F69" s="310" t="s">
        <v>97</v>
      </c>
      <c r="G69" s="310" t="s">
        <v>34</v>
      </c>
      <c r="H69" s="310"/>
      <c r="I69" s="310"/>
      <c r="J69" s="310"/>
      <c r="K69" s="310" t="s">
        <v>31</v>
      </c>
      <c r="L69" s="310"/>
      <c r="M69" s="310"/>
      <c r="N69" s="38"/>
      <c r="O69" s="536"/>
      <c r="P69" s="432"/>
      <c r="Q69" s="38"/>
      <c r="R69" s="38"/>
      <c r="S69" s="38"/>
      <c r="T69" s="310" t="s">
        <v>98</v>
      </c>
      <c r="U69" s="38"/>
      <c r="V69" s="38"/>
      <c r="W69" s="38"/>
      <c r="X69" s="247">
        <v>100</v>
      </c>
      <c r="Y69" s="247"/>
      <c r="Z69" s="247" t="s">
        <v>1100</v>
      </c>
      <c r="AA69" s="310"/>
      <c r="AB69" s="310"/>
      <c r="AC69" s="310"/>
      <c r="AD69" s="246"/>
      <c r="AE69" s="315"/>
      <c r="AF69" s="315"/>
      <c r="AG69" s="315"/>
      <c r="AH69" s="248"/>
      <c r="AI69" s="249"/>
      <c r="AJ69" s="247" t="s">
        <v>1133</v>
      </c>
      <c r="AK69" s="315" t="s">
        <v>1144</v>
      </c>
      <c r="AL69" s="51"/>
      <c r="AM69" s="56"/>
      <c r="AN69" s="51"/>
      <c r="AO69" s="56"/>
      <c r="AP69" s="51"/>
      <c r="AQ69" s="37"/>
      <c r="AR69" s="37"/>
      <c r="AS69" s="37"/>
      <c r="AT69" s="37"/>
      <c r="AU69" s="37"/>
    </row>
    <row r="70" spans="1:47" s="351" customFormat="1" ht="18" customHeight="1" outlineLevel="1">
      <c r="A70" s="332" t="str">
        <f t="shared" si="9"/>
        <v>18043-LM646 09402</v>
      </c>
      <c r="B70" s="310"/>
      <c r="C70" s="332"/>
      <c r="D70" s="310"/>
      <c r="E70" s="315" t="str">
        <f t="shared" si="8"/>
        <v>1.1st Floor and 1.2st Floor Telephone, and Data Network Plan</v>
      </c>
      <c r="F70" s="310"/>
      <c r="G70" s="310"/>
      <c r="H70" s="310"/>
      <c r="I70" s="310"/>
      <c r="J70" s="310"/>
      <c r="K70" s="310"/>
      <c r="L70" s="310"/>
      <c r="M70" s="310"/>
      <c r="N70" s="38"/>
      <c r="O70" s="536"/>
      <c r="P70" s="432"/>
      <c r="Q70" s="38"/>
      <c r="R70" s="38"/>
      <c r="S70" s="38"/>
      <c r="T70" s="310"/>
      <c r="U70" s="38"/>
      <c r="V70" s="38"/>
      <c r="W70" s="38"/>
      <c r="X70" s="247">
        <v>100</v>
      </c>
      <c r="Y70" s="247"/>
      <c r="Z70" s="247" t="s">
        <v>1100</v>
      </c>
      <c r="AA70" s="310"/>
      <c r="AB70" s="310"/>
      <c r="AC70" s="310"/>
      <c r="AD70" s="246"/>
      <c r="AE70" s="315"/>
      <c r="AF70" s="315"/>
      <c r="AG70" s="315"/>
      <c r="AH70" s="248"/>
      <c r="AI70" s="249"/>
      <c r="AJ70" s="247" t="s">
        <v>1133</v>
      </c>
      <c r="AK70" s="315" t="s">
        <v>1145</v>
      </c>
      <c r="AL70" s="51"/>
      <c r="AM70" s="56"/>
      <c r="AN70" s="51"/>
      <c r="AO70" s="56"/>
      <c r="AP70" s="51"/>
      <c r="AQ70" s="37"/>
      <c r="AR70" s="37"/>
      <c r="AS70" s="37"/>
      <c r="AT70" s="37"/>
      <c r="AU70" s="37"/>
    </row>
    <row r="71" spans="1:47" s="351" customFormat="1" ht="18" customHeight="1" outlineLevel="1">
      <c r="A71" s="332" t="str">
        <f t="shared" si="9"/>
        <v>18043-LM646 09403</v>
      </c>
      <c r="B71" s="310"/>
      <c r="C71" s="332"/>
      <c r="D71" s="310"/>
      <c r="E71" s="315" t="str">
        <f t="shared" si="8"/>
        <v>2nd Floor Telephone, and Data Network Plan</v>
      </c>
      <c r="F71" s="310"/>
      <c r="G71" s="310"/>
      <c r="H71" s="310"/>
      <c r="I71" s="310"/>
      <c r="J71" s="310"/>
      <c r="K71" s="310"/>
      <c r="L71" s="310"/>
      <c r="M71" s="310"/>
      <c r="N71" s="38"/>
      <c r="O71" s="536"/>
      <c r="P71" s="432"/>
      <c r="Q71" s="38"/>
      <c r="R71" s="38"/>
      <c r="S71" s="38"/>
      <c r="T71" s="310"/>
      <c r="U71" s="38"/>
      <c r="V71" s="38"/>
      <c r="W71" s="38"/>
      <c r="X71" s="247">
        <v>100</v>
      </c>
      <c r="Y71" s="247"/>
      <c r="Z71" s="247" t="s">
        <v>1100</v>
      </c>
      <c r="AA71" s="310"/>
      <c r="AB71" s="310"/>
      <c r="AC71" s="310"/>
      <c r="AD71" s="246"/>
      <c r="AE71" s="315"/>
      <c r="AF71" s="315"/>
      <c r="AG71" s="315"/>
      <c r="AH71" s="248"/>
      <c r="AI71" s="249"/>
      <c r="AJ71" s="247" t="s">
        <v>1133</v>
      </c>
      <c r="AK71" s="315" t="s">
        <v>1146</v>
      </c>
      <c r="AL71" s="51"/>
      <c r="AM71" s="56"/>
      <c r="AN71" s="51"/>
      <c r="AO71" s="56"/>
      <c r="AP71" s="51"/>
      <c r="AQ71" s="37"/>
      <c r="AR71" s="37"/>
      <c r="AS71" s="37"/>
      <c r="AT71" s="37"/>
      <c r="AU71" s="37"/>
    </row>
    <row r="72" spans="1:47" s="351" customFormat="1" ht="18" customHeight="1" outlineLevel="1">
      <c r="A72" s="332" t="str">
        <f t="shared" si="9"/>
        <v>18043-LM646 09404</v>
      </c>
      <c r="B72" s="310"/>
      <c r="C72" s="332"/>
      <c r="D72" s="310"/>
      <c r="E72" s="315" t="str">
        <f t="shared" si="8"/>
        <v>2.1nd Floor and 2.2nd Floor Telephone, and Data Network Plan</v>
      </c>
      <c r="F72" s="310"/>
      <c r="G72" s="310"/>
      <c r="H72" s="310"/>
      <c r="I72" s="310"/>
      <c r="J72" s="310"/>
      <c r="K72" s="310"/>
      <c r="L72" s="310"/>
      <c r="M72" s="310"/>
      <c r="N72" s="38"/>
      <c r="O72" s="536"/>
      <c r="P72" s="432"/>
      <c r="Q72" s="38"/>
      <c r="R72" s="38"/>
      <c r="S72" s="38"/>
      <c r="T72" s="310"/>
      <c r="U72" s="38"/>
      <c r="V72" s="38"/>
      <c r="W72" s="38"/>
      <c r="X72" s="247">
        <v>100</v>
      </c>
      <c r="Y72" s="247"/>
      <c r="Z72" s="247" t="s">
        <v>1100</v>
      </c>
      <c r="AA72" s="310"/>
      <c r="AB72" s="310"/>
      <c r="AC72" s="310"/>
      <c r="AD72" s="246"/>
      <c r="AE72" s="315"/>
      <c r="AF72" s="315"/>
      <c r="AG72" s="315"/>
      <c r="AH72" s="248"/>
      <c r="AI72" s="249"/>
      <c r="AJ72" s="247" t="s">
        <v>1133</v>
      </c>
      <c r="AK72" s="315" t="s">
        <v>1147</v>
      </c>
      <c r="AL72" s="51"/>
      <c r="AM72" s="56"/>
      <c r="AN72" s="51"/>
      <c r="AO72" s="56"/>
      <c r="AP72" s="51"/>
      <c r="AQ72" s="37"/>
      <c r="AR72" s="37"/>
      <c r="AS72" s="37"/>
      <c r="AT72" s="37"/>
      <c r="AU72" s="37"/>
    </row>
    <row r="73" spans="1:47" s="351" customFormat="1" ht="18" customHeight="1" outlineLevel="1">
      <c r="A73" s="332" t="str">
        <f t="shared" si="9"/>
        <v>18043-LM646 09405</v>
      </c>
      <c r="B73" s="310"/>
      <c r="C73" s="332"/>
      <c r="D73" s="310"/>
      <c r="E73" s="315" t="str">
        <f t="shared" si="8"/>
        <v>Ground Floor Monitoring Plan</v>
      </c>
      <c r="F73" s="310" t="s">
        <v>97</v>
      </c>
      <c r="G73" s="310" t="s">
        <v>34</v>
      </c>
      <c r="H73" s="310"/>
      <c r="I73" s="310"/>
      <c r="J73" s="310" t="s">
        <v>31</v>
      </c>
      <c r="K73" s="310" t="s">
        <v>116</v>
      </c>
      <c r="L73" s="310" t="s">
        <v>38</v>
      </c>
      <c r="M73" s="310"/>
      <c r="N73" s="38"/>
      <c r="O73" s="536"/>
      <c r="P73" s="432"/>
      <c r="Q73" s="38"/>
      <c r="R73" s="38"/>
      <c r="S73" s="38"/>
      <c r="T73" s="310" t="s">
        <v>98</v>
      </c>
      <c r="U73" s="38"/>
      <c r="V73" s="38"/>
      <c r="W73" s="38"/>
      <c r="X73" s="247">
        <v>100</v>
      </c>
      <c r="Y73" s="247"/>
      <c r="Z73" s="247" t="s">
        <v>1086</v>
      </c>
      <c r="AA73" s="310"/>
      <c r="AB73" s="310"/>
      <c r="AC73" s="310"/>
      <c r="AD73" s="246"/>
      <c r="AE73" s="315"/>
      <c r="AF73" s="315"/>
      <c r="AG73" s="315"/>
      <c r="AH73" s="248"/>
      <c r="AI73" s="249"/>
      <c r="AJ73" s="247" t="s">
        <v>1133</v>
      </c>
      <c r="AK73" s="315" t="s">
        <v>1148</v>
      </c>
      <c r="AL73" s="51"/>
      <c r="AM73" s="56"/>
      <c r="AN73" s="51"/>
      <c r="AO73" s="56"/>
      <c r="AP73" s="51"/>
      <c r="AQ73" s="37"/>
      <c r="AR73" s="37"/>
      <c r="AS73" s="37"/>
      <c r="AT73" s="37"/>
      <c r="AU73" s="37"/>
    </row>
    <row r="74" spans="1:47" s="351" customFormat="1" ht="18" customHeight="1" outlineLevel="1">
      <c r="A74" s="332" t="str">
        <f t="shared" si="9"/>
        <v>18043-LM646 09406</v>
      </c>
      <c r="B74" s="310"/>
      <c r="C74" s="332"/>
      <c r="D74" s="310"/>
      <c r="E74" s="315" t="str">
        <f t="shared" si="8"/>
        <v>1.1st Floor and 1.2st Floor Monitoring Plan</v>
      </c>
      <c r="F74" s="310" t="s">
        <v>97</v>
      </c>
      <c r="G74" s="310" t="s">
        <v>34</v>
      </c>
      <c r="H74" s="310"/>
      <c r="I74" s="310"/>
      <c r="J74" s="310"/>
      <c r="K74" s="310"/>
      <c r="L74" s="310"/>
      <c r="M74" s="310"/>
      <c r="N74" s="310"/>
      <c r="O74" s="536"/>
      <c r="P74" s="432"/>
      <c r="Q74" s="310"/>
      <c r="R74" s="310"/>
      <c r="S74" s="310"/>
      <c r="T74" s="310" t="s">
        <v>98</v>
      </c>
      <c r="U74" s="310"/>
      <c r="V74" s="310"/>
      <c r="W74" s="310"/>
      <c r="X74" s="247">
        <v>100</v>
      </c>
      <c r="Y74" s="247"/>
      <c r="Z74" s="247" t="s">
        <v>1086</v>
      </c>
      <c r="AA74" s="310"/>
      <c r="AB74" s="245"/>
      <c r="AC74" s="310"/>
      <c r="AD74" s="246"/>
      <c r="AE74" s="315"/>
      <c r="AF74" s="315"/>
      <c r="AG74" s="315"/>
      <c r="AH74" s="248"/>
      <c r="AI74" s="249"/>
      <c r="AJ74" s="247" t="s">
        <v>1133</v>
      </c>
      <c r="AK74" s="315" t="s">
        <v>1149</v>
      </c>
      <c r="AL74" s="51"/>
      <c r="AM74" s="56"/>
      <c r="AN74" s="51"/>
      <c r="AO74" s="56"/>
      <c r="AP74" s="51"/>
      <c r="AQ74" s="37"/>
      <c r="AR74" s="37"/>
      <c r="AS74" s="37"/>
      <c r="AT74" s="37"/>
      <c r="AU74" s="37"/>
    </row>
    <row r="75" spans="1:47" s="351" customFormat="1" ht="18" customHeight="1" outlineLevel="1">
      <c r="A75" s="332" t="str">
        <f t="shared" si="9"/>
        <v>18043-LM646 09407</v>
      </c>
      <c r="B75" s="310"/>
      <c r="C75" s="332"/>
      <c r="D75" s="310"/>
      <c r="E75" s="315" t="str">
        <f t="shared" si="8"/>
        <v>2nd Floor Monitoring Plan</v>
      </c>
      <c r="F75" s="310" t="s">
        <v>97</v>
      </c>
      <c r="G75" s="310" t="s">
        <v>34</v>
      </c>
      <c r="H75" s="310"/>
      <c r="I75" s="310"/>
      <c r="J75" s="310"/>
      <c r="K75" s="310"/>
      <c r="L75" s="310"/>
      <c r="M75" s="310"/>
      <c r="N75" s="310"/>
      <c r="O75" s="536"/>
      <c r="P75" s="432"/>
      <c r="Q75" s="310"/>
      <c r="R75" s="310"/>
      <c r="S75" s="310"/>
      <c r="T75" s="310" t="s">
        <v>98</v>
      </c>
      <c r="U75" s="310"/>
      <c r="V75" s="310"/>
      <c r="W75" s="310"/>
      <c r="X75" s="247">
        <v>100</v>
      </c>
      <c r="Y75" s="247"/>
      <c r="Z75" s="247" t="s">
        <v>1086</v>
      </c>
      <c r="AA75" s="310"/>
      <c r="AB75" s="245"/>
      <c r="AC75" s="310"/>
      <c r="AD75" s="246"/>
      <c r="AE75" s="315"/>
      <c r="AF75" s="315"/>
      <c r="AG75" s="315"/>
      <c r="AH75" s="248"/>
      <c r="AI75" s="249"/>
      <c r="AJ75" s="247" t="s">
        <v>1133</v>
      </c>
      <c r="AK75" s="315" t="s">
        <v>1150</v>
      </c>
      <c r="AL75" s="51"/>
      <c r="AM75" s="56"/>
      <c r="AN75" s="51"/>
      <c r="AO75" s="56"/>
      <c r="AP75" s="51"/>
      <c r="AQ75" s="37"/>
      <c r="AR75" s="37"/>
      <c r="AS75" s="37"/>
      <c r="AT75" s="37"/>
      <c r="AU75" s="37"/>
    </row>
    <row r="76" spans="1:47" s="351" customFormat="1" ht="18" customHeight="1" outlineLevel="1">
      <c r="A76" s="332" t="str">
        <f t="shared" si="9"/>
        <v>18043-LM646 09408</v>
      </c>
      <c r="B76" s="310"/>
      <c r="C76" s="332"/>
      <c r="D76" s="310"/>
      <c r="E76" s="315" t="str">
        <f t="shared" si="8"/>
        <v>2.1nd Floor and 2.2nd Floor Monitoring Plan</v>
      </c>
      <c r="F76" s="310" t="s">
        <v>97</v>
      </c>
      <c r="G76" s="310" t="s">
        <v>34</v>
      </c>
      <c r="H76" s="310"/>
      <c r="I76" s="310"/>
      <c r="J76" s="310"/>
      <c r="K76" s="310"/>
      <c r="L76" s="310"/>
      <c r="M76" s="310"/>
      <c r="N76" s="310"/>
      <c r="O76" s="536"/>
      <c r="P76" s="432"/>
      <c r="Q76" s="310"/>
      <c r="R76" s="310"/>
      <c r="S76" s="310"/>
      <c r="T76" s="310" t="s">
        <v>98</v>
      </c>
      <c r="U76" s="310"/>
      <c r="V76" s="310"/>
      <c r="W76" s="310"/>
      <c r="X76" s="247">
        <v>100</v>
      </c>
      <c r="Y76" s="247"/>
      <c r="Z76" s="247" t="s">
        <v>1086</v>
      </c>
      <c r="AA76" s="310"/>
      <c r="AB76" s="245"/>
      <c r="AC76" s="310"/>
      <c r="AD76" s="246"/>
      <c r="AE76" s="315"/>
      <c r="AF76" s="315"/>
      <c r="AG76" s="315"/>
      <c r="AH76" s="248"/>
      <c r="AI76" s="249"/>
      <c r="AJ76" s="247" t="s">
        <v>1133</v>
      </c>
      <c r="AK76" s="315" t="s">
        <v>1151</v>
      </c>
      <c r="AL76" s="51"/>
      <c r="AM76" s="56"/>
      <c r="AN76" s="51"/>
      <c r="AO76" s="56"/>
      <c r="AP76" s="51"/>
      <c r="AQ76" s="37"/>
      <c r="AR76" s="37"/>
      <c r="AS76" s="37"/>
      <c r="AT76" s="37"/>
      <c r="AU76" s="37"/>
    </row>
    <row r="77" spans="1:47" s="351" customFormat="1" ht="18" customHeight="1" outlineLevel="1">
      <c r="A77" s="332" t="str">
        <f t="shared" si="9"/>
        <v>18043-LM646 09501</v>
      </c>
      <c r="B77" s="310"/>
      <c r="C77" s="332"/>
      <c r="D77" s="310"/>
      <c r="E77" s="315" t="str">
        <f t="shared" si="8"/>
        <v>Single Line Diagram</v>
      </c>
      <c r="F77" s="310" t="s">
        <v>97</v>
      </c>
      <c r="G77" s="310" t="s">
        <v>34</v>
      </c>
      <c r="H77" s="310" t="s">
        <v>34</v>
      </c>
      <c r="I77" s="310" t="s">
        <v>31</v>
      </c>
      <c r="J77" s="310" t="s">
        <v>116</v>
      </c>
      <c r="K77" s="310" t="s">
        <v>38</v>
      </c>
      <c r="L77" s="310"/>
      <c r="M77" s="310"/>
      <c r="N77" s="38"/>
      <c r="O77" s="536"/>
      <c r="P77" s="432"/>
      <c r="Q77" s="38"/>
      <c r="R77" s="38"/>
      <c r="S77" s="38"/>
      <c r="T77" s="310" t="s">
        <v>98</v>
      </c>
      <c r="U77" s="38"/>
      <c r="V77" s="38"/>
      <c r="W77" s="38"/>
      <c r="X77" s="247" t="s">
        <v>117</v>
      </c>
      <c r="Y77" s="247"/>
      <c r="Z77" s="247" t="s">
        <v>1086</v>
      </c>
      <c r="AA77" s="310"/>
      <c r="AB77" s="310"/>
      <c r="AC77" s="310"/>
      <c r="AD77" s="246"/>
      <c r="AE77" s="315"/>
      <c r="AF77" s="315"/>
      <c r="AG77" s="315"/>
      <c r="AH77" s="248"/>
      <c r="AI77" s="249"/>
      <c r="AJ77" s="247" t="s">
        <v>1120</v>
      </c>
      <c r="AK77" s="376" t="s">
        <v>1152</v>
      </c>
      <c r="AL77" s="51"/>
      <c r="AM77" s="56"/>
      <c r="AN77" s="51"/>
      <c r="AO77" s="56"/>
      <c r="AP77" s="51"/>
      <c r="AQ77" s="37"/>
      <c r="AR77" s="37"/>
      <c r="AS77" s="37"/>
      <c r="AT77" s="37"/>
      <c r="AU77" s="37"/>
    </row>
    <row r="78" spans="1:47" s="351" customFormat="1" ht="18" customHeight="1" outlineLevel="1">
      <c r="A78" s="332" t="str">
        <f t="shared" si="9"/>
        <v>18043-LM646 09502</v>
      </c>
      <c r="B78" s="310"/>
      <c r="C78" s="332"/>
      <c r="D78" s="310"/>
      <c r="E78" s="315" t="str">
        <f t="shared" si="8"/>
        <v>Ground Floor Power Distribution Plan</v>
      </c>
      <c r="F78" s="310" t="s">
        <v>97</v>
      </c>
      <c r="G78" s="310" t="s">
        <v>34</v>
      </c>
      <c r="H78" s="310" t="s">
        <v>34</v>
      </c>
      <c r="I78" s="310" t="s">
        <v>31</v>
      </c>
      <c r="J78" s="310" t="s">
        <v>116</v>
      </c>
      <c r="K78" s="310" t="s">
        <v>38</v>
      </c>
      <c r="L78" s="310"/>
      <c r="M78" s="310"/>
      <c r="N78" s="38"/>
      <c r="O78" s="536"/>
      <c r="P78" s="432"/>
      <c r="Q78" s="38"/>
      <c r="R78" s="38"/>
      <c r="S78" s="38"/>
      <c r="T78" s="310" t="s">
        <v>98</v>
      </c>
      <c r="U78" s="38"/>
      <c r="V78" s="38"/>
      <c r="W78" s="38"/>
      <c r="X78" s="247">
        <v>100</v>
      </c>
      <c r="Y78" s="247"/>
      <c r="Z78" s="247" t="s">
        <v>1086</v>
      </c>
      <c r="AA78" s="310"/>
      <c r="AB78" s="310"/>
      <c r="AC78" s="310"/>
      <c r="AD78" s="246"/>
      <c r="AE78" s="315"/>
      <c r="AF78" s="315"/>
      <c r="AG78" s="315"/>
      <c r="AH78" s="248"/>
      <c r="AI78" s="249"/>
      <c r="AJ78" s="247" t="s">
        <v>1120</v>
      </c>
      <c r="AK78" s="315" t="s">
        <v>1153</v>
      </c>
      <c r="AL78" s="51"/>
      <c r="AM78" s="56"/>
      <c r="AN78" s="51"/>
      <c r="AO78" s="56"/>
      <c r="AP78" s="51"/>
      <c r="AQ78" s="37"/>
      <c r="AR78" s="37"/>
      <c r="AS78" s="37"/>
      <c r="AT78" s="37"/>
      <c r="AU78" s="37"/>
    </row>
    <row r="79" spans="1:47" s="351" customFormat="1" ht="18" customHeight="1" outlineLevel="1">
      <c r="A79" s="332" t="str">
        <f t="shared" si="9"/>
        <v>18043-LM646 09503</v>
      </c>
      <c r="B79" s="310"/>
      <c r="C79" s="332"/>
      <c r="D79" s="310"/>
      <c r="E79" s="315" t="str">
        <f t="shared" si="8"/>
        <v>1.1st Floor and 1.2st Floor Power Distribution Plan</v>
      </c>
      <c r="F79" s="310" t="s">
        <v>97</v>
      </c>
      <c r="G79" s="310" t="s">
        <v>34</v>
      </c>
      <c r="H79" s="310" t="s">
        <v>34</v>
      </c>
      <c r="I79" s="310" t="s">
        <v>31</v>
      </c>
      <c r="J79" s="310" t="s">
        <v>116</v>
      </c>
      <c r="K79" s="310"/>
      <c r="L79" s="310"/>
      <c r="M79" s="310"/>
      <c r="N79" s="38"/>
      <c r="O79" s="536"/>
      <c r="P79" s="432"/>
      <c r="Q79" s="38"/>
      <c r="R79" s="38"/>
      <c r="S79" s="38"/>
      <c r="T79" s="310" t="s">
        <v>98</v>
      </c>
      <c r="U79" s="38"/>
      <c r="V79" s="38"/>
      <c r="W79" s="38"/>
      <c r="X79" s="247">
        <v>100</v>
      </c>
      <c r="Y79" s="247"/>
      <c r="Z79" s="247" t="s">
        <v>1086</v>
      </c>
      <c r="AA79" s="310"/>
      <c r="AB79" s="310"/>
      <c r="AC79" s="310"/>
      <c r="AD79" s="246"/>
      <c r="AE79" s="315"/>
      <c r="AF79" s="315"/>
      <c r="AG79" s="315"/>
      <c r="AH79" s="248"/>
      <c r="AI79" s="249"/>
      <c r="AJ79" s="247" t="s">
        <v>1120</v>
      </c>
      <c r="AK79" s="315" t="s">
        <v>1154</v>
      </c>
      <c r="AL79" s="51"/>
      <c r="AM79" s="56"/>
      <c r="AN79" s="51"/>
      <c r="AO79" s="56"/>
      <c r="AP79" s="51"/>
      <c r="AQ79" s="37"/>
      <c r="AR79" s="37"/>
      <c r="AS79" s="37"/>
      <c r="AT79" s="37"/>
      <c r="AU79" s="37"/>
    </row>
    <row r="80" spans="1:47" s="351" customFormat="1" ht="18" customHeight="1" outlineLevel="1">
      <c r="A80" s="332" t="str">
        <f t="shared" si="9"/>
        <v>18043-LM646 09504</v>
      </c>
      <c r="B80" s="310"/>
      <c r="C80" s="332"/>
      <c r="D80" s="310"/>
      <c r="E80" s="315" t="str">
        <f t="shared" si="8"/>
        <v>2nd Floor Power Distribution Plan</v>
      </c>
      <c r="F80" s="310" t="s">
        <v>97</v>
      </c>
      <c r="G80" s="310" t="s">
        <v>34</v>
      </c>
      <c r="H80" s="310" t="s">
        <v>34</v>
      </c>
      <c r="I80" s="310" t="s">
        <v>31</v>
      </c>
      <c r="J80" s="310" t="s">
        <v>116</v>
      </c>
      <c r="K80" s="310" t="s">
        <v>38</v>
      </c>
      <c r="L80" s="310"/>
      <c r="M80" s="310"/>
      <c r="N80" s="38"/>
      <c r="O80" s="536"/>
      <c r="P80" s="432"/>
      <c r="Q80" s="38"/>
      <c r="R80" s="38"/>
      <c r="S80" s="38"/>
      <c r="T80" s="310" t="s">
        <v>98</v>
      </c>
      <c r="U80" s="38"/>
      <c r="V80" s="38"/>
      <c r="W80" s="38"/>
      <c r="X80" s="247">
        <v>100</v>
      </c>
      <c r="Y80" s="247"/>
      <c r="Z80" s="247" t="s">
        <v>1086</v>
      </c>
      <c r="AA80" s="310"/>
      <c r="AB80" s="310"/>
      <c r="AC80" s="310"/>
      <c r="AD80" s="246"/>
      <c r="AE80" s="315"/>
      <c r="AF80" s="315"/>
      <c r="AG80" s="315"/>
      <c r="AH80" s="248"/>
      <c r="AI80" s="249"/>
      <c r="AJ80" s="247" t="s">
        <v>1120</v>
      </c>
      <c r="AK80" s="315" t="s">
        <v>1155</v>
      </c>
      <c r="AL80" s="51"/>
      <c r="AM80" s="56"/>
      <c r="AN80" s="51"/>
      <c r="AO80" s="56"/>
      <c r="AP80" s="51"/>
      <c r="AQ80" s="37"/>
      <c r="AR80" s="37"/>
      <c r="AS80" s="37"/>
      <c r="AT80" s="37"/>
      <c r="AU80" s="37"/>
    </row>
    <row r="81" spans="1:47" s="351" customFormat="1" ht="18" customHeight="1" outlineLevel="1">
      <c r="A81" s="332" t="str">
        <f t="shared" si="9"/>
        <v>18043-LM646 09505</v>
      </c>
      <c r="B81" s="310"/>
      <c r="C81" s="332"/>
      <c r="D81" s="310"/>
      <c r="E81" s="315" t="str">
        <f t="shared" si="8"/>
        <v>2.1nd Floor and 2.2nd Floor Power Distribution Plan</v>
      </c>
      <c r="F81" s="310" t="s">
        <v>97</v>
      </c>
      <c r="G81" s="310" t="s">
        <v>34</v>
      </c>
      <c r="H81" s="310" t="s">
        <v>34</v>
      </c>
      <c r="I81" s="310"/>
      <c r="J81" s="310" t="s">
        <v>31</v>
      </c>
      <c r="K81" s="310" t="s">
        <v>116</v>
      </c>
      <c r="L81" s="310"/>
      <c r="M81" s="310"/>
      <c r="N81" s="38"/>
      <c r="O81" s="536"/>
      <c r="P81" s="432"/>
      <c r="Q81" s="38"/>
      <c r="R81" s="38"/>
      <c r="S81" s="38"/>
      <c r="T81" s="310" t="s">
        <v>98</v>
      </c>
      <c r="U81" s="38"/>
      <c r="V81" s="38"/>
      <c r="W81" s="38"/>
      <c r="X81" s="247">
        <v>100</v>
      </c>
      <c r="Y81" s="247"/>
      <c r="Z81" s="247" t="s">
        <v>1086</v>
      </c>
      <c r="AA81" s="310"/>
      <c r="AB81" s="310"/>
      <c r="AC81" s="310"/>
      <c r="AD81" s="246"/>
      <c r="AE81" s="315"/>
      <c r="AF81" s="315"/>
      <c r="AG81" s="315"/>
      <c r="AH81" s="248"/>
      <c r="AI81" s="249"/>
      <c r="AJ81" s="247" t="s">
        <v>1120</v>
      </c>
      <c r="AK81" s="315" t="s">
        <v>1156</v>
      </c>
      <c r="AL81" s="51"/>
      <c r="AM81" s="56"/>
      <c r="AN81" s="51"/>
      <c r="AO81" s="56"/>
      <c r="AP81" s="51"/>
      <c r="AQ81" s="37"/>
      <c r="AR81" s="37"/>
      <c r="AS81" s="37"/>
      <c r="AT81" s="37"/>
      <c r="AU81" s="37"/>
    </row>
    <row r="82" spans="1:47" s="351" customFormat="1" ht="18" customHeight="1" outlineLevel="1">
      <c r="A82" s="332" t="str">
        <f t="shared" si="9"/>
        <v>18043-LM646 09701</v>
      </c>
      <c r="B82" s="310"/>
      <c r="C82" s="332"/>
      <c r="D82" s="310"/>
      <c r="E82" s="315" t="str">
        <f t="shared" si="8"/>
        <v>Lightning Protection System Plan</v>
      </c>
      <c r="F82" s="310" t="s">
        <v>97</v>
      </c>
      <c r="G82" s="310" t="s">
        <v>34</v>
      </c>
      <c r="H82" s="310" t="s">
        <v>34</v>
      </c>
      <c r="I82" s="310"/>
      <c r="J82" s="310"/>
      <c r="K82" s="310"/>
      <c r="L82" s="310"/>
      <c r="M82" s="310"/>
      <c r="N82" s="38"/>
      <c r="O82" s="536"/>
      <c r="P82" s="432"/>
      <c r="Q82" s="38"/>
      <c r="R82" s="38"/>
      <c r="S82" s="38"/>
      <c r="T82" s="310" t="s">
        <v>98</v>
      </c>
      <c r="U82" s="38"/>
      <c r="V82" s="38"/>
      <c r="W82" s="38"/>
      <c r="X82" s="247">
        <v>100</v>
      </c>
      <c r="Y82" s="247"/>
      <c r="Z82" s="247" t="s">
        <v>1100</v>
      </c>
      <c r="AA82" s="310"/>
      <c r="AB82" s="310"/>
      <c r="AC82" s="310"/>
      <c r="AD82" s="246"/>
      <c r="AE82" s="315"/>
      <c r="AF82" s="315"/>
      <c r="AG82" s="315"/>
      <c r="AH82" s="248"/>
      <c r="AI82" s="249"/>
      <c r="AJ82" s="247" t="s">
        <v>1133</v>
      </c>
      <c r="AK82" s="315" t="s">
        <v>1157</v>
      </c>
      <c r="AL82" s="51"/>
      <c r="AM82" s="56"/>
      <c r="AN82" s="51"/>
      <c r="AO82" s="56"/>
      <c r="AP82" s="51"/>
      <c r="AQ82" s="37"/>
      <c r="AR82" s="37"/>
      <c r="AS82" s="37"/>
      <c r="AT82" s="37"/>
      <c r="AU82" s="37"/>
    </row>
    <row r="83" spans="1:47" s="351" customFormat="1" ht="18" customHeight="1" outlineLevel="1">
      <c r="A83" s="332" t="str">
        <f t="shared" si="9"/>
        <v>18043-LM646 09702</v>
      </c>
      <c r="B83" s="310"/>
      <c r="C83" s="332"/>
      <c r="D83" s="310"/>
      <c r="E83" s="315" t="str">
        <f t="shared" si="8"/>
        <v>Grounding System Plan</v>
      </c>
      <c r="F83" s="310" t="s">
        <v>97</v>
      </c>
      <c r="G83" s="310" t="s">
        <v>34</v>
      </c>
      <c r="H83" s="310" t="s">
        <v>34</v>
      </c>
      <c r="I83" s="310"/>
      <c r="J83" s="310"/>
      <c r="K83" s="310"/>
      <c r="L83" s="310"/>
      <c r="M83" s="310"/>
      <c r="N83" s="38"/>
      <c r="O83" s="536"/>
      <c r="P83" s="432"/>
      <c r="Q83" s="38"/>
      <c r="R83" s="38"/>
      <c r="S83" s="38"/>
      <c r="T83" s="310" t="s">
        <v>98</v>
      </c>
      <c r="U83" s="38"/>
      <c r="V83" s="38"/>
      <c r="W83" s="38"/>
      <c r="X83" s="247">
        <v>100</v>
      </c>
      <c r="Y83" s="247"/>
      <c r="Z83" s="247" t="s">
        <v>1100</v>
      </c>
      <c r="AA83" s="310"/>
      <c r="AB83" s="310"/>
      <c r="AC83" s="310"/>
      <c r="AD83" s="246"/>
      <c r="AE83" s="315"/>
      <c r="AF83" s="315"/>
      <c r="AG83" s="315"/>
      <c r="AH83" s="248"/>
      <c r="AI83" s="249"/>
      <c r="AJ83" s="247" t="s">
        <v>1133</v>
      </c>
      <c r="AK83" s="315" t="s">
        <v>1158</v>
      </c>
      <c r="AL83" s="51"/>
      <c r="AM83" s="56"/>
      <c r="AN83" s="51"/>
      <c r="AO83" s="56"/>
      <c r="AP83" s="51"/>
      <c r="AQ83" s="37"/>
      <c r="AR83" s="37"/>
      <c r="AS83" s="37"/>
      <c r="AT83" s="37"/>
      <c r="AU83" s="37"/>
    </row>
    <row r="84" spans="1:47" s="351" customFormat="1" ht="18" customHeight="1" outlineLevel="1">
      <c r="A84" s="41"/>
      <c r="B84" s="38"/>
      <c r="C84" s="41"/>
      <c r="D84" s="38"/>
      <c r="E84" s="37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171"/>
      <c r="AE84" s="55"/>
      <c r="AF84" s="55"/>
      <c r="AG84" s="55"/>
      <c r="AH84" s="52"/>
      <c r="AI84" s="56"/>
      <c r="AJ84" s="51"/>
      <c r="AK84" s="56"/>
      <c r="AL84" s="51"/>
      <c r="AM84" s="56"/>
      <c r="AN84" s="51"/>
      <c r="AO84" s="56"/>
      <c r="AP84" s="51"/>
      <c r="AQ84" s="37"/>
      <c r="AR84" s="37"/>
      <c r="AS84" s="37"/>
      <c r="AT84" s="37"/>
      <c r="AU84" s="37"/>
    </row>
    <row r="85" spans="1:47" s="351" customFormat="1" ht="15" customHeight="1">
      <c r="A85" s="37"/>
      <c r="B85" s="38"/>
      <c r="C85" s="41"/>
      <c r="D85" s="38"/>
      <c r="E85" s="39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55"/>
      <c r="Y85" s="55"/>
      <c r="Z85" s="55"/>
      <c r="AA85" s="52"/>
      <c r="AB85" s="56"/>
      <c r="AC85" s="51"/>
      <c r="AD85" s="56"/>
      <c r="AE85" s="51"/>
      <c r="AF85" s="56"/>
      <c r="AG85" s="51"/>
      <c r="AH85" s="56"/>
      <c r="AI85" s="51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</row>
    <row r="86" spans="1:47" s="351" customFormat="1" ht="15" customHeight="1" outlineLevel="1">
      <c r="A86" s="41" t="str">
        <f>"18043-"&amp;LEFT(AK86,11)</f>
        <v>18043-LM646 19101</v>
      </c>
      <c r="B86" s="38"/>
      <c r="C86" s="41"/>
      <c r="D86" s="38"/>
      <c r="E86" s="37" t="str">
        <f>MID(AK86,FIND(" ",AK86,15)+1,100)</f>
        <v>List of Lighting Requirement</v>
      </c>
      <c r="F86" s="38"/>
      <c r="G86" s="38"/>
      <c r="H86" s="38"/>
      <c r="I86" s="38"/>
      <c r="J86" s="38"/>
      <c r="K86" s="38"/>
      <c r="L86" s="38"/>
      <c r="M86" s="38"/>
      <c r="N86" s="37"/>
      <c r="O86" s="38" t="s">
        <v>97</v>
      </c>
      <c r="P86" s="38"/>
      <c r="Q86" s="38"/>
      <c r="R86" s="38"/>
      <c r="S86" s="236">
        <v>0</v>
      </c>
      <c r="T86" s="38" t="s">
        <v>1058</v>
      </c>
      <c r="U86" s="38"/>
      <c r="V86" s="38"/>
      <c r="W86" s="40" t="str" cm="1">
        <f t="array" ref="W86">IF(A86&lt;&gt;"",_xlfn.XLOOKUP(_xlfn.XLOOKUP(TRUE,G86:R86&lt;&gt;"",G86:R86,"-",-1,-1),G86:R86,$G$6:$R$6,,,-1),"")</f>
        <v>Add7</v>
      </c>
      <c r="X86" s="132" t="s">
        <v>117</v>
      </c>
      <c r="Y86" s="55"/>
      <c r="Z86" s="55" t="s">
        <v>1095</v>
      </c>
      <c r="AA86" s="52"/>
      <c r="AB86" s="56"/>
      <c r="AC86" s="51"/>
      <c r="AD86" s="56"/>
      <c r="AE86" s="51"/>
      <c r="AF86" s="56"/>
      <c r="AG86" s="51"/>
      <c r="AH86" s="56"/>
      <c r="AI86" s="51"/>
      <c r="AJ86" s="55" t="s">
        <v>1095</v>
      </c>
      <c r="AK86" s="37" t="s">
        <v>1159</v>
      </c>
      <c r="AL86" s="37"/>
      <c r="AM86" s="37"/>
      <c r="AN86" s="37"/>
      <c r="AO86" s="37"/>
      <c r="AP86" s="37"/>
      <c r="AQ86" s="37"/>
      <c r="AR86" s="37"/>
      <c r="AS86" s="37"/>
      <c r="AT86" s="37"/>
      <c r="AU86" s="37"/>
    </row>
    <row r="87" spans="1:47" s="50" customFormat="1" ht="15" customHeight="1" outlineLevel="1">
      <c r="A87" s="41" t="str">
        <f t="shared" ref="A87:A112" si="10">"18043-"&amp;LEFT(AK87,11)</f>
        <v>18043-LM646 19102</v>
      </c>
      <c r="B87" s="38"/>
      <c r="C87" s="41"/>
      <c r="D87" s="38"/>
      <c r="E87" s="37" t="str">
        <f>MID(AK87,FIND(" ",AK87,15)+1,100)</f>
        <v>Ground Floor Lighting Plan</v>
      </c>
      <c r="F87" s="38"/>
      <c r="G87" s="38"/>
      <c r="H87" s="38"/>
      <c r="I87" s="38"/>
      <c r="J87" s="38"/>
      <c r="K87" s="38"/>
      <c r="L87" s="38"/>
      <c r="M87" s="38"/>
      <c r="N87" s="37"/>
      <c r="O87" s="38" t="s">
        <v>97</v>
      </c>
      <c r="P87" s="38" t="s">
        <v>97</v>
      </c>
      <c r="Q87" s="38"/>
      <c r="R87" s="38"/>
      <c r="S87" s="236">
        <v>0</v>
      </c>
      <c r="T87" s="38" t="s">
        <v>98</v>
      </c>
      <c r="U87" s="40"/>
      <c r="V87" s="40"/>
      <c r="W87" s="40" t="str" cm="1">
        <f t="array" ref="W87">IF(A87&lt;&gt;"",_xlfn.XLOOKUP(_xlfn.XLOOKUP(TRUE,G87:R87&lt;&gt;"",G87:R87,"-",-1,-1),G87:R87,$G$6:$R$6,,,-1),"")</f>
        <v>Permit</v>
      </c>
      <c r="X87" s="55">
        <v>100</v>
      </c>
      <c r="Y87" s="55"/>
      <c r="Z87" s="55" t="s">
        <v>1095</v>
      </c>
      <c r="AA87" s="52"/>
      <c r="AB87" s="56"/>
      <c r="AC87" s="51"/>
      <c r="AD87" s="56"/>
      <c r="AE87" s="51"/>
      <c r="AF87" s="56"/>
      <c r="AG87" s="51"/>
      <c r="AH87" s="56"/>
      <c r="AI87" s="51"/>
      <c r="AJ87" s="55" t="s">
        <v>1120</v>
      </c>
      <c r="AK87" s="37" t="s">
        <v>1160</v>
      </c>
      <c r="AL87" s="37"/>
      <c r="AM87" s="37"/>
      <c r="AN87" s="37"/>
      <c r="AO87" s="37"/>
      <c r="AP87" s="37"/>
      <c r="AQ87" s="37"/>
      <c r="AR87" s="37"/>
      <c r="AS87" s="37"/>
      <c r="AT87" s="37"/>
      <c r="AU87" s="37"/>
    </row>
    <row r="88" spans="1:47" s="50" customFormat="1" ht="15" customHeight="1" outlineLevel="1">
      <c r="A88" s="41" t="str">
        <f>"18043-"&amp;LEFT(AK88,11)</f>
        <v>18043-LM646 19103</v>
      </c>
      <c r="B88" s="38"/>
      <c r="C88" s="41"/>
      <c r="D88" s="38"/>
      <c r="E88" s="37" t="str">
        <f>MID(AK88,FIND(" ",AK88,15)+1,100)</f>
        <v>AHU Platform 1 Lighting Plan</v>
      </c>
      <c r="F88" s="38"/>
      <c r="G88" s="38"/>
      <c r="H88" s="38"/>
      <c r="I88" s="38"/>
      <c r="J88" s="38"/>
      <c r="K88" s="38"/>
      <c r="L88" s="38"/>
      <c r="M88" s="38"/>
      <c r="N88" s="37"/>
      <c r="O88" s="38" t="s">
        <v>97</v>
      </c>
      <c r="P88" s="38" t="s">
        <v>97</v>
      </c>
      <c r="Q88" s="446" t="s">
        <v>34</v>
      </c>
      <c r="R88" s="38"/>
      <c r="S88" s="236">
        <v>0</v>
      </c>
      <c r="T88" s="38" t="s">
        <v>98</v>
      </c>
      <c r="U88" s="40"/>
      <c r="V88" s="40"/>
      <c r="W88" s="40" t="str" cm="1">
        <f t="array" ref="W88">IF(A88&lt;&gt;"",_xlfn.XLOOKUP(_xlfn.XLOOKUP(TRUE,G88:R88&lt;&gt;"",G88:R88,"-",-1,-1),G88:R88,$G$6:$R$6,,,-1),"")</f>
        <v>Add8</v>
      </c>
      <c r="X88" s="55">
        <v>100</v>
      </c>
      <c r="Y88" s="55"/>
      <c r="Z88" s="55" t="s">
        <v>1095</v>
      </c>
      <c r="AA88" s="52"/>
      <c r="AB88" s="56"/>
      <c r="AC88" s="51"/>
      <c r="AD88" s="56"/>
      <c r="AE88" s="51"/>
      <c r="AF88" s="56"/>
      <c r="AG88" s="51"/>
      <c r="AH88" s="56"/>
      <c r="AI88" s="51"/>
      <c r="AJ88" s="55" t="s">
        <v>1120</v>
      </c>
      <c r="AK88" s="37" t="s">
        <v>1161</v>
      </c>
      <c r="AL88" s="37"/>
      <c r="AM88" s="37"/>
      <c r="AN88" s="37"/>
      <c r="AO88" s="37"/>
      <c r="AP88" s="37"/>
      <c r="AQ88" s="37"/>
      <c r="AR88" s="37"/>
      <c r="AS88" s="37"/>
      <c r="AT88" s="37"/>
      <c r="AU88" s="37"/>
    </row>
    <row r="89" spans="1:47" s="50" customFormat="1" ht="15" customHeight="1" outlineLevel="1">
      <c r="A89" s="41" t="str">
        <f t="shared" si="10"/>
        <v>18043-LM646 19104</v>
      </c>
      <c r="B89" s="38"/>
      <c r="C89" s="41"/>
      <c r="D89" s="38"/>
      <c r="E89" s="37" t="str">
        <f>MID(AK89,FIND(" ",AK89,15)+1,100)</f>
        <v>2nd Floor and 2.1nd Floor Lighting Plan</v>
      </c>
      <c r="F89" s="38"/>
      <c r="G89" s="38"/>
      <c r="H89" s="38"/>
      <c r="I89" s="38"/>
      <c r="J89" s="38"/>
      <c r="K89" s="38"/>
      <c r="L89" s="38"/>
      <c r="M89" s="38"/>
      <c r="N89" s="37"/>
      <c r="O89" s="38" t="s">
        <v>97</v>
      </c>
      <c r="P89" s="38" t="s">
        <v>97</v>
      </c>
      <c r="Q89" s="38"/>
      <c r="R89" s="484" t="s">
        <v>34</v>
      </c>
      <c r="S89" s="236">
        <v>0</v>
      </c>
      <c r="T89" s="38" t="s">
        <v>98</v>
      </c>
      <c r="U89" s="40"/>
      <c r="V89" s="40"/>
      <c r="W89" s="40" t="str" cm="1">
        <f t="array" ref="W89">IF(A89&lt;&gt;"",_xlfn.XLOOKUP(_xlfn.XLOOKUP(TRUE,G89:R89&lt;&gt;"",G89:R89,"-",-1,-1),G89:R89,$G$6:$R$6,,,-1),"")</f>
        <v>Add9</v>
      </c>
      <c r="X89" s="55">
        <v>100</v>
      </c>
      <c r="Y89" s="55"/>
      <c r="Z89" s="55" t="s">
        <v>1095</v>
      </c>
      <c r="AA89" s="52"/>
      <c r="AB89" s="56"/>
      <c r="AC89" s="51"/>
      <c r="AD89" s="56"/>
      <c r="AE89" s="51"/>
      <c r="AF89" s="56"/>
      <c r="AG89" s="51"/>
      <c r="AH89" s="56"/>
      <c r="AI89" s="51"/>
      <c r="AJ89" s="55" t="s">
        <v>1120</v>
      </c>
      <c r="AK89" s="37" t="s">
        <v>1162</v>
      </c>
      <c r="AL89" s="37"/>
      <c r="AM89" s="37"/>
      <c r="AN89" s="37"/>
      <c r="AO89" s="37"/>
      <c r="AP89" s="37"/>
      <c r="AQ89" s="37"/>
      <c r="AR89" s="37"/>
      <c r="AS89" s="37"/>
      <c r="AT89" s="37"/>
      <c r="AU89" s="37"/>
    </row>
    <row r="90" spans="1:47" s="50" customFormat="1" ht="15" customHeight="1" outlineLevel="1">
      <c r="A90" s="41" t="str">
        <f t="shared" si="10"/>
        <v>18043-LM646 19105</v>
      </c>
      <c r="B90" s="38"/>
      <c r="C90" s="41"/>
      <c r="D90" s="38"/>
      <c r="E90" s="37" t="str">
        <f t="shared" ref="E90" si="11">MID(AK90,FIND(" ",AK90,15)+1,100)</f>
        <v>AHU Platform 2 Lighting Plan</v>
      </c>
      <c r="F90" s="38"/>
      <c r="G90" s="38"/>
      <c r="H90" s="38"/>
      <c r="I90" s="38"/>
      <c r="J90" s="38"/>
      <c r="K90" s="38"/>
      <c r="L90" s="38"/>
      <c r="M90" s="38"/>
      <c r="N90" s="37"/>
      <c r="O90" s="38" t="s">
        <v>97</v>
      </c>
      <c r="P90" s="38" t="s">
        <v>97</v>
      </c>
      <c r="Q90" s="446" t="s">
        <v>34</v>
      </c>
      <c r="R90" s="38"/>
      <c r="S90" s="236">
        <v>0</v>
      </c>
      <c r="T90" s="38" t="s">
        <v>98</v>
      </c>
      <c r="U90" s="40"/>
      <c r="V90" s="40"/>
      <c r="W90" s="40" t="str" cm="1">
        <f t="array" ref="W90">IF(A90&lt;&gt;"",_xlfn.XLOOKUP(_xlfn.XLOOKUP(TRUE,G90:R90&lt;&gt;"",G90:R90,"-",-1,-1),G90:R90,$G$6:$R$6,,,-1),"")</f>
        <v>Add8</v>
      </c>
      <c r="X90" s="55">
        <v>100</v>
      </c>
      <c r="Y90" s="55"/>
      <c r="Z90" s="55" t="s">
        <v>1095</v>
      </c>
      <c r="AA90" s="52"/>
      <c r="AB90" s="56"/>
      <c r="AC90" s="51"/>
      <c r="AD90" s="56"/>
      <c r="AE90" s="51"/>
      <c r="AF90" s="56"/>
      <c r="AG90" s="51"/>
      <c r="AH90" s="56"/>
      <c r="AI90" s="51"/>
      <c r="AJ90" s="55" t="s">
        <v>1120</v>
      </c>
      <c r="AK90" s="37" t="s">
        <v>1163</v>
      </c>
      <c r="AL90" s="37"/>
      <c r="AM90" s="37"/>
      <c r="AN90" s="37"/>
      <c r="AO90" s="37"/>
      <c r="AP90" s="37"/>
      <c r="AQ90" s="37"/>
      <c r="AR90" s="37"/>
      <c r="AS90" s="37"/>
      <c r="AT90" s="37"/>
      <c r="AU90" s="37"/>
    </row>
    <row r="91" spans="1:47" s="50" customFormat="1" ht="15" customHeight="1" outlineLevel="1">
      <c r="A91" s="41" t="str">
        <f t="shared" si="10"/>
        <v>18043-LM646 19106</v>
      </c>
      <c r="B91" s="38"/>
      <c r="C91" s="41"/>
      <c r="D91" s="38"/>
      <c r="E91" s="37" t="str">
        <f>MID(AK91,FIND(" ",AK91,15)+1,100)</f>
        <v>3rd Floor and 3.1rd Floor Lighting Plan</v>
      </c>
      <c r="F91" s="38"/>
      <c r="G91" s="38"/>
      <c r="H91" s="38"/>
      <c r="I91" s="38"/>
      <c r="J91" s="38"/>
      <c r="K91" s="38"/>
      <c r="L91" s="38"/>
      <c r="M91" s="38"/>
      <c r="N91" s="37"/>
      <c r="O91" s="38" t="s">
        <v>97</v>
      </c>
      <c r="P91" s="38" t="s">
        <v>97</v>
      </c>
      <c r="Q91" s="38"/>
      <c r="R91" s="38"/>
      <c r="S91" s="236">
        <v>0</v>
      </c>
      <c r="T91" s="38" t="s">
        <v>98</v>
      </c>
      <c r="U91" s="40"/>
      <c r="V91" s="40"/>
      <c r="W91" s="40" t="str" cm="1">
        <f t="array" ref="W91">IF(A91&lt;&gt;"",_xlfn.XLOOKUP(_xlfn.XLOOKUP(TRUE,G91:R91&lt;&gt;"",G91:R91,"-",-1,-1),G91:R91,$G$6:$R$6,,,-1),"")</f>
        <v>Permit</v>
      </c>
      <c r="X91" s="55">
        <v>100</v>
      </c>
      <c r="Y91" s="55"/>
      <c r="Z91" s="55" t="s">
        <v>1095</v>
      </c>
      <c r="AA91" s="52"/>
      <c r="AB91" s="56"/>
      <c r="AC91" s="51"/>
      <c r="AD91" s="56"/>
      <c r="AE91" s="51"/>
      <c r="AF91" s="56"/>
      <c r="AG91" s="51"/>
      <c r="AH91" s="56"/>
      <c r="AI91" s="51"/>
      <c r="AJ91" s="55" t="s">
        <v>1120</v>
      </c>
      <c r="AK91" s="37" t="s">
        <v>1164</v>
      </c>
      <c r="AL91" s="37"/>
      <c r="AM91" s="37"/>
      <c r="AN91" s="37"/>
      <c r="AO91" s="37"/>
      <c r="AP91" s="37"/>
      <c r="AQ91" s="37"/>
      <c r="AR91" s="37"/>
      <c r="AS91" s="37"/>
      <c r="AT91" s="37"/>
      <c r="AU91" s="37"/>
    </row>
    <row r="92" spans="1:47" s="50" customFormat="1" ht="15" customHeight="1" outlineLevel="1">
      <c r="A92" s="41" t="str">
        <f t="shared" si="10"/>
        <v>18043-LM646 19107</v>
      </c>
      <c r="B92" s="38"/>
      <c r="C92" s="41"/>
      <c r="D92" s="38"/>
      <c r="E92" s="37" t="str">
        <f t="shared" ref="E92" si="12">MID(AK92,FIND(" ",AK92,15)+1,100)</f>
        <v>AHU Platform 3 Lighting Plan</v>
      </c>
      <c r="F92" s="38"/>
      <c r="G92" s="38"/>
      <c r="H92" s="38"/>
      <c r="I92" s="38"/>
      <c r="J92" s="38"/>
      <c r="K92" s="38"/>
      <c r="L92" s="38"/>
      <c r="M92" s="38"/>
      <c r="N92" s="37"/>
      <c r="O92" s="38" t="s">
        <v>97</v>
      </c>
      <c r="P92" s="38" t="s">
        <v>97</v>
      </c>
      <c r="Q92" s="446" t="s">
        <v>34</v>
      </c>
      <c r="R92" s="38"/>
      <c r="S92" s="236">
        <v>0</v>
      </c>
      <c r="T92" s="38" t="s">
        <v>98</v>
      </c>
      <c r="U92" s="40"/>
      <c r="V92" s="40"/>
      <c r="W92" s="40" t="str" cm="1">
        <f t="array" ref="W92">IF(A92&lt;&gt;"",_xlfn.XLOOKUP(_xlfn.XLOOKUP(TRUE,G92:R92&lt;&gt;"",G92:R92,"-",-1,-1),G92:R92,$G$6:$R$6,,,-1),"")</f>
        <v>Add8</v>
      </c>
      <c r="X92" s="55">
        <v>100</v>
      </c>
      <c r="Y92" s="55"/>
      <c r="Z92" s="55" t="s">
        <v>1095</v>
      </c>
      <c r="AA92" s="52"/>
      <c r="AB92" s="56"/>
      <c r="AC92" s="51"/>
      <c r="AD92" s="56"/>
      <c r="AE92" s="51"/>
      <c r="AF92" s="56"/>
      <c r="AG92" s="51"/>
      <c r="AH92" s="56"/>
      <c r="AI92" s="51"/>
      <c r="AJ92" s="55" t="s">
        <v>1120</v>
      </c>
      <c r="AK92" s="37" t="s">
        <v>1165</v>
      </c>
      <c r="AL92" s="37"/>
      <c r="AM92" s="37"/>
      <c r="AN92" s="37"/>
      <c r="AO92" s="37"/>
      <c r="AP92" s="37"/>
      <c r="AQ92" s="37"/>
      <c r="AR92" s="37"/>
      <c r="AS92" s="37"/>
      <c r="AT92" s="37"/>
      <c r="AU92" s="37"/>
    </row>
    <row r="93" spans="1:47" s="50" customFormat="1" ht="15" customHeight="1" outlineLevel="1">
      <c r="A93" s="41" t="str">
        <f t="shared" ref="A93" si="13">"18043-"&amp;LEFT(AK93,11)</f>
        <v>18043-LM646 19108</v>
      </c>
      <c r="B93" s="38"/>
      <c r="C93" s="41"/>
      <c r="D93" s="38"/>
      <c r="E93" s="37" t="str">
        <f t="shared" ref="E93" si="14">MID(AK93,FIND(" ",AK93,15)+1,100)</f>
        <v>Roof Lighting Plan</v>
      </c>
      <c r="F93" s="38"/>
      <c r="G93" s="38"/>
      <c r="H93" s="38"/>
      <c r="I93" s="38"/>
      <c r="J93" s="38"/>
      <c r="K93" s="38"/>
      <c r="L93" s="38"/>
      <c r="M93" s="38"/>
      <c r="N93" s="37"/>
      <c r="O93" s="38" t="s">
        <v>97</v>
      </c>
      <c r="P93" s="38" t="s">
        <v>97</v>
      </c>
      <c r="Q93" s="38"/>
      <c r="R93" s="484" t="s">
        <v>34</v>
      </c>
      <c r="S93" s="236">
        <v>0</v>
      </c>
      <c r="T93" s="38" t="s">
        <v>98</v>
      </c>
      <c r="U93" s="40"/>
      <c r="V93" s="40"/>
      <c r="W93" s="40" t="str" cm="1">
        <f t="array" ref="W93">IF(A93&lt;&gt;"",_xlfn.XLOOKUP(_xlfn.XLOOKUP(TRUE,G93:R93&lt;&gt;"",G93:R93,"-",-1,-1),G93:R93,$G$6:$R$6,,,-1),"")</f>
        <v>Add9</v>
      </c>
      <c r="X93" s="55">
        <v>100</v>
      </c>
      <c r="Y93" s="55"/>
      <c r="Z93" s="55" t="s">
        <v>1095</v>
      </c>
      <c r="AA93" s="52"/>
      <c r="AB93" s="56"/>
      <c r="AC93" s="51"/>
      <c r="AD93" s="56"/>
      <c r="AE93" s="51"/>
      <c r="AF93" s="56"/>
      <c r="AG93" s="51"/>
      <c r="AH93" s="56"/>
      <c r="AI93" s="51"/>
      <c r="AJ93" s="55" t="s">
        <v>1120</v>
      </c>
      <c r="AK93" s="37" t="s">
        <v>1166</v>
      </c>
      <c r="AL93" s="37"/>
      <c r="AM93" s="37"/>
      <c r="AN93" s="37"/>
      <c r="AO93" s="37"/>
      <c r="AP93" s="37"/>
      <c r="AQ93" s="37"/>
      <c r="AR93" s="37"/>
      <c r="AS93" s="37"/>
      <c r="AT93" s="37"/>
      <c r="AU93" s="37"/>
    </row>
    <row r="94" spans="1:47" s="50" customFormat="1" ht="15" customHeight="1" outlineLevel="1">
      <c r="A94" s="41" t="str">
        <f t="shared" si="10"/>
        <v>18043-LM646 19109</v>
      </c>
      <c r="B94" s="38"/>
      <c r="C94" s="41"/>
      <c r="D94" s="38"/>
      <c r="E94" s="37" t="str">
        <f>MID(AK94,FIND(" ",AK94,15)+1,100)</f>
        <v>Ground Floor and AHU Platform 1 Emergency Light and Exit Light Plan</v>
      </c>
      <c r="F94" s="38"/>
      <c r="G94" s="38"/>
      <c r="H94" s="38"/>
      <c r="I94" s="38"/>
      <c r="J94" s="38"/>
      <c r="K94" s="38"/>
      <c r="L94" s="38"/>
      <c r="M94" s="38"/>
      <c r="N94" s="37"/>
      <c r="O94" s="38" t="s">
        <v>97</v>
      </c>
      <c r="P94" s="38" t="s">
        <v>97</v>
      </c>
      <c r="Q94" s="446" t="s">
        <v>34</v>
      </c>
      <c r="R94" s="38"/>
      <c r="S94" s="236">
        <v>0</v>
      </c>
      <c r="T94" s="38" t="s">
        <v>98</v>
      </c>
      <c r="U94" s="40"/>
      <c r="V94" s="40"/>
      <c r="W94" s="40" t="str" cm="1">
        <f t="array" ref="W94">IF(A94&lt;&gt;"",_xlfn.XLOOKUP(_xlfn.XLOOKUP(TRUE,G94:R94&lt;&gt;"",G94:R94,"-",-1,-1),G94:R94,$G$6:$R$6,,,-1),"")</f>
        <v>Add8</v>
      </c>
      <c r="X94" s="55">
        <v>100</v>
      </c>
      <c r="Y94" s="55"/>
      <c r="Z94" s="55" t="s">
        <v>1095</v>
      </c>
      <c r="AA94" s="52"/>
      <c r="AB94" s="56"/>
      <c r="AC94" s="51"/>
      <c r="AD94" s="56"/>
      <c r="AE94" s="51"/>
      <c r="AF94" s="56"/>
      <c r="AG94" s="51"/>
      <c r="AH94" s="56"/>
      <c r="AI94" s="51"/>
      <c r="AJ94" s="55" t="s">
        <v>1120</v>
      </c>
      <c r="AK94" s="37" t="s">
        <v>1167</v>
      </c>
      <c r="AL94" s="37"/>
      <c r="AM94" s="37"/>
      <c r="AN94" s="37"/>
      <c r="AO94" s="37"/>
      <c r="AP94" s="37"/>
      <c r="AQ94" s="37"/>
      <c r="AR94" s="37"/>
      <c r="AS94" s="37"/>
      <c r="AT94" s="37"/>
      <c r="AU94" s="37"/>
    </row>
    <row r="95" spans="1:47" s="50" customFormat="1" ht="15" customHeight="1" outlineLevel="1">
      <c r="A95" s="41" t="str">
        <f t="shared" si="10"/>
        <v>18043-LM646 19110</v>
      </c>
      <c r="B95" s="38"/>
      <c r="C95" s="41"/>
      <c r="D95" s="38"/>
      <c r="E95" s="37" t="str">
        <f t="shared" ref="E95:E98" si="15">MID(AK95,FIND(" ",AK95,15)+1,100)</f>
        <v>2nd Floor and 2.1nd Floor Emergency Light and Exit Light Plan</v>
      </c>
      <c r="F95" s="38"/>
      <c r="G95" s="38"/>
      <c r="H95" s="38"/>
      <c r="I95" s="38"/>
      <c r="J95" s="38"/>
      <c r="K95" s="38"/>
      <c r="L95" s="38"/>
      <c r="M95" s="38"/>
      <c r="N95" s="37"/>
      <c r="O95" s="38" t="s">
        <v>97</v>
      </c>
      <c r="P95" s="38" t="s">
        <v>97</v>
      </c>
      <c r="Q95" s="446" t="s">
        <v>34</v>
      </c>
      <c r="R95" s="484" t="s">
        <v>31</v>
      </c>
      <c r="S95" s="236">
        <v>0</v>
      </c>
      <c r="T95" s="38" t="s">
        <v>98</v>
      </c>
      <c r="U95" s="40"/>
      <c r="V95" s="40"/>
      <c r="W95" s="40" t="str" cm="1">
        <f t="array" ref="W95">IF(A95&lt;&gt;"",_xlfn.XLOOKUP(_xlfn.XLOOKUP(TRUE,G95:R95&lt;&gt;"",G95:R95,"-",-1,-1),G95:R95,$G$6:$R$6,,,-1),"")</f>
        <v>Add9</v>
      </c>
      <c r="X95" s="55">
        <v>100</v>
      </c>
      <c r="Y95" s="55"/>
      <c r="Z95" s="55" t="s">
        <v>1095</v>
      </c>
      <c r="AA95" s="52"/>
      <c r="AB95" s="56"/>
      <c r="AC95" s="51"/>
      <c r="AD95" s="56"/>
      <c r="AE95" s="51"/>
      <c r="AF95" s="56"/>
      <c r="AG95" s="51"/>
      <c r="AH95" s="56"/>
      <c r="AI95" s="51"/>
      <c r="AJ95" s="55" t="s">
        <v>1120</v>
      </c>
      <c r="AK95" s="37" t="s">
        <v>1168</v>
      </c>
      <c r="AL95" s="37"/>
      <c r="AM95" s="37"/>
      <c r="AN95" s="37"/>
      <c r="AO95" s="37"/>
      <c r="AP95" s="37"/>
      <c r="AQ95" s="37"/>
      <c r="AR95" s="37"/>
      <c r="AS95" s="37"/>
      <c r="AT95" s="37"/>
      <c r="AU95" s="37"/>
    </row>
    <row r="96" spans="1:47" s="50" customFormat="1" ht="15" customHeight="1" outlineLevel="1">
      <c r="A96" s="41" t="str">
        <f t="shared" si="10"/>
        <v>18043-LM646 19111</v>
      </c>
      <c r="B96" s="38"/>
      <c r="C96" s="41"/>
      <c r="D96" s="38"/>
      <c r="E96" s="37" t="str">
        <f t="shared" si="15"/>
        <v>AHU Platform 2 Emergency Light and Exit Light Plan</v>
      </c>
      <c r="F96" s="38"/>
      <c r="G96" s="38"/>
      <c r="H96" s="38"/>
      <c r="I96" s="38"/>
      <c r="J96" s="38"/>
      <c r="K96" s="38"/>
      <c r="L96" s="38"/>
      <c r="M96" s="38"/>
      <c r="N96" s="37"/>
      <c r="O96" s="38" t="s">
        <v>97</v>
      </c>
      <c r="P96" s="38" t="s">
        <v>97</v>
      </c>
      <c r="Q96" s="448" t="s">
        <v>34</v>
      </c>
      <c r="R96" s="383"/>
      <c r="S96" s="236">
        <v>0</v>
      </c>
      <c r="T96" s="38" t="s">
        <v>98</v>
      </c>
      <c r="U96" s="40"/>
      <c r="V96" s="40"/>
      <c r="W96" s="40" t="str" cm="1">
        <f t="array" ref="W96">IF(A96&lt;&gt;"",_xlfn.XLOOKUP(_xlfn.XLOOKUP(TRUE,G96:R96&lt;&gt;"",G96:R96,"-",-1,-1),G96:R96,$G$6:$R$6,,,-1),"")</f>
        <v>Add8</v>
      </c>
      <c r="X96" s="55">
        <v>100</v>
      </c>
      <c r="Y96" s="55"/>
      <c r="Z96" s="55" t="s">
        <v>1095</v>
      </c>
      <c r="AA96" s="52"/>
      <c r="AB96" s="56"/>
      <c r="AC96" s="51"/>
      <c r="AD96" s="56"/>
      <c r="AE96" s="51"/>
      <c r="AF96" s="56"/>
      <c r="AG96" s="51"/>
      <c r="AH96" s="56"/>
      <c r="AI96" s="51"/>
      <c r="AJ96" s="55" t="s">
        <v>1120</v>
      </c>
      <c r="AK96" s="37" t="s">
        <v>1169</v>
      </c>
      <c r="AL96" s="37"/>
      <c r="AM96" s="37"/>
      <c r="AN96" s="37"/>
      <c r="AO96" s="37"/>
      <c r="AP96" s="37"/>
      <c r="AQ96" s="37"/>
      <c r="AR96" s="37"/>
      <c r="AS96" s="37"/>
      <c r="AT96" s="37"/>
      <c r="AU96" s="37"/>
    </row>
    <row r="97" spans="1:47" s="50" customFormat="1" ht="15" customHeight="1" outlineLevel="1">
      <c r="A97" s="41" t="str">
        <f t="shared" si="10"/>
        <v>18043-LM646 19112</v>
      </c>
      <c r="B97" s="38"/>
      <c r="C97" s="41"/>
      <c r="D97" s="38"/>
      <c r="E97" s="37" t="str">
        <f t="shared" si="15"/>
        <v>3rd Floor and 3.1rd Floor Emergency Light and Exit Light Plan</v>
      </c>
      <c r="F97" s="38"/>
      <c r="G97" s="38"/>
      <c r="H97" s="38"/>
      <c r="I97" s="38"/>
      <c r="J97" s="38"/>
      <c r="K97" s="38"/>
      <c r="L97" s="38"/>
      <c r="M97" s="38"/>
      <c r="N97" s="37"/>
      <c r="O97" s="38" t="s">
        <v>97</v>
      </c>
      <c r="P97" s="38" t="s">
        <v>97</v>
      </c>
      <c r="Q97" s="446" t="s">
        <v>34</v>
      </c>
      <c r="R97" s="38"/>
      <c r="S97" s="236">
        <v>0</v>
      </c>
      <c r="T97" s="38" t="s">
        <v>98</v>
      </c>
      <c r="U97" s="40"/>
      <c r="V97" s="40"/>
      <c r="W97" s="40" t="str" cm="1">
        <f t="array" ref="W97">IF(A97&lt;&gt;"",_xlfn.XLOOKUP(_xlfn.XLOOKUP(TRUE,G97:R97&lt;&gt;"",G97:R97,"-",-1,-1),G97:R97,$G$6:$R$6,,,-1),"")</f>
        <v>Add8</v>
      </c>
      <c r="X97" s="55">
        <v>100</v>
      </c>
      <c r="Y97" s="55"/>
      <c r="Z97" s="55" t="s">
        <v>1095</v>
      </c>
      <c r="AA97" s="52"/>
      <c r="AB97" s="56"/>
      <c r="AC97" s="51"/>
      <c r="AD97" s="56"/>
      <c r="AE97" s="51"/>
      <c r="AF97" s="56"/>
      <c r="AG97" s="51"/>
      <c r="AH97" s="56"/>
      <c r="AI97" s="51"/>
      <c r="AJ97" s="55" t="s">
        <v>1120</v>
      </c>
      <c r="AK97" s="37" t="s">
        <v>1170</v>
      </c>
      <c r="AL97" s="37"/>
      <c r="AM97" s="37"/>
      <c r="AN97" s="37"/>
      <c r="AO97" s="37"/>
      <c r="AP97" s="37"/>
      <c r="AQ97" s="37"/>
      <c r="AR97" s="37"/>
      <c r="AS97" s="37"/>
      <c r="AT97" s="37"/>
      <c r="AU97" s="37"/>
    </row>
    <row r="98" spans="1:47" s="50" customFormat="1" ht="15" customHeight="1" outlineLevel="1">
      <c r="A98" s="41" t="str">
        <f t="shared" si="10"/>
        <v>18043-LM646 19113</v>
      </c>
      <c r="B98" s="38"/>
      <c r="C98" s="41"/>
      <c r="D98" s="38"/>
      <c r="E98" s="37" t="str">
        <f t="shared" si="15"/>
        <v>AHU Platform 3 Emergency Light and Exit Light Plan</v>
      </c>
      <c r="F98" s="38"/>
      <c r="G98" s="38"/>
      <c r="H98" s="38"/>
      <c r="I98" s="38"/>
      <c r="J98" s="38"/>
      <c r="K98" s="38"/>
      <c r="L98" s="38"/>
      <c r="M98" s="38"/>
      <c r="N98" s="37"/>
      <c r="O98" s="38" t="s">
        <v>97</v>
      </c>
      <c r="P98" s="38" t="s">
        <v>97</v>
      </c>
      <c r="Q98" s="38"/>
      <c r="R98" s="38"/>
      <c r="S98" s="236">
        <v>0</v>
      </c>
      <c r="T98" s="38" t="s">
        <v>98</v>
      </c>
      <c r="U98" s="40"/>
      <c r="V98" s="40"/>
      <c r="W98" s="40" t="str" cm="1">
        <f t="array" ref="W98">IF(A98&lt;&gt;"",_xlfn.XLOOKUP(_xlfn.XLOOKUP(TRUE,G98:R98&lt;&gt;"",G98:R98,"-",-1,-1),G98:R98,$G$6:$R$6,,,-1),"")</f>
        <v>Permit</v>
      </c>
      <c r="X98" s="55">
        <v>100</v>
      </c>
      <c r="Y98" s="55"/>
      <c r="Z98" s="55" t="s">
        <v>1095</v>
      </c>
      <c r="AA98" s="52"/>
      <c r="AB98" s="56"/>
      <c r="AC98" s="51"/>
      <c r="AD98" s="56"/>
      <c r="AE98" s="51"/>
      <c r="AF98" s="56"/>
      <c r="AG98" s="51"/>
      <c r="AH98" s="56"/>
      <c r="AI98" s="51"/>
      <c r="AJ98" s="55" t="s">
        <v>1120</v>
      </c>
      <c r="AK98" s="37" t="s">
        <v>1171</v>
      </c>
      <c r="AL98" s="37"/>
      <c r="AM98" s="37"/>
      <c r="AN98" s="37"/>
      <c r="AO98" s="37"/>
      <c r="AP98" s="37"/>
      <c r="AQ98" s="37"/>
      <c r="AR98" s="37"/>
      <c r="AS98" s="37"/>
      <c r="AT98" s="37"/>
      <c r="AU98" s="37"/>
    </row>
    <row r="99" spans="1:47" s="50" customFormat="1" ht="15" customHeight="1" outlineLevel="1">
      <c r="A99" s="41" t="str">
        <f t="shared" ref="A99" si="16">"18043-"&amp;LEFT(AK99,11)</f>
        <v>18043-LM646 19114</v>
      </c>
      <c r="B99" s="38"/>
      <c r="C99" s="41"/>
      <c r="D99" s="38"/>
      <c r="E99" s="37" t="str">
        <f t="shared" ref="E99" si="17">MID(AK99,FIND(" ",AK99,15)+1,100)</f>
        <v>Roof Emergency Light and Exit Light Plan</v>
      </c>
      <c r="F99" s="38"/>
      <c r="G99" s="38"/>
      <c r="H99" s="38"/>
      <c r="I99" s="38"/>
      <c r="J99" s="38"/>
      <c r="K99" s="38"/>
      <c r="L99" s="38"/>
      <c r="M99" s="38"/>
      <c r="N99" s="37"/>
      <c r="O99" s="38" t="s">
        <v>97</v>
      </c>
      <c r="P99" s="38" t="s">
        <v>97</v>
      </c>
      <c r="Q99" s="448" t="s">
        <v>34</v>
      </c>
      <c r="R99" s="383"/>
      <c r="S99" s="236">
        <v>0</v>
      </c>
      <c r="T99" s="38" t="s">
        <v>98</v>
      </c>
      <c r="U99" s="40"/>
      <c r="V99" s="40"/>
      <c r="W99" s="40" t="str" cm="1">
        <f t="array" ref="W99">IF(A99&lt;&gt;"",_xlfn.XLOOKUP(_xlfn.XLOOKUP(TRUE,G99:R99&lt;&gt;"",G99:R99,"-",-1,-1),G99:R99,$G$6:$R$6,,,-1),"")</f>
        <v>Add8</v>
      </c>
      <c r="X99" s="55">
        <v>100</v>
      </c>
      <c r="Y99" s="55"/>
      <c r="Z99" s="55" t="s">
        <v>1095</v>
      </c>
      <c r="AA99" s="52"/>
      <c r="AB99" s="56"/>
      <c r="AC99" s="51"/>
      <c r="AD99" s="56"/>
      <c r="AE99" s="51"/>
      <c r="AF99" s="56"/>
      <c r="AG99" s="51"/>
      <c r="AH99" s="56"/>
      <c r="AI99" s="51"/>
      <c r="AJ99" s="55" t="s">
        <v>1120</v>
      </c>
      <c r="AK99" s="37" t="s">
        <v>1172</v>
      </c>
      <c r="AL99" s="37"/>
      <c r="AM99" s="37"/>
      <c r="AN99" s="37"/>
      <c r="AO99" s="37"/>
      <c r="AP99" s="37"/>
      <c r="AQ99" s="37"/>
      <c r="AR99" s="37"/>
      <c r="AS99" s="37"/>
      <c r="AT99" s="37"/>
      <c r="AU99" s="37"/>
    </row>
    <row r="100" spans="1:47" s="50" customFormat="1" ht="15" customHeight="1" outlineLevel="1">
      <c r="A100" s="41" t="str">
        <f t="shared" si="10"/>
        <v>18043-LM646 19115</v>
      </c>
      <c r="B100" s="38"/>
      <c r="C100" s="41"/>
      <c r="D100" s="38"/>
      <c r="E100" s="37" t="str">
        <f>MID(AK100,FIND(" ",AK100,15)+1,100)</f>
        <v>Ground Floor and AHU Platform 1 Receptacle and Power Supply Plan</v>
      </c>
      <c r="F100" s="38"/>
      <c r="G100" s="38"/>
      <c r="H100" s="38"/>
      <c r="I100" s="38"/>
      <c r="J100" s="38"/>
      <c r="K100" s="38"/>
      <c r="L100" s="38"/>
      <c r="M100" s="38"/>
      <c r="N100" s="37"/>
      <c r="O100" s="38" t="s">
        <v>97</v>
      </c>
      <c r="P100" s="38"/>
      <c r="Q100" s="38"/>
      <c r="R100" s="38"/>
      <c r="S100" s="236">
        <v>0</v>
      </c>
      <c r="T100" s="38" t="s">
        <v>98</v>
      </c>
      <c r="U100" s="40"/>
      <c r="V100" s="40"/>
      <c r="W100" s="40" t="str" cm="1">
        <f t="array" ref="W100">IF(A100&lt;&gt;"",_xlfn.XLOOKUP(_xlfn.XLOOKUP(TRUE,G100:R100&lt;&gt;"",G100:R100,"-",-1,-1),G100:R100,$G$6:$R$6,,,-1),"")</f>
        <v>Add7</v>
      </c>
      <c r="X100" s="55">
        <v>100</v>
      </c>
      <c r="Y100" s="55"/>
      <c r="Z100" s="55" t="s">
        <v>1095</v>
      </c>
      <c r="AA100" s="52"/>
      <c r="AB100" s="56"/>
      <c r="AC100" s="51"/>
      <c r="AD100" s="56"/>
      <c r="AE100" s="51"/>
      <c r="AF100" s="56"/>
      <c r="AG100" s="51"/>
      <c r="AH100" s="56"/>
      <c r="AI100" s="51"/>
      <c r="AJ100" s="55" t="s">
        <v>1133</v>
      </c>
      <c r="AK100" s="37" t="s">
        <v>1173</v>
      </c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</row>
    <row r="101" spans="1:47" s="50" customFormat="1" ht="15" customHeight="1" outlineLevel="1">
      <c r="A101" s="41" t="str">
        <f t="shared" si="10"/>
        <v>18043-LM646 19116</v>
      </c>
      <c r="B101" s="38"/>
      <c r="C101" s="41"/>
      <c r="D101" s="38"/>
      <c r="E101" s="37" t="str">
        <f t="shared" ref="E101:E105" si="18">MID(AK101,FIND(" ",AK101,15)+1,100)</f>
        <v>2nd Floor and 2.1nd Floor Receptacle and Power Supply Plan</v>
      </c>
      <c r="F101" s="38"/>
      <c r="G101" s="38"/>
      <c r="H101" s="38"/>
      <c r="I101" s="38"/>
      <c r="J101" s="38"/>
      <c r="K101" s="38"/>
      <c r="L101" s="38"/>
      <c r="M101" s="38"/>
      <c r="N101" s="37"/>
      <c r="O101" s="38" t="s">
        <v>97</v>
      </c>
      <c r="P101" s="38"/>
      <c r="Q101" s="38"/>
      <c r="R101" s="38"/>
      <c r="S101" s="236">
        <v>0</v>
      </c>
      <c r="T101" s="38" t="s">
        <v>98</v>
      </c>
      <c r="U101" s="40"/>
      <c r="V101" s="40"/>
      <c r="W101" s="40" t="str" cm="1">
        <f t="array" ref="W101">IF(A101&lt;&gt;"",_xlfn.XLOOKUP(_xlfn.XLOOKUP(TRUE,G101:R101&lt;&gt;"",G101:R101,"-",-1,-1),G101:R101,$G$6:$R$6,,,-1),"")</f>
        <v>Add7</v>
      </c>
      <c r="X101" s="55">
        <v>100</v>
      </c>
      <c r="Y101" s="55"/>
      <c r="Z101" s="55" t="s">
        <v>1095</v>
      </c>
      <c r="AA101" s="52"/>
      <c r="AB101" s="56"/>
      <c r="AC101" s="51"/>
      <c r="AD101" s="56"/>
      <c r="AE101" s="51"/>
      <c r="AF101" s="56"/>
      <c r="AG101" s="51"/>
      <c r="AH101" s="56"/>
      <c r="AI101" s="51"/>
      <c r="AJ101" s="55" t="s">
        <v>1133</v>
      </c>
      <c r="AK101" s="37" t="s">
        <v>1174</v>
      </c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</row>
    <row r="102" spans="1:47" s="50" customFormat="1" ht="15" customHeight="1" outlineLevel="1">
      <c r="A102" s="41" t="str">
        <f t="shared" si="10"/>
        <v>18043-LM646 19117</v>
      </c>
      <c r="B102" s="38"/>
      <c r="C102" s="41"/>
      <c r="D102" s="38"/>
      <c r="E102" s="37" t="str">
        <f t="shared" si="18"/>
        <v>AHU Platform 2 Receptacle and Power Supply Plan</v>
      </c>
      <c r="F102" s="38"/>
      <c r="G102" s="38"/>
      <c r="H102" s="38"/>
      <c r="I102" s="38"/>
      <c r="J102" s="38"/>
      <c r="K102" s="38"/>
      <c r="L102" s="38"/>
      <c r="M102" s="38"/>
      <c r="N102" s="37"/>
      <c r="O102" s="38" t="s">
        <v>97</v>
      </c>
      <c r="P102" s="38"/>
      <c r="Q102" s="38"/>
      <c r="R102" s="38"/>
      <c r="S102" s="236">
        <v>0</v>
      </c>
      <c r="T102" s="38" t="s">
        <v>98</v>
      </c>
      <c r="U102" s="40"/>
      <c r="V102" s="40"/>
      <c r="W102" s="40" t="str" cm="1">
        <f t="array" ref="W102">IF(A102&lt;&gt;"",_xlfn.XLOOKUP(_xlfn.XLOOKUP(TRUE,G102:R102&lt;&gt;"",G102:R102,"-",-1,-1),G102:R102,$G$6:$R$6,,,-1),"")</f>
        <v>Add7</v>
      </c>
      <c r="X102" s="55">
        <v>100</v>
      </c>
      <c r="Y102" s="55"/>
      <c r="Z102" s="55" t="s">
        <v>1095</v>
      </c>
      <c r="AA102" s="52"/>
      <c r="AB102" s="56"/>
      <c r="AC102" s="51"/>
      <c r="AD102" s="56"/>
      <c r="AE102" s="51"/>
      <c r="AF102" s="56"/>
      <c r="AG102" s="51"/>
      <c r="AH102" s="56"/>
      <c r="AI102" s="51"/>
      <c r="AJ102" s="55" t="s">
        <v>1133</v>
      </c>
      <c r="AK102" s="37" t="s">
        <v>1175</v>
      </c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</row>
    <row r="103" spans="1:47" s="50" customFormat="1" ht="15" customHeight="1" outlineLevel="1">
      <c r="A103" s="41" t="str">
        <f t="shared" si="10"/>
        <v>18043-LM646 19118</v>
      </c>
      <c r="B103" s="38"/>
      <c r="C103" s="41"/>
      <c r="D103" s="38"/>
      <c r="E103" s="37" t="str">
        <f t="shared" si="18"/>
        <v>3rd Floor and 3.1rd Floor Receptacle and Power Supply Plan</v>
      </c>
      <c r="F103" s="38"/>
      <c r="G103" s="38"/>
      <c r="H103" s="38"/>
      <c r="I103" s="38"/>
      <c r="J103" s="38"/>
      <c r="K103" s="38"/>
      <c r="L103" s="38"/>
      <c r="M103" s="38"/>
      <c r="N103" s="37"/>
      <c r="O103" s="38" t="s">
        <v>97</v>
      </c>
      <c r="P103" s="38"/>
      <c r="Q103" s="38"/>
      <c r="R103" s="38"/>
      <c r="S103" s="236">
        <v>0</v>
      </c>
      <c r="T103" s="38" t="s">
        <v>98</v>
      </c>
      <c r="U103" s="40"/>
      <c r="V103" s="40"/>
      <c r="W103" s="40" t="str" cm="1">
        <f t="array" ref="W103">IF(A103&lt;&gt;"",_xlfn.XLOOKUP(_xlfn.XLOOKUP(TRUE,G103:R103&lt;&gt;"",G103:R103,"-",-1,-1),G103:R103,$G$6:$R$6,,,-1),"")</f>
        <v>Add7</v>
      </c>
      <c r="X103" s="55">
        <v>100</v>
      </c>
      <c r="Y103" s="55"/>
      <c r="Z103" s="55" t="s">
        <v>1095</v>
      </c>
      <c r="AA103" s="52"/>
      <c r="AB103" s="56"/>
      <c r="AC103" s="51"/>
      <c r="AD103" s="56"/>
      <c r="AE103" s="51"/>
      <c r="AF103" s="56"/>
      <c r="AG103" s="51"/>
      <c r="AH103" s="56"/>
      <c r="AI103" s="51"/>
      <c r="AJ103" s="55" t="s">
        <v>1133</v>
      </c>
      <c r="AK103" s="37" t="s">
        <v>1176</v>
      </c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</row>
    <row r="104" spans="1:47" s="50" customFormat="1" ht="15" customHeight="1" outlineLevel="1">
      <c r="A104" s="41" t="str">
        <f t="shared" ref="A104" si="19">"18043-"&amp;LEFT(AK104,11)</f>
        <v>18043-LM646 19119</v>
      </c>
      <c r="B104" s="38"/>
      <c r="C104" s="41"/>
      <c r="D104" s="38"/>
      <c r="E104" s="37" t="str">
        <f t="shared" ref="E104" si="20">MID(AK104,FIND(" ",AK104,15)+1,100)</f>
        <v>AHU Platform 3 Receptacle and Power Supply Plan</v>
      </c>
      <c r="F104" s="38"/>
      <c r="G104" s="38"/>
      <c r="H104" s="38"/>
      <c r="I104" s="38"/>
      <c r="J104" s="38"/>
      <c r="K104" s="38"/>
      <c r="L104" s="38"/>
      <c r="M104" s="38"/>
      <c r="N104" s="37"/>
      <c r="O104" s="38" t="s">
        <v>97</v>
      </c>
      <c r="P104" s="38"/>
      <c r="Q104" s="38"/>
      <c r="R104" s="38"/>
      <c r="S104" s="236">
        <v>0</v>
      </c>
      <c r="T104" s="38" t="s">
        <v>98</v>
      </c>
      <c r="U104" s="40"/>
      <c r="V104" s="40"/>
      <c r="W104" s="40" t="str" cm="1">
        <f t="array" ref="W104">IF(A104&lt;&gt;"",_xlfn.XLOOKUP(_xlfn.XLOOKUP(TRUE,G104:R104&lt;&gt;"",G104:R104,"-",-1,-1),G104:R104,$G$6:$R$6,,,-1),"")</f>
        <v>Add7</v>
      </c>
      <c r="X104" s="55">
        <v>100</v>
      </c>
      <c r="Y104" s="55"/>
      <c r="Z104" s="55" t="s">
        <v>1095</v>
      </c>
      <c r="AA104" s="52"/>
      <c r="AB104" s="56"/>
      <c r="AC104" s="51"/>
      <c r="AD104" s="56"/>
      <c r="AE104" s="51"/>
      <c r="AF104" s="56"/>
      <c r="AG104" s="51"/>
      <c r="AH104" s="56"/>
      <c r="AI104" s="51"/>
      <c r="AJ104" s="55" t="s">
        <v>1133</v>
      </c>
      <c r="AK104" s="37" t="s">
        <v>1177</v>
      </c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</row>
    <row r="105" spans="1:47" s="50" customFormat="1" ht="15" customHeight="1" outlineLevel="1">
      <c r="A105" s="41" t="str">
        <f t="shared" si="10"/>
        <v>18043-LM646 19120</v>
      </c>
      <c r="B105" s="38"/>
      <c r="C105" s="41"/>
      <c r="D105" s="38"/>
      <c r="E105" s="37" t="str">
        <f t="shared" si="18"/>
        <v>Roof Receptacle and Power Supply Plan</v>
      </c>
      <c r="F105" s="38"/>
      <c r="G105" s="38"/>
      <c r="H105" s="38"/>
      <c r="I105" s="38"/>
      <c r="J105" s="38"/>
      <c r="K105" s="38"/>
      <c r="L105" s="38"/>
      <c r="M105" s="38"/>
      <c r="N105" s="37"/>
      <c r="O105" s="38" t="s">
        <v>97</v>
      </c>
      <c r="P105" s="38"/>
      <c r="Q105" s="38"/>
      <c r="R105" s="38"/>
      <c r="S105" s="236">
        <v>0</v>
      </c>
      <c r="T105" s="38" t="s">
        <v>98</v>
      </c>
      <c r="U105" s="40"/>
      <c r="V105" s="40"/>
      <c r="W105" s="40" t="str" cm="1">
        <f t="array" ref="W105">IF(A105&lt;&gt;"",_xlfn.XLOOKUP(_xlfn.XLOOKUP(TRUE,G105:R105&lt;&gt;"",G105:R105,"-",-1,-1),G105:R105,$G$6:$R$6,,,-1),"")</f>
        <v>Add7</v>
      </c>
      <c r="X105" s="55">
        <v>100</v>
      </c>
      <c r="Y105" s="55"/>
      <c r="Z105" s="55" t="s">
        <v>1095</v>
      </c>
      <c r="AA105" s="52"/>
      <c r="AB105" s="56"/>
      <c r="AC105" s="51"/>
      <c r="AD105" s="56"/>
      <c r="AE105" s="51"/>
      <c r="AF105" s="56"/>
      <c r="AG105" s="51"/>
      <c r="AH105" s="56"/>
      <c r="AI105" s="51"/>
      <c r="AJ105" s="55" t="s">
        <v>1133</v>
      </c>
      <c r="AK105" s="37" t="s">
        <v>1178</v>
      </c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</row>
    <row r="106" spans="1:47" s="50" customFormat="1" ht="15" customHeight="1" outlineLevel="1">
      <c r="A106" s="41" t="str">
        <f t="shared" si="10"/>
        <v>18043-LM646 19201</v>
      </c>
      <c r="B106" s="38"/>
      <c r="C106" s="41"/>
      <c r="D106" s="38"/>
      <c r="E106" s="37" t="str">
        <f>MID(AK106,FIND(" ",AK106,15)+1,100)</f>
        <v>Ground Floor and AHU Platform 1 Fire Alarm Plan</v>
      </c>
      <c r="F106" s="38"/>
      <c r="G106" s="38"/>
      <c r="H106" s="38"/>
      <c r="I106" s="38"/>
      <c r="J106" s="38"/>
      <c r="K106" s="38"/>
      <c r="L106" s="38"/>
      <c r="M106" s="38"/>
      <c r="N106" s="37"/>
      <c r="O106" s="38" t="s">
        <v>97</v>
      </c>
      <c r="P106" s="38" t="s">
        <v>97</v>
      </c>
      <c r="Q106" s="38"/>
      <c r="R106" s="38"/>
      <c r="S106" s="236">
        <v>0</v>
      </c>
      <c r="T106" s="38" t="s">
        <v>98</v>
      </c>
      <c r="U106" s="40"/>
      <c r="V106" s="40"/>
      <c r="W106" s="40" t="str" cm="1">
        <f t="array" ref="W106">IF(A106&lt;&gt;"",_xlfn.XLOOKUP(_xlfn.XLOOKUP(TRUE,G106:R106&lt;&gt;"",G106:R106,"-",-1,-1),G106:R106,$G$6:$R$6,,,-1),"")</f>
        <v>Permit</v>
      </c>
      <c r="X106" s="55">
        <v>100</v>
      </c>
      <c r="Y106" s="55"/>
      <c r="Z106" s="55" t="s">
        <v>1100</v>
      </c>
      <c r="AA106" s="52"/>
      <c r="AB106" s="56"/>
      <c r="AC106" s="51"/>
      <c r="AD106" s="56"/>
      <c r="AE106" s="51"/>
      <c r="AF106" s="56"/>
      <c r="AG106" s="51"/>
      <c r="AH106" s="56"/>
      <c r="AI106" s="51"/>
      <c r="AJ106" s="55" t="s">
        <v>1133</v>
      </c>
      <c r="AK106" s="37" t="s">
        <v>1179</v>
      </c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</row>
    <row r="107" spans="1:47" s="50" customFormat="1" ht="15" customHeight="1" outlineLevel="1">
      <c r="A107" s="41" t="str">
        <f t="shared" si="10"/>
        <v>18043-LM646 19202</v>
      </c>
      <c r="B107" s="38"/>
      <c r="C107" s="41"/>
      <c r="D107" s="38"/>
      <c r="E107" s="37" t="str">
        <f t="shared" ref="E107" si="21">MID(AK107,FIND(" ",AK107,15)+1,100)</f>
        <v>2nd Floor and 2.1nd Floor Fire Alarm Plan</v>
      </c>
      <c r="F107" s="38"/>
      <c r="G107" s="38"/>
      <c r="H107" s="38"/>
      <c r="I107" s="38"/>
      <c r="J107" s="38"/>
      <c r="K107" s="38"/>
      <c r="L107" s="38"/>
      <c r="M107" s="38"/>
      <c r="N107" s="37"/>
      <c r="O107" s="38" t="s">
        <v>97</v>
      </c>
      <c r="P107" s="38" t="s">
        <v>97</v>
      </c>
      <c r="Q107" s="38"/>
      <c r="R107" s="38"/>
      <c r="S107" s="236">
        <v>0</v>
      </c>
      <c r="T107" s="38" t="s">
        <v>98</v>
      </c>
      <c r="U107" s="40"/>
      <c r="V107" s="40"/>
      <c r="W107" s="40" t="str" cm="1">
        <f t="array" ref="W107">IF(A107&lt;&gt;"",_xlfn.XLOOKUP(_xlfn.XLOOKUP(TRUE,G107:R107&lt;&gt;"",G107:R107,"-",-1,-1),G107:R107,$G$6:$R$6,,,-1),"")</f>
        <v>Permit</v>
      </c>
      <c r="X107" s="55">
        <v>100</v>
      </c>
      <c r="Y107" s="55"/>
      <c r="Z107" s="55" t="s">
        <v>1100</v>
      </c>
      <c r="AA107" s="52"/>
      <c r="AB107" s="56"/>
      <c r="AC107" s="51"/>
      <c r="AD107" s="56"/>
      <c r="AE107" s="51"/>
      <c r="AF107" s="56"/>
      <c r="AG107" s="51"/>
      <c r="AH107" s="56"/>
      <c r="AI107" s="51"/>
      <c r="AJ107" s="55" t="s">
        <v>1133</v>
      </c>
      <c r="AK107" s="37" t="s">
        <v>1180</v>
      </c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</row>
    <row r="108" spans="1:47" s="50" customFormat="1" ht="15" customHeight="1" outlineLevel="1">
      <c r="A108" s="41" t="str">
        <f t="shared" ref="A108" si="22">"18043-"&amp;LEFT(AK108,11)</f>
        <v>18043-LM646 19203</v>
      </c>
      <c r="B108" s="38"/>
      <c r="C108" s="41"/>
      <c r="D108" s="38"/>
      <c r="E108" s="37" t="str">
        <f t="shared" ref="E108" si="23">MID(AK108,FIND(" ",AK108,15)+1,100)</f>
        <v>AHU Platform 2 Fire Alarm Plan</v>
      </c>
      <c r="F108" s="38"/>
      <c r="G108" s="38"/>
      <c r="H108" s="38"/>
      <c r="I108" s="38"/>
      <c r="J108" s="38"/>
      <c r="K108" s="38"/>
      <c r="L108" s="38"/>
      <c r="M108" s="38"/>
      <c r="N108" s="37"/>
      <c r="O108" s="38" t="s">
        <v>97</v>
      </c>
      <c r="P108" s="38" t="s">
        <v>97</v>
      </c>
      <c r="Q108" s="38"/>
      <c r="R108" s="38"/>
      <c r="S108" s="236">
        <v>0</v>
      </c>
      <c r="T108" s="38" t="s">
        <v>98</v>
      </c>
      <c r="U108" s="40"/>
      <c r="V108" s="40"/>
      <c r="W108" s="40" t="str" cm="1">
        <f t="array" ref="W108">IF(A108&lt;&gt;"",_xlfn.XLOOKUP(_xlfn.XLOOKUP(TRUE,G108:R108&lt;&gt;"",G108:R108,"-",-1,-1),G108:R108,$G$6:$R$6,,,-1),"")</f>
        <v>Permit</v>
      </c>
      <c r="X108" s="55">
        <v>100</v>
      </c>
      <c r="Y108" s="55"/>
      <c r="Z108" s="55" t="s">
        <v>1100</v>
      </c>
      <c r="AA108" s="52"/>
      <c r="AB108" s="56"/>
      <c r="AC108" s="51"/>
      <c r="AD108" s="56"/>
      <c r="AE108" s="51"/>
      <c r="AF108" s="56"/>
      <c r="AG108" s="51"/>
      <c r="AH108" s="56"/>
      <c r="AI108" s="51"/>
      <c r="AJ108" s="55" t="s">
        <v>1133</v>
      </c>
      <c r="AK108" s="37" t="s">
        <v>1181</v>
      </c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</row>
    <row r="109" spans="1:47" s="50" customFormat="1" ht="15" customHeight="1" outlineLevel="1">
      <c r="A109" s="41" t="str">
        <f t="shared" ref="A109" si="24">"18043-"&amp;LEFT(AK109,11)</f>
        <v>18043-LM646 19204</v>
      </c>
      <c r="B109" s="38"/>
      <c r="C109" s="41"/>
      <c r="D109" s="38"/>
      <c r="E109" s="37" t="str">
        <f t="shared" ref="E109" si="25">MID(AK109,FIND(" ",AK109,15)+1,100)</f>
        <v>3rd Floor and 3.1rd Floor Fire Alarm Plan</v>
      </c>
      <c r="F109" s="38"/>
      <c r="G109" s="38"/>
      <c r="H109" s="38"/>
      <c r="I109" s="38"/>
      <c r="J109" s="38"/>
      <c r="K109" s="38"/>
      <c r="L109" s="38"/>
      <c r="M109" s="38"/>
      <c r="N109" s="37"/>
      <c r="O109" s="38" t="s">
        <v>97</v>
      </c>
      <c r="P109" s="38" t="s">
        <v>97</v>
      </c>
      <c r="Q109" s="38"/>
      <c r="R109" s="38"/>
      <c r="S109" s="236">
        <v>0</v>
      </c>
      <c r="T109" s="38" t="s">
        <v>98</v>
      </c>
      <c r="U109" s="40"/>
      <c r="V109" s="40"/>
      <c r="W109" s="40" t="str" cm="1">
        <f t="array" ref="W109">IF(A109&lt;&gt;"",_xlfn.XLOOKUP(_xlfn.XLOOKUP(TRUE,G109:R109&lt;&gt;"",G109:R109,"-",-1,-1),G109:R109,$G$6:$R$6,,,-1),"")</f>
        <v>Permit</v>
      </c>
      <c r="X109" s="55">
        <v>100</v>
      </c>
      <c r="Y109" s="55"/>
      <c r="Z109" s="55" t="s">
        <v>1100</v>
      </c>
      <c r="AA109" s="52"/>
      <c r="AB109" s="56"/>
      <c r="AC109" s="51"/>
      <c r="AD109" s="56"/>
      <c r="AE109" s="51"/>
      <c r="AF109" s="56"/>
      <c r="AG109" s="51"/>
      <c r="AH109" s="56"/>
      <c r="AI109" s="51"/>
      <c r="AJ109" s="55" t="s">
        <v>1133</v>
      </c>
      <c r="AK109" s="37" t="s">
        <v>1182</v>
      </c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</row>
    <row r="110" spans="1:47" s="50" customFormat="1" ht="15" customHeight="1" outlineLevel="1">
      <c r="A110" s="41" t="str">
        <f t="shared" si="10"/>
        <v>18043-LM646 19205</v>
      </c>
      <c r="B110" s="38"/>
      <c r="C110" s="41"/>
      <c r="D110" s="38"/>
      <c r="E110" s="37" t="str">
        <f t="shared" ref="E110:E112" si="26">MID(AK110,FIND(" ",AK110,15)+1,100)</f>
        <v>AHU Platform 3 Fire Alarm Plan</v>
      </c>
      <c r="F110" s="38"/>
      <c r="G110" s="38"/>
      <c r="H110" s="38"/>
      <c r="I110" s="38"/>
      <c r="J110" s="38"/>
      <c r="K110" s="38"/>
      <c r="L110" s="38"/>
      <c r="M110" s="38"/>
      <c r="N110" s="37"/>
      <c r="O110" s="38" t="s">
        <v>97</v>
      </c>
      <c r="P110" s="38" t="s">
        <v>97</v>
      </c>
      <c r="Q110" s="38"/>
      <c r="R110" s="38"/>
      <c r="S110" s="236">
        <v>0</v>
      </c>
      <c r="T110" s="38" t="s">
        <v>98</v>
      </c>
      <c r="U110" s="40"/>
      <c r="V110" s="40"/>
      <c r="W110" s="40" t="str" cm="1">
        <f t="array" ref="W110">IF(A110&lt;&gt;"",_xlfn.XLOOKUP(_xlfn.XLOOKUP(TRUE,G110:R110&lt;&gt;"",G110:R110,"-",-1,-1),G110:R110,$G$6:$R$6,,,-1),"")</f>
        <v>Permit</v>
      </c>
      <c r="X110" s="55">
        <v>100</v>
      </c>
      <c r="Y110" s="55"/>
      <c r="Z110" s="55" t="s">
        <v>1100</v>
      </c>
      <c r="AA110" s="52"/>
      <c r="AB110" s="56"/>
      <c r="AC110" s="51"/>
      <c r="AD110" s="56"/>
      <c r="AE110" s="51"/>
      <c r="AF110" s="56"/>
      <c r="AG110" s="51"/>
      <c r="AH110" s="56"/>
      <c r="AI110" s="51"/>
      <c r="AJ110" s="55" t="s">
        <v>1133</v>
      </c>
      <c r="AK110" s="37" t="s">
        <v>1183</v>
      </c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</row>
    <row r="111" spans="1:47" s="50" customFormat="1" ht="15" customHeight="1" outlineLevel="1">
      <c r="A111" s="41" t="str">
        <f t="shared" ref="A111" si="27">"18043-"&amp;LEFT(AK111,11)</f>
        <v>18043-LM646 19206</v>
      </c>
      <c r="B111" s="38"/>
      <c r="C111" s="41"/>
      <c r="D111" s="38"/>
      <c r="E111" s="37" t="str">
        <f t="shared" ref="E111" si="28">MID(AK111,FIND(" ",AK111,15)+1,100)</f>
        <v xml:space="preserve"> Roof Fire Alarm Plan</v>
      </c>
      <c r="F111" s="38"/>
      <c r="G111" s="38"/>
      <c r="H111" s="38"/>
      <c r="I111" s="38"/>
      <c r="J111" s="38"/>
      <c r="K111" s="38"/>
      <c r="L111" s="38"/>
      <c r="M111" s="38"/>
      <c r="N111" s="37"/>
      <c r="O111" s="38" t="s">
        <v>97</v>
      </c>
      <c r="P111" s="38" t="s">
        <v>97</v>
      </c>
      <c r="Q111" s="38"/>
      <c r="R111" s="38"/>
      <c r="S111" s="236">
        <v>0</v>
      </c>
      <c r="T111" s="38" t="s">
        <v>98</v>
      </c>
      <c r="U111" s="40"/>
      <c r="V111" s="40"/>
      <c r="W111" s="40" t="str" cm="1">
        <f t="array" ref="W111">IF(A111&lt;&gt;"",_xlfn.XLOOKUP(_xlfn.XLOOKUP(TRUE,G111:R111&lt;&gt;"",G111:R111,"-",-1,-1),G111:R111,$G$6:$R$6,,,-1),"")</f>
        <v>Permit</v>
      </c>
      <c r="X111" s="55">
        <v>100</v>
      </c>
      <c r="Y111" s="55"/>
      <c r="Z111" s="55" t="s">
        <v>1100</v>
      </c>
      <c r="AA111" s="52"/>
      <c r="AB111" s="56"/>
      <c r="AC111" s="51"/>
      <c r="AD111" s="56"/>
      <c r="AE111" s="51"/>
      <c r="AF111" s="56"/>
      <c r="AG111" s="51"/>
      <c r="AH111" s="56"/>
      <c r="AI111" s="51"/>
      <c r="AJ111" s="55" t="s">
        <v>1133</v>
      </c>
      <c r="AK111" s="37" t="s">
        <v>1184</v>
      </c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</row>
    <row r="112" spans="1:47" s="50" customFormat="1" ht="15" customHeight="1" outlineLevel="1">
      <c r="A112" s="41" t="str">
        <f t="shared" si="10"/>
        <v>18043-LM646 19401</v>
      </c>
      <c r="B112" s="38"/>
      <c r="C112" s="41"/>
      <c r="D112" s="38"/>
      <c r="E112" s="37" t="str">
        <f t="shared" si="26"/>
        <v>Ground Floor and 2nd Floor Data Network Plan</v>
      </c>
      <c r="F112" s="38"/>
      <c r="G112" s="38"/>
      <c r="H112" s="38"/>
      <c r="I112" s="38"/>
      <c r="J112" s="38"/>
      <c r="K112" s="38"/>
      <c r="L112" s="38"/>
      <c r="M112" s="38"/>
      <c r="N112" s="37"/>
      <c r="O112" s="38" t="s">
        <v>97</v>
      </c>
      <c r="P112" s="38"/>
      <c r="Q112" s="38"/>
      <c r="R112" s="38"/>
      <c r="S112" s="236">
        <v>0</v>
      </c>
      <c r="T112" s="38" t="s">
        <v>98</v>
      </c>
      <c r="U112" s="40"/>
      <c r="V112" s="40"/>
      <c r="W112" s="40" t="str" cm="1">
        <f t="array" ref="W112">IF(A112&lt;&gt;"",_xlfn.XLOOKUP(_xlfn.XLOOKUP(TRUE,G112:R112&lt;&gt;"",G112:R112,"-",-1,-1),G112:R112,$G$6:$R$6,,,-1),"")</f>
        <v>Add7</v>
      </c>
      <c r="X112" s="55">
        <v>100</v>
      </c>
      <c r="Y112" s="55"/>
      <c r="Z112" s="55" t="s">
        <v>1100</v>
      </c>
      <c r="AA112" s="52"/>
      <c r="AB112" s="56"/>
      <c r="AC112" s="51"/>
      <c r="AD112" s="56"/>
      <c r="AE112" s="51"/>
      <c r="AF112" s="56"/>
      <c r="AG112" s="51"/>
      <c r="AH112" s="56"/>
      <c r="AI112" s="51"/>
      <c r="AJ112" s="55" t="s">
        <v>1133</v>
      </c>
      <c r="AK112" s="37" t="s">
        <v>1185</v>
      </c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</row>
    <row r="113" spans="1:47" s="50" customFormat="1" ht="15" customHeight="1" outlineLevel="1">
      <c r="A113" s="41" t="str">
        <f t="shared" ref="A113" si="29">"18043-"&amp;LEFT(AK113,11)</f>
        <v>18043-LM646 19402</v>
      </c>
      <c r="B113" s="38"/>
      <c r="C113" s="41"/>
      <c r="D113" s="38"/>
      <c r="E113" s="37" t="str">
        <f t="shared" ref="E113" si="30">MID(AK113,FIND(" ",AK113,15)+1,100)</f>
        <v xml:space="preserve"> 3rd Floor Data Network Plan</v>
      </c>
      <c r="F113" s="38"/>
      <c r="G113" s="38"/>
      <c r="H113" s="38"/>
      <c r="I113" s="38"/>
      <c r="J113" s="38"/>
      <c r="K113" s="38"/>
      <c r="L113" s="38"/>
      <c r="M113" s="38"/>
      <c r="N113" s="37"/>
      <c r="O113" s="38" t="s">
        <v>97</v>
      </c>
      <c r="P113" s="38"/>
      <c r="Q113" s="38"/>
      <c r="R113" s="38"/>
      <c r="S113" s="236">
        <v>0</v>
      </c>
      <c r="T113" s="38" t="s">
        <v>98</v>
      </c>
      <c r="U113" s="40"/>
      <c r="V113" s="40"/>
      <c r="W113" s="40" t="str" cm="1">
        <f t="array" ref="W113">IF(A113&lt;&gt;"",_xlfn.XLOOKUP(_xlfn.XLOOKUP(TRUE,G113:R113&lt;&gt;"",G113:R113,"-",-1,-1),G113:R113,$G$6:$R$6,,,-1),"")</f>
        <v>Add7</v>
      </c>
      <c r="X113" s="55">
        <v>100</v>
      </c>
      <c r="Y113" s="55"/>
      <c r="Z113" s="55" t="s">
        <v>1100</v>
      </c>
      <c r="AA113" s="52"/>
      <c r="AB113" s="56"/>
      <c r="AC113" s="51"/>
      <c r="AD113" s="56"/>
      <c r="AE113" s="51"/>
      <c r="AF113" s="56"/>
      <c r="AG113" s="51"/>
      <c r="AH113" s="56"/>
      <c r="AI113" s="51"/>
      <c r="AJ113" s="55" t="s">
        <v>1133</v>
      </c>
      <c r="AK113" s="37" t="s">
        <v>1186</v>
      </c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</row>
    <row r="114" spans="1:47" s="50" customFormat="1" ht="15" customHeight="1" outlineLevel="1">
      <c r="A114" s="41" t="str">
        <f t="shared" ref="A114:A125" si="31">"18043-"&amp;LEFT(AK114,11)</f>
        <v>18043-LM646 19403</v>
      </c>
      <c r="B114" s="38"/>
      <c r="C114" s="41"/>
      <c r="D114" s="38"/>
      <c r="E114" s="37" t="str">
        <f t="shared" ref="E114" si="32">MID(AK114,FIND(" ",AK114,15)+1,100)</f>
        <v>Ground Floor Monitoring Plan</v>
      </c>
      <c r="F114" s="38"/>
      <c r="G114" s="38"/>
      <c r="H114" s="38"/>
      <c r="I114" s="38"/>
      <c r="J114" s="38"/>
      <c r="K114" s="38"/>
      <c r="L114" s="38"/>
      <c r="M114" s="38"/>
      <c r="N114" s="37"/>
      <c r="O114" s="38" t="s">
        <v>97</v>
      </c>
      <c r="P114" s="38"/>
      <c r="Q114" s="38"/>
      <c r="R114" s="490" t="s">
        <v>34</v>
      </c>
      <c r="S114" s="236">
        <v>0</v>
      </c>
      <c r="T114" s="38" t="s">
        <v>98</v>
      </c>
      <c r="U114" s="40"/>
      <c r="V114" s="40"/>
      <c r="W114" s="40" t="str" cm="1">
        <f t="array" ref="W114">IF(A114&lt;&gt;"",_xlfn.XLOOKUP(_xlfn.XLOOKUP(TRUE,G114:R114&lt;&gt;"",G114:R114,"-",-1,-1),G114:R114,$G$6:$R$6,,,-1),"")</f>
        <v>Add9</v>
      </c>
      <c r="X114" s="55">
        <v>100</v>
      </c>
      <c r="Y114" s="55"/>
      <c r="Z114" s="55" t="s">
        <v>1086</v>
      </c>
      <c r="AA114" s="52"/>
      <c r="AB114" s="56"/>
      <c r="AC114" s="51"/>
      <c r="AD114" s="56"/>
      <c r="AE114" s="51"/>
      <c r="AF114" s="56"/>
      <c r="AG114" s="51"/>
      <c r="AH114" s="56"/>
      <c r="AI114" s="51"/>
      <c r="AJ114" s="55" t="s">
        <v>1133</v>
      </c>
      <c r="AK114" s="37" t="s">
        <v>1187</v>
      </c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</row>
    <row r="115" spans="1:47" s="50" customFormat="1" ht="15" customHeight="1" outlineLevel="1">
      <c r="A115" s="482" t="str">
        <f t="shared" ref="A115" si="33">"18043-"&amp;LEFT(AK115,11)</f>
        <v>18043-LM646 19404</v>
      </c>
      <c r="B115" s="466"/>
      <c r="C115" s="482"/>
      <c r="D115" s="466"/>
      <c r="E115" s="483" t="str">
        <f t="shared" ref="E115" si="34">MID(AK115,FIND(" ",AK115,15)+1,100)</f>
        <v>AHU Platform 2 and AHU Platform 3 Monitoring Plan</v>
      </c>
      <c r="F115" s="38"/>
      <c r="G115" s="38"/>
      <c r="H115" s="38"/>
      <c r="I115" s="38"/>
      <c r="J115" s="38"/>
      <c r="K115" s="38"/>
      <c r="L115" s="38"/>
      <c r="M115" s="38"/>
      <c r="N115" s="37"/>
      <c r="O115" s="38"/>
      <c r="P115" s="38"/>
      <c r="Q115" s="38"/>
      <c r="R115" s="484" t="s">
        <v>97</v>
      </c>
      <c r="S115" s="236">
        <v>0</v>
      </c>
      <c r="T115" s="38" t="s">
        <v>98</v>
      </c>
      <c r="U115" s="40"/>
      <c r="V115" s="479" t="s">
        <v>1188</v>
      </c>
      <c r="W115" s="40" t="str" cm="1">
        <f t="array" ref="W115">IF(A115&lt;&gt;"",_xlfn.XLOOKUP(_xlfn.XLOOKUP(TRUE,G115:R115&lt;&gt;"",G115:R115,"-",-1,-1),G115:R115,$G$6:$R$6,,,-1),"")</f>
        <v>Add9</v>
      </c>
      <c r="X115" s="55">
        <v>100</v>
      </c>
      <c r="Y115" s="55"/>
      <c r="Z115" s="55" t="s">
        <v>1086</v>
      </c>
      <c r="AA115" s="52"/>
      <c r="AB115" s="56"/>
      <c r="AC115" s="51"/>
      <c r="AD115" s="56"/>
      <c r="AE115" s="51"/>
      <c r="AF115" s="56"/>
      <c r="AG115" s="51"/>
      <c r="AH115" s="56"/>
      <c r="AI115" s="51"/>
      <c r="AJ115" s="55" t="s">
        <v>1133</v>
      </c>
      <c r="AK115" s="37" t="s">
        <v>1189</v>
      </c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</row>
    <row r="116" spans="1:47" s="50" customFormat="1" ht="15" customHeight="1" outlineLevel="1">
      <c r="A116" s="41" t="str">
        <f t="shared" si="31"/>
        <v>18043-LM646 19501</v>
      </c>
      <c r="B116" s="38"/>
      <c r="C116" s="41"/>
      <c r="D116" s="38"/>
      <c r="E116" s="37" t="str">
        <f>MID(AK116,FIND(" ",AK116,15)+1,100)</f>
        <v>Single Line Diagram</v>
      </c>
      <c r="F116" s="38"/>
      <c r="G116" s="38"/>
      <c r="H116" s="38"/>
      <c r="I116" s="38"/>
      <c r="J116" s="38"/>
      <c r="K116" s="38"/>
      <c r="L116" s="38"/>
      <c r="M116" s="38"/>
      <c r="N116" s="37"/>
      <c r="O116" s="38" t="s">
        <v>97</v>
      </c>
      <c r="P116" s="38" t="s">
        <v>97</v>
      </c>
      <c r="Q116" s="38"/>
      <c r="R116" s="484" t="s">
        <v>34</v>
      </c>
      <c r="S116" s="236">
        <v>0</v>
      </c>
      <c r="T116" s="38" t="s">
        <v>98</v>
      </c>
      <c r="U116" s="40"/>
      <c r="V116" s="40"/>
      <c r="W116" s="40" t="str" cm="1">
        <f t="array" ref="W116">IF(A116&lt;&gt;"",_xlfn.XLOOKUP(_xlfn.XLOOKUP(TRUE,G116:R116&lt;&gt;"",G116:R116,"-",-1,-1),G116:R116,$G$6:$R$6,,,-1),"")</f>
        <v>Add9</v>
      </c>
      <c r="X116" s="55" t="s">
        <v>117</v>
      </c>
      <c r="Y116" s="55"/>
      <c r="Z116" s="55" t="s">
        <v>1086</v>
      </c>
      <c r="AA116" s="52"/>
      <c r="AB116" s="56"/>
      <c r="AC116" s="51"/>
      <c r="AD116" s="56"/>
      <c r="AE116" s="51"/>
      <c r="AF116" s="56"/>
      <c r="AG116" s="51"/>
      <c r="AH116" s="56"/>
      <c r="AI116" s="51"/>
      <c r="AJ116" s="55" t="s">
        <v>1120</v>
      </c>
      <c r="AK116" s="242" t="s">
        <v>1190</v>
      </c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</row>
    <row r="117" spans="1:47" s="50" customFormat="1" ht="15" customHeight="1" outlineLevel="1">
      <c r="A117" s="41" t="str">
        <f t="shared" si="31"/>
        <v>18043-LM646 19502</v>
      </c>
      <c r="B117" s="38"/>
      <c r="C117" s="41"/>
      <c r="D117" s="38"/>
      <c r="E117" s="37" t="str">
        <f t="shared" ref="E117:E125" si="35">MID(AK117,FIND(" ",AK117,15)+1,100)</f>
        <v>Ground Floor and AHU Platform 1 Power Distribution Plan</v>
      </c>
      <c r="F117" s="38"/>
      <c r="G117" s="38"/>
      <c r="H117" s="38"/>
      <c r="I117" s="38"/>
      <c r="J117" s="38"/>
      <c r="K117" s="38"/>
      <c r="L117" s="38"/>
      <c r="M117" s="38"/>
      <c r="N117" s="37"/>
      <c r="O117" s="38" t="s">
        <v>97</v>
      </c>
      <c r="P117" s="38" t="s">
        <v>97</v>
      </c>
      <c r="Q117" s="448" t="s">
        <v>34</v>
      </c>
      <c r="R117" s="490" t="s">
        <v>31</v>
      </c>
      <c r="S117" s="236">
        <v>0</v>
      </c>
      <c r="T117" s="38" t="s">
        <v>98</v>
      </c>
      <c r="U117" s="40"/>
      <c r="V117" s="40"/>
      <c r="W117" s="40" t="str" cm="1">
        <f t="array" ref="W117">IF(A117&lt;&gt;"",_xlfn.XLOOKUP(_xlfn.XLOOKUP(TRUE,G117:R117&lt;&gt;"",G117:R117,"-",-1,-1),G117:R117,$G$6:$R$6,,,-1),"")</f>
        <v>Add9</v>
      </c>
      <c r="X117" s="55">
        <v>100</v>
      </c>
      <c r="Y117" s="55"/>
      <c r="Z117" s="55" t="s">
        <v>1086</v>
      </c>
      <c r="AA117" s="52"/>
      <c r="AB117" s="56"/>
      <c r="AC117" s="51"/>
      <c r="AD117" s="56"/>
      <c r="AE117" s="51"/>
      <c r="AF117" s="56"/>
      <c r="AG117" s="51"/>
      <c r="AH117" s="56"/>
      <c r="AI117" s="51"/>
      <c r="AJ117" s="55" t="s">
        <v>1120</v>
      </c>
      <c r="AK117" s="37" t="s">
        <v>1191</v>
      </c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</row>
    <row r="118" spans="1:47" s="50" customFormat="1" ht="15" customHeight="1" outlineLevel="1">
      <c r="A118" s="41" t="str">
        <f t="shared" si="31"/>
        <v>18043-LM646 19503</v>
      </c>
      <c r="B118" s="38"/>
      <c r="C118" s="41"/>
      <c r="D118" s="38"/>
      <c r="E118" s="37" t="str">
        <f t="shared" si="35"/>
        <v>2nd Floor and 2.1nd Floor Power Distribution Plan</v>
      </c>
      <c r="F118" s="38"/>
      <c r="G118" s="38"/>
      <c r="H118" s="38"/>
      <c r="I118" s="38"/>
      <c r="J118" s="38"/>
      <c r="K118" s="38"/>
      <c r="L118" s="38"/>
      <c r="M118" s="38"/>
      <c r="N118" s="37"/>
      <c r="O118" s="38" t="s">
        <v>97</v>
      </c>
      <c r="P118" s="38" t="s">
        <v>97</v>
      </c>
      <c r="Q118" s="38"/>
      <c r="R118" s="484" t="s">
        <v>34</v>
      </c>
      <c r="S118" s="236">
        <v>0</v>
      </c>
      <c r="T118" s="38" t="s">
        <v>98</v>
      </c>
      <c r="U118" s="40"/>
      <c r="V118" s="40"/>
      <c r="W118" s="40" t="str" cm="1">
        <f t="array" ref="W118">IF(A118&lt;&gt;"",_xlfn.XLOOKUP(_xlfn.XLOOKUP(TRUE,G118:R118&lt;&gt;"",G118:R118,"-",-1,-1),G118:R118,$G$6:$R$6,,,-1),"")</f>
        <v>Add9</v>
      </c>
      <c r="X118" s="55">
        <v>100</v>
      </c>
      <c r="Y118" s="55"/>
      <c r="Z118" s="55" t="s">
        <v>1086</v>
      </c>
      <c r="AA118" s="52"/>
      <c r="AB118" s="56"/>
      <c r="AC118" s="51"/>
      <c r="AD118" s="56"/>
      <c r="AE118" s="51"/>
      <c r="AF118" s="56"/>
      <c r="AG118" s="51"/>
      <c r="AH118" s="56"/>
      <c r="AI118" s="51"/>
      <c r="AJ118" s="55" t="s">
        <v>1120</v>
      </c>
      <c r="AK118" s="37" t="s">
        <v>1192</v>
      </c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</row>
    <row r="119" spans="1:47" s="50" customFormat="1" ht="15" customHeight="1" outlineLevel="1">
      <c r="A119" s="41" t="str">
        <f t="shared" si="31"/>
        <v>18043-LM646 19504</v>
      </c>
      <c r="B119" s="38"/>
      <c r="C119" s="41"/>
      <c r="D119" s="38"/>
      <c r="E119" s="37" t="str">
        <f t="shared" si="35"/>
        <v>AHU Platform 2 Power Distribution Plan</v>
      </c>
      <c r="F119" s="38"/>
      <c r="G119" s="38"/>
      <c r="H119" s="38"/>
      <c r="I119" s="38"/>
      <c r="J119" s="38"/>
      <c r="K119" s="38"/>
      <c r="L119" s="38"/>
      <c r="M119" s="38"/>
      <c r="N119" s="37"/>
      <c r="O119" s="38" t="s">
        <v>97</v>
      </c>
      <c r="P119" s="38" t="s">
        <v>97</v>
      </c>
      <c r="Q119" s="38"/>
      <c r="R119" s="38"/>
      <c r="S119" s="236">
        <v>0</v>
      </c>
      <c r="T119" s="38" t="s">
        <v>98</v>
      </c>
      <c r="U119" s="40"/>
      <c r="V119" s="40"/>
      <c r="W119" s="40" t="str" cm="1">
        <f t="array" ref="W119">IF(A119&lt;&gt;"",_xlfn.XLOOKUP(_xlfn.XLOOKUP(TRUE,G119:R119&lt;&gt;"",G119:R119,"-",-1,-1),G119:R119,$G$6:$R$6,,,-1),"")</f>
        <v>Permit</v>
      </c>
      <c r="X119" s="55">
        <v>100</v>
      </c>
      <c r="Y119" s="55"/>
      <c r="Z119" s="55" t="s">
        <v>1086</v>
      </c>
      <c r="AA119" s="52"/>
      <c r="AB119" s="56"/>
      <c r="AC119" s="51"/>
      <c r="AD119" s="56"/>
      <c r="AE119" s="51"/>
      <c r="AF119" s="56"/>
      <c r="AG119" s="51"/>
      <c r="AH119" s="56"/>
      <c r="AI119" s="51"/>
      <c r="AJ119" s="55" t="s">
        <v>1120</v>
      </c>
      <c r="AK119" s="37" t="s">
        <v>1193</v>
      </c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</row>
    <row r="120" spans="1:47" s="50" customFormat="1" ht="15" customHeight="1" outlineLevel="1">
      <c r="A120" s="41" t="str">
        <f t="shared" si="31"/>
        <v>18043-LM646 19505</v>
      </c>
      <c r="B120" s="38"/>
      <c r="C120" s="41"/>
      <c r="D120" s="38"/>
      <c r="E120" s="37" t="str">
        <f t="shared" si="35"/>
        <v>3rd Floor and 3.1rd Floor Power Distribution Plan</v>
      </c>
      <c r="F120" s="38"/>
      <c r="G120" s="38"/>
      <c r="H120" s="38"/>
      <c r="I120" s="38"/>
      <c r="J120" s="38"/>
      <c r="K120" s="38"/>
      <c r="L120" s="38"/>
      <c r="M120" s="38"/>
      <c r="N120" s="37"/>
      <c r="O120" s="38" t="s">
        <v>97</v>
      </c>
      <c r="P120" s="38" t="s">
        <v>97</v>
      </c>
      <c r="Q120" s="38"/>
      <c r="R120" s="490" t="s">
        <v>34</v>
      </c>
      <c r="S120" s="236">
        <v>0</v>
      </c>
      <c r="T120" s="38" t="s">
        <v>98</v>
      </c>
      <c r="U120" s="40"/>
      <c r="V120" s="40"/>
      <c r="W120" s="40" t="str" cm="1">
        <f t="array" ref="W120">IF(A120&lt;&gt;"",_xlfn.XLOOKUP(_xlfn.XLOOKUP(TRUE,G120:R120&lt;&gt;"",G120:R120,"-",-1,-1),G120:R120,$G$6:$R$6,,,-1),"")</f>
        <v>Add9</v>
      </c>
      <c r="X120" s="55">
        <v>100</v>
      </c>
      <c r="Y120" s="55"/>
      <c r="Z120" s="55" t="s">
        <v>1086</v>
      </c>
      <c r="AA120" s="52"/>
      <c r="AB120" s="56"/>
      <c r="AC120" s="51"/>
      <c r="AD120" s="56"/>
      <c r="AE120" s="51"/>
      <c r="AF120" s="56"/>
      <c r="AG120" s="51"/>
      <c r="AH120" s="56"/>
      <c r="AI120" s="51"/>
      <c r="AJ120" s="55" t="s">
        <v>1120</v>
      </c>
      <c r="AK120" s="37" t="s">
        <v>1194</v>
      </c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</row>
    <row r="121" spans="1:47" s="50" customFormat="1" ht="15" customHeight="1" outlineLevel="1">
      <c r="A121" s="41" t="str">
        <f t="shared" ref="A121" si="36">"18043-"&amp;LEFT(AK121,11)</f>
        <v>18043-LM646 19506</v>
      </c>
      <c r="B121" s="38"/>
      <c r="C121" s="41"/>
      <c r="D121" s="38"/>
      <c r="E121" s="37" t="str">
        <f>MID(AK121,FIND(" ",AK121,15)+1,100)</f>
        <v>AHU Platform 3 Power Distribution Plan</v>
      </c>
      <c r="F121" s="38"/>
      <c r="G121" s="38"/>
      <c r="H121" s="38"/>
      <c r="I121" s="38"/>
      <c r="J121" s="38"/>
      <c r="K121" s="38"/>
      <c r="L121" s="38"/>
      <c r="M121" s="38"/>
      <c r="N121" s="37"/>
      <c r="O121" s="38" t="s">
        <v>97</v>
      </c>
      <c r="P121" s="38" t="s">
        <v>97</v>
      </c>
      <c r="Q121" s="38"/>
      <c r="R121" s="490" t="s">
        <v>34</v>
      </c>
      <c r="S121" s="236">
        <v>0</v>
      </c>
      <c r="T121" s="38" t="s">
        <v>98</v>
      </c>
      <c r="U121" s="40"/>
      <c r="V121" s="40"/>
      <c r="W121" s="40" t="str" cm="1">
        <f t="array" ref="W121">IF(A121&lt;&gt;"",_xlfn.XLOOKUP(_xlfn.XLOOKUP(TRUE,G121:R121&lt;&gt;"",G121:R121,"-",-1,-1),G121:R121,$G$6:$R$6,,,-1),"")</f>
        <v>Add9</v>
      </c>
      <c r="X121" s="55">
        <v>100</v>
      </c>
      <c r="Y121" s="55"/>
      <c r="Z121" s="55" t="s">
        <v>1086</v>
      </c>
      <c r="AA121" s="52"/>
      <c r="AB121" s="56"/>
      <c r="AC121" s="51"/>
      <c r="AD121" s="56"/>
      <c r="AE121" s="51"/>
      <c r="AF121" s="56"/>
      <c r="AG121" s="51"/>
      <c r="AH121" s="56"/>
      <c r="AI121" s="51"/>
      <c r="AJ121" s="55" t="s">
        <v>1120</v>
      </c>
      <c r="AK121" s="37" t="s">
        <v>1195</v>
      </c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</row>
    <row r="122" spans="1:47" s="50" customFormat="1" ht="15" customHeight="1" outlineLevel="1">
      <c r="A122" s="41" t="str">
        <f t="shared" si="31"/>
        <v>18043-LM646 19701</v>
      </c>
      <c r="B122" s="38"/>
      <c r="C122" s="41"/>
      <c r="D122" s="38"/>
      <c r="E122" s="37" t="str">
        <f t="shared" si="35"/>
        <v>Lightning Protection System Plan</v>
      </c>
      <c r="F122" s="38"/>
      <c r="G122" s="38"/>
      <c r="H122" s="38"/>
      <c r="I122" s="38"/>
      <c r="J122" s="38"/>
      <c r="K122" s="38"/>
      <c r="L122" s="38"/>
      <c r="M122" s="38"/>
      <c r="N122" s="37"/>
      <c r="O122" s="38" t="s">
        <v>97</v>
      </c>
      <c r="P122" s="38" t="s">
        <v>97</v>
      </c>
      <c r="Q122" s="38"/>
      <c r="R122" s="484" t="s">
        <v>34</v>
      </c>
      <c r="S122" s="236">
        <v>0</v>
      </c>
      <c r="T122" s="38" t="s">
        <v>98</v>
      </c>
      <c r="U122" s="40"/>
      <c r="V122" s="40"/>
      <c r="W122" s="40" t="str" cm="1">
        <f t="array" ref="W122">IF(A122&lt;&gt;"",_xlfn.XLOOKUP(_xlfn.XLOOKUP(TRUE,G122:R122&lt;&gt;"",G122:R122,"-",-1,-1),G122:R122,$G$6:$R$6,,,-1),"")</f>
        <v>Add9</v>
      </c>
      <c r="X122" s="55">
        <v>100</v>
      </c>
      <c r="Y122" s="55"/>
      <c r="Z122" s="55" t="s">
        <v>1100</v>
      </c>
      <c r="AA122" s="52"/>
      <c r="AB122" s="56"/>
      <c r="AC122" s="51"/>
      <c r="AD122" s="56"/>
      <c r="AE122" s="51"/>
      <c r="AF122" s="56"/>
      <c r="AG122" s="51"/>
      <c r="AH122" s="56"/>
      <c r="AI122" s="51"/>
      <c r="AJ122" s="55" t="s">
        <v>1133</v>
      </c>
      <c r="AK122" s="37" t="s">
        <v>1196</v>
      </c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</row>
    <row r="123" spans="1:47" s="50" customFormat="1" ht="15" customHeight="1" outlineLevel="1">
      <c r="A123" s="41" t="str">
        <f t="shared" ref="A123:A124" si="37">"18043-"&amp;LEFT(AK123,11)</f>
        <v>18043-LM646 19702</v>
      </c>
      <c r="B123" s="38"/>
      <c r="C123" s="41"/>
      <c r="D123" s="38"/>
      <c r="E123" s="37" t="str">
        <f t="shared" ref="E123:E124" si="38">MID(AK123,FIND(" ",AK123,15)+1,100)</f>
        <v>Grounding System Plan</v>
      </c>
      <c r="F123" s="38"/>
      <c r="G123" s="38"/>
      <c r="H123" s="38"/>
      <c r="I123" s="38"/>
      <c r="J123" s="38"/>
      <c r="K123" s="38"/>
      <c r="L123" s="38"/>
      <c r="M123" s="38"/>
      <c r="N123" s="37"/>
      <c r="O123" s="38" t="s">
        <v>97</v>
      </c>
      <c r="P123" s="38" t="s">
        <v>97</v>
      </c>
      <c r="Q123" s="38"/>
      <c r="R123" s="490" t="s">
        <v>34</v>
      </c>
      <c r="S123" s="236">
        <v>0</v>
      </c>
      <c r="T123" s="38" t="s">
        <v>98</v>
      </c>
      <c r="U123" s="40"/>
      <c r="V123" s="40"/>
      <c r="W123" s="40" t="str" cm="1">
        <f t="array" ref="W123">IF(A123&lt;&gt;"",_xlfn.XLOOKUP(_xlfn.XLOOKUP(TRUE,G123:R123&lt;&gt;"",G123:R123,"-",-1,-1),G123:R123,$G$6:$R$6,,,-1),"")</f>
        <v>Add9</v>
      </c>
      <c r="X123" s="55">
        <v>100</v>
      </c>
      <c r="Y123" s="55"/>
      <c r="Z123" s="55" t="s">
        <v>1100</v>
      </c>
      <c r="AA123" s="52"/>
      <c r="AB123" s="56"/>
      <c r="AC123" s="51"/>
      <c r="AD123" s="56"/>
      <c r="AE123" s="51"/>
      <c r="AF123" s="56"/>
      <c r="AG123" s="51"/>
      <c r="AH123" s="56"/>
      <c r="AI123" s="51"/>
      <c r="AJ123" s="55" t="s">
        <v>1133</v>
      </c>
      <c r="AK123" s="37" t="s">
        <v>1197</v>
      </c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</row>
    <row r="124" spans="1:47" s="50" customFormat="1" ht="15" customHeight="1" outlineLevel="1">
      <c r="A124" s="482" t="str">
        <f t="shared" si="37"/>
        <v>18043-LM646 19703</v>
      </c>
      <c r="B124" s="466"/>
      <c r="C124" s="482"/>
      <c r="D124" s="466"/>
      <c r="E124" s="483" t="str">
        <f t="shared" si="38"/>
        <v>2nd Floor and AHU Platform 2 Grounding System for Electrical Panel Plan</v>
      </c>
      <c r="F124" s="38"/>
      <c r="G124" s="38"/>
      <c r="H124" s="38"/>
      <c r="I124" s="38"/>
      <c r="J124" s="38"/>
      <c r="K124" s="38"/>
      <c r="L124" s="38"/>
      <c r="M124" s="38"/>
      <c r="N124" s="37"/>
      <c r="O124" s="38"/>
      <c r="P124" s="38" t="s">
        <v>97</v>
      </c>
      <c r="Q124" s="38"/>
      <c r="R124" s="490" t="s">
        <v>97</v>
      </c>
      <c r="S124" s="236">
        <v>0</v>
      </c>
      <c r="T124" s="38" t="s">
        <v>98</v>
      </c>
      <c r="U124" s="40"/>
      <c r="V124" s="479" t="s">
        <v>1188</v>
      </c>
      <c r="W124" s="40"/>
      <c r="X124" s="55">
        <v>100</v>
      </c>
      <c r="Y124" s="55"/>
      <c r="Z124" s="55" t="s">
        <v>1100</v>
      </c>
      <c r="AA124" s="52"/>
      <c r="AB124" s="56"/>
      <c r="AC124" s="51"/>
      <c r="AD124" s="56"/>
      <c r="AE124" s="51"/>
      <c r="AF124" s="56"/>
      <c r="AG124" s="51"/>
      <c r="AH124" s="56"/>
      <c r="AI124" s="51"/>
      <c r="AJ124" s="55" t="s">
        <v>1133</v>
      </c>
      <c r="AK124" s="37" t="s">
        <v>1198</v>
      </c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</row>
    <row r="125" spans="1:47" s="50" customFormat="1" ht="15" customHeight="1" outlineLevel="1">
      <c r="A125" s="482" t="str">
        <f t="shared" si="31"/>
        <v>18043-LM646 19704</v>
      </c>
      <c r="B125" s="466"/>
      <c r="C125" s="482"/>
      <c r="D125" s="466"/>
      <c r="E125" s="483" t="str">
        <f t="shared" si="35"/>
        <v>3rd Floor and AHU Platform 3 Grounding System for Electrical Panel Plan</v>
      </c>
      <c r="F125" s="38"/>
      <c r="G125" s="38"/>
      <c r="H125" s="38"/>
      <c r="I125" s="38"/>
      <c r="J125" s="38"/>
      <c r="K125" s="38"/>
      <c r="L125" s="38"/>
      <c r="M125" s="38"/>
      <c r="N125" s="37"/>
      <c r="O125" s="38"/>
      <c r="P125" s="38" t="s">
        <v>97</v>
      </c>
      <c r="Q125" s="38"/>
      <c r="R125" s="490" t="s">
        <v>97</v>
      </c>
      <c r="S125" s="236">
        <v>0</v>
      </c>
      <c r="T125" s="38" t="s">
        <v>98</v>
      </c>
      <c r="U125" s="40"/>
      <c r="V125" s="479" t="s">
        <v>1188</v>
      </c>
      <c r="W125" s="40"/>
      <c r="X125" s="55">
        <v>100</v>
      </c>
      <c r="Y125" s="55"/>
      <c r="Z125" s="55" t="s">
        <v>1100</v>
      </c>
      <c r="AA125" s="52"/>
      <c r="AB125" s="56"/>
      <c r="AC125" s="51"/>
      <c r="AD125" s="56"/>
      <c r="AE125" s="51"/>
      <c r="AF125" s="56"/>
      <c r="AG125" s="51"/>
      <c r="AH125" s="56"/>
      <c r="AI125" s="51"/>
      <c r="AJ125" s="55" t="s">
        <v>1133</v>
      </c>
      <c r="AK125" s="37" t="s">
        <v>1199</v>
      </c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</row>
    <row r="126" spans="1:47" s="50" customFormat="1" ht="15" customHeight="1" outlineLevel="1">
      <c r="A126" s="41"/>
      <c r="B126" s="38"/>
      <c r="C126" s="41"/>
      <c r="D126" s="38"/>
      <c r="E126" s="37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40"/>
      <c r="V126" s="40"/>
      <c r="W126" s="40"/>
      <c r="X126" s="55"/>
      <c r="Y126" s="55"/>
      <c r="Z126" s="55"/>
      <c r="AA126" s="52"/>
      <c r="AB126" s="56"/>
      <c r="AC126" s="51"/>
      <c r="AD126" s="56"/>
      <c r="AE126" s="51"/>
      <c r="AF126" s="56"/>
      <c r="AG126" s="51"/>
      <c r="AH126" s="56"/>
      <c r="AI126" s="51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</row>
    <row r="127" spans="1:47" s="50" customFormat="1" ht="15" customHeight="1">
      <c r="A127" s="41"/>
      <c r="B127" s="38"/>
      <c r="C127" s="41"/>
      <c r="D127" s="38"/>
      <c r="E127" s="43" t="str">
        <f>"SUB-TOTAL "&amp;UPPER(A45)&amp;" DRAWINGS"</f>
        <v>SUB-TOTAL ASRS BUILDING (B646) DRAWINGS</v>
      </c>
      <c r="F127" s="133">
        <f t="shared" ref="F127:H127" si="39">COUNTA(F86:F125)</f>
        <v>0</v>
      </c>
      <c r="G127" s="133">
        <f>COUNTA(G46:G125)</f>
        <v>33</v>
      </c>
      <c r="H127" s="133">
        <f t="shared" si="39"/>
        <v>0</v>
      </c>
      <c r="I127" s="133">
        <f t="shared" ref="I127:O127" si="40">COUNTA(I46:I125)</f>
        <v>13</v>
      </c>
      <c r="J127" s="133">
        <f t="shared" si="40"/>
        <v>26</v>
      </c>
      <c r="K127" s="133">
        <f t="shared" si="40"/>
        <v>18</v>
      </c>
      <c r="L127" s="133">
        <f t="shared" si="40"/>
        <v>9</v>
      </c>
      <c r="M127" s="133">
        <f t="shared" si="40"/>
        <v>0</v>
      </c>
      <c r="N127" s="133">
        <f t="shared" si="40"/>
        <v>0</v>
      </c>
      <c r="O127" s="133">
        <f t="shared" si="40"/>
        <v>38</v>
      </c>
      <c r="P127" s="133"/>
      <c r="Q127" s="133">
        <f t="shared" ref="Q127:S127" si="41">COUNTA(Q86:Q125)</f>
        <v>9</v>
      </c>
      <c r="R127" s="133"/>
      <c r="S127" s="133">
        <f t="shared" si="41"/>
        <v>40</v>
      </c>
      <c r="T127" s="38"/>
      <c r="U127" s="36"/>
      <c r="V127" s="36"/>
      <c r="W127" s="36"/>
      <c r="X127" s="55"/>
      <c r="Y127" s="55"/>
      <c r="Z127" s="55"/>
      <c r="AA127" s="52"/>
      <c r="AB127" s="56"/>
      <c r="AC127" s="51"/>
      <c r="AD127" s="56"/>
      <c r="AE127" s="51"/>
      <c r="AF127" s="56"/>
      <c r="AG127" s="51"/>
      <c r="AH127" s="56"/>
      <c r="AI127" s="51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</row>
    <row r="128" spans="1:47" s="77" customFormat="1">
      <c r="A128" s="33"/>
      <c r="B128" s="36"/>
      <c r="C128" s="41"/>
      <c r="D128" s="36"/>
      <c r="E128" s="78"/>
      <c r="F128" s="78"/>
      <c r="G128" s="78"/>
      <c r="H128" s="78"/>
      <c r="I128" s="78"/>
      <c r="J128" s="78"/>
      <c r="K128" s="78"/>
      <c r="L128" s="78"/>
      <c r="M128" s="78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64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</row>
    <row r="129" spans="1:47" s="351" customFormat="1">
      <c r="A129" s="32" t="s">
        <v>1200</v>
      </c>
      <c r="B129" s="11"/>
      <c r="C129" s="32"/>
      <c r="D129" s="11"/>
      <c r="E129" s="251"/>
      <c r="F129" s="251"/>
      <c r="G129" s="251"/>
      <c r="H129" s="251"/>
      <c r="I129" s="251"/>
      <c r="J129" s="251"/>
      <c r="K129" s="251"/>
      <c r="L129" s="251"/>
      <c r="M129" s="251"/>
      <c r="N129" s="11"/>
      <c r="O129" s="251"/>
      <c r="P129" s="36"/>
      <c r="Q129" s="11"/>
      <c r="R129" s="11"/>
      <c r="S129" s="11"/>
      <c r="T129" s="11"/>
      <c r="U129" s="11"/>
      <c r="V129" s="11"/>
      <c r="W129" s="11"/>
      <c r="X129" s="53"/>
      <c r="Y129" s="53"/>
      <c r="Z129" s="54"/>
      <c r="AA129" s="79"/>
      <c r="AB129" s="51"/>
      <c r="AC129" s="79"/>
      <c r="AD129" s="51"/>
      <c r="AE129" s="51"/>
      <c r="AF129" s="51"/>
      <c r="AG129" s="51"/>
      <c r="AH129" s="51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</row>
    <row r="130" spans="1:47" s="351" customFormat="1">
      <c r="A130" s="37"/>
      <c r="B130" s="38"/>
      <c r="C130" s="233"/>
      <c r="D130" s="38"/>
      <c r="E130" s="372"/>
      <c r="F130" s="40"/>
      <c r="G130" s="40"/>
      <c r="H130" s="40"/>
      <c r="I130" s="40"/>
      <c r="J130" s="40"/>
      <c r="K130" s="40"/>
      <c r="L130" s="40"/>
      <c r="M130" s="40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55"/>
      <c r="Y130" s="55"/>
      <c r="Z130" s="52"/>
      <c r="AA130" s="56"/>
      <c r="AB130" s="51"/>
      <c r="AC130" s="56"/>
      <c r="AD130" s="51"/>
      <c r="AE130" s="56"/>
      <c r="AF130" s="51"/>
      <c r="AG130" s="56"/>
      <c r="AH130" s="51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</row>
    <row r="131" spans="1:47" s="351" customFormat="1" outlineLevel="1">
      <c r="A131" s="41" t="str">
        <f t="shared" ref="A131:A136" si="42">"18043-"&amp;LEFT(AK131,11)</f>
        <v>18043-LM231 09101</v>
      </c>
      <c r="B131" s="38" t="s">
        <v>94</v>
      </c>
      <c r="C131" s="41"/>
      <c r="D131" s="38"/>
      <c r="E131" s="37" t="str">
        <f t="shared" ref="E131:E136" si="43">MID(AK131,FIND(" ",AK131,15)+1,100)</f>
        <v>List of Lighting Requirement</v>
      </c>
      <c r="F131" s="38" t="s">
        <v>97</v>
      </c>
      <c r="G131" s="38" t="s">
        <v>34</v>
      </c>
      <c r="H131" s="40"/>
      <c r="I131" s="38" t="s">
        <v>31</v>
      </c>
      <c r="J131" s="40"/>
      <c r="K131" s="40"/>
      <c r="L131" s="40"/>
      <c r="M131" s="40"/>
      <c r="N131" s="38"/>
      <c r="O131" s="38"/>
      <c r="P131" s="38"/>
      <c r="Q131" s="38"/>
      <c r="R131" s="38"/>
      <c r="S131" s="38">
        <v>0</v>
      </c>
      <c r="T131" s="38" t="s">
        <v>1058</v>
      </c>
      <c r="U131" s="38"/>
      <c r="V131" s="38"/>
      <c r="W131" s="40" t="str" cm="1">
        <f t="array" ref="W131">IF(A131&lt;&gt;"",_xlfn.XLOOKUP(_xlfn.XLOOKUP(TRUE,G131:R131&lt;&gt;"",G131:R131,"-",-1,-1),G131:R131,$G$6:$R$6,,,-1),"")</f>
        <v>Add1</v>
      </c>
      <c r="X131" s="132" t="s">
        <v>117</v>
      </c>
      <c r="Y131" s="55"/>
      <c r="Z131" s="55" t="s">
        <v>1095</v>
      </c>
      <c r="AA131" s="56"/>
      <c r="AB131" s="51"/>
      <c r="AC131" s="56"/>
      <c r="AD131" s="51"/>
      <c r="AE131" s="56"/>
      <c r="AF131" s="51"/>
      <c r="AG131" s="56"/>
      <c r="AH131" s="51"/>
      <c r="AI131" s="37"/>
      <c r="AJ131" s="55" t="s">
        <v>1095</v>
      </c>
      <c r="AK131" s="37" t="s">
        <v>1201</v>
      </c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</row>
    <row r="132" spans="1:47" s="351" customFormat="1" outlineLevel="1">
      <c r="A132" s="41" t="str">
        <f t="shared" si="42"/>
        <v>18043-LM231 09102</v>
      </c>
      <c r="B132" s="38" t="s">
        <v>94</v>
      </c>
      <c r="C132" s="41"/>
      <c r="D132" s="38"/>
      <c r="E132" s="37" t="str">
        <f t="shared" si="43"/>
        <v>Lighting Plan</v>
      </c>
      <c r="F132" s="38" t="s">
        <v>97</v>
      </c>
      <c r="G132" s="38" t="s">
        <v>34</v>
      </c>
      <c r="H132" s="38" t="s">
        <v>31</v>
      </c>
      <c r="I132" s="38" t="s">
        <v>116</v>
      </c>
      <c r="J132" s="38" t="s">
        <v>38</v>
      </c>
      <c r="K132" s="38" t="s">
        <v>28</v>
      </c>
      <c r="L132" s="40"/>
      <c r="M132" s="40"/>
      <c r="N132" s="38"/>
      <c r="O132" s="38"/>
      <c r="P132" s="38" t="s">
        <v>28</v>
      </c>
      <c r="Q132" s="38"/>
      <c r="R132" s="38"/>
      <c r="S132" s="38">
        <v>0</v>
      </c>
      <c r="T132" s="38" t="s">
        <v>98</v>
      </c>
      <c r="U132" s="38"/>
      <c r="V132" s="38"/>
      <c r="W132" s="40" t="str" cm="1">
        <f t="array" ref="W132">IF(A132&lt;&gt;"",_xlfn.XLOOKUP(_xlfn.XLOOKUP(TRUE,G132:R132&lt;&gt;"",G132:R132,"-",-1,-1),G132:R132,$G$6:$R$6,,,-1),"")</f>
        <v>Permit</v>
      </c>
      <c r="X132" s="55">
        <v>75</v>
      </c>
      <c r="Y132" s="55"/>
      <c r="Z132" s="55" t="s">
        <v>1095</v>
      </c>
      <c r="AA132" s="56"/>
      <c r="AB132" s="51"/>
      <c r="AC132" s="56"/>
      <c r="AD132" s="51"/>
      <c r="AE132" s="56"/>
      <c r="AF132" s="51"/>
      <c r="AG132" s="56"/>
      <c r="AH132" s="51"/>
      <c r="AI132" s="37"/>
      <c r="AJ132" s="55" t="s">
        <v>1120</v>
      </c>
      <c r="AK132" s="37" t="s">
        <v>1202</v>
      </c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</row>
    <row r="133" spans="1:47" s="351" customFormat="1" outlineLevel="1">
      <c r="A133" s="41" t="str">
        <f t="shared" si="42"/>
        <v>18043-LM231 09103</v>
      </c>
      <c r="B133" s="38" t="s">
        <v>94</v>
      </c>
      <c r="C133" s="41"/>
      <c r="D133" s="38"/>
      <c r="E133" s="37" t="str">
        <f t="shared" si="43"/>
        <v>Emergency Light and Exit Light Plan</v>
      </c>
      <c r="F133" s="38" t="s">
        <v>97</v>
      </c>
      <c r="G133" s="38" t="s">
        <v>34</v>
      </c>
      <c r="H133" s="38" t="s">
        <v>31</v>
      </c>
      <c r="I133" s="38" t="s">
        <v>116</v>
      </c>
      <c r="J133" s="38" t="s">
        <v>38</v>
      </c>
      <c r="K133" s="38" t="s">
        <v>28</v>
      </c>
      <c r="L133" s="40"/>
      <c r="M133" s="40"/>
      <c r="N133" s="38"/>
      <c r="O133" s="38"/>
      <c r="P133" s="38" t="s">
        <v>28</v>
      </c>
      <c r="Q133" s="38"/>
      <c r="R133" s="38"/>
      <c r="S133" s="38">
        <v>0</v>
      </c>
      <c r="T133" s="38" t="s">
        <v>98</v>
      </c>
      <c r="U133" s="38"/>
      <c r="V133" s="38"/>
      <c r="W133" s="40" t="str" cm="1">
        <f t="array" ref="W133">IF(A133&lt;&gt;"",_xlfn.XLOOKUP(_xlfn.XLOOKUP(TRUE,G133:R133&lt;&gt;"",G133:R133,"-",-1,-1),G133:R133,$G$6:$R$6,,,-1),"")</f>
        <v>Permit</v>
      </c>
      <c r="X133" s="55">
        <v>75</v>
      </c>
      <c r="Y133" s="55"/>
      <c r="Z133" s="55" t="s">
        <v>1095</v>
      </c>
      <c r="AA133" s="56"/>
      <c r="AB133" s="51"/>
      <c r="AC133" s="56"/>
      <c r="AD133" s="51"/>
      <c r="AE133" s="56"/>
      <c r="AF133" s="51"/>
      <c r="AG133" s="56"/>
      <c r="AH133" s="51"/>
      <c r="AI133" s="37"/>
      <c r="AJ133" s="55" t="s">
        <v>1120</v>
      </c>
      <c r="AK133" s="37" t="s">
        <v>1203</v>
      </c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</row>
    <row r="134" spans="1:47" s="351" customFormat="1" outlineLevel="1">
      <c r="A134" s="41" t="str">
        <f t="shared" si="42"/>
        <v>18043-LM231 09201</v>
      </c>
      <c r="B134" s="38" t="s">
        <v>94</v>
      </c>
      <c r="C134" s="41"/>
      <c r="D134" s="38"/>
      <c r="E134" s="37" t="str">
        <f t="shared" si="43"/>
        <v>Fire Alarm System Diagram, Fire Alarm Plan</v>
      </c>
      <c r="F134" s="38" t="s">
        <v>97</v>
      </c>
      <c r="G134" s="38" t="s">
        <v>34</v>
      </c>
      <c r="H134" s="38" t="s">
        <v>31</v>
      </c>
      <c r="I134" s="38" t="s">
        <v>116</v>
      </c>
      <c r="J134" s="38" t="s">
        <v>38</v>
      </c>
      <c r="K134" s="38" t="s">
        <v>28</v>
      </c>
      <c r="L134" s="40"/>
      <c r="M134" s="40"/>
      <c r="N134" s="38"/>
      <c r="O134" s="38"/>
      <c r="P134" s="38" t="s">
        <v>28</v>
      </c>
      <c r="Q134" s="38"/>
      <c r="R134" s="38"/>
      <c r="S134" s="38">
        <v>0</v>
      </c>
      <c r="T134" s="38" t="s">
        <v>98</v>
      </c>
      <c r="U134" s="38"/>
      <c r="V134" s="38"/>
      <c r="W134" s="40" t="str" cm="1">
        <f t="array" ref="W134">IF(A134&lt;&gt;"",_xlfn.XLOOKUP(_xlfn.XLOOKUP(TRUE,G134:R134&lt;&gt;"",G134:R134,"-",-1,-1),G134:R134,$G$6:$R$6,,,-1),"")</f>
        <v>Permit</v>
      </c>
      <c r="X134" s="55">
        <v>75</v>
      </c>
      <c r="Y134" s="55"/>
      <c r="Z134" s="55" t="s">
        <v>1100</v>
      </c>
      <c r="AA134" s="56"/>
      <c r="AB134" s="51"/>
      <c r="AC134" s="56"/>
      <c r="AD134" s="51"/>
      <c r="AE134" s="56"/>
      <c r="AF134" s="51"/>
      <c r="AG134" s="56"/>
      <c r="AH134" s="51"/>
      <c r="AI134" s="37"/>
      <c r="AJ134" s="55" t="s">
        <v>1133</v>
      </c>
      <c r="AK134" s="37" t="s">
        <v>1204</v>
      </c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</row>
    <row r="135" spans="1:47" s="351" customFormat="1" outlineLevel="1">
      <c r="A135" s="41" t="str">
        <f t="shared" si="42"/>
        <v>18043-LM231 09401</v>
      </c>
      <c r="B135" s="38" t="s">
        <v>94</v>
      </c>
      <c r="C135" s="41"/>
      <c r="D135" s="38"/>
      <c r="E135" s="37" t="str">
        <f t="shared" si="43"/>
        <v>Telephone, and Data Network Plan</v>
      </c>
      <c r="F135" s="38" t="s">
        <v>97</v>
      </c>
      <c r="G135" s="38" t="s">
        <v>34</v>
      </c>
      <c r="H135" s="40"/>
      <c r="I135" s="38" t="s">
        <v>31</v>
      </c>
      <c r="J135" s="40"/>
      <c r="K135" s="38" t="s">
        <v>116</v>
      </c>
      <c r="L135" s="40"/>
      <c r="M135" s="40"/>
      <c r="N135" s="38"/>
      <c r="O135" s="38"/>
      <c r="P135" s="38"/>
      <c r="Q135" s="38"/>
      <c r="R135" s="38"/>
      <c r="S135" s="38">
        <v>0</v>
      </c>
      <c r="T135" s="38" t="s">
        <v>98</v>
      </c>
      <c r="U135" s="38"/>
      <c r="V135" s="38"/>
      <c r="W135" s="40" t="str" cm="1">
        <f t="array" ref="W135">IF(A135&lt;&gt;"",_xlfn.XLOOKUP(_xlfn.XLOOKUP(TRUE,G135:R135&lt;&gt;"",G135:R135,"-",-1,-1),G135:R135,$G$6:$R$6,,,-1),"")</f>
        <v>Add3</v>
      </c>
      <c r="X135" s="55">
        <v>75</v>
      </c>
      <c r="Y135" s="55"/>
      <c r="Z135" s="55" t="s">
        <v>1100</v>
      </c>
      <c r="AA135" s="56"/>
      <c r="AB135" s="51"/>
      <c r="AC135" s="56"/>
      <c r="AD135" s="51"/>
      <c r="AE135" s="56"/>
      <c r="AF135" s="51"/>
      <c r="AG135" s="56"/>
      <c r="AH135" s="51"/>
      <c r="AI135" s="37"/>
      <c r="AJ135" s="55" t="s">
        <v>1133</v>
      </c>
      <c r="AK135" s="37" t="s">
        <v>1205</v>
      </c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</row>
    <row r="136" spans="1:47" s="351" customFormat="1" outlineLevel="1">
      <c r="A136" s="41" t="str">
        <f t="shared" si="42"/>
        <v>18043-LM231 09501</v>
      </c>
      <c r="B136" s="38" t="s">
        <v>94</v>
      </c>
      <c r="C136" s="41"/>
      <c r="D136" s="38"/>
      <c r="E136" s="37" t="str">
        <f t="shared" si="43"/>
        <v>Single Line Diagram, Receptacle and Power Supply Plans</v>
      </c>
      <c r="F136" s="38" t="s">
        <v>97</v>
      </c>
      <c r="G136" s="38" t="s">
        <v>34</v>
      </c>
      <c r="H136" s="38" t="s">
        <v>31</v>
      </c>
      <c r="I136" s="38" t="s">
        <v>116</v>
      </c>
      <c r="J136" s="38" t="s">
        <v>38</v>
      </c>
      <c r="K136" s="38" t="s">
        <v>28</v>
      </c>
      <c r="L136" s="40"/>
      <c r="M136" s="40"/>
      <c r="N136" s="38"/>
      <c r="O136" s="38"/>
      <c r="P136" s="38" t="s">
        <v>28</v>
      </c>
      <c r="Q136" s="38"/>
      <c r="R136" s="38"/>
      <c r="S136" s="38">
        <v>0</v>
      </c>
      <c r="T136" s="38" t="s">
        <v>98</v>
      </c>
      <c r="U136" s="38"/>
      <c r="V136" s="38"/>
      <c r="W136" s="40" t="str" cm="1">
        <f t="array" ref="W136">IF(A136&lt;&gt;"",_xlfn.XLOOKUP(_xlfn.XLOOKUP(TRUE,G136:R136&lt;&gt;"",G136:R136,"-",-1,-1),G136:R136,$G$6:$R$6,,,-1),"")</f>
        <v>Permit</v>
      </c>
      <c r="X136" s="55">
        <v>75</v>
      </c>
      <c r="Y136" s="55"/>
      <c r="Z136" s="55" t="s">
        <v>1086</v>
      </c>
      <c r="AA136" s="56"/>
      <c r="AB136" s="51"/>
      <c r="AC136" s="56"/>
      <c r="AD136" s="51"/>
      <c r="AE136" s="56"/>
      <c r="AF136" s="51"/>
      <c r="AG136" s="56"/>
      <c r="AH136" s="51"/>
      <c r="AI136" s="37"/>
      <c r="AJ136" s="55" t="s">
        <v>1133</v>
      </c>
      <c r="AK136" s="37" t="s">
        <v>1206</v>
      </c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</row>
    <row r="137" spans="1:47" s="351" customFormat="1" outlineLevel="1">
      <c r="A137" s="41"/>
      <c r="B137" s="38"/>
      <c r="C137" s="41"/>
      <c r="D137" s="38"/>
      <c r="E137" s="131"/>
      <c r="F137" s="40"/>
      <c r="G137" s="40"/>
      <c r="H137" s="40"/>
      <c r="I137" s="40"/>
      <c r="J137" s="40"/>
      <c r="K137" s="40"/>
      <c r="L137" s="40"/>
      <c r="M137" s="40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55"/>
      <c r="Y137" s="55"/>
      <c r="Z137" s="52"/>
      <c r="AA137" s="56"/>
      <c r="AB137" s="51"/>
      <c r="AC137" s="56"/>
      <c r="AD137" s="51"/>
      <c r="AE137" s="56"/>
      <c r="AF137" s="51"/>
      <c r="AG137" s="56"/>
      <c r="AH137" s="51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</row>
    <row r="138" spans="1:47" s="351" customFormat="1" ht="15" customHeight="1">
      <c r="A138" s="41"/>
      <c r="B138" s="38"/>
      <c r="C138" s="233"/>
      <c r="D138" s="38"/>
      <c r="E138" s="43" t="str">
        <f>"SUB-TOTAL "&amp;UPPER(A129)&amp;" DRAWINGS"</f>
        <v>SUB-TOTAL CURING OFFICE &amp; WORKSHOP (B.231) DRAWINGS</v>
      </c>
      <c r="F138" s="133">
        <f t="shared" ref="F138:Q138" si="44">COUNTA(F131:F136)</f>
        <v>6</v>
      </c>
      <c r="G138" s="133">
        <f t="shared" si="44"/>
        <v>6</v>
      </c>
      <c r="H138" s="133">
        <f t="shared" si="44"/>
        <v>4</v>
      </c>
      <c r="I138" s="133">
        <f t="shared" si="44"/>
        <v>6</v>
      </c>
      <c r="J138" s="133">
        <f t="shared" si="44"/>
        <v>4</v>
      </c>
      <c r="K138" s="133">
        <f t="shared" si="44"/>
        <v>5</v>
      </c>
      <c r="L138" s="133">
        <f t="shared" si="44"/>
        <v>0</v>
      </c>
      <c r="M138" s="133">
        <f t="shared" si="44"/>
        <v>0</v>
      </c>
      <c r="N138" s="133">
        <f t="shared" si="44"/>
        <v>0</v>
      </c>
      <c r="O138" s="133">
        <f t="shared" si="44"/>
        <v>0</v>
      </c>
      <c r="P138" s="133"/>
      <c r="Q138" s="133">
        <f t="shared" si="44"/>
        <v>0</v>
      </c>
      <c r="R138" s="133"/>
      <c r="S138" s="133">
        <f>COUNTA(S131:S136)</f>
        <v>6</v>
      </c>
      <c r="T138" s="38"/>
      <c r="U138" s="36"/>
      <c r="V138" s="36"/>
      <c r="W138" s="36"/>
      <c r="X138" s="55"/>
      <c r="Y138" s="55"/>
      <c r="Z138" s="52"/>
      <c r="AA138" s="56"/>
      <c r="AB138" s="51"/>
      <c r="AC138" s="56"/>
      <c r="AD138" s="51"/>
      <c r="AE138" s="56"/>
      <c r="AF138" s="51"/>
      <c r="AG138" s="56"/>
      <c r="AH138" s="51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</row>
    <row r="139" spans="1:47" s="351" customFormat="1" ht="15" customHeight="1" thickTop="1">
      <c r="A139" s="41"/>
      <c r="B139" s="38"/>
      <c r="C139" s="233"/>
      <c r="D139" s="38"/>
      <c r="E139" s="373"/>
      <c r="F139" s="40"/>
      <c r="G139" s="40"/>
      <c r="H139" s="40"/>
      <c r="I139" s="40"/>
      <c r="J139" s="40"/>
      <c r="K139" s="40"/>
      <c r="L139" s="40"/>
      <c r="M139" s="40"/>
      <c r="N139" s="38"/>
      <c r="O139" s="38"/>
      <c r="P139" s="38"/>
      <c r="Q139" s="38"/>
      <c r="R139" s="38"/>
      <c r="S139" s="38"/>
      <c r="T139" s="38"/>
      <c r="U139" s="36"/>
      <c r="V139" s="36"/>
      <c r="W139" s="36"/>
      <c r="X139" s="55"/>
      <c r="Y139" s="55"/>
      <c r="Z139" s="52"/>
      <c r="AA139" s="56"/>
      <c r="AB139" s="51"/>
      <c r="AC139" s="56"/>
      <c r="AD139" s="51"/>
      <c r="AE139" s="56"/>
      <c r="AF139" s="51"/>
      <c r="AG139" s="56"/>
      <c r="AH139" s="51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</row>
    <row r="140" spans="1:47" s="351" customFormat="1">
      <c r="A140" s="32" t="s">
        <v>414</v>
      </c>
      <c r="B140" s="11"/>
      <c r="C140" s="32"/>
      <c r="D140" s="11"/>
      <c r="E140" s="251"/>
      <c r="F140" s="251"/>
      <c r="G140" s="251"/>
      <c r="H140" s="251"/>
      <c r="I140" s="251"/>
      <c r="J140" s="251"/>
      <c r="K140" s="251"/>
      <c r="L140" s="251"/>
      <c r="M140" s="251"/>
      <c r="N140" s="11"/>
      <c r="O140" s="251"/>
      <c r="P140" s="36"/>
      <c r="Q140" s="11"/>
      <c r="R140" s="11"/>
      <c r="S140" s="11"/>
      <c r="T140" s="11"/>
      <c r="U140" s="11"/>
      <c r="V140" s="11"/>
      <c r="W140" s="11"/>
      <c r="X140" s="53"/>
      <c r="Y140" s="53"/>
      <c r="Z140" s="54"/>
      <c r="AA140" s="79"/>
      <c r="AB140" s="51"/>
      <c r="AC140" s="79"/>
      <c r="AD140" s="51"/>
      <c r="AE140" s="51"/>
      <c r="AF140" s="51"/>
      <c r="AG140" s="51"/>
      <c r="AH140" s="51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</row>
    <row r="141" spans="1:47" s="351" customFormat="1">
      <c r="A141" s="37"/>
      <c r="B141" s="38"/>
      <c r="C141" s="233"/>
      <c r="D141" s="38"/>
      <c r="E141" s="372"/>
      <c r="F141" s="40"/>
      <c r="G141" s="40"/>
      <c r="H141" s="40"/>
      <c r="I141" s="40"/>
      <c r="J141" s="40"/>
      <c r="K141" s="40"/>
      <c r="L141" s="40"/>
      <c r="M141" s="40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55"/>
      <c r="Y141" s="55"/>
      <c r="Z141" s="52"/>
      <c r="AA141" s="56"/>
      <c r="AB141" s="51"/>
      <c r="AC141" s="56"/>
      <c r="AD141" s="51"/>
      <c r="AE141" s="56"/>
      <c r="AF141" s="51"/>
      <c r="AG141" s="56"/>
      <c r="AH141" s="51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</row>
    <row r="142" spans="1:47" s="351" customFormat="1" outlineLevel="1">
      <c r="A142" s="491" t="str">
        <f t="shared" ref="A142:A148" si="45">"18043-"&amp;LEFT(AK142,11)</f>
        <v>18043-LM520 09104</v>
      </c>
      <c r="B142" s="38" t="s">
        <v>94</v>
      </c>
      <c r="C142" s="41"/>
      <c r="D142" s="486"/>
      <c r="E142" s="488" t="str">
        <f t="shared" ref="E142:E148" si="46">MID(AK142,FIND(" ",AK142,15)+1,100)</f>
        <v>Platform Lighting Plan</v>
      </c>
      <c r="F142" s="486" t="s">
        <v>97</v>
      </c>
      <c r="G142" s="486" t="s">
        <v>34</v>
      </c>
      <c r="H142" s="489"/>
      <c r="I142" s="486" t="s">
        <v>31</v>
      </c>
      <c r="J142" s="489"/>
      <c r="K142" s="489"/>
      <c r="L142" s="489"/>
      <c r="M142" s="489"/>
      <c r="N142" s="486"/>
      <c r="O142" s="486"/>
      <c r="P142" s="486"/>
      <c r="Q142" s="486"/>
      <c r="R142" s="486"/>
      <c r="S142" s="486"/>
      <c r="T142" s="486" t="s">
        <v>98</v>
      </c>
      <c r="U142" s="38"/>
      <c r="V142" s="490" t="s">
        <v>1098</v>
      </c>
      <c r="W142" s="40" t="str" cm="1">
        <f t="array" ref="W142">IF(A142&lt;&gt;"",_xlfn.XLOOKUP(_xlfn.XLOOKUP(TRUE,G142:R142&lt;&gt;"",G142:R142,"-",-1,-1),G142:R142,$G$6:$R$6,,,-1),"")</f>
        <v>Add1</v>
      </c>
      <c r="X142" s="55">
        <v>125</v>
      </c>
      <c r="Y142" s="55"/>
      <c r="Z142" s="55" t="s">
        <v>1095</v>
      </c>
      <c r="AA142" s="56"/>
      <c r="AB142" s="51"/>
      <c r="AC142" s="56"/>
      <c r="AD142" s="51"/>
      <c r="AE142" s="56"/>
      <c r="AF142" s="51"/>
      <c r="AG142" s="56"/>
      <c r="AH142" s="51"/>
      <c r="AI142" s="37"/>
      <c r="AJ142" s="236" t="s">
        <v>1120</v>
      </c>
      <c r="AK142" s="37" t="s">
        <v>1207</v>
      </c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</row>
    <row r="143" spans="1:47" s="351" customFormat="1" outlineLevel="1">
      <c r="A143" s="491" t="str">
        <f t="shared" si="45"/>
        <v>18043-LM520 09202</v>
      </c>
      <c r="B143" s="38" t="s">
        <v>94</v>
      </c>
      <c r="C143" s="41"/>
      <c r="D143" s="486"/>
      <c r="E143" s="488" t="str">
        <f t="shared" si="46"/>
        <v>Under Platform Fire Alarm Plan</v>
      </c>
      <c r="F143" s="486" t="s">
        <v>97</v>
      </c>
      <c r="G143" s="486" t="s">
        <v>34</v>
      </c>
      <c r="H143" s="489"/>
      <c r="I143" s="486" t="s">
        <v>31</v>
      </c>
      <c r="J143" s="489"/>
      <c r="K143" s="489"/>
      <c r="L143" s="489"/>
      <c r="M143" s="489"/>
      <c r="N143" s="486"/>
      <c r="O143" s="486"/>
      <c r="P143" s="486"/>
      <c r="Q143" s="486"/>
      <c r="R143" s="486"/>
      <c r="S143" s="486"/>
      <c r="T143" s="486" t="s">
        <v>98</v>
      </c>
      <c r="U143" s="38"/>
      <c r="V143" s="490" t="s">
        <v>1098</v>
      </c>
      <c r="W143" s="40" t="str" cm="1">
        <f t="array" ref="W143">IF(A143&lt;&gt;"",_xlfn.XLOOKUP(_xlfn.XLOOKUP(TRUE,G143:R143&lt;&gt;"",G143:R143,"-",-1,-1),G143:R143,$G$6:$R$6,,,-1),"")</f>
        <v>Add1</v>
      </c>
      <c r="X143" s="55">
        <v>125</v>
      </c>
      <c r="Y143" s="55"/>
      <c r="Z143" s="55" t="s">
        <v>1100</v>
      </c>
      <c r="AA143" s="56"/>
      <c r="AB143" s="51"/>
      <c r="AC143" s="56"/>
      <c r="AD143" s="51"/>
      <c r="AE143" s="56"/>
      <c r="AF143" s="51"/>
      <c r="AG143" s="56"/>
      <c r="AH143" s="51"/>
      <c r="AI143" s="37"/>
      <c r="AJ143" s="236" t="s">
        <v>1133</v>
      </c>
      <c r="AK143" s="37" t="s">
        <v>1208</v>
      </c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</row>
    <row r="144" spans="1:47" s="351" customFormat="1" outlineLevel="1">
      <c r="A144" s="491" t="str">
        <f t="shared" si="45"/>
        <v>18043-LM520 09505</v>
      </c>
      <c r="B144" s="38" t="s">
        <v>94</v>
      </c>
      <c r="C144" s="41"/>
      <c r="D144" s="486"/>
      <c r="E144" s="488" t="str">
        <f t="shared" si="46"/>
        <v>Modification Plan</v>
      </c>
      <c r="F144" s="486" t="s">
        <v>97</v>
      </c>
      <c r="G144" s="486" t="s">
        <v>34</v>
      </c>
      <c r="H144" s="489"/>
      <c r="I144" s="489"/>
      <c r="J144" s="489"/>
      <c r="K144" s="489"/>
      <c r="L144" s="489"/>
      <c r="M144" s="486" t="s">
        <v>31</v>
      </c>
      <c r="N144" s="486"/>
      <c r="O144" s="486"/>
      <c r="P144" s="486"/>
      <c r="Q144" s="486"/>
      <c r="R144" s="486"/>
      <c r="S144" s="486"/>
      <c r="T144" s="486" t="s">
        <v>98</v>
      </c>
      <c r="U144" s="38"/>
      <c r="V144" s="490" t="s">
        <v>1098</v>
      </c>
      <c r="W144" s="40" t="str" cm="1">
        <f t="array" ref="W144">IF(A144&lt;&gt;"",_xlfn.XLOOKUP(_xlfn.XLOOKUP(TRUE,G144:R144&lt;&gt;"",G144:R144,"-",-1,-1),G144:R144,$G$6:$R$6,,,-1),"")</f>
        <v>Add6</v>
      </c>
      <c r="X144" s="55">
        <v>100</v>
      </c>
      <c r="Y144" s="55"/>
      <c r="Z144" s="55" t="s">
        <v>1086</v>
      </c>
      <c r="AA144" s="56"/>
      <c r="AB144" s="51"/>
      <c r="AC144" s="56"/>
      <c r="AD144" s="51"/>
      <c r="AE144" s="56"/>
      <c r="AF144" s="51"/>
      <c r="AG144" s="56"/>
      <c r="AH144" s="51"/>
      <c r="AI144" s="37"/>
      <c r="AJ144" s="236" t="s">
        <v>1120</v>
      </c>
      <c r="AK144" s="37" t="s">
        <v>1209</v>
      </c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</row>
    <row r="145" spans="1:47" s="351" customFormat="1" outlineLevel="1">
      <c r="A145" s="491" t="str">
        <f t="shared" si="45"/>
        <v>18043-LM520 09506</v>
      </c>
      <c r="B145" s="38" t="s">
        <v>94</v>
      </c>
      <c r="C145" s="41"/>
      <c r="D145" s="486"/>
      <c r="E145" s="488" t="str">
        <f t="shared" si="46"/>
        <v>Load Schedule 520-P1 &amp; 520-P2</v>
      </c>
      <c r="F145" s="489"/>
      <c r="G145" s="486" t="s">
        <v>97</v>
      </c>
      <c r="H145" s="489"/>
      <c r="I145" s="489"/>
      <c r="J145" s="489"/>
      <c r="K145" s="486" t="s">
        <v>34</v>
      </c>
      <c r="L145" s="489"/>
      <c r="M145" s="489"/>
      <c r="N145" s="486"/>
      <c r="O145" s="486"/>
      <c r="P145" s="486"/>
      <c r="Q145" s="486"/>
      <c r="R145" s="486"/>
      <c r="S145" s="486"/>
      <c r="T145" s="486" t="s">
        <v>98</v>
      </c>
      <c r="U145" s="38"/>
      <c r="V145" s="490" t="s">
        <v>1098</v>
      </c>
      <c r="W145" s="40" t="str" cm="1">
        <f t="array" ref="W145">IF(A145&lt;&gt;"",_xlfn.XLOOKUP(_xlfn.XLOOKUP(TRUE,G145:R145&lt;&gt;"",G145:R145,"-",-1,-1),G145:R145,$G$6:$R$6,,,-1),"")</f>
        <v>Add3</v>
      </c>
      <c r="X145" s="132" t="s">
        <v>117</v>
      </c>
      <c r="Y145" s="55"/>
      <c r="Z145" s="55" t="s">
        <v>1095</v>
      </c>
      <c r="AA145" s="56"/>
      <c r="AB145" s="51"/>
      <c r="AC145" s="56"/>
      <c r="AD145" s="51"/>
      <c r="AE145" s="56"/>
      <c r="AF145" s="51"/>
      <c r="AG145" s="56"/>
      <c r="AH145" s="51"/>
      <c r="AI145" s="37"/>
      <c r="AJ145" s="236" t="s">
        <v>1095</v>
      </c>
      <c r="AK145" s="37" t="s">
        <v>1210</v>
      </c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</row>
    <row r="146" spans="1:47" s="351" customFormat="1" outlineLevel="1">
      <c r="A146" s="491" t="str">
        <f t="shared" si="45"/>
        <v>18043-LM520 09507</v>
      </c>
      <c r="B146" s="38" t="s">
        <v>94</v>
      </c>
      <c r="C146" s="41"/>
      <c r="D146" s="486"/>
      <c r="E146" s="488" t="str">
        <f t="shared" si="46"/>
        <v>Load Schedule 520-MDB-01</v>
      </c>
      <c r="F146" s="489"/>
      <c r="G146" s="489"/>
      <c r="H146" s="489"/>
      <c r="I146" s="489"/>
      <c r="J146" s="489"/>
      <c r="K146" s="486" t="s">
        <v>97</v>
      </c>
      <c r="L146" s="489"/>
      <c r="M146" s="489"/>
      <c r="N146" s="486"/>
      <c r="O146" s="486"/>
      <c r="P146" s="486"/>
      <c r="Q146" s="486"/>
      <c r="R146" s="486"/>
      <c r="S146" s="486"/>
      <c r="T146" s="486" t="s">
        <v>98</v>
      </c>
      <c r="U146" s="38"/>
      <c r="V146" s="490" t="s">
        <v>1098</v>
      </c>
      <c r="W146" s="40" t="str" cm="1">
        <f t="array" ref="W146">IF(A146&lt;&gt;"",_xlfn.XLOOKUP(_xlfn.XLOOKUP(TRUE,G146:R146&lt;&gt;"",G146:R146,"-",-1,-1),G146:R146,$G$6:$R$6,,,-1),"")</f>
        <v>Add3</v>
      </c>
      <c r="X146" s="132" t="s">
        <v>117</v>
      </c>
      <c r="Y146" s="55"/>
      <c r="Z146" s="55" t="s">
        <v>1086</v>
      </c>
      <c r="AA146" s="56"/>
      <c r="AB146" s="51"/>
      <c r="AC146" s="56"/>
      <c r="AD146" s="51"/>
      <c r="AE146" s="56"/>
      <c r="AF146" s="51"/>
      <c r="AG146" s="56"/>
      <c r="AH146" s="51"/>
      <c r="AI146" s="37"/>
      <c r="AJ146" s="55" t="s">
        <v>1086</v>
      </c>
      <c r="AK146" s="37" t="s">
        <v>1211</v>
      </c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</row>
    <row r="147" spans="1:47" s="351" customFormat="1" outlineLevel="1">
      <c r="A147" s="491" t="str">
        <f t="shared" si="45"/>
        <v>18043-LM520 09508</v>
      </c>
      <c r="B147" s="38" t="s">
        <v>94</v>
      </c>
      <c r="C147" s="41"/>
      <c r="D147" s="486"/>
      <c r="E147" s="488" t="str">
        <f t="shared" si="46"/>
        <v>Single Line Diagram 520-MDB-01</v>
      </c>
      <c r="F147" s="489"/>
      <c r="G147" s="489"/>
      <c r="H147" s="489"/>
      <c r="I147" s="489"/>
      <c r="J147" s="489"/>
      <c r="K147" s="486" t="s">
        <v>97</v>
      </c>
      <c r="L147" s="489"/>
      <c r="M147" s="489"/>
      <c r="N147" s="486"/>
      <c r="O147" s="486"/>
      <c r="P147" s="486"/>
      <c r="Q147" s="486"/>
      <c r="R147" s="486"/>
      <c r="S147" s="486"/>
      <c r="T147" s="486" t="s">
        <v>98</v>
      </c>
      <c r="U147" s="38"/>
      <c r="V147" s="490" t="s">
        <v>1098</v>
      </c>
      <c r="W147" s="40" t="str" cm="1">
        <f t="array" ref="W147">IF(A147&lt;&gt;"",_xlfn.XLOOKUP(_xlfn.XLOOKUP(TRUE,G147:R147&lt;&gt;"",G147:R147,"-",-1,-1),G147:R147,$G$6:$R$6,,,-1),"")</f>
        <v>Add3</v>
      </c>
      <c r="X147" s="132" t="s">
        <v>117</v>
      </c>
      <c r="Y147" s="55"/>
      <c r="Z147" s="55" t="s">
        <v>1086</v>
      </c>
      <c r="AA147" s="56"/>
      <c r="AB147" s="51"/>
      <c r="AC147" s="56"/>
      <c r="AD147" s="51"/>
      <c r="AE147" s="56"/>
      <c r="AF147" s="51"/>
      <c r="AG147" s="56"/>
      <c r="AH147" s="51"/>
      <c r="AI147" s="37"/>
      <c r="AJ147" s="236" t="s">
        <v>1120</v>
      </c>
      <c r="AK147" s="37" t="s">
        <v>1212</v>
      </c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</row>
    <row r="148" spans="1:47" s="351" customFormat="1" outlineLevel="1">
      <c r="A148" s="491" t="str">
        <f t="shared" si="45"/>
        <v>18043-LM520 09509</v>
      </c>
      <c r="B148" s="38" t="s">
        <v>94</v>
      </c>
      <c r="C148" s="41"/>
      <c r="D148" s="486"/>
      <c r="E148" s="488" t="str">
        <f t="shared" si="46"/>
        <v>Power Distribution Plan</v>
      </c>
      <c r="F148" s="489"/>
      <c r="G148" s="489"/>
      <c r="H148" s="489"/>
      <c r="I148" s="489"/>
      <c r="J148" s="489"/>
      <c r="K148" s="486" t="s">
        <v>97</v>
      </c>
      <c r="L148" s="489"/>
      <c r="M148" s="489"/>
      <c r="N148" s="486"/>
      <c r="O148" s="486"/>
      <c r="P148" s="486"/>
      <c r="Q148" s="486"/>
      <c r="R148" s="486"/>
      <c r="S148" s="486"/>
      <c r="T148" s="486" t="s">
        <v>98</v>
      </c>
      <c r="U148" s="38"/>
      <c r="V148" s="490" t="s">
        <v>1098</v>
      </c>
      <c r="W148" s="40" t="str" cm="1">
        <f t="array" ref="W148">IF(A148&lt;&gt;"",_xlfn.XLOOKUP(_xlfn.XLOOKUP(TRUE,G148:R148&lt;&gt;"",G148:R148,"-",-1,-1),G148:R148,$G$6:$R$6,,,-1),"")</f>
        <v>Add3</v>
      </c>
      <c r="X148" s="132" t="s">
        <v>117</v>
      </c>
      <c r="Y148" s="55"/>
      <c r="Z148" s="55" t="s">
        <v>1086</v>
      </c>
      <c r="AA148" s="56"/>
      <c r="AB148" s="51"/>
      <c r="AC148" s="56"/>
      <c r="AD148" s="51"/>
      <c r="AE148" s="56"/>
      <c r="AF148" s="51"/>
      <c r="AG148" s="56"/>
      <c r="AH148" s="51"/>
      <c r="AI148" s="37"/>
      <c r="AJ148" s="236" t="s">
        <v>1120</v>
      </c>
      <c r="AK148" s="37" t="s">
        <v>1213</v>
      </c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</row>
    <row r="149" spans="1:47" s="351" customFormat="1" outlineLevel="1">
      <c r="A149" s="43"/>
      <c r="B149" s="38"/>
      <c r="C149" s="233"/>
      <c r="D149" s="38"/>
      <c r="E149" s="241"/>
      <c r="F149" s="40"/>
      <c r="G149" s="40"/>
      <c r="H149" s="40"/>
      <c r="I149" s="40"/>
      <c r="J149" s="40"/>
      <c r="K149" s="40"/>
      <c r="L149" s="40"/>
      <c r="M149" s="40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55"/>
      <c r="Y149" s="55"/>
      <c r="Z149" s="52"/>
      <c r="AA149" s="56"/>
      <c r="AB149" s="51"/>
      <c r="AC149" s="56"/>
      <c r="AD149" s="51"/>
      <c r="AE149" s="56"/>
      <c r="AF149" s="51"/>
      <c r="AG149" s="56"/>
      <c r="AH149" s="51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</row>
    <row r="150" spans="1:47" s="351" customFormat="1" ht="15" customHeight="1">
      <c r="A150" s="41"/>
      <c r="B150" s="38"/>
      <c r="C150" s="233"/>
      <c r="D150" s="38"/>
      <c r="E150" s="43" t="str">
        <f>"SUB-TOTAL "&amp;UPPER(A140)&amp;" DRAWINGS"</f>
        <v>SUB-TOTAL COLD PREPARATION WORKSHOP (B520) DRAWINGS</v>
      </c>
      <c r="F150" s="133">
        <f t="shared" ref="F150:Q150" si="47">COUNTA(F142:F149)</f>
        <v>3</v>
      </c>
      <c r="G150" s="133">
        <f t="shared" si="47"/>
        <v>4</v>
      </c>
      <c r="H150" s="133">
        <f t="shared" si="47"/>
        <v>0</v>
      </c>
      <c r="I150" s="133">
        <f t="shared" si="47"/>
        <v>2</v>
      </c>
      <c r="J150" s="133">
        <f t="shared" si="47"/>
        <v>0</v>
      </c>
      <c r="K150" s="133">
        <f t="shared" si="47"/>
        <v>4</v>
      </c>
      <c r="L150" s="133">
        <f t="shared" si="47"/>
        <v>0</v>
      </c>
      <c r="M150" s="133">
        <f t="shared" si="47"/>
        <v>1</v>
      </c>
      <c r="N150" s="133">
        <f t="shared" si="47"/>
        <v>0</v>
      </c>
      <c r="O150" s="133">
        <f t="shared" si="47"/>
        <v>0</v>
      </c>
      <c r="P150" s="133"/>
      <c r="Q150" s="133">
        <f t="shared" si="47"/>
        <v>0</v>
      </c>
      <c r="R150" s="133"/>
      <c r="S150" s="133">
        <f>COUNTA(S142:S149)</f>
        <v>0</v>
      </c>
      <c r="T150" s="38"/>
      <c r="U150" s="36"/>
      <c r="V150" s="36"/>
      <c r="W150" s="36"/>
      <c r="X150" s="55"/>
      <c r="Y150" s="55"/>
      <c r="Z150" s="52"/>
      <c r="AA150" s="56"/>
      <c r="AB150" s="51"/>
      <c r="AC150" s="56"/>
      <c r="AD150" s="51"/>
      <c r="AE150" s="56"/>
      <c r="AF150" s="51"/>
      <c r="AG150" s="56"/>
      <c r="AH150" s="51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</row>
    <row r="151" spans="1:47" s="351" customFormat="1" ht="15" customHeight="1" thickTop="1">
      <c r="A151" s="41"/>
      <c r="B151" s="38"/>
      <c r="C151" s="233"/>
      <c r="D151" s="38"/>
      <c r="E151" s="373"/>
      <c r="F151" s="40"/>
      <c r="G151" s="40"/>
      <c r="H151" s="40"/>
      <c r="I151" s="40"/>
      <c r="J151" s="40"/>
      <c r="K151" s="40"/>
      <c r="L151" s="40"/>
      <c r="M151" s="40"/>
      <c r="N151" s="38"/>
      <c r="O151" s="38"/>
      <c r="P151" s="38"/>
      <c r="Q151" s="38"/>
      <c r="R151" s="38"/>
      <c r="S151" s="38"/>
      <c r="T151" s="38"/>
      <c r="U151" s="36"/>
      <c r="V151" s="36"/>
      <c r="W151" s="36"/>
      <c r="X151" s="55"/>
      <c r="Y151" s="55"/>
      <c r="Z151" s="52"/>
      <c r="AA151" s="56"/>
      <c r="AB151" s="51"/>
      <c r="AC151" s="56"/>
      <c r="AD151" s="51"/>
      <c r="AE151" s="56"/>
      <c r="AF151" s="51"/>
      <c r="AG151" s="56"/>
      <c r="AH151" s="51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</row>
    <row r="152" spans="1:47" s="351" customFormat="1">
      <c r="A152" s="32" t="s">
        <v>416</v>
      </c>
      <c r="B152" s="11"/>
      <c r="C152" s="32"/>
      <c r="D152" s="11"/>
      <c r="E152" s="11"/>
      <c r="F152" s="251"/>
      <c r="G152" s="251"/>
      <c r="H152" s="251"/>
      <c r="I152" s="251"/>
      <c r="J152" s="251"/>
      <c r="K152" s="251"/>
      <c r="L152" s="251"/>
      <c r="M152" s="251"/>
      <c r="N152" s="11"/>
      <c r="O152" s="251"/>
      <c r="P152" s="36"/>
      <c r="Q152" s="11"/>
      <c r="R152" s="11"/>
      <c r="S152" s="11"/>
      <c r="T152" s="11"/>
      <c r="U152" s="11"/>
      <c r="V152" s="11"/>
      <c r="W152" s="11"/>
      <c r="X152" s="53"/>
      <c r="Y152" s="53"/>
      <c r="Z152" s="54"/>
      <c r="AA152" s="79"/>
      <c r="AB152" s="51"/>
      <c r="AC152" s="79"/>
      <c r="AD152" s="51"/>
      <c r="AE152" s="51"/>
      <c r="AF152" s="51"/>
      <c r="AG152" s="51"/>
      <c r="AH152" s="51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</row>
    <row r="153" spans="1:47" s="351" customFormat="1">
      <c r="A153" s="37"/>
      <c r="B153" s="38"/>
      <c r="C153" s="233"/>
      <c r="D153" s="38"/>
      <c r="E153" s="372"/>
      <c r="F153" s="40"/>
      <c r="G153" s="40"/>
      <c r="H153" s="40"/>
      <c r="I153" s="40"/>
      <c r="J153" s="40"/>
      <c r="K153" s="40"/>
      <c r="L153" s="40"/>
      <c r="M153" s="40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55"/>
      <c r="Y153" s="55"/>
      <c r="Z153" s="52"/>
      <c r="AA153" s="56"/>
      <c r="AB153" s="51"/>
      <c r="AC153" s="56"/>
      <c r="AD153" s="51"/>
      <c r="AE153" s="56"/>
      <c r="AF153" s="51"/>
      <c r="AG153" s="56"/>
      <c r="AH153" s="51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</row>
    <row r="154" spans="1:47" s="351" customFormat="1" hidden="1" outlineLevel="1">
      <c r="A154" s="41" t="s">
        <v>36</v>
      </c>
      <c r="B154" s="38" t="s">
        <v>94</v>
      </c>
      <c r="C154" s="233"/>
      <c r="D154" s="38"/>
      <c r="E154" s="393" t="s">
        <v>37</v>
      </c>
      <c r="F154" s="40"/>
      <c r="G154" s="40"/>
      <c r="H154" s="40"/>
      <c r="I154" s="40"/>
      <c r="J154" s="40"/>
      <c r="K154" s="40"/>
      <c r="L154" s="40"/>
      <c r="M154" s="40"/>
      <c r="N154" s="38" t="s">
        <v>38</v>
      </c>
      <c r="O154" s="38"/>
      <c r="P154" s="38"/>
      <c r="Q154" s="38"/>
      <c r="R154" s="38"/>
      <c r="S154" s="38"/>
      <c r="T154" s="38"/>
      <c r="U154" s="38"/>
      <c r="V154" s="38"/>
      <c r="W154" s="38"/>
      <c r="X154" s="55"/>
      <c r="Y154" s="55" t="s">
        <v>1086</v>
      </c>
      <c r="Z154" s="52"/>
      <c r="AA154" s="56"/>
      <c r="AB154" s="51"/>
      <c r="AC154" s="56"/>
      <c r="AD154" s="51"/>
      <c r="AE154" s="56"/>
      <c r="AF154" s="51"/>
      <c r="AG154" s="56"/>
      <c r="AH154" s="51"/>
      <c r="AI154" s="37"/>
      <c r="AJ154" s="37"/>
      <c r="AK154" s="37" t="s">
        <v>1214</v>
      </c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</row>
    <row r="155" spans="1:47" s="351" customFormat="1" hidden="1" outlineLevel="1">
      <c r="A155" s="41" t="str">
        <f t="shared" ref="A155:A162" si="48">"18043-"&amp;LEFT(AK155,11)</f>
        <v>18043-LM561 09203</v>
      </c>
      <c r="B155" s="38" t="s">
        <v>94</v>
      </c>
      <c r="C155" s="233"/>
      <c r="D155" s="38"/>
      <c r="E155" s="393" t="str">
        <f t="shared" ref="E155:E162" si="49">MID(AK155,FIND(" ",AK155,15)+1,100)</f>
        <v>Fire Alarm Plan</v>
      </c>
      <c r="F155" s="40"/>
      <c r="G155" s="40"/>
      <c r="H155" s="40"/>
      <c r="I155" s="40"/>
      <c r="J155" s="40"/>
      <c r="K155" s="40"/>
      <c r="L155" s="40"/>
      <c r="M155" s="40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55"/>
      <c r="Y155" s="55" t="s">
        <v>1100</v>
      </c>
      <c r="Z155" s="52"/>
      <c r="AA155" s="56"/>
      <c r="AB155" s="51"/>
      <c r="AC155" s="56"/>
      <c r="AD155" s="51"/>
      <c r="AE155" s="56"/>
      <c r="AF155" s="51"/>
      <c r="AG155" s="56"/>
      <c r="AH155" s="51"/>
      <c r="AI155" s="37"/>
      <c r="AJ155" s="37"/>
      <c r="AK155" s="37" t="s">
        <v>1215</v>
      </c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</row>
    <row r="156" spans="1:47" s="351" customFormat="1" hidden="1" outlineLevel="1">
      <c r="A156" s="41" t="str">
        <f t="shared" si="48"/>
        <v>18043-LM561 09501</v>
      </c>
      <c r="B156" s="38" t="s">
        <v>94</v>
      </c>
      <c r="C156" s="233"/>
      <c r="D156" s="38"/>
      <c r="E156" s="393" t="str">
        <f t="shared" si="49"/>
        <v>Electrical Equipment Layout Sections</v>
      </c>
      <c r="F156" s="40"/>
      <c r="G156" s="40"/>
      <c r="H156" s="40"/>
      <c r="I156" s="40"/>
      <c r="J156" s="40"/>
      <c r="K156" s="40"/>
      <c r="L156" s="40"/>
      <c r="M156" s="40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55"/>
      <c r="Y156" s="55" t="s">
        <v>1086</v>
      </c>
      <c r="Z156" s="52"/>
      <c r="AA156" s="56"/>
      <c r="AB156" s="51"/>
      <c r="AC156" s="56"/>
      <c r="AD156" s="51"/>
      <c r="AE156" s="56"/>
      <c r="AF156" s="51"/>
      <c r="AG156" s="56"/>
      <c r="AH156" s="51"/>
      <c r="AI156" s="37"/>
      <c r="AJ156" s="37"/>
      <c r="AK156" s="37" t="s">
        <v>1216</v>
      </c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</row>
    <row r="157" spans="1:47" s="351" customFormat="1" outlineLevel="1">
      <c r="A157" s="41" t="str">
        <f t="shared" si="48"/>
        <v>18043-LM561 09501</v>
      </c>
      <c r="B157" s="38" t="s">
        <v>94</v>
      </c>
      <c r="C157" s="41"/>
      <c r="D157" s="38"/>
      <c r="E157" s="37" t="str">
        <f t="shared" si="49"/>
        <v>Electrical Equipment Layout &amp; Sections</v>
      </c>
      <c r="F157" s="40"/>
      <c r="G157" s="40"/>
      <c r="H157" s="40"/>
      <c r="I157" s="38"/>
      <c r="J157" s="40"/>
      <c r="K157" s="38"/>
      <c r="L157" s="40"/>
      <c r="M157" s="40"/>
      <c r="N157" s="38"/>
      <c r="O157" s="38" t="s">
        <v>97</v>
      </c>
      <c r="P157" s="38"/>
      <c r="Q157" s="38"/>
      <c r="R157" s="38"/>
      <c r="S157" s="38">
        <v>0</v>
      </c>
      <c r="T157" s="38" t="s">
        <v>98</v>
      </c>
      <c r="U157" s="38"/>
      <c r="V157" s="38"/>
      <c r="W157" s="40" t="str" cm="1">
        <f t="array" ref="W157">IF(A157&lt;&gt;"",_xlfn.XLOOKUP(_xlfn.XLOOKUP(TRUE,G157:R157&lt;&gt;"",G157:R157,"-",-1,-1),G157:R157,$G$6:$R$6,,,-1),"")</f>
        <v>Add7</v>
      </c>
      <c r="X157" s="55"/>
      <c r="Y157" s="55"/>
      <c r="Z157" s="55" t="s">
        <v>1086</v>
      </c>
      <c r="AA157" s="56"/>
      <c r="AB157" s="51"/>
      <c r="AC157" s="56"/>
      <c r="AD157" s="51"/>
      <c r="AE157" s="56"/>
      <c r="AF157" s="51"/>
      <c r="AG157" s="56"/>
      <c r="AH157" s="51"/>
      <c r="AI157" s="37"/>
      <c r="AJ157" s="236" t="s">
        <v>1120</v>
      </c>
      <c r="AK157" s="37" t="s">
        <v>1217</v>
      </c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</row>
    <row r="158" spans="1:47" s="351" customFormat="1" outlineLevel="1">
      <c r="A158" s="41" t="str">
        <f t="shared" si="48"/>
        <v>18043-LM561 09520</v>
      </c>
      <c r="B158" s="38" t="s">
        <v>94</v>
      </c>
      <c r="C158" s="41"/>
      <c r="D158" s="38"/>
      <c r="E158" s="37" t="str">
        <f t="shared" si="49"/>
        <v>Power Supplies &amp; Cables Routing Plan View</v>
      </c>
      <c r="F158" s="40"/>
      <c r="G158" s="40"/>
      <c r="H158" s="40"/>
      <c r="I158" s="38" t="s">
        <v>97</v>
      </c>
      <c r="J158" s="40"/>
      <c r="K158" s="38" t="s">
        <v>34</v>
      </c>
      <c r="L158" s="40"/>
      <c r="M158" s="40"/>
      <c r="N158" s="38"/>
      <c r="O158" s="38"/>
      <c r="P158" s="38"/>
      <c r="Q158" s="38"/>
      <c r="R158" s="38"/>
      <c r="S158" s="38">
        <v>0</v>
      </c>
      <c r="T158" s="38" t="s">
        <v>98</v>
      </c>
      <c r="U158" s="38"/>
      <c r="V158" s="38"/>
      <c r="W158" s="40" t="str" cm="1">
        <f t="array" ref="W158">IF(A158&lt;&gt;"",_xlfn.XLOOKUP(_xlfn.XLOOKUP(TRUE,G158:R158&lt;&gt;"",G158:R158,"-",-1,-1),G158:R158,$G$6:$R$6,,,-1),"")</f>
        <v>Add3</v>
      </c>
      <c r="X158" s="55"/>
      <c r="Y158" s="55"/>
      <c r="Z158" s="55" t="s">
        <v>1086</v>
      </c>
      <c r="AA158" s="56"/>
      <c r="AB158" s="51"/>
      <c r="AC158" s="56"/>
      <c r="AD158" s="51"/>
      <c r="AE158" s="56"/>
      <c r="AF158" s="51"/>
      <c r="AG158" s="56"/>
      <c r="AH158" s="51"/>
      <c r="AI158" s="37"/>
      <c r="AJ158" s="236" t="s">
        <v>1120</v>
      </c>
      <c r="AK158" s="37" t="s">
        <v>1218</v>
      </c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</row>
    <row r="159" spans="1:47" s="351" customFormat="1" outlineLevel="1">
      <c r="A159" s="41" t="str">
        <f t="shared" si="48"/>
        <v>18043-LM561 09531</v>
      </c>
      <c r="B159" s="38" t="s">
        <v>94</v>
      </c>
      <c r="C159" s="41"/>
      <c r="D159" s="38"/>
      <c r="E159" s="37" t="str">
        <f t="shared" si="49"/>
        <v>Load Schedule 561-MDB01</v>
      </c>
      <c r="F159" s="38" t="s">
        <v>97</v>
      </c>
      <c r="G159" s="38" t="s">
        <v>34</v>
      </c>
      <c r="H159" s="38" t="s">
        <v>34</v>
      </c>
      <c r="I159" s="38" t="s">
        <v>31</v>
      </c>
      <c r="J159" s="38" t="s">
        <v>116</v>
      </c>
      <c r="K159" s="38" t="s">
        <v>38</v>
      </c>
      <c r="L159" s="40"/>
      <c r="M159" s="40"/>
      <c r="N159" s="38"/>
      <c r="O159" s="38"/>
      <c r="P159" s="38" t="s">
        <v>38</v>
      </c>
      <c r="Q159" s="446" t="s">
        <v>28</v>
      </c>
      <c r="R159" s="38"/>
      <c r="S159" s="38">
        <v>0</v>
      </c>
      <c r="T159" s="38" t="s">
        <v>1058</v>
      </c>
      <c r="U159" s="38"/>
      <c r="V159" s="38"/>
      <c r="W159" s="40" t="str" cm="1">
        <f t="array" ref="W159">IF(A159&lt;&gt;"",_xlfn.XLOOKUP(_xlfn.XLOOKUP(TRUE,G159:R159&lt;&gt;"",G159:R159,"-",-1,-1),G159:R159,$G$6:$R$6,,,-1),"")</f>
        <v>Add8</v>
      </c>
      <c r="X159" s="132" t="s">
        <v>117</v>
      </c>
      <c r="Y159" s="55"/>
      <c r="Z159" s="55" t="s">
        <v>1086</v>
      </c>
      <c r="AA159" s="56"/>
      <c r="AB159" s="51"/>
      <c r="AC159" s="56"/>
      <c r="AD159" s="51"/>
      <c r="AE159" s="56"/>
      <c r="AF159" s="51"/>
      <c r="AG159" s="56"/>
      <c r="AH159" s="51"/>
      <c r="AI159" s="37"/>
      <c r="AJ159" s="236" t="s">
        <v>1086</v>
      </c>
      <c r="AK159" s="37" t="s">
        <v>1219</v>
      </c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</row>
    <row r="160" spans="1:47" s="351" customFormat="1" outlineLevel="1">
      <c r="A160" s="41" t="str">
        <f t="shared" si="48"/>
        <v>18043-LM561 09532</v>
      </c>
      <c r="B160" s="38" t="s">
        <v>94</v>
      </c>
      <c r="C160" s="41"/>
      <c r="D160" s="38"/>
      <c r="E160" s="37" t="str">
        <f t="shared" si="49"/>
        <v>Load Schedule 561-MDB02</v>
      </c>
      <c r="F160" s="40"/>
      <c r="G160" s="40"/>
      <c r="H160" s="40"/>
      <c r="I160" s="40"/>
      <c r="J160" s="40"/>
      <c r="K160" s="38" t="s">
        <v>97</v>
      </c>
      <c r="L160" s="40"/>
      <c r="M160" s="40"/>
      <c r="N160" s="38"/>
      <c r="O160" s="38"/>
      <c r="P160" s="38"/>
      <c r="Q160" s="38"/>
      <c r="R160" s="38"/>
      <c r="S160" s="38">
        <v>0</v>
      </c>
      <c r="T160" s="38" t="s">
        <v>1058</v>
      </c>
      <c r="U160" s="38"/>
      <c r="V160" s="38"/>
      <c r="W160" s="40" t="str" cm="1">
        <f t="array" ref="W160">IF(A160&lt;&gt;"",_xlfn.XLOOKUP(_xlfn.XLOOKUP(TRUE,G160:R160&lt;&gt;"",G160:R160,"-",-1,-1),G160:R160,$G$6:$R$6,,,-1),"")</f>
        <v>Add3</v>
      </c>
      <c r="X160" s="132" t="s">
        <v>117</v>
      </c>
      <c r="Y160" s="55"/>
      <c r="Z160" s="55" t="s">
        <v>1086</v>
      </c>
      <c r="AA160" s="56"/>
      <c r="AB160" s="51"/>
      <c r="AC160" s="56"/>
      <c r="AD160" s="51"/>
      <c r="AE160" s="56"/>
      <c r="AF160" s="51"/>
      <c r="AG160" s="56"/>
      <c r="AH160" s="51"/>
      <c r="AI160" s="37"/>
      <c r="AJ160" s="236" t="s">
        <v>1086</v>
      </c>
      <c r="AK160" s="37" t="s">
        <v>1220</v>
      </c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</row>
    <row r="161" spans="1:47" s="351" customFormat="1" outlineLevel="1">
      <c r="A161" s="41" t="str">
        <f t="shared" si="48"/>
        <v>18043-LM561 09534</v>
      </c>
      <c r="B161" s="38" t="s">
        <v>94</v>
      </c>
      <c r="C161" s="41"/>
      <c r="D161" s="38"/>
      <c r="E161" s="37" t="str">
        <f t="shared" si="49"/>
        <v>Modification Plan</v>
      </c>
      <c r="F161" s="40"/>
      <c r="G161" s="40"/>
      <c r="H161" s="40"/>
      <c r="I161" s="38" t="s">
        <v>97</v>
      </c>
      <c r="J161" s="40"/>
      <c r="K161" s="40"/>
      <c r="L161" s="40"/>
      <c r="M161" s="40"/>
      <c r="N161" s="38"/>
      <c r="O161" s="38"/>
      <c r="P161" s="38"/>
      <c r="Q161" s="38"/>
      <c r="R161" s="38"/>
      <c r="S161" s="38">
        <v>0</v>
      </c>
      <c r="T161" s="38" t="s">
        <v>98</v>
      </c>
      <c r="U161" s="38"/>
      <c r="V161" s="38"/>
      <c r="W161" s="40" t="str" cm="1">
        <f t="array" ref="W161">IF(A161&lt;&gt;"",_xlfn.XLOOKUP(_xlfn.XLOOKUP(TRUE,G161:R161&lt;&gt;"",G161:R161,"-",-1,-1),G161:R161,$G$6:$R$6,,,-1),"")</f>
        <v>Add1</v>
      </c>
      <c r="X161" s="55"/>
      <c r="Y161" s="55"/>
      <c r="Z161" s="55" t="s">
        <v>1086</v>
      </c>
      <c r="AA161" s="56"/>
      <c r="AB161" s="51"/>
      <c r="AC161" s="56"/>
      <c r="AD161" s="51"/>
      <c r="AE161" s="56"/>
      <c r="AF161" s="51"/>
      <c r="AG161" s="56"/>
      <c r="AH161" s="51"/>
      <c r="AI161" s="37"/>
      <c r="AJ161" s="236" t="s">
        <v>1120</v>
      </c>
      <c r="AK161" s="37" t="s">
        <v>1221</v>
      </c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</row>
    <row r="162" spans="1:47" s="351" customFormat="1" outlineLevel="1">
      <c r="A162" s="41" t="str">
        <f t="shared" si="48"/>
        <v>18043-LM561 09535</v>
      </c>
      <c r="B162" s="38" t="s">
        <v>94</v>
      </c>
      <c r="C162" s="41"/>
      <c r="D162" s="38"/>
      <c r="E162" s="37" t="str">
        <f t="shared" si="49"/>
        <v>Single Line Diagram 561-MDB1</v>
      </c>
      <c r="F162" s="40"/>
      <c r="G162" s="40"/>
      <c r="H162" s="40"/>
      <c r="I162" s="40"/>
      <c r="J162" s="38" t="s">
        <v>97</v>
      </c>
      <c r="K162" s="40"/>
      <c r="L162" s="40"/>
      <c r="M162" s="40"/>
      <c r="N162" s="38"/>
      <c r="O162" s="38"/>
      <c r="P162" s="38"/>
      <c r="Q162" s="446" t="s">
        <v>34</v>
      </c>
      <c r="R162" s="38"/>
      <c r="S162" s="38">
        <v>0</v>
      </c>
      <c r="T162" s="38" t="s">
        <v>98</v>
      </c>
      <c r="U162" s="38"/>
      <c r="V162" s="38"/>
      <c r="W162" s="40" t="str" cm="1">
        <f t="array" ref="W162">IF(A162&lt;&gt;"",_xlfn.XLOOKUP(_xlfn.XLOOKUP(TRUE,G162:R162&lt;&gt;"",G162:R162,"-",-1,-1),G162:R162,$G$6:$R$6,,,-1),"")</f>
        <v>Add8</v>
      </c>
      <c r="X162" s="55"/>
      <c r="Y162" s="55"/>
      <c r="Z162" s="55" t="s">
        <v>1086</v>
      </c>
      <c r="AA162" s="56"/>
      <c r="AB162" s="51"/>
      <c r="AC162" s="56"/>
      <c r="AD162" s="51"/>
      <c r="AE162" s="56"/>
      <c r="AF162" s="51"/>
      <c r="AG162" s="56"/>
      <c r="AH162" s="51"/>
      <c r="AI162" s="37"/>
      <c r="AJ162" s="236" t="s">
        <v>1120</v>
      </c>
      <c r="AK162" s="37" t="s">
        <v>1222</v>
      </c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</row>
    <row r="163" spans="1:47" s="351" customFormat="1" outlineLevel="1">
      <c r="A163" s="41"/>
      <c r="B163" s="38"/>
      <c r="C163" s="233"/>
      <c r="D163" s="38"/>
      <c r="E163" s="374"/>
      <c r="F163" s="40"/>
      <c r="G163" s="40"/>
      <c r="H163" s="40"/>
      <c r="I163" s="40"/>
      <c r="J163" s="40"/>
      <c r="K163" s="40"/>
      <c r="L163" s="40"/>
      <c r="M163" s="40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55"/>
      <c r="Y163" s="55"/>
      <c r="Z163" s="52"/>
      <c r="AA163" s="56"/>
      <c r="AB163" s="51"/>
      <c r="AC163" s="56"/>
      <c r="AD163" s="51"/>
      <c r="AE163" s="56"/>
      <c r="AF163" s="51"/>
      <c r="AG163" s="56"/>
      <c r="AH163" s="51"/>
      <c r="AI163" s="37"/>
      <c r="AJ163" s="236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</row>
    <row r="164" spans="1:47" s="351" customFormat="1" ht="15" customHeight="1">
      <c r="A164" s="41"/>
      <c r="B164" s="38"/>
      <c r="C164" s="233"/>
      <c r="D164" s="38"/>
      <c r="E164" s="43" t="str">
        <f>"SUB-TOTAL "&amp;UPPER(A152)&amp;" DRAWINGS"</f>
        <v>SUB-TOTAL TBM WORKSHOP (B561) DRAWINGS</v>
      </c>
      <c r="F164" s="133">
        <f>COUNTA(F154:F161)</f>
        <v>1</v>
      </c>
      <c r="G164" s="133">
        <f>COUNTA(G154:G161)</f>
        <v>1</v>
      </c>
      <c r="H164" s="133">
        <f>COUNTA(H154:H161)</f>
        <v>1</v>
      </c>
      <c r="I164" s="133">
        <f t="shared" ref="I164:L164" si="50">COUNTA(I154:I162)</f>
        <v>3</v>
      </c>
      <c r="J164" s="133">
        <f t="shared" si="50"/>
        <v>2</v>
      </c>
      <c r="K164" s="133">
        <f t="shared" si="50"/>
        <v>3</v>
      </c>
      <c r="L164" s="133">
        <f t="shared" si="50"/>
        <v>0</v>
      </c>
      <c r="M164" s="133">
        <f t="shared" ref="M164:S164" si="51">COUNTA(M154:M162)</f>
        <v>0</v>
      </c>
      <c r="N164" s="133">
        <f t="shared" si="51"/>
        <v>1</v>
      </c>
      <c r="O164" s="133">
        <f t="shared" si="51"/>
        <v>1</v>
      </c>
      <c r="P164" s="133"/>
      <c r="Q164" s="133">
        <f t="shared" si="51"/>
        <v>2</v>
      </c>
      <c r="R164" s="133"/>
      <c r="S164" s="133">
        <f t="shared" si="51"/>
        <v>6</v>
      </c>
      <c r="T164" s="38"/>
      <c r="U164" s="36"/>
      <c r="V164" s="36"/>
      <c r="W164" s="36"/>
      <c r="X164" s="55"/>
      <c r="Y164" s="55"/>
      <c r="Z164" s="52"/>
      <c r="AA164" s="56"/>
      <c r="AB164" s="51"/>
      <c r="AC164" s="56"/>
      <c r="AD164" s="51"/>
      <c r="AE164" s="56"/>
      <c r="AF164" s="51"/>
      <c r="AG164" s="56"/>
      <c r="AH164" s="51"/>
      <c r="AI164" s="37"/>
      <c r="AJ164" s="236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</row>
    <row r="165" spans="1:47" s="351" customFormat="1" ht="15" customHeight="1" thickTop="1">
      <c r="A165" s="41"/>
      <c r="B165" s="38"/>
      <c r="C165" s="41"/>
      <c r="D165" s="38"/>
      <c r="E165" s="373"/>
      <c r="F165" s="40"/>
      <c r="G165" s="40"/>
      <c r="H165" s="40"/>
      <c r="I165" s="40"/>
      <c r="J165" s="40"/>
      <c r="K165" s="40"/>
      <c r="L165" s="40"/>
      <c r="M165" s="40"/>
      <c r="N165" s="38"/>
      <c r="O165" s="38"/>
      <c r="P165" s="38"/>
      <c r="Q165" s="38"/>
      <c r="R165" s="38"/>
      <c r="S165" s="38"/>
      <c r="T165" s="38"/>
      <c r="U165" s="36"/>
      <c r="V165" s="36"/>
      <c r="W165" s="36"/>
      <c r="X165" s="55"/>
      <c r="Y165" s="55"/>
      <c r="Z165" s="52"/>
      <c r="AA165" s="56"/>
      <c r="AB165" s="51"/>
      <c r="AC165" s="56"/>
      <c r="AD165" s="51"/>
      <c r="AE165" s="56"/>
      <c r="AF165" s="51"/>
      <c r="AG165" s="56"/>
      <c r="AH165" s="51"/>
      <c r="AI165" s="37"/>
      <c r="AJ165" s="236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</row>
    <row r="166" spans="1:47" s="351" customFormat="1" ht="15" customHeight="1">
      <c r="A166" s="32" t="s">
        <v>1223</v>
      </c>
      <c r="B166" s="11"/>
      <c r="C166" s="32"/>
      <c r="D166" s="11"/>
      <c r="E166" s="251"/>
      <c r="F166" s="251"/>
      <c r="G166" s="251"/>
      <c r="H166" s="251"/>
      <c r="I166" s="251"/>
      <c r="J166" s="251"/>
      <c r="K166" s="251"/>
      <c r="L166" s="251"/>
      <c r="M166" s="251"/>
      <c r="N166" s="11"/>
      <c r="O166" s="251"/>
      <c r="P166" s="36"/>
      <c r="Q166" s="11"/>
      <c r="R166" s="11"/>
      <c r="S166" s="11"/>
      <c r="T166" s="11"/>
      <c r="U166" s="11"/>
      <c r="V166" s="11"/>
      <c r="W166" s="11"/>
      <c r="X166" s="53"/>
      <c r="Y166" s="53"/>
      <c r="Z166" s="54"/>
      <c r="AA166" s="79"/>
      <c r="AB166" s="51"/>
      <c r="AC166" s="79"/>
      <c r="AD166" s="51"/>
      <c r="AE166" s="51"/>
      <c r="AF166" s="51"/>
      <c r="AG166" s="51"/>
      <c r="AH166" s="51"/>
      <c r="AI166" s="37"/>
      <c r="AJ166" s="236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</row>
    <row r="167" spans="1:47" s="351" customFormat="1">
      <c r="A167" s="37"/>
      <c r="B167" s="38"/>
      <c r="C167" s="41"/>
      <c r="D167" s="38"/>
      <c r="E167" s="372"/>
      <c r="F167" s="40"/>
      <c r="G167" s="40"/>
      <c r="H167" s="40"/>
      <c r="I167" s="40"/>
      <c r="J167" s="40"/>
      <c r="K167" s="40"/>
      <c r="L167" s="40"/>
      <c r="M167" s="40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55"/>
      <c r="Y167" s="55"/>
      <c r="Z167" s="52"/>
      <c r="AA167" s="56"/>
      <c r="AB167" s="51"/>
      <c r="AC167" s="56"/>
      <c r="AD167" s="51"/>
      <c r="AE167" s="56"/>
      <c r="AF167" s="51"/>
      <c r="AG167" s="56"/>
      <c r="AH167" s="51"/>
      <c r="AI167" s="37"/>
      <c r="AJ167" s="236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</row>
    <row r="168" spans="1:47" s="351" customFormat="1">
      <c r="A168" s="485" t="str">
        <f>"18043-"&amp;LEFT(AK168,11)</f>
        <v>18043-LM190 09501</v>
      </c>
      <c r="B168" s="486" t="s">
        <v>94</v>
      </c>
      <c r="C168" s="487"/>
      <c r="D168" s="486"/>
      <c r="E168" s="488" t="str">
        <f>MID(AK168,FIND(" ",AK168,15)+1,100)</f>
        <v>Cable Tray Routing &amp; Power Plan</v>
      </c>
      <c r="F168" s="489"/>
      <c r="G168" s="489"/>
      <c r="H168" s="489"/>
      <c r="I168" s="486" t="s">
        <v>97</v>
      </c>
      <c r="J168" s="489"/>
      <c r="K168" s="489"/>
      <c r="L168" s="489"/>
      <c r="M168" s="489"/>
      <c r="N168" s="486"/>
      <c r="O168" s="486"/>
      <c r="P168" s="486"/>
      <c r="Q168" s="486" t="s">
        <v>34</v>
      </c>
      <c r="R168" s="486"/>
      <c r="S168" s="486"/>
      <c r="T168" s="38" t="s">
        <v>98</v>
      </c>
      <c r="U168" s="38"/>
      <c r="V168" s="484" t="s">
        <v>1098</v>
      </c>
      <c r="W168" s="40" t="str" cm="1">
        <f t="array" ref="W168">IF(A168&lt;&gt;"",_xlfn.XLOOKUP(_xlfn.XLOOKUP(TRUE,G168:R168&lt;&gt;"",G168:R168,"-",-1,-1),G168:R168,$G$6:$R$6,,,-1),"")</f>
        <v>Add8</v>
      </c>
      <c r="X168" s="55">
        <v>175</v>
      </c>
      <c r="Y168" s="55"/>
      <c r="Z168" s="55" t="s">
        <v>1086</v>
      </c>
      <c r="AA168" s="56"/>
      <c r="AB168" s="51"/>
      <c r="AC168" s="56"/>
      <c r="AD168" s="51"/>
      <c r="AE168" s="56"/>
      <c r="AF168" s="51"/>
      <c r="AG168" s="56"/>
      <c r="AH168" s="51"/>
      <c r="AI168" s="37"/>
      <c r="AJ168" s="236" t="s">
        <v>1120</v>
      </c>
      <c r="AK168" s="37" t="s">
        <v>1224</v>
      </c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</row>
    <row r="169" spans="1:47" s="351" customFormat="1" outlineLevel="1">
      <c r="A169" s="41"/>
      <c r="B169" s="38"/>
      <c r="C169" s="41"/>
      <c r="D169" s="38"/>
      <c r="E169" s="131"/>
      <c r="F169" s="40"/>
      <c r="G169" s="40"/>
      <c r="H169" s="40"/>
      <c r="I169" s="40"/>
      <c r="J169" s="40"/>
      <c r="K169" s="40"/>
      <c r="L169" s="40"/>
      <c r="M169" s="40"/>
      <c r="N169" s="38"/>
      <c r="O169" s="38"/>
      <c r="P169" s="38"/>
      <c r="Q169" s="38"/>
      <c r="R169" s="38"/>
      <c r="S169" s="38"/>
      <c r="T169" s="37"/>
      <c r="U169" s="38"/>
      <c r="V169" s="38"/>
      <c r="W169" s="38"/>
      <c r="X169" s="55"/>
      <c r="Y169" s="55"/>
      <c r="Z169" s="52"/>
      <c r="AA169" s="56"/>
      <c r="AB169" s="51"/>
      <c r="AC169" s="56"/>
      <c r="AD169" s="51"/>
      <c r="AE169" s="56"/>
      <c r="AF169" s="51"/>
      <c r="AG169" s="56"/>
      <c r="AH169" s="51"/>
      <c r="AI169" s="37"/>
      <c r="AJ169" s="236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</row>
    <row r="170" spans="1:47" s="351" customFormat="1" ht="15" customHeight="1">
      <c r="A170" s="41"/>
      <c r="B170" s="38"/>
      <c r="C170" s="233"/>
      <c r="D170" s="38"/>
      <c r="E170" s="43" t="str">
        <f>"SUB-TOTAL "&amp;UPPER(A166)&amp;" DRAWINGS"</f>
        <v>SUB-TOTAL AFTER CURE (B.190) DRAWINGS</v>
      </c>
      <c r="F170" s="133">
        <f t="shared" ref="F170:N170" si="52">COUNTA(F168)</f>
        <v>0</v>
      </c>
      <c r="G170" s="133">
        <f t="shared" si="52"/>
        <v>0</v>
      </c>
      <c r="H170" s="133">
        <f t="shared" si="52"/>
        <v>0</v>
      </c>
      <c r="I170" s="133">
        <f t="shared" si="52"/>
        <v>1</v>
      </c>
      <c r="J170" s="133">
        <f t="shared" si="52"/>
        <v>0</v>
      </c>
      <c r="K170" s="133">
        <f t="shared" si="52"/>
        <v>0</v>
      </c>
      <c r="L170" s="133">
        <f t="shared" si="52"/>
        <v>0</v>
      </c>
      <c r="M170" s="133">
        <f t="shared" si="52"/>
        <v>0</v>
      </c>
      <c r="N170" s="133">
        <f t="shared" si="52"/>
        <v>0</v>
      </c>
      <c r="O170" s="133"/>
      <c r="P170" s="133"/>
      <c r="Q170" s="133">
        <f>COUNTA(Q168)</f>
        <v>1</v>
      </c>
      <c r="R170" s="133"/>
      <c r="S170" s="133">
        <f>COUNTA(S168)</f>
        <v>0</v>
      </c>
      <c r="T170" s="38"/>
      <c r="U170" s="36"/>
      <c r="V170" s="36"/>
      <c r="W170" s="36"/>
      <c r="X170" s="55"/>
      <c r="Y170" s="55"/>
      <c r="Z170" s="52"/>
      <c r="AA170" s="56"/>
      <c r="AB170" s="51"/>
      <c r="AC170" s="56"/>
      <c r="AD170" s="51"/>
      <c r="AE170" s="56"/>
      <c r="AF170" s="51"/>
      <c r="AG170" s="56"/>
      <c r="AH170" s="51"/>
      <c r="AI170" s="37"/>
      <c r="AJ170" s="236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</row>
    <row r="171" spans="1:47" s="352" customFormat="1">
      <c r="A171" s="69"/>
      <c r="B171" s="71"/>
      <c r="C171" s="233"/>
      <c r="D171" s="71"/>
      <c r="E171" s="253"/>
      <c r="F171" s="375"/>
      <c r="G171" s="375"/>
      <c r="H171" s="375"/>
      <c r="I171" s="375"/>
      <c r="J171" s="375"/>
      <c r="K171" s="375"/>
      <c r="L171" s="375"/>
      <c r="M171" s="375"/>
      <c r="N171" s="71"/>
      <c r="O171" s="71"/>
      <c r="P171" s="71"/>
      <c r="Q171" s="71"/>
      <c r="R171" s="71"/>
      <c r="S171" s="71"/>
      <c r="T171" s="72"/>
      <c r="U171" s="72"/>
      <c r="V171" s="72"/>
      <c r="W171" s="72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8"/>
      <c r="AJ171" s="306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</row>
    <row r="172" spans="1:47" s="351" customFormat="1">
      <c r="A172" s="32" t="s">
        <v>1225</v>
      </c>
      <c r="B172" s="11"/>
      <c r="C172" s="32"/>
      <c r="D172" s="11"/>
      <c r="E172" s="251"/>
      <c r="F172" s="251"/>
      <c r="G172" s="251"/>
      <c r="H172" s="251"/>
      <c r="I172" s="251"/>
      <c r="J172" s="251"/>
      <c r="K172" s="251"/>
      <c r="L172" s="251"/>
      <c r="M172" s="251"/>
      <c r="N172" s="11"/>
      <c r="O172" s="251"/>
      <c r="P172" s="36"/>
      <c r="Q172" s="11"/>
      <c r="R172" s="11"/>
      <c r="S172" s="11"/>
      <c r="T172" s="11"/>
      <c r="U172" s="11"/>
      <c r="V172" s="11"/>
      <c r="W172" s="11"/>
      <c r="X172" s="53"/>
      <c r="Y172" s="53"/>
      <c r="Z172" s="54"/>
      <c r="AA172" s="79"/>
      <c r="AB172" s="51"/>
      <c r="AC172" s="79"/>
      <c r="AD172" s="51"/>
      <c r="AE172" s="51"/>
      <c r="AF172" s="51"/>
      <c r="AG172" s="51"/>
      <c r="AH172" s="51"/>
      <c r="AI172" s="37"/>
      <c r="AJ172" s="236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</row>
    <row r="173" spans="1:47" s="351" customFormat="1">
      <c r="A173" s="37"/>
      <c r="B173" s="38"/>
      <c r="C173" s="233"/>
      <c r="D173" s="38"/>
      <c r="E173" s="372"/>
      <c r="F173" s="40"/>
      <c r="G173" s="40"/>
      <c r="H173" s="40"/>
      <c r="I173" s="40"/>
      <c r="J173" s="40"/>
      <c r="K173" s="40"/>
      <c r="L173" s="40"/>
      <c r="M173" s="40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55"/>
      <c r="Y173" s="55"/>
      <c r="Z173" s="52"/>
      <c r="AA173" s="56"/>
      <c r="AB173" s="51"/>
      <c r="AC173" s="56"/>
      <c r="AD173" s="51"/>
      <c r="AE173" s="56"/>
      <c r="AF173" s="51"/>
      <c r="AG173" s="56"/>
      <c r="AH173" s="51"/>
      <c r="AI173" s="37"/>
      <c r="AJ173" s="236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</row>
    <row r="174" spans="1:47" s="351" customFormat="1" outlineLevel="1">
      <c r="A174" s="41" t="str">
        <f>"18043-"&amp;LEFT(AK174,11)</f>
        <v>18043-LM642 09401</v>
      </c>
      <c r="B174" s="38" t="s">
        <v>94</v>
      </c>
      <c r="C174" s="41"/>
      <c r="D174" s="38"/>
      <c r="E174" s="37" t="str">
        <f>MID(AK174,FIND(" ",AK174,15)+1,100)</f>
        <v>Monitoring Plan</v>
      </c>
      <c r="F174" s="40"/>
      <c r="G174" s="38" t="s">
        <v>97</v>
      </c>
      <c r="H174" s="40"/>
      <c r="I174" s="40"/>
      <c r="J174" s="38" t="s">
        <v>34</v>
      </c>
      <c r="K174" s="40"/>
      <c r="L174" s="40"/>
      <c r="M174" s="40"/>
      <c r="N174" s="38"/>
      <c r="O174" s="38"/>
      <c r="P174" s="38"/>
      <c r="Q174" s="38"/>
      <c r="R174" s="490" t="s">
        <v>31</v>
      </c>
      <c r="S174" s="38">
        <v>0</v>
      </c>
      <c r="T174" s="38" t="s">
        <v>98</v>
      </c>
      <c r="U174" s="38"/>
      <c r="V174" s="38"/>
      <c r="W174" s="40" t="str" cm="1">
        <f t="array" ref="W174">IF(A174&lt;&gt;"",_xlfn.XLOOKUP(_xlfn.XLOOKUP(TRUE,G174:R174&lt;&gt;"",G174:R174,"-",-1,-1),G174:R174,$G$6:$R$6,,,-1),"")</f>
        <v>Add9</v>
      </c>
      <c r="X174" s="55">
        <v>150</v>
      </c>
      <c r="Y174" s="55"/>
      <c r="Z174" s="55" t="s">
        <v>1086</v>
      </c>
      <c r="AA174" s="56"/>
      <c r="AB174" s="51"/>
      <c r="AC174" s="56"/>
      <c r="AD174" s="51"/>
      <c r="AE174" s="56"/>
      <c r="AF174" s="51"/>
      <c r="AG174" s="56"/>
      <c r="AH174" s="51"/>
      <c r="AI174" s="37"/>
      <c r="AJ174" s="236" t="s">
        <v>1133</v>
      </c>
      <c r="AK174" s="37" t="s">
        <v>1226</v>
      </c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</row>
    <row r="175" spans="1:47" s="351" customFormat="1" outlineLevel="1">
      <c r="A175" s="332" t="str">
        <f>"18043-"&amp;LEFT(AK175,11)</f>
        <v>18043-LM642 09402</v>
      </c>
      <c r="B175" s="310" t="s">
        <v>94</v>
      </c>
      <c r="C175" s="332"/>
      <c r="D175" s="310"/>
      <c r="E175" s="315" t="str">
        <f>MID(AK175,FIND(" ",AK175,15)+1,100)</f>
        <v>Data Network System Plan</v>
      </c>
      <c r="F175" s="245"/>
      <c r="G175" s="310" t="s">
        <v>97</v>
      </c>
      <c r="H175" s="245"/>
      <c r="I175" s="245"/>
      <c r="J175" s="310" t="s">
        <v>34</v>
      </c>
      <c r="K175" s="245"/>
      <c r="L175" s="245"/>
      <c r="M175" s="245"/>
      <c r="N175" s="310"/>
      <c r="O175" s="310"/>
      <c r="P175" s="310"/>
      <c r="Q175" s="310"/>
      <c r="R175" s="310"/>
      <c r="S175" s="310"/>
      <c r="T175" s="310" t="s">
        <v>98</v>
      </c>
      <c r="U175" s="38"/>
      <c r="V175" s="38"/>
      <c r="W175" s="38"/>
      <c r="X175" s="55">
        <v>150</v>
      </c>
      <c r="Y175" s="55"/>
      <c r="Z175" s="55" t="s">
        <v>1100</v>
      </c>
      <c r="AA175" s="56"/>
      <c r="AB175" s="51"/>
      <c r="AC175" s="56"/>
      <c r="AD175" s="51"/>
      <c r="AE175" s="56"/>
      <c r="AF175" s="51"/>
      <c r="AG175" s="56"/>
      <c r="AH175" s="51"/>
      <c r="AI175" s="37"/>
      <c r="AJ175" s="236" t="s">
        <v>1133</v>
      </c>
      <c r="AK175" s="37" t="s">
        <v>1227</v>
      </c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</row>
    <row r="176" spans="1:47" s="351" customFormat="1">
      <c r="A176" s="41" t="str">
        <f>"18043-"&amp;LEFT(AK176,11)</f>
        <v>18043-LM642 09509</v>
      </c>
      <c r="B176" s="38" t="s">
        <v>94</v>
      </c>
      <c r="C176" s="41"/>
      <c r="D176" s="38"/>
      <c r="E176" s="37" t="str">
        <f>MID(AK176,FIND(" ",AK176,15)+1,100)</f>
        <v>Power Supplies &amp; Cables Routing Plan View</v>
      </c>
      <c r="F176" s="38" t="s">
        <v>97</v>
      </c>
      <c r="G176" s="38" t="s">
        <v>34</v>
      </c>
      <c r="H176" s="40"/>
      <c r="I176" s="40"/>
      <c r="J176" s="38" t="s">
        <v>31</v>
      </c>
      <c r="K176" s="38" t="s">
        <v>116</v>
      </c>
      <c r="L176" s="40"/>
      <c r="M176" s="40"/>
      <c r="N176" s="38"/>
      <c r="O176" s="38"/>
      <c r="P176" s="38"/>
      <c r="Q176" s="446" t="s">
        <v>38</v>
      </c>
      <c r="R176" s="490" t="s">
        <v>28</v>
      </c>
      <c r="S176" s="38">
        <v>0</v>
      </c>
      <c r="T176" s="38" t="s">
        <v>98</v>
      </c>
      <c r="U176" s="38"/>
      <c r="V176" s="38"/>
      <c r="W176" s="40" t="str" cm="1">
        <f t="array" ref="W176">IF(A176&lt;&gt;"",_xlfn.XLOOKUP(_xlfn.XLOOKUP(TRUE,G176:R176&lt;&gt;"",G176:R176,"-",-1,-1),G176:R176,$G$6:$R$6,,,-1),"")</f>
        <v>Add9</v>
      </c>
      <c r="X176" s="55">
        <v>150</v>
      </c>
      <c r="Y176" s="55"/>
      <c r="Z176" s="55" t="s">
        <v>1086</v>
      </c>
      <c r="AA176" s="56"/>
      <c r="AB176" s="51"/>
      <c r="AC176" s="56"/>
      <c r="AD176" s="51"/>
      <c r="AE176" s="56"/>
      <c r="AF176" s="51"/>
      <c r="AG176" s="56"/>
      <c r="AH176" s="51"/>
      <c r="AI176" s="37"/>
      <c r="AJ176" s="236" t="s">
        <v>1120</v>
      </c>
      <c r="AK176" s="37" t="s">
        <v>1228</v>
      </c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</row>
    <row r="177" spans="1:47" s="351" customFormat="1">
      <c r="A177" s="41" t="str">
        <f>"18043-"&amp;LEFT(AK177,11)</f>
        <v>18043-LM642 09514</v>
      </c>
      <c r="B177" s="38" t="s">
        <v>94</v>
      </c>
      <c r="C177" s="41"/>
      <c r="D177" s="38"/>
      <c r="E177" s="37" t="str">
        <f>MID(AK177,FIND(" ",AK177,15)+1,100)</f>
        <v xml:space="preserve">Sub Single Line Diagram 642-DB-2  </v>
      </c>
      <c r="F177" s="38" t="s">
        <v>97</v>
      </c>
      <c r="G177" s="38" t="s">
        <v>34</v>
      </c>
      <c r="H177" s="40"/>
      <c r="I177" s="38" t="s">
        <v>31</v>
      </c>
      <c r="J177" s="38" t="s">
        <v>116</v>
      </c>
      <c r="K177" s="38" t="s">
        <v>38</v>
      </c>
      <c r="L177" s="40"/>
      <c r="M177" s="40"/>
      <c r="N177" s="38"/>
      <c r="O177" s="38"/>
      <c r="P177" s="38"/>
      <c r="Q177" s="38"/>
      <c r="R177" s="490" t="s">
        <v>28</v>
      </c>
      <c r="S177" s="38">
        <v>0</v>
      </c>
      <c r="T177" s="38" t="s">
        <v>98</v>
      </c>
      <c r="U177" s="38"/>
      <c r="V177" s="38"/>
      <c r="W177" s="40" t="str" cm="1">
        <f t="array" ref="W177">IF(A177&lt;&gt;"",_xlfn.XLOOKUP(_xlfn.XLOOKUP(TRUE,G177:R177&lt;&gt;"",G177:R177,"-",-1,-1),G177:R177,$G$6:$R$6,,,-1),"")</f>
        <v>Add9</v>
      </c>
      <c r="X177" s="55" t="s">
        <v>117</v>
      </c>
      <c r="Y177" s="55"/>
      <c r="Z177" s="55" t="s">
        <v>1086</v>
      </c>
      <c r="AA177" s="56"/>
      <c r="AB177" s="51"/>
      <c r="AC177" s="56"/>
      <c r="AD177" s="51"/>
      <c r="AE177" s="56"/>
      <c r="AF177" s="51"/>
      <c r="AG177" s="56"/>
      <c r="AH177" s="51"/>
      <c r="AI177" s="37"/>
      <c r="AJ177" s="236" t="s">
        <v>1120</v>
      </c>
      <c r="AK177" s="37" t="s">
        <v>1229</v>
      </c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</row>
    <row r="178" spans="1:47" s="351" customFormat="1" outlineLevel="1">
      <c r="A178" s="41"/>
      <c r="B178" s="38"/>
      <c r="C178" s="41"/>
      <c r="D178" s="38"/>
      <c r="E178" s="131"/>
      <c r="F178" s="40"/>
      <c r="G178" s="40"/>
      <c r="H178" s="40"/>
      <c r="I178" s="40"/>
      <c r="J178" s="40"/>
      <c r="K178" s="40"/>
      <c r="L178" s="40"/>
      <c r="M178" s="40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55"/>
      <c r="Y178" s="55"/>
      <c r="Z178" s="52"/>
      <c r="AA178" s="56"/>
      <c r="AB178" s="51"/>
      <c r="AC178" s="56"/>
      <c r="AD178" s="51"/>
      <c r="AE178" s="56"/>
      <c r="AF178" s="51"/>
      <c r="AG178" s="56"/>
      <c r="AH178" s="51"/>
      <c r="AI178" s="37"/>
      <c r="AJ178" s="236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</row>
    <row r="179" spans="1:47" s="351" customFormat="1" ht="15" customHeight="1">
      <c r="A179" s="41"/>
      <c r="B179" s="38"/>
      <c r="C179" s="233"/>
      <c r="D179" s="38"/>
      <c r="E179" s="43" t="str">
        <f>"SUB-TOTAL "&amp;UPPER(A172)&amp;" DRAWINGS"</f>
        <v>SUB-TOTAL CURING WORKSHOP &amp; HOT WATER IMPROVEMENT (B642) DRAWINGS</v>
      </c>
      <c r="F179" s="133">
        <f t="shared" ref="F179:N179" si="53">COUNTA(F174:F177)</f>
        <v>2</v>
      </c>
      <c r="G179" s="133">
        <f t="shared" si="53"/>
        <v>4</v>
      </c>
      <c r="H179" s="133">
        <f t="shared" si="53"/>
        <v>0</v>
      </c>
      <c r="I179" s="133">
        <f t="shared" si="53"/>
        <v>1</v>
      </c>
      <c r="J179" s="133">
        <f t="shared" si="53"/>
        <v>4</v>
      </c>
      <c r="K179" s="133">
        <f t="shared" si="53"/>
        <v>2</v>
      </c>
      <c r="L179" s="133">
        <f t="shared" si="53"/>
        <v>0</v>
      </c>
      <c r="M179" s="133">
        <f t="shared" si="53"/>
        <v>0</v>
      </c>
      <c r="N179" s="133">
        <f t="shared" si="53"/>
        <v>0</v>
      </c>
      <c r="O179" s="133"/>
      <c r="P179" s="133"/>
      <c r="Q179" s="133">
        <f>COUNTA(Q174:Q177)</f>
        <v>1</v>
      </c>
      <c r="R179" s="133"/>
      <c r="S179" s="133">
        <f>COUNTA(S174:S177)</f>
        <v>3</v>
      </c>
      <c r="T179" s="38"/>
      <c r="U179" s="36"/>
      <c r="V179" s="36"/>
      <c r="W179" s="36"/>
      <c r="X179" s="55"/>
      <c r="Y179" s="55"/>
      <c r="Z179" s="52"/>
      <c r="AA179" s="56"/>
      <c r="AB179" s="51"/>
      <c r="AC179" s="56"/>
      <c r="AD179" s="51"/>
      <c r="AE179" s="56"/>
      <c r="AF179" s="51"/>
      <c r="AG179" s="56"/>
      <c r="AH179" s="51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</row>
    <row r="180" spans="1:47" s="352" customFormat="1">
      <c r="A180" s="69"/>
      <c r="B180" s="71"/>
      <c r="C180" s="233"/>
      <c r="D180" s="71"/>
      <c r="E180" s="253"/>
      <c r="F180" s="375"/>
      <c r="G180" s="375"/>
      <c r="H180" s="375"/>
      <c r="I180" s="375"/>
      <c r="J180" s="375"/>
      <c r="K180" s="375"/>
      <c r="L180" s="375"/>
      <c r="M180" s="375"/>
      <c r="N180" s="71"/>
      <c r="O180" s="71"/>
      <c r="P180" s="71"/>
      <c r="Q180" s="71"/>
      <c r="R180" s="71"/>
      <c r="S180" s="71"/>
      <c r="T180" s="72"/>
      <c r="U180" s="72"/>
      <c r="V180" s="72"/>
      <c r="W180" s="72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</row>
    <row r="181" spans="1:47" s="351" customFormat="1">
      <c r="A181" s="32" t="s">
        <v>1230</v>
      </c>
      <c r="B181" s="11"/>
      <c r="C181" s="32"/>
      <c r="D181" s="11"/>
      <c r="E181" s="251"/>
      <c r="F181" s="251"/>
      <c r="G181" s="251"/>
      <c r="H181" s="251"/>
      <c r="I181" s="251"/>
      <c r="J181" s="251"/>
      <c r="K181" s="251"/>
      <c r="L181" s="251"/>
      <c r="M181" s="251"/>
      <c r="N181" s="11"/>
      <c r="O181" s="251"/>
      <c r="P181" s="36"/>
      <c r="Q181" s="11"/>
      <c r="R181" s="11"/>
      <c r="S181" s="11"/>
      <c r="T181" s="11"/>
      <c r="U181" s="11"/>
      <c r="V181" s="11"/>
      <c r="W181" s="11"/>
      <c r="X181" s="53"/>
      <c r="Y181" s="53"/>
      <c r="Z181" s="54"/>
      <c r="AA181" s="79"/>
      <c r="AB181" s="51"/>
      <c r="AC181" s="79"/>
      <c r="AD181" s="51"/>
      <c r="AE181" s="51"/>
      <c r="AF181" s="51"/>
      <c r="AG181" s="51"/>
      <c r="AH181" s="51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</row>
    <row r="182" spans="1:47" s="351" customFormat="1">
      <c r="A182" s="41"/>
      <c r="B182" s="38"/>
      <c r="C182" s="41"/>
      <c r="D182" s="38"/>
      <c r="E182" s="131"/>
      <c r="F182" s="40"/>
      <c r="G182" s="40"/>
      <c r="H182" s="40"/>
      <c r="I182" s="40"/>
      <c r="J182" s="40"/>
      <c r="K182" s="40"/>
      <c r="L182" s="40"/>
      <c r="M182" s="40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55"/>
      <c r="Y182" s="55"/>
      <c r="Z182" s="52"/>
      <c r="AA182" s="56"/>
      <c r="AB182" s="51"/>
      <c r="AC182" s="56"/>
      <c r="AD182" s="51"/>
      <c r="AE182" s="56"/>
      <c r="AF182" s="51"/>
      <c r="AG182" s="56"/>
      <c r="AH182" s="51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</row>
    <row r="183" spans="1:47" s="351" customFormat="1">
      <c r="A183" s="41" t="str">
        <f>"18043-"&amp;LEFT(AK183,14)</f>
        <v xml:space="preserve">18043-LM640-1 09501 </v>
      </c>
      <c r="B183" s="38" t="s">
        <v>94</v>
      </c>
      <c r="C183" s="41"/>
      <c r="D183" s="38"/>
      <c r="E183" s="37" t="str">
        <f>MID(AK183,FIND(" ",AK183,15)+1,100)</f>
        <v>Power Balance and Load Schedule Panel</v>
      </c>
      <c r="F183" s="38" t="s">
        <v>97</v>
      </c>
      <c r="G183" s="38" t="s">
        <v>34</v>
      </c>
      <c r="H183" s="40"/>
      <c r="I183" s="38" t="s">
        <v>31</v>
      </c>
      <c r="J183" s="38" t="s">
        <v>116</v>
      </c>
      <c r="K183" s="38" t="s">
        <v>38</v>
      </c>
      <c r="L183" s="40"/>
      <c r="M183" s="40"/>
      <c r="N183" s="38"/>
      <c r="O183" s="38"/>
      <c r="P183" s="38"/>
      <c r="Q183" s="446" t="s">
        <v>28</v>
      </c>
      <c r="R183" s="490" t="s">
        <v>289</v>
      </c>
      <c r="S183" s="38">
        <v>0</v>
      </c>
      <c r="T183" s="38" t="s">
        <v>1058</v>
      </c>
      <c r="U183" s="38"/>
      <c r="V183" s="38"/>
      <c r="W183" s="40" t="str" cm="1">
        <f t="array" ref="W183">IF(A183&lt;&gt;"",_xlfn.XLOOKUP(_xlfn.XLOOKUP(TRUE,G183:R183&lt;&gt;"",G183:R183,"-",-1,-1),G183:R183,$G$6:$R$6,,,-1),"")</f>
        <v>Add9</v>
      </c>
      <c r="X183" s="55" t="s">
        <v>117</v>
      </c>
      <c r="Y183" s="55"/>
      <c r="Z183" s="55" t="s">
        <v>1086</v>
      </c>
      <c r="AA183" s="56"/>
      <c r="AB183" s="51"/>
      <c r="AC183" s="56"/>
      <c r="AD183" s="51"/>
      <c r="AE183" s="56"/>
      <c r="AF183" s="51"/>
      <c r="AG183" s="56"/>
      <c r="AH183" s="51"/>
      <c r="AI183" s="37"/>
      <c r="AJ183" s="236" t="s">
        <v>1120</v>
      </c>
      <c r="AK183" s="37" t="s">
        <v>1231</v>
      </c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</row>
    <row r="184" spans="1:47" s="351" customFormat="1" outlineLevel="1">
      <c r="A184" s="41" t="str">
        <f>"18043-"&amp;LEFT(AK184,14)</f>
        <v xml:space="preserve">18043-LM640-1 09502 </v>
      </c>
      <c r="B184" s="38" t="s">
        <v>94</v>
      </c>
      <c r="C184" s="41"/>
      <c r="D184" s="38"/>
      <c r="E184" s="37" t="str">
        <f>MID(AK184,FIND(" ",AK184,15)+1,100)</f>
        <v>Single Line Diagram</v>
      </c>
      <c r="F184" s="38" t="s">
        <v>97</v>
      </c>
      <c r="G184" s="38" t="s">
        <v>34</v>
      </c>
      <c r="H184" s="40"/>
      <c r="I184" s="40"/>
      <c r="J184" s="38" t="s">
        <v>31</v>
      </c>
      <c r="K184" s="38" t="s">
        <v>116</v>
      </c>
      <c r="L184" s="40"/>
      <c r="M184" s="40"/>
      <c r="N184" s="38"/>
      <c r="O184" s="38"/>
      <c r="P184" s="38"/>
      <c r="Q184" s="446" t="s">
        <v>38</v>
      </c>
      <c r="R184" s="38"/>
      <c r="S184" s="38">
        <v>0</v>
      </c>
      <c r="T184" s="38" t="s">
        <v>98</v>
      </c>
      <c r="U184" s="38"/>
      <c r="V184" s="38"/>
      <c r="W184" s="40" t="str" cm="1">
        <f t="array" ref="W184">IF(A184&lt;&gt;"",_xlfn.XLOOKUP(_xlfn.XLOOKUP(TRUE,G184:R184&lt;&gt;"",G184:R184,"-",-1,-1),G184:R184,$G$6:$R$6,,,-1),"")</f>
        <v>Add8</v>
      </c>
      <c r="X184" s="55" t="s">
        <v>117</v>
      </c>
      <c r="Y184" s="55"/>
      <c r="Z184" s="55" t="s">
        <v>1086</v>
      </c>
      <c r="AA184" s="56"/>
      <c r="AB184" s="51"/>
      <c r="AC184" s="56"/>
      <c r="AD184" s="51"/>
      <c r="AE184" s="56"/>
      <c r="AF184" s="51"/>
      <c r="AG184" s="56"/>
      <c r="AH184" s="51"/>
      <c r="AI184" s="37"/>
      <c r="AJ184" s="236" t="s">
        <v>1120</v>
      </c>
      <c r="AK184" s="37" t="s">
        <v>1232</v>
      </c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</row>
    <row r="185" spans="1:47" s="351" customFormat="1" outlineLevel="1">
      <c r="A185" s="41" t="str">
        <f>"18043-"&amp;LEFT(AK185,14)</f>
        <v xml:space="preserve">18043-LM640-1 09503 </v>
      </c>
      <c r="B185" s="38" t="s">
        <v>94</v>
      </c>
      <c r="C185" s="41"/>
      <c r="D185" s="38"/>
      <c r="E185" s="37" t="str">
        <f>MID(AK185,FIND(" ",AK185,15)+1,100)</f>
        <v>Main Equipment and Cable Feeder Layout</v>
      </c>
      <c r="F185" s="40"/>
      <c r="G185" s="38" t="s">
        <v>97</v>
      </c>
      <c r="H185" s="40"/>
      <c r="I185" s="40"/>
      <c r="J185" s="38" t="s">
        <v>34</v>
      </c>
      <c r="K185" s="38" t="s">
        <v>31</v>
      </c>
      <c r="L185" s="40"/>
      <c r="M185" s="40"/>
      <c r="N185" s="38"/>
      <c r="O185" s="38"/>
      <c r="P185" s="38"/>
      <c r="Q185" s="38"/>
      <c r="R185" s="38"/>
      <c r="S185" s="38">
        <v>0</v>
      </c>
      <c r="T185" s="38" t="s">
        <v>98</v>
      </c>
      <c r="U185" s="38"/>
      <c r="V185" s="38"/>
      <c r="W185" s="40" t="str" cm="1">
        <f t="array" ref="W185">IF(A185&lt;&gt;"",_xlfn.XLOOKUP(_xlfn.XLOOKUP(TRUE,G185:R185&lt;&gt;"",G185:R185,"-",-1,-1),G185:R185,$G$6:$R$6,,,-1),"")</f>
        <v>Add3</v>
      </c>
      <c r="X185" s="132" t="s">
        <v>1233</v>
      </c>
      <c r="Y185" s="55"/>
      <c r="Z185" s="55" t="s">
        <v>1086</v>
      </c>
      <c r="AA185" s="56"/>
      <c r="AB185" s="51"/>
      <c r="AC185" s="56"/>
      <c r="AD185" s="51"/>
      <c r="AE185" s="56"/>
      <c r="AF185" s="51"/>
      <c r="AG185" s="56"/>
      <c r="AH185" s="51"/>
      <c r="AI185" s="37"/>
      <c r="AJ185" s="236" t="s">
        <v>1120</v>
      </c>
      <c r="AK185" s="37" t="s">
        <v>1234</v>
      </c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</row>
    <row r="186" spans="1:47" s="351" customFormat="1" outlineLevel="1">
      <c r="A186" s="41"/>
      <c r="B186" s="38"/>
      <c r="C186" s="41"/>
      <c r="D186" s="38"/>
      <c r="E186" s="131"/>
      <c r="F186" s="40"/>
      <c r="G186" s="40"/>
      <c r="H186" s="40"/>
      <c r="I186" s="40"/>
      <c r="J186" s="40"/>
      <c r="K186" s="40"/>
      <c r="L186" s="40"/>
      <c r="M186" s="40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55"/>
      <c r="Y186" s="55"/>
      <c r="Z186" s="52"/>
      <c r="AA186" s="56"/>
      <c r="AB186" s="51"/>
      <c r="AC186" s="56"/>
      <c r="AD186" s="51"/>
      <c r="AE186" s="56"/>
      <c r="AF186" s="51"/>
      <c r="AG186" s="56"/>
      <c r="AH186" s="51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</row>
    <row r="187" spans="1:47" s="351" customFormat="1" ht="15" customHeight="1">
      <c r="A187" s="41"/>
      <c r="B187" s="38"/>
      <c r="C187" s="233"/>
      <c r="D187" s="38"/>
      <c r="E187" s="43" t="str">
        <f>"SUB-TOTAL "&amp;UPPER(A181)&amp;" DRAWINGS"</f>
        <v>SUB-TOTAL B.640-1 UNIT SUBSTATION DRAWINGS</v>
      </c>
      <c r="F187" s="133">
        <f t="shared" ref="F187:N187" si="54">COUNTA(F183:F185)</f>
        <v>2</v>
      </c>
      <c r="G187" s="133">
        <f t="shared" si="54"/>
        <v>3</v>
      </c>
      <c r="H187" s="133">
        <f t="shared" si="54"/>
        <v>0</v>
      </c>
      <c r="I187" s="133">
        <f t="shared" si="54"/>
        <v>1</v>
      </c>
      <c r="J187" s="133">
        <f t="shared" si="54"/>
        <v>3</v>
      </c>
      <c r="K187" s="133">
        <f t="shared" si="54"/>
        <v>3</v>
      </c>
      <c r="L187" s="133">
        <f t="shared" si="54"/>
        <v>0</v>
      </c>
      <c r="M187" s="133">
        <f t="shared" si="54"/>
        <v>0</v>
      </c>
      <c r="N187" s="133">
        <f t="shared" si="54"/>
        <v>0</v>
      </c>
      <c r="O187" s="133"/>
      <c r="P187" s="133"/>
      <c r="Q187" s="133">
        <f>COUNTA(Q183:Q185)</f>
        <v>2</v>
      </c>
      <c r="R187" s="133"/>
      <c r="S187" s="133">
        <f>COUNTA(S183:S185)</f>
        <v>3</v>
      </c>
      <c r="T187" s="38"/>
      <c r="U187" s="36"/>
      <c r="V187" s="36"/>
      <c r="W187" s="36"/>
      <c r="X187" s="55"/>
      <c r="Y187" s="55"/>
      <c r="Z187" s="52"/>
      <c r="AA187" s="56"/>
      <c r="AB187" s="51"/>
      <c r="AC187" s="56"/>
      <c r="AD187" s="51"/>
      <c r="AE187" s="56"/>
      <c r="AF187" s="51"/>
      <c r="AG187" s="56"/>
      <c r="AH187" s="51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</row>
    <row r="188" spans="1:47" s="352" customFormat="1">
      <c r="A188" s="69"/>
      <c r="B188" s="71"/>
      <c r="C188" s="233"/>
      <c r="D188" s="71"/>
      <c r="E188" s="253"/>
      <c r="F188" s="375"/>
      <c r="G188" s="375"/>
      <c r="H188" s="375"/>
      <c r="I188" s="375"/>
      <c r="J188" s="375"/>
      <c r="K188" s="375"/>
      <c r="L188" s="375"/>
      <c r="M188" s="375"/>
      <c r="N188" s="71"/>
      <c r="O188" s="71"/>
      <c r="P188" s="71"/>
      <c r="Q188" s="71"/>
      <c r="R188" s="71"/>
      <c r="S188" s="72"/>
      <c r="T188" s="72"/>
      <c r="U188" s="72"/>
      <c r="V188" s="72"/>
      <c r="W188" s="72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</row>
    <row r="189" spans="1:47" s="50" customFormat="1" ht="18" customHeight="1">
      <c r="A189" s="32" t="s">
        <v>1235</v>
      </c>
      <c r="B189" s="11"/>
      <c r="C189" s="32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251"/>
      <c r="P189" s="36"/>
      <c r="Q189" s="11"/>
      <c r="R189" s="11"/>
      <c r="S189" s="11"/>
      <c r="T189" s="11"/>
      <c r="U189" s="11"/>
      <c r="V189" s="11"/>
      <c r="W189" s="11"/>
      <c r="X189" s="53"/>
      <c r="Y189" s="53"/>
      <c r="Z189" s="53"/>
      <c r="AA189" s="54"/>
      <c r="AB189" s="79"/>
      <c r="AC189" s="51"/>
      <c r="AD189" s="79"/>
      <c r="AE189" s="51"/>
      <c r="AF189" s="51"/>
      <c r="AG189" s="51"/>
      <c r="AH189" s="51"/>
      <c r="AI189" s="51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</row>
    <row r="190" spans="1:47" s="50" customFormat="1" ht="15" customHeight="1">
      <c r="A190" s="37"/>
      <c r="B190" s="38"/>
      <c r="C190" s="41"/>
      <c r="D190" s="38"/>
      <c r="E190" s="39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40"/>
      <c r="V190" s="40"/>
      <c r="W190" s="40"/>
      <c r="X190" s="55"/>
      <c r="Y190" s="55"/>
      <c r="Z190" s="55"/>
      <c r="AA190" s="52"/>
      <c r="AB190" s="56"/>
      <c r="AC190" s="51"/>
      <c r="AD190" s="56"/>
      <c r="AE190" s="51"/>
      <c r="AF190" s="56"/>
      <c r="AG190" s="51"/>
      <c r="AH190" s="56"/>
      <c r="AI190" s="51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</row>
    <row r="191" spans="1:47" s="50" customFormat="1" ht="15" customHeight="1">
      <c r="A191" s="41" t="str">
        <f>"18043-"&amp;LEFT(AK191,14)</f>
        <v xml:space="preserve">18043-LM121-2 09201 </v>
      </c>
      <c r="B191" s="38" t="s">
        <v>94</v>
      </c>
      <c r="C191" s="41"/>
      <c r="D191" s="38"/>
      <c r="E191" s="37" t="str">
        <f t="shared" ref="E191:E199" si="55">MID(AK191,FIND(" ",AK191,15)+1,100)</f>
        <v>Ground, 2nd and 3rd Floor Fire Alarm plan</v>
      </c>
      <c r="F191" s="38" t="s">
        <v>97</v>
      </c>
      <c r="G191" s="38" t="s">
        <v>34</v>
      </c>
      <c r="H191" s="38"/>
      <c r="I191" s="38"/>
      <c r="J191" s="38"/>
      <c r="K191" s="38" t="s">
        <v>31</v>
      </c>
      <c r="L191" s="38"/>
      <c r="M191" s="38"/>
      <c r="N191" s="38"/>
      <c r="O191" s="38"/>
      <c r="P191" s="38"/>
      <c r="Q191" s="38"/>
      <c r="R191" s="38"/>
      <c r="S191" s="38">
        <v>0</v>
      </c>
      <c r="T191" s="38" t="s">
        <v>98</v>
      </c>
      <c r="U191" s="40"/>
      <c r="V191" s="40"/>
      <c r="W191" s="40" t="str" cm="1">
        <f t="array" ref="W191">IF(A191&lt;&gt;"",_xlfn.XLOOKUP(_xlfn.XLOOKUP(TRUE,G191:R191&lt;&gt;"",G191:R191,"-",-1,-1),G191:R191,$G$6:$R$6,,,-1),"")</f>
        <v>Add3</v>
      </c>
      <c r="X191" s="256" t="s">
        <v>1236</v>
      </c>
      <c r="Y191" s="55"/>
      <c r="Z191" s="55" t="s">
        <v>1100</v>
      </c>
      <c r="AA191" s="52"/>
      <c r="AB191" s="56"/>
      <c r="AC191" s="51"/>
      <c r="AD191" s="56"/>
      <c r="AE191" s="51"/>
      <c r="AF191" s="56"/>
      <c r="AG191" s="51"/>
      <c r="AH191" s="56"/>
      <c r="AI191" s="51"/>
      <c r="AJ191" s="236" t="s">
        <v>1133</v>
      </c>
      <c r="AK191" s="37" t="s">
        <v>1237</v>
      </c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</row>
    <row r="192" spans="1:47" s="50" customFormat="1" ht="15" customHeight="1">
      <c r="A192" s="41" t="str">
        <f>"18043-"&amp;LEFT(AK192,14)</f>
        <v xml:space="preserve">18043-LM121-2 09402 </v>
      </c>
      <c r="B192" s="38" t="s">
        <v>94</v>
      </c>
      <c r="C192" s="41"/>
      <c r="D192" s="38"/>
      <c r="E192" s="37" t="str">
        <f t="shared" si="55"/>
        <v>Ground, 2nd and 3rd Floor Monitoring Plan</v>
      </c>
      <c r="F192" s="38" t="s">
        <v>97</v>
      </c>
      <c r="G192" s="38" t="s">
        <v>34</v>
      </c>
      <c r="H192" s="38"/>
      <c r="I192" s="38"/>
      <c r="J192" s="38" t="s">
        <v>31</v>
      </c>
      <c r="K192" s="38"/>
      <c r="L192" s="38"/>
      <c r="M192" s="38"/>
      <c r="N192" s="38"/>
      <c r="O192" s="38"/>
      <c r="P192" s="38"/>
      <c r="Q192" s="38"/>
      <c r="R192" s="38"/>
      <c r="S192" s="38">
        <v>0</v>
      </c>
      <c r="T192" s="38" t="s">
        <v>98</v>
      </c>
      <c r="U192" s="40"/>
      <c r="V192" s="40"/>
      <c r="W192" s="40" t="str" cm="1">
        <f t="array" ref="W192">IF(A192&lt;&gt;"",_xlfn.XLOOKUP(_xlfn.XLOOKUP(TRUE,G192:R192&lt;&gt;"",G192:R192,"-",-1,-1),G192:R192,$G$6:$R$6,,,-1),"")</f>
        <v>Add2</v>
      </c>
      <c r="X192" s="256" t="s">
        <v>1236</v>
      </c>
      <c r="Y192" s="55"/>
      <c r="Z192" s="55" t="s">
        <v>1086</v>
      </c>
      <c r="AA192" s="52"/>
      <c r="AB192" s="56"/>
      <c r="AC192" s="51"/>
      <c r="AD192" s="56"/>
      <c r="AE192" s="51"/>
      <c r="AF192" s="56"/>
      <c r="AG192" s="51"/>
      <c r="AH192" s="56"/>
      <c r="AI192" s="51"/>
      <c r="AJ192" s="236" t="s">
        <v>1133</v>
      </c>
      <c r="AK192" s="37" t="s">
        <v>1238</v>
      </c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</row>
    <row r="193" spans="1:47" s="50" customFormat="1" ht="15" customHeight="1" outlineLevel="1">
      <c r="A193" s="41" t="str">
        <f t="shared" ref="A193:A199" si="56">"18043-"&amp;LEFT(AK193,14)</f>
        <v xml:space="preserve">18043-LM121-2 09501 </v>
      </c>
      <c r="B193" s="38" t="s">
        <v>94</v>
      </c>
      <c r="C193" s="41"/>
      <c r="D193" s="38"/>
      <c r="E193" s="37" t="str">
        <f t="shared" si="55"/>
        <v>Power Balance and Load Schedule Panel</v>
      </c>
      <c r="F193" s="38" t="s">
        <v>97</v>
      </c>
      <c r="G193" s="38" t="s">
        <v>34</v>
      </c>
      <c r="H193" s="38" t="s">
        <v>34</v>
      </c>
      <c r="I193" s="38" t="s">
        <v>31</v>
      </c>
      <c r="J193" s="38" t="s">
        <v>116</v>
      </c>
      <c r="K193" s="38" t="s">
        <v>38</v>
      </c>
      <c r="L193" s="38"/>
      <c r="M193" s="38"/>
      <c r="N193" s="38"/>
      <c r="O193" s="38" t="s">
        <v>28</v>
      </c>
      <c r="P193" s="38" t="s">
        <v>28</v>
      </c>
      <c r="Q193" s="446" t="s">
        <v>289</v>
      </c>
      <c r="R193" s="490" t="s">
        <v>290</v>
      </c>
      <c r="S193" s="38">
        <v>0</v>
      </c>
      <c r="T193" s="38" t="s">
        <v>1058</v>
      </c>
      <c r="U193" s="40"/>
      <c r="V193" s="40"/>
      <c r="W193" s="40" t="str" cm="1">
        <f t="array" ref="W193">IF(A193&lt;&gt;"",_xlfn.XLOOKUP(_xlfn.XLOOKUP(TRUE,G193:R193&lt;&gt;"",G193:R193,"-",-1,-1),G193:R193,$G$6:$R$6,,,-1),"")</f>
        <v>Add9</v>
      </c>
      <c r="X193" s="132" t="s">
        <v>117</v>
      </c>
      <c r="Y193" s="55"/>
      <c r="Z193" s="55" t="s">
        <v>1086</v>
      </c>
      <c r="AA193" s="52"/>
      <c r="AB193" s="56"/>
      <c r="AC193" s="51"/>
      <c r="AD193" s="56"/>
      <c r="AE193" s="51"/>
      <c r="AF193" s="56"/>
      <c r="AG193" s="51"/>
      <c r="AH193" s="56"/>
      <c r="AI193" s="51"/>
      <c r="AJ193" s="55" t="s">
        <v>1086</v>
      </c>
      <c r="AK193" s="37" t="s">
        <v>1239</v>
      </c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</row>
    <row r="194" spans="1:47" s="50" customFormat="1" ht="15" customHeight="1" outlineLevel="1">
      <c r="A194" s="41" t="str">
        <f t="shared" si="56"/>
        <v xml:space="preserve">18043-LM121-2 09502 </v>
      </c>
      <c r="B194" s="38" t="s">
        <v>94</v>
      </c>
      <c r="C194" s="41"/>
      <c r="D194" s="38"/>
      <c r="E194" s="37" t="str">
        <f t="shared" si="55"/>
        <v>115 l 22 kV.Single Line Diagram</v>
      </c>
      <c r="F194" s="38" t="s">
        <v>97</v>
      </c>
      <c r="G194" s="38" t="s">
        <v>34</v>
      </c>
      <c r="H194" s="38"/>
      <c r="I194" s="38"/>
      <c r="J194" s="38" t="s">
        <v>31</v>
      </c>
      <c r="K194" s="38" t="s">
        <v>116</v>
      </c>
      <c r="L194" s="38"/>
      <c r="M194" s="38"/>
      <c r="N194" s="38"/>
      <c r="O194" s="38"/>
      <c r="P194" s="38"/>
      <c r="Q194" s="38"/>
      <c r="R194" s="38"/>
      <c r="S194" s="38">
        <v>0</v>
      </c>
      <c r="T194" s="38" t="s">
        <v>98</v>
      </c>
      <c r="U194" s="40"/>
      <c r="V194" s="40"/>
      <c r="W194" s="40" t="str" cm="1">
        <f t="array" ref="W194">IF(A194&lt;&gt;"",_xlfn.XLOOKUP(_xlfn.XLOOKUP(TRUE,G194:R194&lt;&gt;"",G194:R194,"-",-1,-1),G194:R194,$G$6:$R$6,,,-1),"")</f>
        <v>Add3</v>
      </c>
      <c r="X194" s="132" t="s">
        <v>117</v>
      </c>
      <c r="Y194" s="55"/>
      <c r="Z194" s="55" t="s">
        <v>1086</v>
      </c>
      <c r="AA194" s="52"/>
      <c r="AB194" s="56"/>
      <c r="AC194" s="51"/>
      <c r="AD194" s="56"/>
      <c r="AE194" s="51"/>
      <c r="AF194" s="56"/>
      <c r="AG194" s="51"/>
      <c r="AH194" s="56"/>
      <c r="AI194" s="51"/>
      <c r="AJ194" s="236" t="s">
        <v>1120</v>
      </c>
      <c r="AK194" s="37" t="s">
        <v>1240</v>
      </c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</row>
    <row r="195" spans="1:47" s="50" customFormat="1" ht="15" customHeight="1" outlineLevel="1">
      <c r="A195" s="41" t="str">
        <f t="shared" si="56"/>
        <v xml:space="preserve">18043-LM121-2 09503 </v>
      </c>
      <c r="B195" s="38" t="s">
        <v>94</v>
      </c>
      <c r="C195" s="41"/>
      <c r="D195" s="38"/>
      <c r="E195" s="37" t="str">
        <f t="shared" si="55"/>
        <v>Main Equipment And Cable Feeder Layout</v>
      </c>
      <c r="F195" s="38" t="s">
        <v>97</v>
      </c>
      <c r="G195" s="38" t="s">
        <v>34</v>
      </c>
      <c r="H195" s="38"/>
      <c r="I195" s="38"/>
      <c r="J195" s="38" t="s">
        <v>31</v>
      </c>
      <c r="K195" s="38" t="s">
        <v>116</v>
      </c>
      <c r="L195" s="38"/>
      <c r="M195" s="38"/>
      <c r="N195" s="38"/>
      <c r="O195" s="38" t="s">
        <v>38</v>
      </c>
      <c r="P195" s="38"/>
      <c r="Q195" s="38"/>
      <c r="R195" s="484" t="s">
        <v>28</v>
      </c>
      <c r="S195" s="38">
        <v>0</v>
      </c>
      <c r="T195" s="38" t="s">
        <v>98</v>
      </c>
      <c r="U195" s="40"/>
      <c r="V195" s="40"/>
      <c r="W195" s="40" t="str" cm="1">
        <f t="array" ref="W195">IF(A195&lt;&gt;"",_xlfn.XLOOKUP(_xlfn.XLOOKUP(TRUE,G195:R195&lt;&gt;"",G195:R195,"-",-1,-1),G195:R195,$G$6:$R$6,,,-1),"")</f>
        <v>Add9</v>
      </c>
      <c r="X195" s="256" t="s">
        <v>1236</v>
      </c>
      <c r="Y195" s="55"/>
      <c r="Z195" s="55" t="s">
        <v>1086</v>
      </c>
      <c r="AA195" s="52"/>
      <c r="AB195" s="56"/>
      <c r="AC195" s="51"/>
      <c r="AD195" s="56"/>
      <c r="AE195" s="51"/>
      <c r="AF195" s="56"/>
      <c r="AG195" s="51"/>
      <c r="AH195" s="56"/>
      <c r="AI195" s="51"/>
      <c r="AJ195" s="236" t="s">
        <v>1120</v>
      </c>
      <c r="AK195" s="37" t="s">
        <v>1241</v>
      </c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</row>
    <row r="196" spans="1:47" s="50" customFormat="1" ht="15" customHeight="1" outlineLevel="1">
      <c r="A196" s="41" t="str">
        <f t="shared" si="56"/>
        <v xml:space="preserve">18043-LM121-2 09504 </v>
      </c>
      <c r="B196" s="38" t="s">
        <v>94</v>
      </c>
      <c r="C196" s="41"/>
      <c r="D196" s="38"/>
      <c r="E196" s="37" t="str">
        <f t="shared" si="55"/>
        <v>Ground, 2nd and 3rd Floor Power Outlet Plan</v>
      </c>
      <c r="F196" s="38"/>
      <c r="G196" s="38" t="s">
        <v>97</v>
      </c>
      <c r="H196" s="38"/>
      <c r="I196" s="38"/>
      <c r="J196" s="38" t="s">
        <v>34</v>
      </c>
      <c r="K196" s="38"/>
      <c r="L196" s="38"/>
      <c r="M196" s="38"/>
      <c r="N196" s="38"/>
      <c r="O196" s="38"/>
      <c r="P196" s="38"/>
      <c r="Q196" s="38"/>
      <c r="R196" s="38"/>
      <c r="S196" s="38">
        <v>0</v>
      </c>
      <c r="T196" s="38" t="s">
        <v>98</v>
      </c>
      <c r="U196" s="40"/>
      <c r="V196" s="40"/>
      <c r="W196" s="40" t="str" cm="1">
        <f t="array" ref="W196">IF(A196&lt;&gt;"",_xlfn.XLOOKUP(_xlfn.XLOOKUP(TRUE,G196:R196&lt;&gt;"",G196:R196,"-",-1,-1),G196:R196,$G$6:$R$6,,,-1),"")</f>
        <v>Add2</v>
      </c>
      <c r="X196" s="256" t="s">
        <v>1236</v>
      </c>
      <c r="Y196" s="55"/>
      <c r="Z196" s="55" t="s">
        <v>1086</v>
      </c>
      <c r="AA196" s="52"/>
      <c r="AB196" s="56"/>
      <c r="AC196" s="51"/>
      <c r="AD196" s="56"/>
      <c r="AE196" s="51"/>
      <c r="AF196" s="56"/>
      <c r="AG196" s="51"/>
      <c r="AH196" s="56"/>
      <c r="AI196" s="51"/>
      <c r="AJ196" s="236" t="s">
        <v>1120</v>
      </c>
      <c r="AK196" s="37" t="s">
        <v>1242</v>
      </c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</row>
    <row r="197" spans="1:47" s="50" customFormat="1" ht="15" customHeight="1" outlineLevel="1">
      <c r="A197" s="41" t="str">
        <f t="shared" si="56"/>
        <v xml:space="preserve">18043-LM121-2 09505 </v>
      </c>
      <c r="B197" s="38" t="s">
        <v>94</v>
      </c>
      <c r="C197" s="41"/>
      <c r="D197" s="38"/>
      <c r="E197" s="37" t="str">
        <f t="shared" si="55"/>
        <v>LV Distribution Single Line Diagram</v>
      </c>
      <c r="F197" s="38" t="s">
        <v>97</v>
      </c>
      <c r="G197" s="38" t="s">
        <v>34</v>
      </c>
      <c r="H197" s="38"/>
      <c r="I197" s="38"/>
      <c r="J197" s="38" t="s">
        <v>31</v>
      </c>
      <c r="K197" s="38"/>
      <c r="L197" s="38"/>
      <c r="M197" s="38"/>
      <c r="N197" s="38"/>
      <c r="O197" s="38"/>
      <c r="P197" s="38"/>
      <c r="Q197" s="38"/>
      <c r="R197" s="38"/>
      <c r="S197" s="38">
        <v>0</v>
      </c>
      <c r="T197" s="38" t="s">
        <v>98</v>
      </c>
      <c r="U197" s="40"/>
      <c r="V197" s="40"/>
      <c r="W197" s="40" t="str" cm="1">
        <f t="array" ref="W197">IF(A197&lt;&gt;"",_xlfn.XLOOKUP(_xlfn.XLOOKUP(TRUE,G197:R197&lt;&gt;"",G197:R197,"-",-1,-1),G197:R197,$G$6:$R$6,,,-1),"")</f>
        <v>Add2</v>
      </c>
      <c r="X197" s="256" t="s">
        <v>117</v>
      </c>
      <c r="Y197" s="55"/>
      <c r="Z197" s="55" t="s">
        <v>1086</v>
      </c>
      <c r="AA197" s="52"/>
      <c r="AB197" s="56"/>
      <c r="AC197" s="51"/>
      <c r="AD197" s="56"/>
      <c r="AE197" s="51"/>
      <c r="AF197" s="56"/>
      <c r="AG197" s="51"/>
      <c r="AH197" s="56"/>
      <c r="AI197" s="51"/>
      <c r="AJ197" s="236" t="s">
        <v>1120</v>
      </c>
      <c r="AK197" s="37" t="s">
        <v>1243</v>
      </c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</row>
    <row r="198" spans="1:47" s="50" customFormat="1" ht="15" customHeight="1" outlineLevel="1">
      <c r="A198" s="41" t="str">
        <f t="shared" si="56"/>
        <v xml:space="preserve">18043-LM121-2 09508 </v>
      </c>
      <c r="B198" s="38" t="s">
        <v>94</v>
      </c>
      <c r="C198" s="41"/>
      <c r="D198" s="38"/>
      <c r="E198" s="37" t="str">
        <f>MID(AK198,FIND(" ",AK198,15)+1,100)</f>
        <v xml:space="preserve">Single Line Diagram </v>
      </c>
      <c r="F198" s="38" t="s">
        <v>97</v>
      </c>
      <c r="G198" s="38" t="s">
        <v>34</v>
      </c>
      <c r="H198" s="38"/>
      <c r="I198" s="38" t="s">
        <v>31</v>
      </c>
      <c r="J198" s="38" t="s">
        <v>116</v>
      </c>
      <c r="K198" s="38" t="s">
        <v>38</v>
      </c>
      <c r="L198" s="38"/>
      <c r="M198" s="38"/>
      <c r="N198" s="38"/>
      <c r="O198" s="38" t="s">
        <v>28</v>
      </c>
      <c r="P198" s="38"/>
      <c r="Q198" s="448" t="s">
        <v>289</v>
      </c>
      <c r="R198" s="490" t="s">
        <v>290</v>
      </c>
      <c r="S198" s="38">
        <v>0</v>
      </c>
      <c r="T198" s="38" t="s">
        <v>98</v>
      </c>
      <c r="U198" s="40"/>
      <c r="V198" s="40"/>
      <c r="W198" s="40" t="str" cm="1">
        <f t="array" ref="W198">IF(A198&lt;&gt;"",_xlfn.XLOOKUP(_xlfn.XLOOKUP(TRUE,G198:R198&lt;&gt;"",G198:R198,"-",-1,-1),G198:R198,$G$6:$R$6,,,-1),"")</f>
        <v>Add9</v>
      </c>
      <c r="X198" s="132" t="s">
        <v>117</v>
      </c>
      <c r="Y198" s="55"/>
      <c r="Z198" s="55" t="s">
        <v>1086</v>
      </c>
      <c r="AA198" s="52"/>
      <c r="AB198" s="56"/>
      <c r="AC198" s="51"/>
      <c r="AD198" s="56"/>
      <c r="AE198" s="51"/>
      <c r="AF198" s="56"/>
      <c r="AG198" s="51"/>
      <c r="AH198" s="56"/>
      <c r="AI198" s="51"/>
      <c r="AJ198" s="236" t="s">
        <v>1120</v>
      </c>
      <c r="AK198" s="242" t="s">
        <v>1244</v>
      </c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</row>
    <row r="199" spans="1:47" s="50" customFormat="1" ht="15" customHeight="1" outlineLevel="1">
      <c r="A199" s="41" t="str">
        <f t="shared" si="56"/>
        <v xml:space="preserve">18043-LM121-2 09701 </v>
      </c>
      <c r="B199" s="38" t="s">
        <v>94</v>
      </c>
      <c r="C199" s="41"/>
      <c r="D199" s="38"/>
      <c r="E199" s="37" t="str">
        <f t="shared" si="55"/>
        <v>Grounding and Lightning Protection Plan</v>
      </c>
      <c r="F199" s="38"/>
      <c r="G199" s="38" t="s">
        <v>97</v>
      </c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>
        <v>0</v>
      </c>
      <c r="T199" s="38" t="s">
        <v>98</v>
      </c>
      <c r="U199" s="40"/>
      <c r="V199" s="40"/>
      <c r="W199" s="40" t="str" cm="1">
        <f t="array" ref="W199">IF(A199&lt;&gt;"",_xlfn.XLOOKUP(_xlfn.XLOOKUP(TRUE,G199:R199&lt;&gt;"",G199:R199,"-",-1,-1),G199:R199,$G$6:$R$6,,,-1),"")</f>
        <v>For Bid</v>
      </c>
      <c r="X199" s="256" t="s">
        <v>1236</v>
      </c>
      <c r="Y199" s="55"/>
      <c r="Z199" s="55" t="s">
        <v>1086</v>
      </c>
      <c r="AA199" s="52"/>
      <c r="AB199" s="56"/>
      <c r="AC199" s="51"/>
      <c r="AD199" s="56"/>
      <c r="AE199" s="51"/>
      <c r="AF199" s="56"/>
      <c r="AG199" s="51"/>
      <c r="AH199" s="56"/>
      <c r="AI199" s="51"/>
      <c r="AJ199" s="236" t="s">
        <v>1120</v>
      </c>
      <c r="AK199" s="37" t="s">
        <v>1245</v>
      </c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</row>
    <row r="200" spans="1:47" s="50" customFormat="1" ht="15" customHeight="1" outlineLevel="1">
      <c r="A200" s="43"/>
      <c r="B200" s="38"/>
      <c r="C200" s="233"/>
      <c r="D200" s="38"/>
      <c r="E200" s="42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40"/>
      <c r="V200" s="40"/>
      <c r="W200" s="40"/>
      <c r="X200" s="132"/>
      <c r="Y200" s="55"/>
      <c r="Z200" s="55"/>
      <c r="AA200" s="52"/>
      <c r="AB200" s="56"/>
      <c r="AC200" s="51"/>
      <c r="AD200" s="56"/>
      <c r="AE200" s="51"/>
      <c r="AF200" s="56"/>
      <c r="AG200" s="51"/>
      <c r="AH200" s="56"/>
      <c r="AI200" s="51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</row>
    <row r="201" spans="1:47" s="50" customFormat="1" ht="15" customHeight="1" outlineLevel="1">
      <c r="A201" s="43"/>
      <c r="B201" s="38"/>
      <c r="C201" s="233"/>
      <c r="D201" s="38"/>
      <c r="E201" s="42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40"/>
      <c r="V201" s="40"/>
      <c r="W201" s="40"/>
      <c r="X201" s="132"/>
      <c r="Y201" s="55"/>
      <c r="Z201" s="55"/>
      <c r="AA201" s="52"/>
      <c r="AB201" s="56"/>
      <c r="AC201" s="51"/>
      <c r="AD201" s="56"/>
      <c r="AE201" s="51"/>
      <c r="AF201" s="56"/>
      <c r="AG201" s="51"/>
      <c r="AH201" s="56"/>
      <c r="AI201" s="51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</row>
    <row r="202" spans="1:47" s="50" customFormat="1" ht="15" customHeight="1" outlineLevel="1">
      <c r="A202" s="43"/>
      <c r="B202" s="38"/>
      <c r="C202" s="233"/>
      <c r="D202" s="38"/>
      <c r="E202" s="42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40"/>
      <c r="V202" s="40"/>
      <c r="W202" s="40"/>
      <c r="X202" s="132"/>
      <c r="Y202" s="55"/>
      <c r="Z202" s="55"/>
      <c r="AA202" s="52"/>
      <c r="AB202" s="56"/>
      <c r="AC202" s="51"/>
      <c r="AD202" s="56"/>
      <c r="AE202" s="51"/>
      <c r="AF202" s="56"/>
      <c r="AG202" s="51"/>
      <c r="AH202" s="56"/>
      <c r="AI202" s="51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</row>
    <row r="203" spans="1:47" s="50" customFormat="1" ht="15" customHeight="1">
      <c r="A203" s="41"/>
      <c r="B203" s="38"/>
      <c r="C203" s="233"/>
      <c r="D203" s="38"/>
      <c r="E203" s="43" t="str">
        <f>"SUB-TOTAL "&amp;UPPER(A189)&amp;" DRAWINGS"</f>
        <v>SUB-TOTAL B.121-2 MAIN SUBSTATION DRAWINGS</v>
      </c>
      <c r="F203" s="133">
        <f t="shared" ref="F203:M203" si="57">COUNTA(F191:F199)</f>
        <v>7</v>
      </c>
      <c r="G203" s="133">
        <f t="shared" si="57"/>
        <v>9</v>
      </c>
      <c r="H203" s="133">
        <f t="shared" si="57"/>
        <v>1</v>
      </c>
      <c r="I203" s="133">
        <f t="shared" si="57"/>
        <v>2</v>
      </c>
      <c r="J203" s="133">
        <f t="shared" si="57"/>
        <v>7</v>
      </c>
      <c r="K203" s="133">
        <f t="shared" si="57"/>
        <v>5</v>
      </c>
      <c r="L203" s="133">
        <f t="shared" si="57"/>
        <v>0</v>
      </c>
      <c r="M203" s="133">
        <f t="shared" si="57"/>
        <v>0</v>
      </c>
      <c r="N203" s="133">
        <f t="shared" ref="N203:O203" si="58">COUNTA(N191:N199)</f>
        <v>0</v>
      </c>
      <c r="O203" s="133">
        <f t="shared" si="58"/>
        <v>3</v>
      </c>
      <c r="P203" s="133"/>
      <c r="Q203" s="133">
        <f t="shared" ref="Q203:S203" si="59">COUNTA(Q191:Q199)</f>
        <v>2</v>
      </c>
      <c r="R203" s="133"/>
      <c r="S203" s="133">
        <f t="shared" si="59"/>
        <v>9</v>
      </c>
      <c r="T203" s="38"/>
      <c r="U203" s="36"/>
      <c r="V203" s="36"/>
      <c r="W203" s="36"/>
      <c r="X203" s="55"/>
      <c r="Y203" s="55"/>
      <c r="Z203" s="55"/>
      <c r="AA203" s="52"/>
      <c r="AB203" s="56"/>
      <c r="AC203" s="51"/>
      <c r="AD203" s="56"/>
      <c r="AE203" s="51"/>
      <c r="AF203" s="56"/>
      <c r="AG203" s="51"/>
      <c r="AH203" s="56"/>
      <c r="AI203" s="51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</row>
    <row r="204" spans="1:47" s="265" customFormat="1">
      <c r="A204" s="69"/>
      <c r="B204" s="71"/>
      <c r="C204" s="233"/>
      <c r="D204" s="71"/>
      <c r="E204" s="70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2"/>
      <c r="U204" s="72"/>
      <c r="V204" s="72"/>
      <c r="W204" s="72"/>
      <c r="X204" s="64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</row>
    <row r="205" spans="1:47" s="50" customFormat="1" ht="15" customHeight="1">
      <c r="A205" s="32" t="s">
        <v>1246</v>
      </c>
      <c r="B205" s="11"/>
      <c r="C205" s="32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251"/>
      <c r="P205" s="36"/>
      <c r="Q205" s="11"/>
      <c r="R205" s="11"/>
      <c r="S205" s="11"/>
      <c r="T205" s="11"/>
      <c r="U205" s="11"/>
      <c r="V205" s="11"/>
      <c r="W205" s="11"/>
      <c r="X205" s="53"/>
      <c r="Y205" s="53"/>
      <c r="Z205" s="53"/>
      <c r="AA205" s="54"/>
      <c r="AB205" s="79"/>
      <c r="AC205" s="51"/>
      <c r="AD205" s="79"/>
      <c r="AE205" s="51"/>
      <c r="AF205" s="51"/>
      <c r="AG205" s="51"/>
      <c r="AH205" s="51"/>
      <c r="AI205" s="51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</row>
    <row r="206" spans="1:47" s="50" customFormat="1" ht="15" customHeight="1">
      <c r="A206" s="37"/>
      <c r="B206" s="38"/>
      <c r="C206" s="41"/>
      <c r="D206" s="38"/>
      <c r="E206" s="39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55"/>
      <c r="Y206" s="55"/>
      <c r="Z206" s="55"/>
      <c r="AA206" s="52"/>
      <c r="AB206" s="56"/>
      <c r="AC206" s="51"/>
      <c r="AD206" s="56"/>
      <c r="AE206" s="51"/>
      <c r="AF206" s="56"/>
      <c r="AG206" s="51"/>
      <c r="AH206" s="56"/>
      <c r="AI206" s="51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</row>
    <row r="207" spans="1:47" s="50" customFormat="1" ht="15" customHeight="1" outlineLevel="1">
      <c r="A207" s="41" t="str">
        <f t="shared" ref="A207" si="60">"18043-"&amp;LEFT(AK207,11)</f>
        <v>18043-LM124 09572</v>
      </c>
      <c r="B207" s="38" t="s">
        <v>94</v>
      </c>
      <c r="C207" s="233"/>
      <c r="D207" s="38"/>
      <c r="E207" s="37" t="str">
        <f t="shared" ref="E207" si="61">MID(AK207,FIND(" ",AK207,15)+1,100)</f>
        <v>Load Schedule 124-ED-01</v>
      </c>
      <c r="F207" s="38" t="s">
        <v>97</v>
      </c>
      <c r="G207" s="38" t="s">
        <v>34</v>
      </c>
      <c r="H207" s="38" t="s">
        <v>34</v>
      </c>
      <c r="I207" s="38" t="s">
        <v>31</v>
      </c>
      <c r="J207" s="38"/>
      <c r="K207" s="38"/>
      <c r="L207" s="38"/>
      <c r="M207" s="38"/>
      <c r="N207" s="38"/>
      <c r="O207" s="38" t="s">
        <v>116</v>
      </c>
      <c r="P207" s="38" t="s">
        <v>116</v>
      </c>
      <c r="Q207" s="38"/>
      <c r="R207" s="38"/>
      <c r="S207" s="38">
        <v>0</v>
      </c>
      <c r="T207" s="38" t="s">
        <v>1058</v>
      </c>
      <c r="U207" s="40"/>
      <c r="V207" s="40"/>
      <c r="W207" s="40" t="str" cm="1">
        <f t="array" ref="W207">IF(A207&lt;&gt;"",_xlfn.XLOOKUP(_xlfn.XLOOKUP(TRUE,G207:R207&lt;&gt;"",G207:R207,"-",-1,-1),G207:R207,$G$6:$R$6,,,-1),"")</f>
        <v>Permit</v>
      </c>
      <c r="X207" s="132" t="s">
        <v>117</v>
      </c>
      <c r="Y207" s="55"/>
      <c r="Z207" s="55" t="s">
        <v>1086</v>
      </c>
      <c r="AA207" s="52"/>
      <c r="AB207" s="56"/>
      <c r="AC207" s="51"/>
      <c r="AD207" s="56"/>
      <c r="AE207" s="51"/>
      <c r="AF207" s="56"/>
      <c r="AG207" s="51"/>
      <c r="AH207" s="56"/>
      <c r="AI207" s="51"/>
      <c r="AJ207" s="55" t="s">
        <v>1086</v>
      </c>
      <c r="AK207" s="37" t="s">
        <v>1247</v>
      </c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</row>
    <row r="208" spans="1:47" s="50" customFormat="1" ht="15" customHeight="1" outlineLevel="1">
      <c r="A208" s="41"/>
      <c r="B208" s="38"/>
      <c r="C208" s="41"/>
      <c r="D208" s="38"/>
      <c r="E208" s="37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55"/>
      <c r="Y208" s="55"/>
      <c r="Z208" s="55"/>
      <c r="AA208" s="52"/>
      <c r="AB208" s="56"/>
      <c r="AC208" s="51"/>
      <c r="AD208" s="56"/>
      <c r="AE208" s="51"/>
      <c r="AF208" s="56"/>
      <c r="AG208" s="51"/>
      <c r="AH208" s="56"/>
      <c r="AI208" s="51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</row>
    <row r="209" spans="1:47" s="50" customFormat="1" ht="15" customHeight="1" outlineLevel="1">
      <c r="A209" s="41"/>
      <c r="B209" s="38"/>
      <c r="C209" s="41"/>
      <c r="D209" s="38"/>
      <c r="E209" s="37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132"/>
      <c r="Y209" s="55"/>
      <c r="Z209" s="55"/>
      <c r="AA209" s="52"/>
      <c r="AB209" s="56"/>
      <c r="AC209" s="51"/>
      <c r="AD209" s="56"/>
      <c r="AE209" s="51"/>
      <c r="AF209" s="56"/>
      <c r="AG209" s="51"/>
      <c r="AH209" s="56"/>
      <c r="AI209" s="51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</row>
    <row r="210" spans="1:47" s="50" customFormat="1" ht="15" customHeight="1" outlineLevel="1">
      <c r="A210" s="41"/>
      <c r="B210" s="38"/>
      <c r="C210" s="41"/>
      <c r="D210" s="38"/>
      <c r="E210" s="37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55"/>
      <c r="Y210" s="55"/>
      <c r="Z210" s="55"/>
      <c r="AA210" s="52"/>
      <c r="AB210" s="56"/>
      <c r="AC210" s="51"/>
      <c r="AD210" s="56"/>
      <c r="AE210" s="51"/>
      <c r="AF210" s="56"/>
      <c r="AG210" s="51"/>
      <c r="AH210" s="56"/>
      <c r="AI210" s="51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</row>
    <row r="211" spans="1:47" s="50" customFormat="1" ht="15" customHeight="1">
      <c r="A211" s="41"/>
      <c r="B211" s="38"/>
      <c r="C211" s="233"/>
      <c r="D211" s="38"/>
      <c r="E211" s="43" t="str">
        <f>"SUB-TOTAL "&amp;UPPER(A205)&amp;" DRAWINGS"</f>
        <v>SUB-TOTAL B.124 SUBSTATION DRAWINGS</v>
      </c>
      <c r="F211" s="133">
        <f t="shared" ref="F211:M211" si="62">COUNTA(F207:F209)</f>
        <v>1</v>
      </c>
      <c r="G211" s="133">
        <f t="shared" si="62"/>
        <v>1</v>
      </c>
      <c r="H211" s="133">
        <f t="shared" si="62"/>
        <v>1</v>
      </c>
      <c r="I211" s="133">
        <f t="shared" si="62"/>
        <v>1</v>
      </c>
      <c r="J211" s="133">
        <f t="shared" si="62"/>
        <v>0</v>
      </c>
      <c r="K211" s="133">
        <f t="shared" si="62"/>
        <v>0</v>
      </c>
      <c r="L211" s="133">
        <f t="shared" si="62"/>
        <v>0</v>
      </c>
      <c r="M211" s="133">
        <f t="shared" si="62"/>
        <v>0</v>
      </c>
      <c r="N211" s="133">
        <f t="shared" ref="N211:O211" si="63">COUNTA(N207:N209)</f>
        <v>0</v>
      </c>
      <c r="O211" s="133">
        <f t="shared" si="63"/>
        <v>1</v>
      </c>
      <c r="P211" s="133"/>
      <c r="Q211" s="133">
        <f t="shared" ref="Q211:S211" si="64">COUNTA(Q207:Q209)</f>
        <v>0</v>
      </c>
      <c r="R211" s="133"/>
      <c r="S211" s="133">
        <f t="shared" si="64"/>
        <v>1</v>
      </c>
      <c r="T211" s="38"/>
      <c r="U211" s="36"/>
      <c r="V211" s="36"/>
      <c r="W211" s="36"/>
      <c r="X211" s="55"/>
      <c r="Y211" s="55"/>
      <c r="Z211" s="55"/>
      <c r="AA211" s="52"/>
      <c r="AB211" s="56"/>
      <c r="AC211" s="51"/>
      <c r="AD211" s="56"/>
      <c r="AE211" s="51"/>
      <c r="AF211" s="56"/>
      <c r="AG211" s="51"/>
      <c r="AH211" s="56"/>
      <c r="AI211" s="51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</row>
    <row r="212" spans="1:47" s="265" customFormat="1">
      <c r="A212" s="69"/>
      <c r="B212" s="71"/>
      <c r="C212" s="233"/>
      <c r="D212" s="71"/>
      <c r="E212" s="70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2"/>
      <c r="U212" s="72"/>
      <c r="V212" s="72"/>
      <c r="W212" s="72"/>
      <c r="X212" s="64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</row>
    <row r="213" spans="1:47" s="77" customFormat="1">
      <c r="A213" s="33"/>
      <c r="B213" s="36"/>
      <c r="C213" s="233"/>
      <c r="D213" s="36"/>
      <c r="E213" s="78"/>
      <c r="F213" s="78"/>
      <c r="G213" s="78"/>
      <c r="H213" s="78"/>
      <c r="I213" s="78"/>
      <c r="J213" s="78"/>
      <c r="K213" s="78"/>
      <c r="L213" s="78"/>
      <c r="M213" s="78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64"/>
      <c r="Y213" s="65"/>
      <c r="Z213" s="65"/>
      <c r="AA213" s="65"/>
      <c r="AB213" s="65"/>
      <c r="AC213" s="65"/>
      <c r="AD213" s="56"/>
      <c r="AE213" s="65"/>
      <c r="AF213" s="65"/>
      <c r="AG213" s="65"/>
      <c r="AH213" s="65"/>
      <c r="AI213" s="65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</row>
    <row r="214" spans="1:47" s="58" customFormat="1">
      <c r="A214" s="41"/>
      <c r="B214" s="38"/>
      <c r="C214" s="233"/>
      <c r="D214" s="38"/>
      <c r="E214" s="43" t="s">
        <v>1248</v>
      </c>
      <c r="F214" s="133">
        <f>SUMIF($E$8:$E$211,"*SUB-TOTAL*",F8:F211)</f>
        <v>35</v>
      </c>
      <c r="G214" s="133">
        <f>SUBTOTAL(9,G8:G211)</f>
        <v>86</v>
      </c>
      <c r="H214" s="133">
        <f>SUMIF($E$8:$E$211,"*SUB-TOTAL*",H8:H211)</f>
        <v>7</v>
      </c>
      <c r="I214" s="133">
        <f t="shared" ref="I214:O214" si="65">SUBTOTAL(9,I8:I211)</f>
        <v>35</v>
      </c>
      <c r="J214" s="133">
        <f t="shared" si="65"/>
        <v>53</v>
      </c>
      <c r="K214" s="133">
        <f t="shared" si="65"/>
        <v>49</v>
      </c>
      <c r="L214" s="133">
        <f t="shared" si="65"/>
        <v>13</v>
      </c>
      <c r="M214" s="133">
        <f t="shared" si="65"/>
        <v>1</v>
      </c>
      <c r="N214" s="133">
        <f t="shared" si="65"/>
        <v>1</v>
      </c>
      <c r="O214" s="133">
        <f t="shared" si="65"/>
        <v>57</v>
      </c>
      <c r="P214" s="133"/>
      <c r="Q214" s="133">
        <f>SUMIF($E$8:$E$211,"*SUB-TOTAL*",Q8:Q211)</f>
        <v>19</v>
      </c>
      <c r="R214" s="133"/>
      <c r="S214" s="133">
        <f>SUMIF($E$8:$E$211,"*SUB-TOTAL*",S8:S211)</f>
        <v>95</v>
      </c>
      <c r="T214" s="38"/>
      <c r="U214" s="36"/>
      <c r="V214" s="36"/>
      <c r="W214" s="36"/>
      <c r="X214" s="55"/>
      <c r="Y214" s="55"/>
      <c r="Z214" s="55"/>
      <c r="AA214" s="54"/>
      <c r="AB214" s="56"/>
      <c r="AC214" s="51"/>
      <c r="AD214" s="56"/>
      <c r="AE214" s="51"/>
      <c r="AF214" s="56"/>
      <c r="AG214" s="51"/>
      <c r="AH214" s="56"/>
      <c r="AI214" s="51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</row>
    <row r="215" spans="1:47" s="58" customFormat="1">
      <c r="A215" s="45"/>
      <c r="B215" s="44"/>
      <c r="C215" s="233"/>
      <c r="D215" s="44"/>
      <c r="E215" s="42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6"/>
      <c r="U215" s="46"/>
      <c r="V215" s="46"/>
      <c r="W215" s="46"/>
      <c r="X215" s="59"/>
      <c r="Y215" s="59"/>
      <c r="Z215" s="59"/>
      <c r="AA215" s="60">
        <f>SUM(AA8:AA214)</f>
        <v>0</v>
      </c>
      <c r="AB215" s="61"/>
      <c r="AC215" s="62">
        <f>SUM(AC8:AC214)</f>
        <v>0</v>
      </c>
      <c r="AD215" s="61"/>
      <c r="AE215" s="62">
        <f>SUM(AE8:AE214)</f>
        <v>0</v>
      </c>
      <c r="AF215" s="61"/>
      <c r="AG215" s="62">
        <f>SUM(AG8:AG214)</f>
        <v>0</v>
      </c>
      <c r="AH215" s="61"/>
      <c r="AI215" s="62">
        <f>SUM(AI8:AI214)</f>
        <v>0</v>
      </c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</row>
    <row r="216" spans="1:47" ht="15">
      <c r="A216" s="45"/>
      <c r="B216" s="44"/>
      <c r="C216" s="233"/>
      <c r="D216" s="44"/>
      <c r="E216" s="42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6"/>
      <c r="U216" s="46"/>
      <c r="V216" s="46"/>
      <c r="W216" s="46"/>
      <c r="AC216" s="66" t="e">
        <f>AC215/$AA$215</f>
        <v>#DIV/0!</v>
      </c>
      <c r="AE216" s="67" t="e">
        <f>AE215/$AA$215</f>
        <v>#DIV/0!</v>
      </c>
      <c r="AG216" s="66" t="e">
        <f>AG215/$AA$215</f>
        <v>#DIV/0!</v>
      </c>
      <c r="AI216" s="67" t="e">
        <f>AI215/$AA$215</f>
        <v>#DIV/0!</v>
      </c>
    </row>
    <row r="217" spans="1:47">
      <c r="A217" s="45"/>
      <c r="B217" s="44"/>
      <c r="C217" s="233"/>
      <c r="D217" s="44"/>
      <c r="E217" s="42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6"/>
      <c r="U217" s="46"/>
      <c r="V217" s="46"/>
      <c r="W217" s="46"/>
    </row>
    <row r="218" spans="1:47">
      <c r="A218" s="45"/>
      <c r="B218" s="44"/>
      <c r="C218" s="233"/>
      <c r="D218" s="44"/>
      <c r="E218" s="42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6"/>
      <c r="U218" s="46"/>
      <c r="V218" s="46"/>
      <c r="W218" s="46"/>
    </row>
    <row r="219" spans="1:47">
      <c r="A219" s="45"/>
      <c r="B219" s="44"/>
      <c r="C219" s="233"/>
      <c r="D219" s="44"/>
      <c r="E219" s="42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6"/>
      <c r="U219" s="46"/>
      <c r="V219" s="46"/>
      <c r="W219" s="46"/>
    </row>
    <row r="220" spans="1:47">
      <c r="A220" s="45"/>
      <c r="B220" s="44"/>
      <c r="C220" s="33"/>
      <c r="D220" s="44"/>
      <c r="E220" s="42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6"/>
      <c r="U220" s="46"/>
      <c r="V220" s="46"/>
      <c r="W220" s="46"/>
    </row>
    <row r="221" spans="1:47">
      <c r="A221" s="45"/>
      <c r="B221" s="44"/>
      <c r="C221" s="233"/>
      <c r="D221" s="44"/>
      <c r="E221" s="42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6"/>
      <c r="U221" s="46"/>
      <c r="V221" s="46"/>
      <c r="W221" s="46"/>
    </row>
    <row r="222" spans="1:47">
      <c r="A222" s="45"/>
      <c r="B222" s="44"/>
      <c r="C222" s="233"/>
      <c r="D222" s="44"/>
      <c r="E222" s="42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6"/>
      <c r="U222" s="46"/>
      <c r="V222" s="46"/>
      <c r="W222" s="46"/>
    </row>
    <row r="223" spans="1:47">
      <c r="A223" s="45"/>
      <c r="B223" s="44"/>
      <c r="C223" s="233"/>
      <c r="D223" s="44"/>
      <c r="E223" s="42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6"/>
      <c r="U223" s="46"/>
      <c r="V223" s="46"/>
      <c r="W223" s="46"/>
    </row>
    <row r="224" spans="1:47">
      <c r="A224" s="45"/>
      <c r="B224" s="44"/>
      <c r="C224" s="233"/>
      <c r="D224" s="44"/>
      <c r="E224" s="42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6"/>
      <c r="U224" s="46"/>
      <c r="V224" s="46"/>
      <c r="W224" s="46"/>
    </row>
    <row r="225" spans="1:23">
      <c r="A225" s="45"/>
      <c r="B225" s="44"/>
      <c r="C225" s="233"/>
      <c r="D225" s="44"/>
      <c r="E225" s="42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6"/>
      <c r="U225" s="46"/>
      <c r="V225" s="46"/>
      <c r="W225" s="46"/>
    </row>
    <row r="226" spans="1:23">
      <c r="A226" s="45"/>
      <c r="B226" s="44"/>
      <c r="C226" s="33"/>
      <c r="D226" s="44"/>
      <c r="E226" s="42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6"/>
      <c r="U226" s="46"/>
      <c r="V226" s="46"/>
      <c r="W226" s="46"/>
    </row>
    <row r="227" spans="1:23">
      <c r="A227" s="45"/>
      <c r="B227" s="44"/>
      <c r="C227" s="233"/>
      <c r="D227" s="44"/>
      <c r="E227" s="42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6"/>
      <c r="U227" s="46"/>
      <c r="V227" s="46"/>
      <c r="W227" s="46"/>
    </row>
    <row r="228" spans="1:23">
      <c r="A228" s="45"/>
      <c r="B228" s="44"/>
      <c r="C228" s="41"/>
      <c r="D228" s="44"/>
      <c r="E228" s="42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6"/>
      <c r="U228" s="46"/>
      <c r="V228" s="46"/>
      <c r="W228" s="46"/>
    </row>
    <row r="229" spans="1:23">
      <c r="A229" s="45"/>
      <c r="B229" s="44"/>
      <c r="C229" s="33"/>
      <c r="D229" s="44"/>
      <c r="E229" s="42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6"/>
      <c r="U229" s="46"/>
      <c r="V229" s="46"/>
      <c r="W229" s="46"/>
    </row>
    <row r="230" spans="1:23">
      <c r="A230" s="45"/>
      <c r="B230" s="44"/>
      <c r="C230" s="41"/>
      <c r="D230" s="44"/>
      <c r="E230" s="42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6"/>
      <c r="U230" s="46"/>
      <c r="V230" s="46"/>
      <c r="W230" s="46"/>
    </row>
    <row r="231" spans="1:23">
      <c r="A231" s="45"/>
      <c r="B231" s="44"/>
      <c r="C231" s="37"/>
      <c r="D231" s="44"/>
      <c r="E231" s="42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6"/>
      <c r="U231" s="46"/>
      <c r="V231" s="46"/>
      <c r="W231" s="46"/>
    </row>
    <row r="232" spans="1:23">
      <c r="A232" s="45"/>
      <c r="B232" s="44"/>
      <c r="C232" s="33"/>
      <c r="D232" s="44"/>
      <c r="E232" s="42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6"/>
      <c r="U232" s="46"/>
      <c r="V232" s="46"/>
      <c r="W232" s="46"/>
    </row>
    <row r="233" spans="1:23">
      <c r="A233" s="45"/>
      <c r="B233" s="44"/>
      <c r="C233" s="233"/>
      <c r="D233" s="44"/>
      <c r="E233" s="42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6"/>
      <c r="U233" s="46"/>
      <c r="V233" s="46"/>
      <c r="W233" s="46"/>
    </row>
    <row r="234" spans="1:23">
      <c r="A234" s="45"/>
      <c r="B234" s="44"/>
      <c r="C234" s="233"/>
      <c r="D234" s="44"/>
      <c r="E234" s="42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6"/>
      <c r="U234" s="46"/>
      <c r="V234" s="46"/>
      <c r="W234" s="46"/>
    </row>
    <row r="235" spans="1:23">
      <c r="A235" s="45"/>
      <c r="B235" s="44"/>
      <c r="C235" s="41"/>
      <c r="D235" s="44"/>
      <c r="E235" s="42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6"/>
      <c r="U235" s="46"/>
      <c r="V235" s="46"/>
      <c r="W235" s="46"/>
    </row>
    <row r="236" spans="1:23">
      <c r="A236" s="45"/>
      <c r="B236" s="44"/>
      <c r="C236" s="41"/>
      <c r="D236" s="44"/>
      <c r="E236" s="42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6"/>
      <c r="U236" s="46"/>
      <c r="V236" s="46"/>
      <c r="W236" s="46"/>
    </row>
    <row r="237" spans="1:23">
      <c r="A237" s="45"/>
      <c r="B237" s="44"/>
      <c r="C237" s="37"/>
      <c r="D237" s="44"/>
      <c r="E237" s="42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6"/>
      <c r="U237" s="46"/>
      <c r="V237" s="46"/>
      <c r="W237" s="46"/>
    </row>
    <row r="238" spans="1:23">
      <c r="A238" s="45"/>
      <c r="B238" s="44"/>
      <c r="C238" s="33"/>
      <c r="D238" s="44"/>
      <c r="E238" s="42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6"/>
      <c r="U238" s="46"/>
      <c r="V238" s="46"/>
      <c r="W238" s="46"/>
    </row>
    <row r="239" spans="1:23">
      <c r="A239" s="45"/>
      <c r="B239" s="44"/>
      <c r="C239" s="233"/>
      <c r="D239" s="44"/>
      <c r="E239" s="42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6"/>
      <c r="U239" s="46"/>
      <c r="V239" s="46"/>
      <c r="W239" s="46"/>
    </row>
    <row r="240" spans="1:23">
      <c r="A240" s="45"/>
      <c r="B240" s="44"/>
      <c r="C240" s="233"/>
      <c r="D240" s="44"/>
      <c r="E240" s="42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6"/>
      <c r="U240" s="46"/>
      <c r="V240" s="46"/>
      <c r="W240" s="46"/>
    </row>
    <row r="241" spans="1:23">
      <c r="A241" s="45"/>
      <c r="B241" s="44"/>
      <c r="C241" s="233"/>
      <c r="D241" s="44"/>
      <c r="E241" s="42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6"/>
      <c r="U241" s="46"/>
      <c r="V241" s="46"/>
      <c r="W241" s="46"/>
    </row>
    <row r="242" spans="1:23">
      <c r="A242" s="45"/>
      <c r="B242" s="44"/>
      <c r="C242" s="233"/>
      <c r="D242" s="44"/>
      <c r="E242" s="42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6"/>
      <c r="U242" s="46"/>
      <c r="V242" s="46"/>
      <c r="W242" s="46"/>
    </row>
    <row r="243" spans="1:23">
      <c r="A243" s="69"/>
      <c r="B243" s="71"/>
      <c r="C243" s="233"/>
      <c r="D243" s="71"/>
      <c r="E243" s="70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2"/>
      <c r="U243" s="72"/>
      <c r="V243" s="72"/>
      <c r="W243" s="72"/>
    </row>
    <row r="244" spans="1:23">
      <c r="A244" s="69"/>
      <c r="B244" s="71"/>
      <c r="C244" s="33"/>
      <c r="D244" s="71"/>
      <c r="E244" s="70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2"/>
      <c r="U244" s="72"/>
      <c r="V244" s="72"/>
      <c r="W244" s="72"/>
    </row>
    <row r="245" spans="1:23">
      <c r="A245" s="69"/>
      <c r="B245" s="71"/>
      <c r="C245" s="233"/>
      <c r="D245" s="71"/>
      <c r="E245" s="70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2"/>
      <c r="U245" s="72"/>
      <c r="V245" s="72"/>
      <c r="W245" s="72"/>
    </row>
    <row r="246" spans="1:23">
      <c r="A246" s="69"/>
      <c r="B246" s="71"/>
      <c r="C246" s="233"/>
      <c r="D246" s="71"/>
      <c r="E246" s="70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2"/>
      <c r="U246" s="72"/>
      <c r="V246" s="72"/>
      <c r="W246" s="72"/>
    </row>
    <row r="247" spans="1:23">
      <c r="A247" s="69"/>
      <c r="B247" s="71"/>
      <c r="C247" s="233"/>
      <c r="D247" s="71"/>
      <c r="E247" s="70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2"/>
      <c r="U247" s="72"/>
      <c r="V247" s="72"/>
      <c r="W247" s="72"/>
    </row>
    <row r="248" spans="1:23">
      <c r="A248" s="69"/>
      <c r="B248" s="71"/>
      <c r="C248" s="233"/>
      <c r="D248" s="71"/>
      <c r="E248" s="70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2"/>
      <c r="U248" s="72"/>
      <c r="V248" s="72"/>
      <c r="W248" s="72"/>
    </row>
    <row r="249" spans="1:23">
      <c r="A249" s="69"/>
      <c r="B249" s="71"/>
      <c r="C249" s="233"/>
      <c r="D249" s="71"/>
      <c r="E249" s="70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2"/>
      <c r="U249" s="72"/>
      <c r="V249" s="72"/>
      <c r="W249" s="72"/>
    </row>
    <row r="250" spans="1:23">
      <c r="A250" s="69"/>
      <c r="B250" s="71"/>
      <c r="C250" s="233"/>
      <c r="D250" s="71"/>
      <c r="E250" s="70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2"/>
      <c r="U250" s="72"/>
      <c r="V250" s="72"/>
      <c r="W250" s="72"/>
    </row>
    <row r="251" spans="1:23">
      <c r="A251" s="69"/>
      <c r="B251" s="71"/>
      <c r="C251" s="233"/>
      <c r="D251" s="71"/>
      <c r="E251" s="70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2"/>
      <c r="U251" s="72"/>
      <c r="V251" s="72"/>
      <c r="W251" s="72"/>
    </row>
    <row r="252" spans="1:23">
      <c r="A252" s="69"/>
      <c r="B252" s="71"/>
      <c r="C252" s="233"/>
      <c r="D252" s="71"/>
      <c r="E252" s="70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2"/>
      <c r="U252" s="72"/>
      <c r="V252" s="72"/>
      <c r="W252" s="72"/>
    </row>
    <row r="253" spans="1:23">
      <c r="A253" s="69"/>
      <c r="B253" s="71"/>
      <c r="C253" s="233"/>
      <c r="D253" s="71"/>
      <c r="E253" s="70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2"/>
      <c r="U253" s="72"/>
      <c r="V253" s="72"/>
      <c r="W253" s="72"/>
    </row>
    <row r="254" spans="1:23">
      <c r="A254" s="69"/>
      <c r="B254" s="71"/>
      <c r="C254" s="233"/>
      <c r="D254" s="71"/>
      <c r="E254" s="70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2"/>
      <c r="U254" s="72"/>
      <c r="V254" s="72"/>
      <c r="W254" s="72"/>
    </row>
    <row r="255" spans="1:23">
      <c r="A255" s="69"/>
      <c r="B255" s="71"/>
      <c r="C255" s="233"/>
      <c r="D255" s="71"/>
      <c r="E255" s="70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2"/>
      <c r="U255" s="72"/>
      <c r="V255" s="72"/>
      <c r="W255" s="72"/>
    </row>
    <row r="256" spans="1:23">
      <c r="A256" s="69"/>
      <c r="B256" s="71"/>
      <c r="C256" s="233"/>
      <c r="D256" s="71"/>
      <c r="E256" s="70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2"/>
      <c r="U256" s="72"/>
      <c r="V256" s="72"/>
      <c r="W256" s="72"/>
    </row>
    <row r="257" spans="1:23">
      <c r="A257" s="69"/>
      <c r="B257" s="71"/>
      <c r="C257" s="233"/>
      <c r="D257" s="71"/>
      <c r="E257" s="70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2"/>
      <c r="U257" s="72"/>
      <c r="V257" s="72"/>
      <c r="W257" s="72"/>
    </row>
    <row r="258" spans="1:23">
      <c r="A258" s="69"/>
      <c r="B258" s="71"/>
      <c r="C258" s="233"/>
      <c r="D258" s="71"/>
      <c r="E258" s="70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2"/>
      <c r="U258" s="72"/>
      <c r="V258" s="72"/>
      <c r="W258" s="72"/>
    </row>
    <row r="259" spans="1:23">
      <c r="A259" s="69"/>
      <c r="B259" s="71"/>
      <c r="C259" s="233"/>
      <c r="D259" s="71"/>
      <c r="E259" s="70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2"/>
      <c r="U259" s="72"/>
      <c r="V259" s="72"/>
      <c r="W259" s="72"/>
    </row>
    <row r="260" spans="1:23">
      <c r="A260" s="69"/>
      <c r="B260" s="71"/>
      <c r="C260" s="233"/>
      <c r="D260" s="71"/>
      <c r="E260" s="70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2"/>
      <c r="U260" s="72"/>
      <c r="V260" s="72"/>
      <c r="W260" s="72"/>
    </row>
    <row r="261" spans="1:23">
      <c r="A261" s="69"/>
      <c r="B261" s="71"/>
      <c r="C261" s="233"/>
      <c r="D261" s="71"/>
      <c r="E261" s="70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2"/>
      <c r="U261" s="72"/>
      <c r="V261" s="72"/>
      <c r="W261" s="72"/>
    </row>
    <row r="262" spans="1:23">
      <c r="A262" s="69"/>
      <c r="B262" s="71"/>
      <c r="C262" s="233"/>
      <c r="D262" s="71"/>
      <c r="E262" s="70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2"/>
      <c r="U262" s="72"/>
      <c r="V262" s="72"/>
      <c r="W262" s="72"/>
    </row>
    <row r="263" spans="1:23">
      <c r="A263" s="69"/>
      <c r="B263" s="71"/>
      <c r="C263" s="233"/>
      <c r="D263" s="71"/>
      <c r="E263" s="70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2"/>
      <c r="U263" s="72"/>
      <c r="V263" s="72"/>
      <c r="W263" s="72"/>
    </row>
    <row r="264" spans="1:23">
      <c r="A264" s="69"/>
      <c r="B264" s="71"/>
      <c r="C264" s="233"/>
      <c r="D264" s="71"/>
      <c r="E264" s="70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2"/>
      <c r="U264" s="72"/>
      <c r="V264" s="72"/>
      <c r="W264" s="72"/>
    </row>
    <row r="265" spans="1:23">
      <c r="A265" s="69"/>
      <c r="B265" s="71"/>
      <c r="C265" s="41"/>
      <c r="D265" s="71"/>
      <c r="E265" s="70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2"/>
      <c r="U265" s="72"/>
      <c r="V265" s="72"/>
      <c r="W265" s="72"/>
    </row>
    <row r="266" spans="1:23">
      <c r="A266" s="69"/>
      <c r="B266" s="71"/>
      <c r="C266" s="37"/>
      <c r="D266" s="71"/>
      <c r="E266" s="70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2"/>
      <c r="U266" s="72"/>
      <c r="V266" s="72"/>
      <c r="W266" s="72"/>
    </row>
    <row r="267" spans="1:23">
      <c r="A267" s="69"/>
      <c r="B267" s="71"/>
      <c r="C267" s="43"/>
      <c r="D267" s="71"/>
      <c r="E267" s="70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2"/>
      <c r="U267" s="72"/>
      <c r="V267" s="72"/>
      <c r="W267" s="72"/>
    </row>
    <row r="268" spans="1:23">
      <c r="A268" s="69"/>
      <c r="B268" s="71"/>
      <c r="C268" s="43"/>
      <c r="D268" s="71"/>
      <c r="E268" s="70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2"/>
      <c r="U268" s="72"/>
      <c r="V268" s="72"/>
      <c r="W268" s="72"/>
    </row>
    <row r="269" spans="1:23">
      <c r="A269" s="69"/>
      <c r="B269" s="71"/>
      <c r="C269" s="41"/>
      <c r="D269" s="71"/>
      <c r="E269" s="70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2"/>
      <c r="U269" s="72"/>
      <c r="V269" s="72"/>
      <c r="W269" s="72"/>
    </row>
    <row r="270" spans="1:23">
      <c r="A270" s="69"/>
      <c r="B270" s="71"/>
      <c r="C270" s="41"/>
      <c r="D270" s="71"/>
      <c r="E270" s="70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2"/>
      <c r="U270" s="72"/>
      <c r="V270" s="72"/>
      <c r="W270" s="72"/>
    </row>
    <row r="271" spans="1:23">
      <c r="A271" s="69"/>
      <c r="B271" s="71"/>
      <c r="C271" s="41"/>
      <c r="D271" s="71"/>
      <c r="E271" s="70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2"/>
      <c r="U271" s="72"/>
      <c r="V271" s="72"/>
      <c r="W271" s="72"/>
    </row>
    <row r="272" spans="1:23">
      <c r="A272" s="69"/>
      <c r="B272" s="71"/>
      <c r="C272" s="37"/>
      <c r="D272" s="71"/>
      <c r="E272" s="70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2"/>
      <c r="U272" s="72"/>
      <c r="V272" s="72"/>
      <c r="W272" s="72"/>
    </row>
    <row r="273" spans="1:23">
      <c r="A273" s="69"/>
      <c r="B273" s="71"/>
      <c r="C273" s="43"/>
      <c r="D273" s="71"/>
      <c r="E273" s="70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2"/>
      <c r="U273" s="72"/>
      <c r="V273" s="72"/>
      <c r="W273" s="72"/>
    </row>
    <row r="274" spans="1:23">
      <c r="A274" s="69"/>
      <c r="B274" s="71"/>
      <c r="C274" s="43"/>
      <c r="D274" s="71"/>
      <c r="E274" s="70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2"/>
      <c r="U274" s="72"/>
      <c r="V274" s="72"/>
      <c r="W274" s="72"/>
    </row>
    <row r="275" spans="1:23">
      <c r="A275" s="69"/>
      <c r="B275" s="71"/>
      <c r="C275" s="41"/>
      <c r="D275" s="71"/>
      <c r="E275" s="70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2"/>
      <c r="U275" s="72"/>
      <c r="V275" s="72"/>
      <c r="W275" s="72"/>
    </row>
    <row r="276" spans="1:23">
      <c r="A276" s="69"/>
      <c r="B276" s="71"/>
      <c r="C276" s="69"/>
      <c r="D276" s="71"/>
      <c r="E276" s="70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2"/>
      <c r="U276" s="72"/>
      <c r="V276" s="72"/>
      <c r="W276" s="72"/>
    </row>
    <row r="277" spans="1:23">
      <c r="A277" s="69"/>
      <c r="B277" s="71"/>
      <c r="C277" s="41"/>
      <c r="D277" s="71"/>
      <c r="E277" s="70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2"/>
      <c r="U277" s="72"/>
      <c r="V277" s="72"/>
      <c r="W277" s="72"/>
    </row>
    <row r="278" spans="1:23">
      <c r="A278" s="69"/>
      <c r="B278" s="71"/>
      <c r="C278" s="37"/>
      <c r="D278" s="71"/>
      <c r="E278" s="70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2"/>
      <c r="U278" s="72"/>
      <c r="V278" s="72"/>
      <c r="W278" s="72"/>
    </row>
    <row r="279" spans="1:23">
      <c r="A279" s="69"/>
      <c r="B279" s="71"/>
      <c r="C279" s="43"/>
      <c r="D279" s="71"/>
      <c r="E279" s="70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2"/>
      <c r="U279" s="72"/>
      <c r="V279" s="72"/>
      <c r="W279" s="72"/>
    </row>
    <row r="280" spans="1:23">
      <c r="A280" s="69"/>
      <c r="B280" s="71"/>
      <c r="C280" s="43"/>
      <c r="D280" s="71"/>
      <c r="E280" s="70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2"/>
      <c r="U280" s="72"/>
      <c r="V280" s="72"/>
      <c r="W280" s="72"/>
    </row>
    <row r="281" spans="1:23">
      <c r="A281" s="69"/>
      <c r="B281" s="71"/>
      <c r="C281" s="41"/>
      <c r="D281" s="71"/>
      <c r="E281" s="70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2"/>
      <c r="U281" s="72"/>
      <c r="V281" s="72"/>
      <c r="W281" s="72"/>
    </row>
    <row r="282" spans="1:23">
      <c r="A282" s="69"/>
      <c r="B282" s="71"/>
      <c r="C282" s="33"/>
      <c r="D282" s="71"/>
      <c r="E282" s="70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2"/>
      <c r="U282" s="72"/>
      <c r="V282" s="72"/>
      <c r="W282" s="72"/>
    </row>
    <row r="283" spans="1:23">
      <c r="A283" s="69"/>
      <c r="B283" s="71"/>
      <c r="C283" s="41"/>
      <c r="D283" s="71"/>
      <c r="E283" s="70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2"/>
      <c r="U283" s="72"/>
      <c r="V283" s="72"/>
      <c r="W283" s="72"/>
    </row>
    <row r="284" spans="1:23">
      <c r="A284" s="69"/>
      <c r="B284" s="71"/>
      <c r="C284" s="45"/>
      <c r="D284" s="71"/>
      <c r="E284" s="70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2"/>
      <c r="U284" s="72"/>
      <c r="V284" s="72"/>
      <c r="W284" s="72"/>
    </row>
    <row r="285" spans="1:23">
      <c r="A285" s="69"/>
      <c r="B285" s="71"/>
      <c r="C285" s="45"/>
      <c r="D285" s="71"/>
      <c r="E285" s="70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2"/>
      <c r="U285" s="72"/>
      <c r="V285" s="72"/>
      <c r="W285" s="72"/>
    </row>
    <row r="286" spans="1:23">
      <c r="A286" s="69"/>
      <c r="B286" s="71"/>
      <c r="C286" s="45"/>
      <c r="D286" s="71"/>
      <c r="E286" s="70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2"/>
      <c r="U286" s="72"/>
      <c r="V286" s="72"/>
      <c r="W286" s="72"/>
    </row>
    <row r="287" spans="1:23">
      <c r="A287" s="69"/>
      <c r="B287" s="71"/>
      <c r="C287" s="45"/>
      <c r="D287" s="71"/>
      <c r="E287" s="70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2"/>
      <c r="U287" s="72"/>
      <c r="V287" s="72"/>
      <c r="W287" s="72"/>
    </row>
    <row r="288" spans="1:23">
      <c r="A288" s="69"/>
      <c r="B288" s="71"/>
      <c r="C288" s="45"/>
      <c r="D288" s="71"/>
      <c r="E288" s="70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2"/>
      <c r="U288" s="72"/>
      <c r="V288" s="72"/>
      <c r="W288" s="72"/>
    </row>
    <row r="289" spans="1:23">
      <c r="A289" s="69"/>
      <c r="B289" s="71"/>
      <c r="C289" s="45"/>
      <c r="D289" s="71"/>
      <c r="E289" s="70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2"/>
      <c r="U289" s="72"/>
      <c r="V289" s="72"/>
      <c r="W289" s="72"/>
    </row>
    <row r="290" spans="1:23">
      <c r="A290" s="69"/>
      <c r="B290" s="71"/>
      <c r="C290" s="45"/>
      <c r="D290" s="71"/>
      <c r="E290" s="70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2"/>
      <c r="U290" s="72"/>
      <c r="V290" s="72"/>
      <c r="W290" s="72"/>
    </row>
    <row r="291" spans="1:23">
      <c r="A291" s="69"/>
      <c r="B291" s="71"/>
      <c r="C291" s="45"/>
      <c r="D291" s="71"/>
      <c r="E291" s="70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2"/>
      <c r="U291" s="72"/>
      <c r="V291" s="72"/>
      <c r="W291" s="72"/>
    </row>
    <row r="292" spans="1:23">
      <c r="A292" s="69"/>
      <c r="B292" s="71"/>
      <c r="C292" s="45"/>
      <c r="D292" s="71"/>
      <c r="E292" s="70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2"/>
      <c r="U292" s="72"/>
      <c r="V292" s="72"/>
      <c r="W292" s="72"/>
    </row>
    <row r="293" spans="1:23">
      <c r="A293" s="69"/>
      <c r="B293" s="71"/>
      <c r="C293" s="45"/>
      <c r="D293" s="71"/>
      <c r="E293" s="70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2"/>
      <c r="U293" s="72"/>
      <c r="V293" s="72"/>
      <c r="W293" s="72"/>
    </row>
    <row r="294" spans="1:23">
      <c r="A294" s="69"/>
      <c r="B294" s="71"/>
      <c r="C294" s="45"/>
      <c r="D294" s="71"/>
      <c r="E294" s="70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2"/>
      <c r="U294" s="72"/>
      <c r="V294" s="72"/>
      <c r="W294" s="72"/>
    </row>
    <row r="295" spans="1:23">
      <c r="A295" s="69"/>
      <c r="B295" s="71"/>
      <c r="C295" s="45"/>
      <c r="D295" s="71"/>
      <c r="E295" s="70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2"/>
      <c r="U295" s="72"/>
      <c r="V295" s="72"/>
      <c r="W295" s="72"/>
    </row>
    <row r="296" spans="1:23">
      <c r="A296" s="69"/>
      <c r="B296" s="71"/>
      <c r="C296" s="45"/>
      <c r="D296" s="71"/>
      <c r="E296" s="70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2"/>
      <c r="U296" s="72"/>
      <c r="V296" s="72"/>
      <c r="W296" s="72"/>
    </row>
    <row r="297" spans="1:23">
      <c r="A297" s="69"/>
      <c r="B297" s="71"/>
      <c r="C297" s="45"/>
      <c r="D297" s="71"/>
      <c r="E297" s="70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2"/>
      <c r="U297" s="72"/>
      <c r="V297" s="72"/>
      <c r="W297" s="72"/>
    </row>
    <row r="298" spans="1:23">
      <c r="A298" s="69"/>
      <c r="B298" s="71"/>
      <c r="C298" s="45"/>
      <c r="D298" s="71"/>
      <c r="E298" s="70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2"/>
      <c r="U298" s="72"/>
      <c r="V298" s="72"/>
      <c r="W298" s="72"/>
    </row>
    <row r="299" spans="1:23">
      <c r="A299" s="69"/>
      <c r="B299" s="71"/>
      <c r="C299" s="45"/>
      <c r="D299" s="71"/>
      <c r="E299" s="70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2"/>
      <c r="U299" s="72"/>
      <c r="V299" s="72"/>
      <c r="W299" s="72"/>
    </row>
    <row r="300" spans="1:23">
      <c r="A300" s="69"/>
      <c r="B300" s="71"/>
      <c r="C300" s="45"/>
      <c r="D300" s="71"/>
      <c r="E300" s="70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2"/>
      <c r="U300" s="72"/>
      <c r="V300" s="72"/>
      <c r="W300" s="72"/>
    </row>
    <row r="301" spans="1:23">
      <c r="A301" s="69"/>
      <c r="B301" s="71"/>
      <c r="C301" s="45"/>
      <c r="D301" s="71"/>
      <c r="E301" s="70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2"/>
      <c r="U301" s="72"/>
      <c r="V301" s="72"/>
      <c r="W301" s="72"/>
    </row>
    <row r="302" spans="1:23">
      <c r="A302" s="69"/>
      <c r="B302" s="71"/>
      <c r="C302" s="45"/>
      <c r="D302" s="71"/>
      <c r="E302" s="70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2"/>
      <c r="U302" s="72"/>
      <c r="V302" s="72"/>
      <c r="W302" s="72"/>
    </row>
    <row r="303" spans="1:23">
      <c r="A303" s="69"/>
      <c r="B303" s="71"/>
      <c r="C303" s="45"/>
      <c r="D303" s="71"/>
      <c r="E303" s="70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2"/>
      <c r="U303" s="72"/>
      <c r="V303" s="72"/>
      <c r="W303" s="72"/>
    </row>
    <row r="304" spans="1:23">
      <c r="A304" s="69"/>
      <c r="B304" s="71"/>
      <c r="C304" s="45"/>
      <c r="D304" s="71"/>
      <c r="E304" s="70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2"/>
      <c r="U304" s="72"/>
      <c r="V304" s="72"/>
      <c r="W304" s="72"/>
    </row>
    <row r="305" spans="1:23">
      <c r="A305" s="69"/>
      <c r="B305" s="71"/>
      <c r="C305" s="45"/>
      <c r="D305" s="71"/>
      <c r="E305" s="70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2"/>
      <c r="U305" s="72"/>
      <c r="V305" s="72"/>
      <c r="W305" s="72"/>
    </row>
    <row r="306" spans="1:23">
      <c r="A306" s="69"/>
      <c r="B306" s="71"/>
      <c r="C306" s="45"/>
      <c r="D306" s="71"/>
      <c r="E306" s="70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2"/>
      <c r="U306" s="72"/>
      <c r="V306" s="72"/>
      <c r="W306" s="72"/>
    </row>
    <row r="307" spans="1:23">
      <c r="A307" s="69"/>
      <c r="B307" s="71"/>
      <c r="C307" s="45"/>
      <c r="D307" s="71"/>
      <c r="E307" s="70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2"/>
      <c r="U307" s="72"/>
      <c r="V307" s="72"/>
      <c r="W307" s="72"/>
    </row>
    <row r="308" spans="1:23">
      <c r="A308" s="69"/>
      <c r="B308" s="71"/>
      <c r="C308" s="45"/>
      <c r="D308" s="71"/>
      <c r="E308" s="70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2"/>
      <c r="U308" s="72"/>
      <c r="V308" s="72"/>
      <c r="W308" s="72"/>
    </row>
    <row r="309" spans="1:23">
      <c r="A309" s="69"/>
      <c r="B309" s="71"/>
      <c r="C309" s="45"/>
      <c r="D309" s="71"/>
      <c r="E309" s="70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2"/>
      <c r="U309" s="72"/>
      <c r="V309" s="72"/>
      <c r="W309" s="72"/>
    </row>
    <row r="310" spans="1:23">
      <c r="A310" s="69"/>
      <c r="B310" s="71"/>
      <c r="C310" s="45"/>
      <c r="D310" s="71"/>
      <c r="E310" s="70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2"/>
      <c r="U310" s="72"/>
      <c r="V310" s="72"/>
      <c r="W310" s="72"/>
    </row>
    <row r="311" spans="1:23">
      <c r="A311" s="69"/>
      <c r="B311" s="71"/>
      <c r="C311" s="45"/>
      <c r="D311" s="71"/>
      <c r="E311" s="70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2"/>
      <c r="U311" s="72"/>
      <c r="V311" s="72"/>
      <c r="W311" s="72"/>
    </row>
    <row r="312" spans="1:23">
      <c r="A312" s="69"/>
      <c r="B312" s="71"/>
      <c r="C312" s="69"/>
      <c r="D312" s="71"/>
      <c r="E312" s="70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2"/>
      <c r="U312" s="72"/>
      <c r="V312" s="72"/>
      <c r="W312" s="72"/>
    </row>
    <row r="313" spans="1:23">
      <c r="A313" s="69"/>
      <c r="B313" s="71"/>
      <c r="C313" s="69"/>
      <c r="D313" s="71"/>
      <c r="E313" s="70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2"/>
      <c r="U313" s="72"/>
      <c r="V313" s="72"/>
      <c r="W313" s="72"/>
    </row>
    <row r="314" spans="1:23">
      <c r="A314" s="69"/>
      <c r="B314" s="71"/>
      <c r="C314" s="69"/>
      <c r="D314" s="71"/>
      <c r="E314" s="70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2"/>
      <c r="U314" s="72"/>
      <c r="V314" s="72"/>
      <c r="W314" s="72"/>
    </row>
    <row r="315" spans="1:23">
      <c r="A315" s="69"/>
      <c r="B315" s="71"/>
      <c r="C315" s="69"/>
      <c r="D315" s="71"/>
      <c r="E315" s="70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2"/>
      <c r="U315" s="72"/>
      <c r="V315" s="72"/>
      <c r="W315" s="72"/>
    </row>
    <row r="316" spans="1:23">
      <c r="A316" s="69"/>
      <c r="B316" s="71"/>
      <c r="C316" s="69"/>
      <c r="D316" s="71"/>
      <c r="E316" s="70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2"/>
      <c r="U316" s="72"/>
      <c r="V316" s="72"/>
      <c r="W316" s="72"/>
    </row>
    <row r="317" spans="1:23">
      <c r="A317" s="69"/>
      <c r="B317" s="71"/>
      <c r="C317" s="69"/>
      <c r="D317" s="71"/>
      <c r="E317" s="70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2"/>
      <c r="U317" s="72"/>
      <c r="V317" s="72"/>
      <c r="W317" s="72"/>
    </row>
    <row r="318" spans="1:23">
      <c r="A318" s="69"/>
      <c r="B318" s="71"/>
      <c r="C318" s="69"/>
      <c r="D318" s="71"/>
      <c r="E318" s="70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2"/>
      <c r="U318" s="72"/>
      <c r="V318" s="72"/>
      <c r="W318" s="72"/>
    </row>
    <row r="319" spans="1:23">
      <c r="A319" s="69"/>
      <c r="B319" s="71"/>
      <c r="C319" s="69"/>
      <c r="D319" s="71"/>
      <c r="E319" s="70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2"/>
      <c r="U319" s="72"/>
      <c r="V319" s="72"/>
      <c r="W319" s="72"/>
    </row>
    <row r="320" spans="1:23">
      <c r="A320" s="69"/>
      <c r="B320" s="71"/>
      <c r="C320" s="69"/>
      <c r="D320" s="71"/>
      <c r="E320" s="70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2"/>
      <c r="U320" s="72"/>
      <c r="V320" s="72"/>
      <c r="W320" s="72"/>
    </row>
    <row r="321" spans="1:23">
      <c r="A321" s="69"/>
      <c r="B321" s="71"/>
      <c r="C321" s="69"/>
      <c r="D321" s="71"/>
      <c r="E321" s="70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2"/>
      <c r="U321" s="72"/>
      <c r="V321" s="72"/>
      <c r="W321" s="72"/>
    </row>
    <row r="322" spans="1:23">
      <c r="A322" s="69"/>
      <c r="B322" s="71"/>
      <c r="C322" s="69"/>
      <c r="D322" s="71"/>
      <c r="E322" s="70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2"/>
      <c r="U322" s="72"/>
      <c r="V322" s="72"/>
      <c r="W322" s="72"/>
    </row>
    <row r="323" spans="1:23">
      <c r="A323" s="69"/>
      <c r="B323" s="71"/>
      <c r="C323" s="69"/>
      <c r="D323" s="71"/>
      <c r="E323" s="70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2"/>
      <c r="U323" s="72"/>
      <c r="V323" s="72"/>
      <c r="W323" s="72"/>
    </row>
    <row r="324" spans="1:23">
      <c r="A324" s="69"/>
      <c r="B324" s="71"/>
      <c r="C324" s="69"/>
      <c r="D324" s="71"/>
      <c r="E324" s="70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2"/>
      <c r="U324" s="72"/>
      <c r="V324" s="72"/>
      <c r="W324" s="72"/>
    </row>
    <row r="325" spans="1:23">
      <c r="A325" s="69"/>
      <c r="B325" s="71"/>
      <c r="C325" s="69"/>
      <c r="D325" s="71"/>
      <c r="E325" s="70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2"/>
      <c r="U325" s="72"/>
      <c r="V325" s="72"/>
      <c r="W325" s="72"/>
    </row>
    <row r="326" spans="1:23">
      <c r="A326" s="69"/>
      <c r="B326" s="71"/>
      <c r="C326" s="69"/>
      <c r="D326" s="71"/>
      <c r="E326" s="70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2"/>
      <c r="U326" s="72"/>
      <c r="V326" s="72"/>
      <c r="W326" s="72"/>
    </row>
    <row r="327" spans="1:23">
      <c r="A327" s="69"/>
      <c r="B327" s="71"/>
      <c r="C327" s="69"/>
      <c r="D327" s="71"/>
      <c r="E327" s="70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2"/>
      <c r="U327" s="72"/>
      <c r="V327" s="72"/>
      <c r="W327" s="72"/>
    </row>
    <row r="328" spans="1:23">
      <c r="A328" s="69"/>
      <c r="B328" s="71"/>
      <c r="C328" s="69"/>
      <c r="D328" s="71"/>
      <c r="E328" s="70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2"/>
      <c r="U328" s="72"/>
      <c r="V328" s="72"/>
      <c r="W328" s="72"/>
    </row>
    <row r="329" spans="1:23">
      <c r="A329" s="69"/>
      <c r="B329" s="71"/>
      <c r="C329" s="69"/>
      <c r="D329" s="71"/>
      <c r="E329" s="70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2"/>
      <c r="U329" s="72"/>
      <c r="V329" s="72"/>
      <c r="W329" s="72"/>
    </row>
    <row r="330" spans="1:23">
      <c r="A330" s="69"/>
      <c r="B330" s="71"/>
      <c r="C330" s="69"/>
      <c r="D330" s="71"/>
      <c r="E330" s="70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2"/>
      <c r="U330" s="72"/>
      <c r="V330" s="72"/>
      <c r="W330" s="72"/>
    </row>
    <row r="331" spans="1:23">
      <c r="A331" s="69"/>
      <c r="B331" s="71"/>
      <c r="C331" s="69"/>
      <c r="D331" s="71"/>
      <c r="E331" s="70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2"/>
      <c r="U331" s="72"/>
      <c r="V331" s="72"/>
      <c r="W331" s="72"/>
    </row>
    <row r="332" spans="1:23">
      <c r="A332" s="69"/>
      <c r="B332" s="71"/>
      <c r="C332" s="69"/>
      <c r="D332" s="71"/>
      <c r="E332" s="70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2"/>
      <c r="U332" s="72"/>
      <c r="V332" s="72"/>
      <c r="W332" s="72"/>
    </row>
    <row r="333" spans="1:23">
      <c r="A333" s="69"/>
      <c r="B333" s="71"/>
      <c r="C333" s="69"/>
      <c r="D333" s="71"/>
      <c r="E333" s="70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2"/>
      <c r="U333" s="72"/>
      <c r="V333" s="72"/>
      <c r="W333" s="72"/>
    </row>
    <row r="334" spans="1:23">
      <c r="A334" s="69"/>
      <c r="B334" s="71"/>
      <c r="C334" s="69"/>
      <c r="D334" s="71"/>
      <c r="E334" s="70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2"/>
      <c r="U334" s="72"/>
      <c r="V334" s="72"/>
      <c r="W334" s="72"/>
    </row>
    <row r="335" spans="1:23">
      <c r="A335" s="69"/>
      <c r="B335" s="71"/>
      <c r="C335" s="69"/>
      <c r="D335" s="71"/>
      <c r="E335" s="70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2"/>
      <c r="U335" s="72"/>
      <c r="V335" s="72"/>
      <c r="W335" s="72"/>
    </row>
    <row r="336" spans="1:23">
      <c r="A336" s="69"/>
      <c r="B336" s="71"/>
      <c r="C336" s="69"/>
      <c r="D336" s="71"/>
      <c r="E336" s="70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2"/>
      <c r="U336" s="72"/>
      <c r="V336" s="72"/>
      <c r="W336" s="72"/>
    </row>
    <row r="337" spans="1:23">
      <c r="A337" s="69"/>
      <c r="B337" s="71"/>
      <c r="C337" s="69"/>
      <c r="D337" s="71"/>
      <c r="E337" s="70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2"/>
      <c r="U337" s="72"/>
      <c r="V337" s="72"/>
      <c r="W337" s="72"/>
    </row>
    <row r="338" spans="1:23">
      <c r="A338" s="69"/>
      <c r="B338" s="71"/>
      <c r="C338" s="69"/>
      <c r="D338" s="71"/>
      <c r="E338" s="70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2"/>
      <c r="U338" s="72"/>
      <c r="V338" s="72"/>
      <c r="W338" s="72"/>
    </row>
    <row r="339" spans="1:23">
      <c r="A339" s="69"/>
      <c r="B339" s="71"/>
      <c r="C339" s="69"/>
      <c r="D339" s="71"/>
      <c r="E339" s="70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2"/>
      <c r="U339" s="72"/>
      <c r="V339" s="72"/>
      <c r="W339" s="72"/>
    </row>
    <row r="340" spans="1:23">
      <c r="A340" s="69"/>
      <c r="B340" s="71"/>
      <c r="C340" s="69"/>
      <c r="D340" s="71"/>
      <c r="E340" s="70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2"/>
      <c r="U340" s="72"/>
      <c r="V340" s="72"/>
      <c r="W340" s="72"/>
    </row>
    <row r="341" spans="1:23">
      <c r="A341" s="69"/>
      <c r="B341" s="71"/>
      <c r="C341" s="69"/>
      <c r="D341" s="71"/>
      <c r="E341" s="70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2"/>
      <c r="U341" s="72"/>
      <c r="V341" s="72"/>
      <c r="W341" s="72"/>
    </row>
    <row r="342" spans="1:23">
      <c r="A342" s="69"/>
      <c r="B342" s="71"/>
      <c r="C342" s="69"/>
      <c r="D342" s="71"/>
      <c r="E342" s="70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2"/>
      <c r="U342" s="72"/>
      <c r="V342" s="72"/>
      <c r="W342" s="72"/>
    </row>
    <row r="343" spans="1:23">
      <c r="A343" s="69"/>
      <c r="B343" s="71"/>
      <c r="C343" s="69"/>
      <c r="D343" s="71"/>
      <c r="E343" s="70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2"/>
      <c r="U343" s="72"/>
      <c r="V343" s="72"/>
      <c r="W343" s="72"/>
    </row>
    <row r="344" spans="1:23">
      <c r="A344" s="69"/>
      <c r="B344" s="71"/>
      <c r="C344" s="69"/>
      <c r="D344" s="71"/>
      <c r="E344" s="70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2"/>
      <c r="U344" s="72"/>
      <c r="V344" s="72"/>
      <c r="W344" s="72"/>
    </row>
    <row r="345" spans="1:23">
      <c r="A345" s="69"/>
      <c r="B345" s="71"/>
      <c r="C345" s="69"/>
      <c r="D345" s="71"/>
      <c r="E345" s="70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2"/>
      <c r="U345" s="72"/>
      <c r="V345" s="72"/>
      <c r="W345" s="72"/>
    </row>
    <row r="346" spans="1:23">
      <c r="A346" s="69"/>
      <c r="B346" s="71"/>
      <c r="C346" s="69"/>
      <c r="D346" s="71"/>
      <c r="E346" s="70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2"/>
      <c r="U346" s="72"/>
      <c r="V346" s="72"/>
      <c r="W346" s="72"/>
    </row>
    <row r="347" spans="1:23">
      <c r="A347" s="69"/>
      <c r="B347" s="71"/>
      <c r="C347" s="69"/>
      <c r="D347" s="71"/>
      <c r="E347" s="70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2"/>
      <c r="U347" s="72"/>
      <c r="V347" s="72"/>
      <c r="W347" s="72"/>
    </row>
    <row r="348" spans="1:23">
      <c r="A348" s="69"/>
      <c r="B348" s="71"/>
      <c r="C348" s="69"/>
      <c r="D348" s="71"/>
      <c r="E348" s="70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2"/>
      <c r="U348" s="72"/>
      <c r="V348" s="72"/>
      <c r="W348" s="72"/>
    </row>
    <row r="349" spans="1:23">
      <c r="A349" s="69"/>
      <c r="B349" s="71"/>
      <c r="C349" s="69"/>
      <c r="D349" s="71"/>
      <c r="E349" s="70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2"/>
      <c r="U349" s="72"/>
      <c r="V349" s="72"/>
      <c r="W349" s="72"/>
    </row>
    <row r="350" spans="1:23">
      <c r="A350" s="69"/>
      <c r="B350" s="71"/>
      <c r="C350" s="69"/>
      <c r="D350" s="71"/>
      <c r="E350" s="70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2"/>
      <c r="U350" s="72"/>
      <c r="V350" s="72"/>
      <c r="W350" s="72"/>
    </row>
    <row r="351" spans="1:23">
      <c r="A351" s="69"/>
      <c r="B351" s="71"/>
      <c r="C351" s="69"/>
      <c r="D351" s="71"/>
      <c r="E351" s="70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2"/>
      <c r="U351" s="72"/>
      <c r="V351" s="72"/>
      <c r="W351" s="72"/>
    </row>
    <row r="352" spans="1:23">
      <c r="A352" s="69"/>
      <c r="B352" s="71"/>
      <c r="C352" s="69"/>
      <c r="D352" s="71"/>
      <c r="E352" s="70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2"/>
      <c r="U352" s="72"/>
      <c r="V352" s="72"/>
      <c r="W352" s="72"/>
    </row>
    <row r="353" spans="1:23">
      <c r="A353" s="69"/>
      <c r="B353" s="71"/>
      <c r="C353" s="69"/>
      <c r="D353" s="71"/>
      <c r="E353" s="70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2"/>
      <c r="U353" s="72"/>
      <c r="V353" s="72"/>
      <c r="W353" s="72"/>
    </row>
    <row r="354" spans="1:23">
      <c r="A354" s="69"/>
      <c r="B354" s="71"/>
      <c r="C354" s="69"/>
      <c r="D354" s="71"/>
      <c r="E354" s="70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2"/>
      <c r="U354" s="72"/>
      <c r="V354" s="72"/>
      <c r="W354" s="72"/>
    </row>
    <row r="355" spans="1:23">
      <c r="A355" s="69"/>
      <c r="B355" s="71"/>
      <c r="C355" s="69"/>
      <c r="D355" s="71"/>
      <c r="E355" s="70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2"/>
      <c r="U355" s="72"/>
      <c r="V355" s="72"/>
      <c r="W355" s="72"/>
    </row>
    <row r="356" spans="1:23">
      <c r="A356" s="69"/>
      <c r="B356" s="71"/>
      <c r="C356" s="69"/>
      <c r="D356" s="71"/>
      <c r="E356" s="70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2"/>
      <c r="U356" s="72"/>
      <c r="V356" s="72"/>
      <c r="W356" s="72"/>
    </row>
    <row r="357" spans="1:23">
      <c r="A357" s="69"/>
      <c r="B357" s="71"/>
      <c r="C357" s="69"/>
      <c r="D357" s="71"/>
      <c r="E357" s="70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2"/>
      <c r="U357" s="72"/>
      <c r="V357" s="72"/>
      <c r="W357" s="72"/>
    </row>
    <row r="358" spans="1:23">
      <c r="A358" s="69"/>
      <c r="B358" s="71"/>
      <c r="C358" s="69"/>
      <c r="D358" s="71"/>
      <c r="E358" s="70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2"/>
      <c r="U358" s="72"/>
      <c r="V358" s="72"/>
      <c r="W358" s="72"/>
    </row>
    <row r="359" spans="1:23">
      <c r="A359" s="69"/>
      <c r="B359" s="71"/>
      <c r="C359" s="69"/>
      <c r="D359" s="71"/>
      <c r="E359" s="70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2"/>
      <c r="U359" s="72"/>
      <c r="V359" s="72"/>
      <c r="W359" s="72"/>
    </row>
    <row r="360" spans="1:23">
      <c r="A360" s="69"/>
      <c r="B360" s="71"/>
      <c r="C360" s="69"/>
      <c r="D360" s="71"/>
      <c r="E360" s="70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2"/>
      <c r="U360" s="72"/>
      <c r="V360" s="72"/>
      <c r="W360" s="72"/>
    </row>
    <row r="361" spans="1:23">
      <c r="A361" s="69"/>
      <c r="B361" s="71"/>
      <c r="C361" s="69"/>
      <c r="D361" s="71"/>
      <c r="E361" s="70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2"/>
      <c r="U361" s="72"/>
      <c r="V361" s="72"/>
      <c r="W361" s="72"/>
    </row>
    <row r="362" spans="1:23">
      <c r="A362" s="69"/>
      <c r="B362" s="71"/>
      <c r="C362" s="69"/>
      <c r="D362" s="71"/>
      <c r="E362" s="70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2"/>
      <c r="U362" s="72"/>
      <c r="V362" s="72"/>
      <c r="W362" s="72"/>
    </row>
    <row r="363" spans="1:23">
      <c r="A363" s="69"/>
      <c r="B363" s="71"/>
      <c r="C363" s="69"/>
      <c r="D363" s="71"/>
      <c r="E363" s="70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2"/>
      <c r="U363" s="72"/>
      <c r="V363" s="72"/>
      <c r="W363" s="72"/>
    </row>
    <row r="364" spans="1:23">
      <c r="A364" s="69"/>
      <c r="B364" s="71"/>
      <c r="C364" s="69"/>
      <c r="D364" s="71"/>
      <c r="E364" s="70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2"/>
      <c r="U364" s="72"/>
      <c r="V364" s="72"/>
      <c r="W364" s="72"/>
    </row>
    <row r="365" spans="1:23">
      <c r="A365" s="69"/>
      <c r="B365" s="71"/>
      <c r="C365" s="69"/>
      <c r="D365" s="71"/>
      <c r="E365" s="70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2"/>
      <c r="U365" s="72"/>
      <c r="V365" s="72"/>
      <c r="W365" s="72"/>
    </row>
    <row r="366" spans="1:23">
      <c r="A366" s="69"/>
      <c r="B366" s="71"/>
      <c r="C366" s="69"/>
      <c r="D366" s="71"/>
      <c r="E366" s="70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2"/>
      <c r="U366" s="72"/>
      <c r="V366" s="72"/>
      <c r="W366" s="72"/>
    </row>
    <row r="367" spans="1:23">
      <c r="A367" s="69"/>
      <c r="B367" s="71"/>
      <c r="C367" s="69"/>
      <c r="D367" s="71"/>
      <c r="E367" s="70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2"/>
      <c r="U367" s="72"/>
      <c r="V367" s="72"/>
      <c r="W367" s="72"/>
    </row>
    <row r="368" spans="1:23">
      <c r="A368" s="69"/>
      <c r="B368" s="71"/>
      <c r="C368" s="69"/>
      <c r="D368" s="71"/>
      <c r="E368" s="70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2"/>
      <c r="U368" s="72"/>
      <c r="V368" s="72"/>
      <c r="W368" s="72"/>
    </row>
    <row r="369" spans="1:23">
      <c r="A369" s="69"/>
      <c r="B369" s="71"/>
      <c r="C369" s="69"/>
      <c r="D369" s="71"/>
      <c r="E369" s="70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2"/>
      <c r="U369" s="72"/>
      <c r="V369" s="72"/>
      <c r="W369" s="72"/>
    </row>
    <row r="370" spans="1:23">
      <c r="A370" s="69"/>
      <c r="B370" s="71"/>
      <c r="C370" s="69"/>
      <c r="D370" s="71"/>
      <c r="E370" s="70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2"/>
      <c r="U370" s="72"/>
      <c r="V370" s="72"/>
      <c r="W370" s="72"/>
    </row>
    <row r="371" spans="1:23">
      <c r="A371" s="69"/>
      <c r="B371" s="71"/>
      <c r="C371" s="69"/>
      <c r="D371" s="71"/>
      <c r="E371" s="70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2"/>
      <c r="U371" s="72"/>
      <c r="V371" s="72"/>
      <c r="W371" s="72"/>
    </row>
    <row r="372" spans="1:23">
      <c r="A372" s="69"/>
      <c r="B372" s="71"/>
      <c r="C372" s="69"/>
      <c r="D372" s="71"/>
      <c r="E372" s="70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2"/>
      <c r="U372" s="72"/>
      <c r="V372" s="72"/>
      <c r="W372" s="72"/>
    </row>
    <row r="373" spans="1:23">
      <c r="A373" s="69"/>
      <c r="B373" s="71"/>
      <c r="C373" s="69"/>
      <c r="D373" s="71"/>
      <c r="E373" s="70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2"/>
      <c r="U373" s="72"/>
      <c r="V373" s="72"/>
      <c r="W373" s="72"/>
    </row>
    <row r="374" spans="1:23">
      <c r="A374" s="69"/>
      <c r="B374" s="71"/>
      <c r="C374" s="69"/>
      <c r="D374" s="71"/>
      <c r="E374" s="70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2"/>
      <c r="U374" s="72"/>
      <c r="V374" s="72"/>
      <c r="W374" s="72"/>
    </row>
    <row r="375" spans="1:23">
      <c r="A375" s="69"/>
      <c r="B375" s="71"/>
      <c r="C375" s="69"/>
      <c r="D375" s="71"/>
      <c r="E375" s="70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2"/>
      <c r="U375" s="72"/>
      <c r="V375" s="72"/>
      <c r="W375" s="72"/>
    </row>
    <row r="376" spans="1:23">
      <c r="A376" s="69"/>
      <c r="B376" s="71"/>
      <c r="C376" s="69"/>
      <c r="D376" s="71"/>
      <c r="E376" s="70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2"/>
      <c r="U376" s="72"/>
      <c r="V376" s="72"/>
      <c r="W376" s="72"/>
    </row>
    <row r="377" spans="1:23">
      <c r="A377" s="69"/>
      <c r="B377" s="71"/>
      <c r="C377" s="69"/>
      <c r="D377" s="71"/>
      <c r="E377" s="70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2"/>
      <c r="U377" s="72"/>
      <c r="V377" s="72"/>
      <c r="W377" s="72"/>
    </row>
    <row r="378" spans="1:23">
      <c r="A378" s="69"/>
      <c r="B378" s="71"/>
      <c r="C378" s="69"/>
      <c r="D378" s="71"/>
      <c r="E378" s="70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2"/>
      <c r="U378" s="72"/>
      <c r="V378" s="72"/>
      <c r="W378" s="72"/>
    </row>
    <row r="379" spans="1:23">
      <c r="A379" s="69"/>
      <c r="B379" s="71"/>
      <c r="C379" s="69"/>
      <c r="D379" s="71"/>
      <c r="E379" s="70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2"/>
      <c r="U379" s="72"/>
      <c r="V379" s="72"/>
      <c r="W379" s="72"/>
    </row>
    <row r="380" spans="1:23">
      <c r="A380" s="69"/>
      <c r="B380" s="71"/>
      <c r="C380" s="69"/>
      <c r="D380" s="71"/>
      <c r="E380" s="70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2"/>
      <c r="U380" s="72"/>
      <c r="V380" s="72"/>
      <c r="W380" s="72"/>
    </row>
    <row r="381" spans="1:23">
      <c r="A381" s="69"/>
      <c r="B381" s="71"/>
      <c r="C381" s="69"/>
      <c r="D381" s="71"/>
      <c r="E381" s="70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2"/>
      <c r="U381" s="72"/>
      <c r="V381" s="72"/>
      <c r="W381" s="72"/>
    </row>
    <row r="382" spans="1:23">
      <c r="A382" s="69"/>
      <c r="B382" s="71"/>
      <c r="C382" s="69"/>
      <c r="D382" s="71"/>
      <c r="E382" s="70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2"/>
      <c r="U382" s="72"/>
      <c r="V382" s="72"/>
      <c r="W382" s="72"/>
    </row>
    <row r="383" spans="1:23">
      <c r="A383" s="69"/>
      <c r="B383" s="71"/>
      <c r="C383" s="69"/>
      <c r="D383" s="71"/>
      <c r="E383" s="70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2"/>
      <c r="U383" s="72"/>
      <c r="V383" s="72"/>
      <c r="W383" s="72"/>
    </row>
    <row r="384" spans="1:23">
      <c r="A384" s="69"/>
      <c r="B384" s="71"/>
      <c r="C384" s="69"/>
      <c r="D384" s="71"/>
      <c r="E384" s="70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2"/>
      <c r="U384" s="72"/>
      <c r="V384" s="72"/>
      <c r="W384" s="72"/>
    </row>
    <row r="385" spans="1:23">
      <c r="A385" s="69"/>
      <c r="B385" s="71"/>
      <c r="C385" s="69"/>
      <c r="D385" s="71"/>
      <c r="E385" s="70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2"/>
      <c r="U385" s="72"/>
      <c r="V385" s="72"/>
      <c r="W385" s="72"/>
    </row>
    <row r="386" spans="1:23">
      <c r="A386" s="69"/>
      <c r="B386" s="71"/>
      <c r="C386" s="69"/>
      <c r="D386" s="71"/>
      <c r="E386" s="70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2"/>
      <c r="U386" s="72"/>
      <c r="V386" s="72"/>
      <c r="W386" s="72"/>
    </row>
    <row r="387" spans="1:23">
      <c r="A387" s="69"/>
      <c r="B387" s="71"/>
      <c r="C387" s="69"/>
      <c r="D387" s="71"/>
      <c r="E387" s="70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2"/>
      <c r="U387" s="72"/>
      <c r="V387" s="72"/>
      <c r="W387" s="72"/>
    </row>
    <row r="388" spans="1:23">
      <c r="A388" s="69"/>
      <c r="B388" s="71"/>
      <c r="C388" s="69"/>
      <c r="D388" s="71"/>
      <c r="E388" s="70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2"/>
      <c r="U388" s="72"/>
      <c r="V388" s="72"/>
      <c r="W388" s="72"/>
    </row>
    <row r="389" spans="1:23">
      <c r="A389" s="69"/>
      <c r="B389" s="71"/>
      <c r="C389" s="69"/>
      <c r="D389" s="71"/>
      <c r="E389" s="70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2"/>
      <c r="U389" s="72"/>
      <c r="V389" s="72"/>
      <c r="W389" s="72"/>
    </row>
    <row r="390" spans="1:23">
      <c r="A390" s="69"/>
      <c r="B390" s="71"/>
      <c r="C390" s="69"/>
      <c r="D390" s="71"/>
      <c r="E390" s="70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2"/>
      <c r="U390" s="72"/>
      <c r="V390" s="72"/>
      <c r="W390" s="72"/>
    </row>
    <row r="391" spans="1:23">
      <c r="A391" s="69"/>
      <c r="B391" s="71"/>
      <c r="C391" s="69"/>
      <c r="D391" s="71"/>
      <c r="E391" s="70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2"/>
      <c r="U391" s="72"/>
      <c r="V391" s="72"/>
      <c r="W391" s="72"/>
    </row>
    <row r="392" spans="1:23">
      <c r="A392" s="69"/>
      <c r="B392" s="71"/>
      <c r="C392" s="69"/>
      <c r="D392" s="71"/>
      <c r="E392" s="70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2"/>
      <c r="U392" s="72"/>
      <c r="V392" s="72"/>
      <c r="W392" s="72"/>
    </row>
    <row r="393" spans="1:23">
      <c r="A393" s="69"/>
      <c r="B393" s="71"/>
      <c r="C393" s="69"/>
      <c r="D393" s="71"/>
      <c r="E393" s="70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2"/>
      <c r="U393" s="72"/>
      <c r="V393" s="72"/>
      <c r="W393" s="72"/>
    </row>
    <row r="394" spans="1:23">
      <c r="A394" s="69"/>
      <c r="B394" s="71"/>
      <c r="C394" s="69"/>
      <c r="D394" s="71"/>
      <c r="E394" s="70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2"/>
      <c r="U394" s="72"/>
      <c r="V394" s="72"/>
      <c r="W394" s="72"/>
    </row>
    <row r="395" spans="1:23">
      <c r="A395" s="69"/>
      <c r="B395" s="71"/>
      <c r="C395" s="69"/>
      <c r="D395" s="71"/>
      <c r="E395" s="70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2"/>
      <c r="U395" s="72"/>
      <c r="V395" s="72"/>
      <c r="W395" s="72"/>
    </row>
    <row r="396" spans="1:23">
      <c r="A396" s="69"/>
      <c r="B396" s="71"/>
      <c r="C396" s="69"/>
      <c r="D396" s="71"/>
      <c r="E396" s="70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2"/>
      <c r="U396" s="72"/>
      <c r="V396" s="72"/>
      <c r="W396" s="72"/>
    </row>
    <row r="397" spans="1:23">
      <c r="A397" s="69"/>
      <c r="B397" s="71"/>
      <c r="C397" s="69"/>
      <c r="D397" s="71"/>
      <c r="E397" s="70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2"/>
      <c r="U397" s="72"/>
      <c r="V397" s="72"/>
      <c r="W397" s="72"/>
    </row>
    <row r="398" spans="1:23">
      <c r="A398" s="69"/>
      <c r="B398" s="71"/>
      <c r="C398" s="69"/>
      <c r="D398" s="71"/>
      <c r="E398" s="70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2"/>
      <c r="U398" s="72"/>
      <c r="V398" s="72"/>
      <c r="W398" s="72"/>
    </row>
    <row r="399" spans="1:23">
      <c r="A399" s="69"/>
      <c r="B399" s="71"/>
      <c r="C399" s="69"/>
      <c r="D399" s="71"/>
      <c r="E399" s="70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2"/>
      <c r="U399" s="72"/>
      <c r="V399" s="72"/>
      <c r="W399" s="72"/>
    </row>
    <row r="400" spans="1:23">
      <c r="A400" s="69"/>
      <c r="B400" s="71"/>
      <c r="C400" s="69"/>
      <c r="D400" s="71"/>
      <c r="E400" s="70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2"/>
      <c r="U400" s="72"/>
      <c r="V400" s="72"/>
      <c r="W400" s="72"/>
    </row>
    <row r="401" spans="1:23">
      <c r="A401" s="69"/>
      <c r="B401" s="71"/>
      <c r="C401" s="69"/>
      <c r="D401" s="71"/>
      <c r="E401" s="70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2"/>
      <c r="U401" s="72"/>
      <c r="V401" s="72"/>
      <c r="W401" s="72"/>
    </row>
    <row r="402" spans="1:23">
      <c r="A402" s="69"/>
      <c r="B402" s="71"/>
      <c r="C402" s="69"/>
      <c r="D402" s="71"/>
      <c r="E402" s="70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2"/>
      <c r="U402" s="72"/>
      <c r="V402" s="72"/>
      <c r="W402" s="72"/>
    </row>
    <row r="403" spans="1:23">
      <c r="A403" s="69"/>
      <c r="B403" s="71"/>
      <c r="C403" s="69"/>
      <c r="D403" s="71"/>
      <c r="E403" s="70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2"/>
      <c r="U403" s="72"/>
      <c r="V403" s="72"/>
      <c r="W403" s="72"/>
    </row>
    <row r="404" spans="1:23">
      <c r="A404" s="69"/>
      <c r="B404" s="71"/>
      <c r="C404" s="69"/>
      <c r="D404" s="71"/>
      <c r="E404" s="70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2"/>
      <c r="U404" s="72"/>
      <c r="V404" s="72"/>
      <c r="W404" s="72"/>
    </row>
    <row r="405" spans="1:23">
      <c r="A405" s="69"/>
      <c r="B405" s="71"/>
      <c r="C405" s="69"/>
      <c r="D405" s="71"/>
      <c r="E405" s="70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2"/>
      <c r="U405" s="72"/>
      <c r="V405" s="72"/>
      <c r="W405" s="72"/>
    </row>
    <row r="406" spans="1:23">
      <c r="A406" s="69"/>
      <c r="B406" s="71"/>
      <c r="C406" s="69"/>
      <c r="D406" s="71"/>
      <c r="E406" s="70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2"/>
      <c r="U406" s="72"/>
      <c r="V406" s="72"/>
      <c r="W406" s="72"/>
    </row>
    <row r="407" spans="1:23">
      <c r="A407" s="69"/>
      <c r="B407" s="71"/>
      <c r="C407" s="69"/>
      <c r="D407" s="71"/>
      <c r="E407" s="70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2"/>
      <c r="U407" s="72"/>
      <c r="V407" s="72"/>
      <c r="W407" s="72"/>
    </row>
    <row r="408" spans="1:23">
      <c r="A408" s="69"/>
      <c r="B408" s="71"/>
      <c r="C408" s="69"/>
      <c r="D408" s="71"/>
      <c r="E408" s="70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2"/>
      <c r="U408" s="72"/>
      <c r="V408" s="72"/>
      <c r="W408" s="72"/>
    </row>
    <row r="409" spans="1:23">
      <c r="A409" s="69"/>
      <c r="B409" s="71"/>
      <c r="C409" s="69"/>
      <c r="D409" s="71"/>
      <c r="E409" s="70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2"/>
      <c r="U409" s="72"/>
      <c r="V409" s="72"/>
      <c r="W409" s="72"/>
    </row>
    <row r="410" spans="1:23">
      <c r="A410" s="69"/>
      <c r="B410" s="71"/>
      <c r="C410" s="69"/>
      <c r="D410" s="71"/>
      <c r="E410" s="70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2"/>
      <c r="U410" s="72"/>
      <c r="V410" s="72"/>
      <c r="W410" s="72"/>
    </row>
    <row r="411" spans="1:23">
      <c r="A411" s="69"/>
      <c r="B411" s="71"/>
      <c r="C411" s="69"/>
      <c r="D411" s="71"/>
      <c r="E411" s="70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2"/>
      <c r="U411" s="72"/>
      <c r="V411" s="72"/>
      <c r="W411" s="72"/>
    </row>
    <row r="412" spans="1:23">
      <c r="A412" s="69"/>
      <c r="B412" s="71"/>
      <c r="C412" s="69"/>
      <c r="D412" s="71"/>
      <c r="E412" s="70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2"/>
      <c r="U412" s="72"/>
      <c r="V412" s="72"/>
      <c r="W412" s="72"/>
    </row>
    <row r="413" spans="1:23">
      <c r="A413" s="69"/>
      <c r="B413" s="71"/>
      <c r="C413" s="69"/>
      <c r="D413" s="71"/>
      <c r="E413" s="70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2"/>
      <c r="U413" s="72"/>
      <c r="V413" s="72"/>
      <c r="W413" s="72"/>
    </row>
    <row r="414" spans="1:23">
      <c r="A414" s="69"/>
      <c r="B414" s="71"/>
      <c r="C414" s="69"/>
      <c r="D414" s="71"/>
      <c r="E414" s="70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2"/>
      <c r="U414" s="72"/>
      <c r="V414" s="72"/>
      <c r="W414" s="72"/>
    </row>
    <row r="415" spans="1:23">
      <c r="A415" s="69"/>
      <c r="B415" s="71"/>
      <c r="C415" s="69"/>
      <c r="D415" s="71"/>
      <c r="E415" s="70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2"/>
      <c r="U415" s="72"/>
      <c r="V415" s="72"/>
      <c r="W415" s="72"/>
    </row>
    <row r="416" spans="1:23">
      <c r="A416" s="69"/>
      <c r="B416" s="71"/>
      <c r="C416" s="69"/>
      <c r="D416" s="71"/>
      <c r="E416" s="70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2"/>
      <c r="U416" s="72"/>
      <c r="V416" s="72"/>
      <c r="W416" s="72"/>
    </row>
    <row r="417" spans="1:23">
      <c r="A417" s="69"/>
      <c r="B417" s="71"/>
      <c r="C417" s="69"/>
      <c r="D417" s="71"/>
      <c r="E417" s="70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2"/>
      <c r="U417" s="72"/>
      <c r="V417" s="72"/>
      <c r="W417" s="72"/>
    </row>
    <row r="418" spans="1:23">
      <c r="A418" s="69"/>
      <c r="B418" s="71"/>
      <c r="C418" s="69"/>
      <c r="D418" s="71"/>
      <c r="E418" s="70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2"/>
      <c r="U418" s="72"/>
      <c r="V418" s="72"/>
      <c r="W418" s="72"/>
    </row>
    <row r="419" spans="1:23">
      <c r="A419" s="69"/>
      <c r="B419" s="71"/>
      <c r="C419" s="69"/>
      <c r="D419" s="71"/>
      <c r="E419" s="70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2"/>
      <c r="U419" s="72"/>
      <c r="V419" s="72"/>
      <c r="W419" s="72"/>
    </row>
    <row r="420" spans="1:23">
      <c r="A420" s="69"/>
      <c r="B420" s="71"/>
      <c r="C420" s="69"/>
      <c r="D420" s="71"/>
      <c r="E420" s="70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2"/>
      <c r="U420" s="72"/>
      <c r="V420" s="72"/>
      <c r="W420" s="72"/>
    </row>
    <row r="421" spans="1:23">
      <c r="A421" s="69"/>
      <c r="B421" s="71"/>
      <c r="C421" s="69"/>
      <c r="D421" s="71"/>
      <c r="E421" s="70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2"/>
      <c r="U421" s="72"/>
      <c r="V421" s="72"/>
      <c r="W421" s="72"/>
    </row>
    <row r="422" spans="1:23">
      <c r="A422" s="69"/>
      <c r="B422" s="71"/>
      <c r="C422" s="69"/>
      <c r="D422" s="71"/>
      <c r="E422" s="70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2"/>
      <c r="U422" s="72"/>
      <c r="V422" s="72"/>
      <c r="W422" s="72"/>
    </row>
    <row r="423" spans="1:23">
      <c r="A423" s="69"/>
      <c r="B423" s="71"/>
      <c r="C423" s="69"/>
      <c r="D423" s="71"/>
      <c r="E423" s="70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2"/>
      <c r="U423" s="72"/>
      <c r="V423" s="72"/>
      <c r="W423" s="72"/>
    </row>
    <row r="424" spans="1:23">
      <c r="A424" s="69"/>
      <c r="B424" s="71"/>
      <c r="C424" s="69"/>
      <c r="D424" s="71"/>
      <c r="E424" s="70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2"/>
      <c r="U424" s="72"/>
      <c r="V424" s="72"/>
      <c r="W424" s="72"/>
    </row>
    <row r="425" spans="1:23">
      <c r="A425" s="69"/>
      <c r="B425" s="71"/>
      <c r="C425" s="69"/>
      <c r="D425" s="71"/>
      <c r="E425" s="70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2"/>
      <c r="U425" s="72"/>
      <c r="V425" s="72"/>
      <c r="W425" s="72"/>
    </row>
    <row r="426" spans="1:23">
      <c r="A426" s="69"/>
      <c r="B426" s="71"/>
      <c r="C426" s="69"/>
      <c r="D426" s="71"/>
      <c r="E426" s="70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2"/>
      <c r="U426" s="72"/>
      <c r="V426" s="72"/>
      <c r="W426" s="72"/>
    </row>
    <row r="427" spans="1:23">
      <c r="A427" s="69"/>
      <c r="B427" s="71"/>
      <c r="C427" s="69"/>
      <c r="D427" s="71"/>
      <c r="E427" s="70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2"/>
      <c r="U427" s="72"/>
      <c r="V427" s="72"/>
      <c r="W427" s="72"/>
    </row>
    <row r="428" spans="1:23">
      <c r="A428" s="69"/>
      <c r="B428" s="71"/>
      <c r="C428" s="69"/>
      <c r="D428" s="71"/>
      <c r="E428" s="70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2"/>
      <c r="U428" s="72"/>
      <c r="V428" s="72"/>
      <c r="W428" s="72"/>
    </row>
    <row r="429" spans="1:23">
      <c r="A429" s="69"/>
      <c r="B429" s="71"/>
      <c r="C429" s="69"/>
      <c r="D429" s="71"/>
      <c r="E429" s="70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2"/>
      <c r="U429" s="72"/>
      <c r="V429" s="72"/>
      <c r="W429" s="72"/>
    </row>
    <row r="430" spans="1:23">
      <c r="A430" s="69"/>
      <c r="B430" s="71"/>
      <c r="C430" s="69"/>
      <c r="D430" s="71"/>
      <c r="E430" s="70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2"/>
      <c r="U430" s="72"/>
      <c r="V430" s="72"/>
      <c r="W430" s="72"/>
    </row>
    <row r="431" spans="1:23">
      <c r="A431" s="69"/>
      <c r="B431" s="71"/>
      <c r="C431" s="69"/>
      <c r="D431" s="71"/>
      <c r="E431" s="70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2"/>
      <c r="U431" s="72"/>
      <c r="V431" s="72"/>
      <c r="W431" s="72"/>
    </row>
    <row r="432" spans="1:23">
      <c r="A432" s="69"/>
      <c r="B432" s="71"/>
      <c r="C432" s="69"/>
      <c r="D432" s="71"/>
      <c r="E432" s="70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2"/>
      <c r="U432" s="72"/>
      <c r="V432" s="72"/>
      <c r="W432" s="72"/>
    </row>
    <row r="433" spans="1:23">
      <c r="A433" s="69"/>
      <c r="B433" s="71"/>
      <c r="C433" s="69"/>
      <c r="D433" s="71"/>
      <c r="E433" s="70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2"/>
      <c r="U433" s="72"/>
      <c r="V433" s="72"/>
      <c r="W433" s="72"/>
    </row>
    <row r="434" spans="1:23">
      <c r="A434" s="69"/>
      <c r="B434" s="71"/>
      <c r="C434" s="69"/>
      <c r="D434" s="71"/>
      <c r="E434" s="70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2"/>
      <c r="U434" s="72"/>
      <c r="V434" s="72"/>
      <c r="W434" s="72"/>
    </row>
    <row r="435" spans="1:23">
      <c r="A435" s="69"/>
      <c r="B435" s="71"/>
      <c r="C435" s="69"/>
      <c r="D435" s="71"/>
      <c r="E435" s="70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2"/>
      <c r="U435" s="72"/>
      <c r="V435" s="72"/>
      <c r="W435" s="72"/>
    </row>
    <row r="436" spans="1:23">
      <c r="A436" s="69"/>
      <c r="B436" s="71"/>
      <c r="C436" s="69"/>
      <c r="D436" s="71"/>
      <c r="E436" s="70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2"/>
      <c r="U436" s="72"/>
      <c r="V436" s="72"/>
      <c r="W436" s="72"/>
    </row>
    <row r="437" spans="1:23">
      <c r="A437" s="69"/>
      <c r="B437" s="71"/>
      <c r="C437" s="69"/>
      <c r="D437" s="71"/>
      <c r="E437" s="70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2"/>
      <c r="U437" s="72"/>
      <c r="V437" s="72"/>
      <c r="W437" s="72"/>
    </row>
    <row r="438" spans="1:23">
      <c r="A438" s="69"/>
      <c r="B438" s="71"/>
      <c r="C438" s="69"/>
      <c r="D438" s="71"/>
      <c r="E438" s="70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2"/>
      <c r="U438" s="72"/>
      <c r="V438" s="72"/>
      <c r="W438" s="72"/>
    </row>
    <row r="439" spans="1:23">
      <c r="A439" s="69"/>
      <c r="B439" s="71"/>
      <c r="C439" s="69"/>
      <c r="D439" s="71"/>
      <c r="E439" s="70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2"/>
      <c r="U439" s="72"/>
      <c r="V439" s="72"/>
      <c r="W439" s="72"/>
    </row>
    <row r="440" spans="1:23">
      <c r="A440" s="69"/>
      <c r="B440" s="71"/>
      <c r="C440" s="69"/>
      <c r="D440" s="71"/>
      <c r="E440" s="70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2"/>
      <c r="U440" s="72"/>
      <c r="V440" s="72"/>
      <c r="W440" s="72"/>
    </row>
    <row r="441" spans="1:23">
      <c r="A441" s="69"/>
      <c r="B441" s="71"/>
      <c r="C441" s="69"/>
      <c r="D441" s="71"/>
      <c r="E441" s="70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2"/>
      <c r="U441" s="72"/>
      <c r="V441" s="72"/>
      <c r="W441" s="72"/>
    </row>
    <row r="442" spans="1:23">
      <c r="A442" s="69"/>
      <c r="B442" s="71"/>
      <c r="C442" s="69"/>
      <c r="D442" s="71"/>
      <c r="E442" s="70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2"/>
      <c r="U442" s="72"/>
      <c r="V442" s="72"/>
      <c r="W442" s="72"/>
    </row>
    <row r="443" spans="1:23">
      <c r="A443" s="69"/>
      <c r="B443" s="71"/>
      <c r="C443" s="69"/>
      <c r="D443" s="71"/>
      <c r="E443" s="70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2"/>
      <c r="U443" s="72"/>
      <c r="V443" s="72"/>
      <c r="W443" s="72"/>
    </row>
    <row r="444" spans="1:23">
      <c r="A444" s="69"/>
      <c r="B444" s="71"/>
      <c r="C444" s="69"/>
      <c r="D444" s="71"/>
      <c r="E444" s="70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2"/>
      <c r="U444" s="72"/>
      <c r="V444" s="72"/>
      <c r="W444" s="72"/>
    </row>
    <row r="445" spans="1:23">
      <c r="A445" s="69"/>
      <c r="B445" s="71"/>
      <c r="C445" s="69"/>
      <c r="D445" s="71"/>
      <c r="E445" s="70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2"/>
      <c r="U445" s="72"/>
      <c r="V445" s="72"/>
      <c r="W445" s="72"/>
    </row>
    <row r="446" spans="1:23">
      <c r="A446" s="69"/>
      <c r="B446" s="71"/>
      <c r="C446" s="69"/>
      <c r="D446" s="71"/>
      <c r="E446" s="70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2"/>
      <c r="U446" s="72"/>
      <c r="V446" s="72"/>
      <c r="W446" s="72"/>
    </row>
    <row r="447" spans="1:23">
      <c r="A447" s="69"/>
      <c r="B447" s="71"/>
      <c r="C447" s="69"/>
      <c r="D447" s="71"/>
      <c r="E447" s="70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2"/>
      <c r="U447" s="72"/>
      <c r="V447" s="72"/>
      <c r="W447" s="72"/>
    </row>
    <row r="448" spans="1:23">
      <c r="A448" s="69"/>
      <c r="B448" s="71"/>
      <c r="C448" s="69"/>
      <c r="D448" s="71"/>
      <c r="E448" s="70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2"/>
      <c r="U448" s="72"/>
      <c r="V448" s="72"/>
      <c r="W448" s="72"/>
    </row>
    <row r="449" spans="1:23">
      <c r="A449" s="69"/>
      <c r="B449" s="71"/>
      <c r="C449" s="69"/>
      <c r="D449" s="71"/>
      <c r="E449" s="70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2"/>
      <c r="U449" s="72"/>
      <c r="V449" s="72"/>
      <c r="W449" s="72"/>
    </row>
    <row r="450" spans="1:23">
      <c r="A450" s="69"/>
      <c r="B450" s="71"/>
      <c r="C450" s="69"/>
      <c r="D450" s="71"/>
      <c r="E450" s="70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2"/>
      <c r="U450" s="72"/>
      <c r="V450" s="72"/>
      <c r="W450" s="72"/>
    </row>
    <row r="451" spans="1:23">
      <c r="A451" s="69"/>
      <c r="B451" s="71"/>
      <c r="C451" s="69"/>
      <c r="D451" s="71"/>
      <c r="E451" s="70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2"/>
      <c r="U451" s="72"/>
      <c r="V451" s="72"/>
      <c r="W451" s="72"/>
    </row>
    <row r="452" spans="1:23">
      <c r="A452" s="69"/>
      <c r="B452" s="71"/>
      <c r="C452" s="69"/>
      <c r="D452" s="71"/>
      <c r="E452" s="70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2"/>
      <c r="U452" s="72"/>
      <c r="V452" s="72"/>
      <c r="W452" s="72"/>
    </row>
    <row r="453" spans="1:23">
      <c r="A453" s="69"/>
      <c r="B453" s="71"/>
      <c r="C453" s="69"/>
      <c r="D453" s="71"/>
      <c r="E453" s="70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2"/>
      <c r="U453" s="72"/>
      <c r="V453" s="72"/>
      <c r="W453" s="72"/>
    </row>
    <row r="454" spans="1:23">
      <c r="A454" s="69"/>
      <c r="B454" s="71"/>
      <c r="C454" s="69"/>
      <c r="D454" s="71"/>
      <c r="E454" s="70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2"/>
      <c r="U454" s="72"/>
      <c r="V454" s="72"/>
      <c r="W454" s="72"/>
    </row>
    <row r="455" spans="1:23">
      <c r="A455" s="69"/>
      <c r="B455" s="71"/>
      <c r="C455" s="69"/>
      <c r="D455" s="71"/>
      <c r="E455" s="70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2"/>
      <c r="U455" s="72"/>
      <c r="V455" s="72"/>
      <c r="W455" s="72"/>
    </row>
    <row r="456" spans="1:23">
      <c r="A456" s="69"/>
      <c r="B456" s="71"/>
      <c r="C456" s="69"/>
      <c r="D456" s="71"/>
      <c r="E456" s="70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2"/>
      <c r="U456" s="72"/>
      <c r="V456" s="72"/>
      <c r="W456" s="72"/>
    </row>
    <row r="457" spans="1:23">
      <c r="A457" s="69"/>
      <c r="B457" s="71"/>
      <c r="C457" s="69"/>
      <c r="D457" s="71"/>
      <c r="E457" s="70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2"/>
      <c r="U457" s="72"/>
      <c r="V457" s="72"/>
      <c r="W457" s="72"/>
    </row>
    <row r="458" spans="1:23">
      <c r="A458" s="69"/>
      <c r="B458" s="71"/>
      <c r="C458" s="69"/>
      <c r="D458" s="71"/>
      <c r="E458" s="70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2"/>
      <c r="U458" s="72"/>
      <c r="V458" s="72"/>
      <c r="W458" s="72"/>
    </row>
    <row r="459" spans="1:23">
      <c r="A459" s="69"/>
      <c r="B459" s="71"/>
      <c r="C459" s="69"/>
      <c r="D459" s="71"/>
      <c r="E459" s="70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2"/>
      <c r="U459" s="72"/>
      <c r="V459" s="72"/>
      <c r="W459" s="72"/>
    </row>
    <row r="460" spans="1:23">
      <c r="A460" s="69"/>
      <c r="B460" s="71"/>
      <c r="C460" s="69"/>
      <c r="D460" s="71"/>
      <c r="E460" s="70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2"/>
      <c r="U460" s="72"/>
      <c r="V460" s="72"/>
      <c r="W460" s="72"/>
    </row>
    <row r="461" spans="1:23">
      <c r="A461" s="69"/>
      <c r="B461" s="71"/>
      <c r="C461" s="69"/>
      <c r="D461" s="71"/>
      <c r="E461" s="70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2"/>
      <c r="U461" s="72"/>
      <c r="V461" s="72"/>
      <c r="W461" s="72"/>
    </row>
    <row r="462" spans="1:23">
      <c r="A462" s="69"/>
      <c r="B462" s="71"/>
      <c r="C462" s="69"/>
      <c r="D462" s="71"/>
      <c r="E462" s="70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2"/>
      <c r="U462" s="72"/>
      <c r="V462" s="72"/>
      <c r="W462" s="72"/>
    </row>
    <row r="463" spans="1:23">
      <c r="A463" s="69"/>
      <c r="B463" s="71"/>
      <c r="C463" s="69"/>
      <c r="D463" s="71"/>
      <c r="E463" s="70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2"/>
      <c r="U463" s="72"/>
      <c r="V463" s="72"/>
      <c r="W463" s="72"/>
    </row>
    <row r="464" spans="1:23">
      <c r="A464" s="69"/>
      <c r="B464" s="71"/>
      <c r="C464" s="69"/>
      <c r="D464" s="71"/>
      <c r="E464" s="70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2"/>
      <c r="U464" s="72"/>
      <c r="V464" s="72"/>
      <c r="W464" s="72"/>
    </row>
    <row r="465" spans="1:23">
      <c r="A465" s="69"/>
      <c r="B465" s="71"/>
      <c r="C465" s="69"/>
      <c r="D465" s="71"/>
      <c r="E465" s="70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2"/>
      <c r="U465" s="72"/>
      <c r="V465" s="72"/>
      <c r="W465" s="72"/>
    </row>
    <row r="466" spans="1:23">
      <c r="A466" s="69"/>
      <c r="B466" s="71"/>
      <c r="C466" s="69"/>
      <c r="D466" s="71"/>
      <c r="E466" s="70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2"/>
      <c r="U466" s="72"/>
      <c r="V466" s="72"/>
      <c r="W466" s="72"/>
    </row>
    <row r="467" spans="1:23">
      <c r="A467" s="69"/>
      <c r="B467" s="71"/>
      <c r="C467" s="69"/>
      <c r="D467" s="71"/>
      <c r="E467" s="70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2"/>
      <c r="U467" s="72"/>
      <c r="V467" s="72"/>
      <c r="W467" s="72"/>
    </row>
    <row r="468" spans="1:23">
      <c r="A468" s="69"/>
      <c r="B468" s="71"/>
      <c r="C468" s="69"/>
      <c r="D468" s="71"/>
      <c r="E468" s="70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2"/>
      <c r="U468" s="72"/>
      <c r="V468" s="72"/>
      <c r="W468" s="72"/>
    </row>
    <row r="469" spans="1:23">
      <c r="A469" s="69"/>
      <c r="B469" s="71"/>
      <c r="C469" s="69"/>
      <c r="D469" s="71"/>
      <c r="E469" s="70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2"/>
      <c r="U469" s="72"/>
      <c r="V469" s="72"/>
      <c r="W469" s="72"/>
    </row>
    <row r="470" spans="1:23">
      <c r="A470" s="69"/>
      <c r="B470" s="71"/>
      <c r="C470" s="69"/>
      <c r="D470" s="71"/>
      <c r="E470" s="70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2"/>
      <c r="U470" s="72"/>
      <c r="V470" s="72"/>
      <c r="W470" s="72"/>
    </row>
    <row r="471" spans="1:23">
      <c r="A471" s="69"/>
      <c r="B471" s="71"/>
      <c r="C471" s="69"/>
      <c r="D471" s="71"/>
      <c r="E471" s="70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2"/>
      <c r="U471" s="72"/>
      <c r="V471" s="72"/>
      <c r="W471" s="72"/>
    </row>
    <row r="472" spans="1:23">
      <c r="A472" s="69"/>
      <c r="B472" s="71"/>
      <c r="C472" s="69"/>
      <c r="D472" s="71"/>
      <c r="E472" s="70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2"/>
      <c r="U472" s="72"/>
      <c r="V472" s="72"/>
      <c r="W472" s="72"/>
    </row>
    <row r="473" spans="1:23">
      <c r="A473" s="69"/>
      <c r="B473" s="71"/>
      <c r="C473" s="69"/>
      <c r="D473" s="71"/>
      <c r="E473" s="70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2"/>
      <c r="U473" s="72"/>
      <c r="V473" s="72"/>
      <c r="W473" s="72"/>
    </row>
    <row r="474" spans="1:23">
      <c r="A474" s="69"/>
      <c r="B474" s="71"/>
      <c r="C474" s="69"/>
      <c r="D474" s="71"/>
      <c r="E474" s="70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2"/>
      <c r="U474" s="72"/>
      <c r="V474" s="72"/>
      <c r="W474" s="72"/>
    </row>
    <row r="475" spans="1:23">
      <c r="A475" s="69"/>
      <c r="B475" s="71"/>
      <c r="C475" s="69"/>
      <c r="D475" s="71"/>
      <c r="E475" s="70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2"/>
      <c r="U475" s="72"/>
      <c r="V475" s="72"/>
      <c r="W475" s="72"/>
    </row>
    <row r="476" spans="1:23">
      <c r="A476" s="69"/>
      <c r="B476" s="71"/>
      <c r="C476" s="69"/>
      <c r="D476" s="71"/>
      <c r="E476" s="70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2"/>
      <c r="U476" s="72"/>
      <c r="V476" s="72"/>
      <c r="W476" s="72"/>
    </row>
    <row r="477" spans="1:23">
      <c r="A477" s="69"/>
      <c r="B477" s="71"/>
      <c r="C477" s="69"/>
      <c r="D477" s="71"/>
      <c r="E477" s="70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2"/>
      <c r="U477" s="72"/>
      <c r="V477" s="72"/>
      <c r="W477" s="72"/>
    </row>
    <row r="478" spans="1:23">
      <c r="A478" s="69"/>
      <c r="B478" s="71"/>
      <c r="C478" s="69"/>
      <c r="D478" s="71"/>
      <c r="E478" s="70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2"/>
      <c r="U478" s="72"/>
      <c r="V478" s="72"/>
      <c r="W478" s="72"/>
    </row>
    <row r="479" spans="1:23">
      <c r="A479" s="69"/>
      <c r="B479" s="71"/>
      <c r="C479" s="69"/>
      <c r="D479" s="71"/>
      <c r="E479" s="70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2"/>
      <c r="U479" s="72"/>
      <c r="V479" s="72"/>
      <c r="W479" s="72"/>
    </row>
    <row r="480" spans="1:23">
      <c r="A480" s="69"/>
      <c r="B480" s="71"/>
      <c r="C480" s="69"/>
      <c r="D480" s="71"/>
      <c r="E480" s="70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2"/>
      <c r="U480" s="72"/>
      <c r="V480" s="72"/>
      <c r="W480" s="72"/>
    </row>
    <row r="481" spans="1:23">
      <c r="A481" s="69"/>
      <c r="B481" s="71"/>
      <c r="C481" s="69"/>
      <c r="D481" s="71"/>
      <c r="E481" s="70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2"/>
      <c r="U481" s="72"/>
      <c r="V481" s="72"/>
      <c r="W481" s="72"/>
    </row>
    <row r="482" spans="1:23">
      <c r="A482" s="69"/>
      <c r="B482" s="71"/>
      <c r="C482" s="69"/>
      <c r="D482" s="71"/>
      <c r="E482" s="70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2"/>
      <c r="U482" s="72"/>
      <c r="V482" s="72"/>
      <c r="W482" s="72"/>
    </row>
    <row r="483" spans="1:23">
      <c r="A483" s="69"/>
      <c r="B483" s="71"/>
      <c r="C483" s="69"/>
      <c r="D483" s="71"/>
      <c r="E483" s="70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2"/>
      <c r="U483" s="72"/>
      <c r="V483" s="72"/>
      <c r="W483" s="72"/>
    </row>
    <row r="484" spans="1:23">
      <c r="A484" s="69"/>
      <c r="B484" s="71"/>
      <c r="C484" s="69"/>
      <c r="D484" s="71"/>
      <c r="E484" s="70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2"/>
      <c r="U484" s="72"/>
      <c r="V484" s="72"/>
      <c r="W484" s="72"/>
    </row>
    <row r="485" spans="1:23">
      <c r="A485" s="69"/>
      <c r="B485" s="71"/>
      <c r="C485" s="69"/>
      <c r="D485" s="71"/>
      <c r="E485" s="70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2"/>
      <c r="U485" s="72"/>
      <c r="V485" s="72"/>
      <c r="W485" s="72"/>
    </row>
    <row r="486" spans="1:23">
      <c r="A486" s="69"/>
      <c r="B486" s="71"/>
      <c r="C486" s="69"/>
      <c r="D486" s="71"/>
      <c r="E486" s="70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2"/>
      <c r="U486" s="72"/>
      <c r="V486" s="72"/>
      <c r="W486" s="72"/>
    </row>
    <row r="487" spans="1:23">
      <c r="A487" s="69"/>
      <c r="B487" s="71"/>
      <c r="C487" s="69"/>
      <c r="D487" s="71"/>
      <c r="E487" s="70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2"/>
      <c r="U487" s="72"/>
      <c r="V487" s="72"/>
      <c r="W487" s="72"/>
    </row>
    <row r="488" spans="1:23">
      <c r="A488" s="69"/>
      <c r="B488" s="71"/>
      <c r="C488" s="69"/>
      <c r="D488" s="71"/>
      <c r="E488" s="70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2"/>
      <c r="U488" s="72"/>
      <c r="V488" s="72"/>
      <c r="W488" s="72"/>
    </row>
    <row r="489" spans="1:23">
      <c r="A489" s="69"/>
      <c r="B489" s="71"/>
      <c r="C489" s="69"/>
      <c r="D489" s="71"/>
      <c r="E489" s="70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2"/>
      <c r="U489" s="72"/>
      <c r="V489" s="72"/>
      <c r="W489" s="72"/>
    </row>
    <row r="490" spans="1:23">
      <c r="A490" s="69"/>
      <c r="B490" s="71"/>
      <c r="C490" s="69"/>
      <c r="D490" s="71"/>
      <c r="E490" s="70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2"/>
      <c r="U490" s="72"/>
      <c r="V490" s="72"/>
      <c r="W490" s="72"/>
    </row>
    <row r="491" spans="1:23">
      <c r="A491" s="69"/>
      <c r="B491" s="71"/>
      <c r="C491" s="69"/>
      <c r="D491" s="71"/>
      <c r="E491" s="70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2"/>
      <c r="U491" s="72"/>
      <c r="V491" s="72"/>
      <c r="W491" s="72"/>
    </row>
    <row r="492" spans="1:23">
      <c r="A492" s="69"/>
      <c r="B492" s="71"/>
      <c r="C492" s="69"/>
      <c r="D492" s="71"/>
      <c r="E492" s="70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2"/>
      <c r="U492" s="72"/>
      <c r="V492" s="72"/>
      <c r="W492" s="72"/>
    </row>
    <row r="493" spans="1:23">
      <c r="A493" s="69"/>
      <c r="B493" s="71"/>
      <c r="C493" s="69"/>
      <c r="D493" s="71"/>
      <c r="E493" s="70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2"/>
      <c r="U493" s="72"/>
      <c r="V493" s="72"/>
      <c r="W493" s="72"/>
    </row>
    <row r="494" spans="1:23">
      <c r="A494" s="69"/>
      <c r="B494" s="71"/>
      <c r="C494" s="69"/>
      <c r="D494" s="71"/>
      <c r="E494" s="70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2"/>
      <c r="U494" s="72"/>
      <c r="V494" s="72"/>
      <c r="W494" s="72"/>
    </row>
    <row r="495" spans="1:23">
      <c r="A495" s="69"/>
      <c r="B495" s="71"/>
      <c r="C495" s="69"/>
      <c r="D495" s="71"/>
      <c r="E495" s="70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2"/>
      <c r="U495" s="72"/>
      <c r="V495" s="72"/>
      <c r="W495" s="72"/>
    </row>
    <row r="496" spans="1:23">
      <c r="A496" s="69"/>
      <c r="B496" s="71"/>
      <c r="C496" s="69"/>
      <c r="D496" s="71"/>
      <c r="E496" s="70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2"/>
      <c r="U496" s="72"/>
      <c r="V496" s="72"/>
      <c r="W496" s="72"/>
    </row>
    <row r="497" spans="1:23">
      <c r="A497" s="69"/>
      <c r="B497" s="71"/>
      <c r="C497" s="69"/>
      <c r="D497" s="71"/>
      <c r="E497" s="70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2"/>
      <c r="U497" s="72"/>
      <c r="V497" s="72"/>
      <c r="W497" s="72"/>
    </row>
    <row r="498" spans="1:23">
      <c r="A498" s="69"/>
      <c r="B498" s="71"/>
      <c r="C498" s="69"/>
      <c r="D498" s="71"/>
      <c r="E498" s="70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2"/>
      <c r="U498" s="72"/>
      <c r="V498" s="72"/>
      <c r="W498" s="72"/>
    </row>
    <row r="499" spans="1:23">
      <c r="A499" s="69"/>
      <c r="B499" s="71"/>
      <c r="C499" s="69"/>
      <c r="D499" s="71"/>
      <c r="E499" s="70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2"/>
      <c r="U499" s="72"/>
      <c r="V499" s="72"/>
      <c r="W499" s="72"/>
    </row>
    <row r="500" spans="1:23">
      <c r="A500" s="69"/>
      <c r="B500" s="71"/>
      <c r="C500" s="69"/>
      <c r="D500" s="71"/>
      <c r="E500" s="70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2"/>
      <c r="U500" s="72"/>
      <c r="V500" s="72"/>
      <c r="W500" s="72"/>
    </row>
    <row r="501" spans="1:23">
      <c r="A501" s="69"/>
      <c r="B501" s="71"/>
      <c r="C501" s="69"/>
      <c r="D501" s="71"/>
      <c r="E501" s="70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2"/>
      <c r="U501" s="72"/>
      <c r="V501" s="72"/>
      <c r="W501" s="72"/>
    </row>
    <row r="502" spans="1:23">
      <c r="A502" s="69"/>
      <c r="B502" s="71"/>
      <c r="C502" s="69"/>
      <c r="D502" s="71"/>
      <c r="E502" s="70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2"/>
      <c r="U502" s="72"/>
      <c r="V502" s="72"/>
      <c r="W502" s="72"/>
    </row>
    <row r="503" spans="1:23">
      <c r="A503" s="69"/>
      <c r="B503" s="71"/>
      <c r="C503" s="69"/>
      <c r="D503" s="71"/>
      <c r="E503" s="70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2"/>
      <c r="U503" s="72"/>
      <c r="V503" s="72"/>
      <c r="W503" s="72"/>
    </row>
    <row r="504" spans="1:23">
      <c r="A504" s="69"/>
      <c r="B504" s="71"/>
      <c r="C504" s="69"/>
      <c r="D504" s="71"/>
      <c r="E504" s="70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2"/>
      <c r="U504" s="72"/>
      <c r="V504" s="72"/>
      <c r="W504" s="72"/>
    </row>
    <row r="505" spans="1:23">
      <c r="A505" s="69"/>
      <c r="B505" s="71"/>
      <c r="C505" s="69"/>
      <c r="D505" s="71"/>
      <c r="E505" s="70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2"/>
      <c r="U505" s="72"/>
      <c r="V505" s="72"/>
      <c r="W505" s="72"/>
    </row>
    <row r="506" spans="1:23">
      <c r="A506" s="69"/>
      <c r="B506" s="71"/>
      <c r="C506" s="69"/>
      <c r="D506" s="71"/>
      <c r="E506" s="70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2"/>
      <c r="U506" s="72"/>
      <c r="V506" s="72"/>
      <c r="W506" s="72"/>
    </row>
    <row r="507" spans="1:23">
      <c r="A507" s="69"/>
      <c r="B507" s="71"/>
      <c r="C507" s="69"/>
      <c r="D507" s="71"/>
      <c r="E507" s="70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2"/>
      <c r="U507" s="72"/>
      <c r="V507" s="72"/>
      <c r="W507" s="72"/>
    </row>
    <row r="508" spans="1:23">
      <c r="A508" s="69"/>
      <c r="B508" s="71"/>
      <c r="C508" s="69"/>
      <c r="D508" s="71"/>
      <c r="E508" s="70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2"/>
      <c r="U508" s="72"/>
      <c r="V508" s="72"/>
      <c r="W508" s="72"/>
    </row>
    <row r="509" spans="1:23">
      <c r="A509" s="69"/>
      <c r="B509" s="71"/>
      <c r="C509" s="69"/>
      <c r="D509" s="71"/>
      <c r="E509" s="70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2"/>
      <c r="U509" s="72"/>
      <c r="V509" s="72"/>
      <c r="W509" s="72"/>
    </row>
    <row r="510" spans="1:23">
      <c r="A510" s="69"/>
      <c r="B510" s="71"/>
      <c r="C510" s="69"/>
      <c r="D510" s="71"/>
      <c r="E510" s="70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2"/>
      <c r="U510" s="72"/>
      <c r="V510" s="72"/>
      <c r="W510" s="72"/>
    </row>
    <row r="511" spans="1:23">
      <c r="A511" s="69"/>
      <c r="B511" s="71"/>
      <c r="C511" s="69"/>
      <c r="D511" s="71"/>
      <c r="E511" s="70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2"/>
      <c r="U511" s="72"/>
      <c r="V511" s="72"/>
      <c r="W511" s="72"/>
    </row>
    <row r="512" spans="1:23" ht="14.25" customHeight="1">
      <c r="A512" s="69"/>
      <c r="B512" s="71"/>
      <c r="C512" s="69"/>
      <c r="D512" s="71"/>
      <c r="E512" s="70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2"/>
      <c r="U512" s="72"/>
      <c r="V512" s="72"/>
      <c r="W512" s="72"/>
    </row>
    <row r="513" spans="1:23" ht="14.25" customHeight="1">
      <c r="A513" s="69"/>
      <c r="B513" s="71"/>
      <c r="C513" s="69"/>
      <c r="D513" s="71"/>
      <c r="E513" s="70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2"/>
      <c r="U513" s="72"/>
      <c r="V513" s="72"/>
      <c r="W513" s="72"/>
    </row>
    <row r="514" spans="1:23" ht="14.25" customHeight="1">
      <c r="A514" s="69"/>
      <c r="B514" s="71"/>
      <c r="C514" s="69"/>
      <c r="D514" s="71"/>
      <c r="E514" s="70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2"/>
      <c r="U514" s="72"/>
      <c r="V514" s="72"/>
      <c r="W514" s="72"/>
    </row>
    <row r="515" spans="1:23" ht="14.25" customHeight="1">
      <c r="A515" s="69"/>
      <c r="B515" s="71"/>
      <c r="C515" s="69"/>
      <c r="D515" s="71"/>
      <c r="E515" s="70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2"/>
      <c r="U515" s="72"/>
      <c r="V515" s="72"/>
      <c r="W515" s="72"/>
    </row>
    <row r="516" spans="1:23" ht="14.25" customHeight="1">
      <c r="A516" s="69"/>
      <c r="B516" s="71"/>
      <c r="C516" s="69"/>
      <c r="D516" s="71"/>
      <c r="E516" s="70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2"/>
      <c r="U516" s="72"/>
      <c r="V516" s="72"/>
      <c r="W516" s="72"/>
    </row>
    <row r="517" spans="1:23" ht="14.25" customHeight="1">
      <c r="A517" s="69"/>
      <c r="B517" s="71"/>
      <c r="C517" s="69"/>
      <c r="D517" s="71"/>
      <c r="E517" s="70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2"/>
      <c r="U517" s="72"/>
      <c r="V517" s="72"/>
      <c r="W517" s="72"/>
    </row>
    <row r="518" spans="1:23" ht="14.25" customHeight="1">
      <c r="A518" s="69"/>
      <c r="B518" s="71"/>
      <c r="C518" s="69"/>
      <c r="D518" s="71"/>
      <c r="E518" s="70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2"/>
      <c r="U518" s="72"/>
      <c r="V518" s="72"/>
      <c r="W518" s="72"/>
    </row>
    <row r="519" spans="1:23" ht="14.25" customHeight="1">
      <c r="A519" s="69"/>
      <c r="B519" s="71"/>
      <c r="C519" s="69"/>
      <c r="D519" s="71"/>
      <c r="E519" s="70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2"/>
      <c r="U519" s="72"/>
      <c r="V519" s="72"/>
      <c r="W519" s="72"/>
    </row>
    <row r="520" spans="1:23" ht="14.25" customHeight="1">
      <c r="A520" s="69"/>
      <c r="B520" s="71"/>
      <c r="C520" s="69"/>
      <c r="D520" s="71"/>
      <c r="E520" s="70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2"/>
      <c r="U520" s="72"/>
      <c r="V520" s="72"/>
      <c r="W520" s="72"/>
    </row>
    <row r="521" spans="1:23" ht="14.25" customHeight="1">
      <c r="A521" s="69"/>
      <c r="B521" s="71"/>
      <c r="C521" s="69"/>
      <c r="D521" s="71"/>
      <c r="E521" s="70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2"/>
      <c r="U521" s="72"/>
      <c r="V521" s="72"/>
      <c r="W521" s="72"/>
    </row>
    <row r="522" spans="1:23" ht="14.25" customHeight="1">
      <c r="A522" s="69"/>
      <c r="B522" s="71"/>
      <c r="C522" s="69"/>
      <c r="D522" s="71"/>
      <c r="E522" s="70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2"/>
      <c r="U522" s="72"/>
      <c r="V522" s="72"/>
      <c r="W522" s="72"/>
    </row>
    <row r="523" spans="1:23" ht="14.25" customHeight="1">
      <c r="A523" s="69"/>
      <c r="B523" s="71"/>
      <c r="C523" s="69"/>
      <c r="D523" s="71"/>
      <c r="E523" s="70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2"/>
      <c r="U523" s="72"/>
      <c r="V523" s="72"/>
      <c r="W523" s="72"/>
    </row>
    <row r="524" spans="1:23" ht="14.25" customHeight="1">
      <c r="A524" s="69"/>
      <c r="B524" s="71"/>
      <c r="C524" s="69"/>
      <c r="D524" s="71"/>
      <c r="E524" s="70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2"/>
      <c r="U524" s="72"/>
      <c r="V524" s="72"/>
      <c r="W524" s="72"/>
    </row>
    <row r="525" spans="1:23" ht="14.25" customHeight="1">
      <c r="A525" s="69"/>
      <c r="B525" s="71"/>
      <c r="C525" s="69"/>
      <c r="D525" s="71"/>
      <c r="E525" s="70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2"/>
      <c r="U525" s="72"/>
      <c r="V525" s="72"/>
      <c r="W525" s="72"/>
    </row>
    <row r="526" spans="1:23" ht="14.25" customHeight="1">
      <c r="A526" s="69"/>
      <c r="B526" s="71"/>
      <c r="C526" s="69"/>
      <c r="D526" s="71"/>
      <c r="E526" s="70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2"/>
      <c r="U526" s="72"/>
      <c r="V526" s="72"/>
      <c r="W526" s="72"/>
    </row>
    <row r="527" spans="1:23" ht="14.25" customHeight="1">
      <c r="A527" s="69"/>
      <c r="B527" s="71"/>
      <c r="C527" s="69"/>
      <c r="D527" s="71"/>
      <c r="E527" s="70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2"/>
      <c r="U527" s="72"/>
      <c r="V527" s="72"/>
      <c r="W527" s="72"/>
    </row>
    <row r="528" spans="1:23" ht="14.25" customHeight="1">
      <c r="A528" s="69"/>
      <c r="B528" s="71"/>
      <c r="C528" s="69"/>
      <c r="D528" s="71"/>
      <c r="E528" s="70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2"/>
      <c r="U528" s="72"/>
      <c r="V528" s="72"/>
      <c r="W528" s="72"/>
    </row>
    <row r="529" spans="1:23" ht="14.25" customHeight="1">
      <c r="A529" s="69"/>
      <c r="B529" s="71"/>
      <c r="C529" s="69"/>
      <c r="D529" s="71"/>
      <c r="E529" s="70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2"/>
      <c r="U529" s="72"/>
      <c r="V529" s="72"/>
      <c r="W529" s="72"/>
    </row>
    <row r="530" spans="1:23" ht="14.25" customHeight="1">
      <c r="A530" s="69"/>
      <c r="B530" s="71"/>
      <c r="C530" s="69"/>
      <c r="D530" s="71"/>
      <c r="E530" s="70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2"/>
      <c r="U530" s="72"/>
      <c r="V530" s="72"/>
      <c r="W530" s="72"/>
    </row>
    <row r="531" spans="1:23" ht="14.25" customHeight="1">
      <c r="A531" s="69"/>
      <c r="B531" s="71"/>
      <c r="C531" s="69"/>
      <c r="D531" s="71"/>
      <c r="E531" s="70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2"/>
      <c r="U531" s="72"/>
      <c r="V531" s="72"/>
      <c r="W531" s="72"/>
    </row>
    <row r="532" spans="1:23" ht="14.25" customHeight="1">
      <c r="A532" s="69"/>
      <c r="B532" s="71"/>
      <c r="C532" s="69"/>
      <c r="D532" s="71"/>
      <c r="E532" s="70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2"/>
      <c r="U532" s="72"/>
      <c r="V532" s="72"/>
      <c r="W532" s="72"/>
    </row>
    <row r="533" spans="1:23" ht="14.25" customHeight="1">
      <c r="A533" s="69"/>
      <c r="B533" s="71"/>
      <c r="C533" s="69"/>
      <c r="D533" s="71"/>
      <c r="E533" s="70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2"/>
      <c r="U533" s="72"/>
      <c r="V533" s="72"/>
      <c r="W533" s="72"/>
    </row>
    <row r="534" spans="1:23" ht="14.25" customHeight="1">
      <c r="A534" s="69"/>
      <c r="B534" s="71"/>
      <c r="C534" s="69"/>
      <c r="D534" s="71"/>
      <c r="E534" s="70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2"/>
      <c r="U534" s="72"/>
      <c r="V534" s="72"/>
      <c r="W534" s="72"/>
    </row>
    <row r="535" spans="1:23" ht="14.25" customHeight="1">
      <c r="A535" s="69"/>
      <c r="B535" s="71"/>
      <c r="C535" s="69"/>
      <c r="D535" s="71"/>
      <c r="E535" s="70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2"/>
      <c r="U535" s="72"/>
      <c r="V535" s="72"/>
      <c r="W535" s="72"/>
    </row>
    <row r="536" spans="1:23" ht="14.25" customHeight="1">
      <c r="A536" s="69"/>
      <c r="B536" s="71"/>
      <c r="C536" s="69"/>
      <c r="D536" s="71"/>
      <c r="E536" s="70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2"/>
      <c r="U536" s="72"/>
      <c r="V536" s="72"/>
      <c r="W536" s="72"/>
    </row>
    <row r="537" spans="1:23" ht="14.25" customHeight="1">
      <c r="A537" s="69"/>
      <c r="B537" s="71"/>
      <c r="C537" s="69"/>
      <c r="D537" s="71"/>
      <c r="E537" s="70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2"/>
      <c r="U537" s="72"/>
      <c r="V537" s="72"/>
      <c r="W537" s="72"/>
    </row>
    <row r="538" spans="1:23" ht="14.25" customHeight="1">
      <c r="A538" s="69"/>
      <c r="B538" s="71"/>
      <c r="C538" s="69"/>
      <c r="D538" s="71"/>
      <c r="E538" s="70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2"/>
      <c r="U538" s="72"/>
      <c r="V538" s="72"/>
      <c r="W538" s="72"/>
    </row>
    <row r="539" spans="1:23" ht="14.25" customHeight="1">
      <c r="A539" s="69"/>
      <c r="B539" s="71"/>
      <c r="C539" s="69"/>
      <c r="D539" s="71"/>
      <c r="E539" s="70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2"/>
      <c r="U539" s="72"/>
      <c r="V539" s="72"/>
      <c r="W539" s="72"/>
    </row>
    <row r="540" spans="1:23" ht="14.25" customHeight="1">
      <c r="A540" s="69"/>
      <c r="B540" s="71"/>
      <c r="C540" s="69"/>
      <c r="D540" s="71"/>
      <c r="E540" s="70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2"/>
      <c r="U540" s="72"/>
      <c r="V540" s="72"/>
      <c r="W540" s="72"/>
    </row>
    <row r="541" spans="1:23" ht="14.25" customHeight="1">
      <c r="A541" s="69"/>
      <c r="B541" s="71"/>
      <c r="C541" s="69"/>
      <c r="D541" s="71"/>
      <c r="E541" s="70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2"/>
      <c r="U541" s="72"/>
      <c r="V541" s="72"/>
      <c r="W541" s="72"/>
    </row>
    <row r="542" spans="1:23" ht="14.25" customHeight="1">
      <c r="A542" s="69"/>
      <c r="B542" s="71"/>
      <c r="C542" s="69"/>
      <c r="D542" s="71"/>
      <c r="E542" s="70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2"/>
      <c r="U542" s="72"/>
      <c r="V542" s="72"/>
      <c r="W542" s="72"/>
    </row>
    <row r="543" spans="1:23" ht="14.25" customHeight="1">
      <c r="A543" s="69"/>
      <c r="B543" s="71"/>
      <c r="C543" s="69"/>
      <c r="D543" s="71"/>
      <c r="E543" s="70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2"/>
      <c r="U543" s="72"/>
      <c r="V543" s="72"/>
      <c r="W543" s="72"/>
    </row>
    <row r="544" spans="1:23" ht="14.25" customHeight="1">
      <c r="A544" s="69"/>
      <c r="B544" s="71"/>
      <c r="C544" s="69"/>
      <c r="D544" s="71"/>
      <c r="E544" s="70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2"/>
      <c r="U544" s="72"/>
      <c r="V544" s="72"/>
      <c r="W544" s="72"/>
    </row>
    <row r="545" spans="1:23" ht="14.25" customHeight="1">
      <c r="A545" s="69"/>
      <c r="B545" s="71"/>
      <c r="C545" s="69"/>
      <c r="D545" s="71"/>
      <c r="E545" s="70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2"/>
      <c r="U545" s="72"/>
      <c r="V545" s="72"/>
      <c r="W545" s="72"/>
    </row>
    <row r="546" spans="1:23" ht="14.25" customHeight="1">
      <c r="A546" s="69"/>
      <c r="B546" s="71"/>
      <c r="C546" s="69"/>
      <c r="D546" s="71"/>
      <c r="E546" s="70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2"/>
      <c r="U546" s="72"/>
      <c r="V546" s="72"/>
      <c r="W546" s="72"/>
    </row>
    <row r="547" spans="1:23" ht="14.25" customHeight="1">
      <c r="A547" s="69"/>
      <c r="B547" s="71"/>
      <c r="C547" s="69"/>
      <c r="D547" s="71"/>
      <c r="E547" s="70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2"/>
      <c r="U547" s="72"/>
      <c r="V547" s="72"/>
      <c r="W547" s="72"/>
    </row>
    <row r="548" spans="1:23" ht="14.25" customHeight="1">
      <c r="A548" s="69"/>
      <c r="B548" s="71"/>
      <c r="C548" s="69"/>
      <c r="D548" s="71"/>
      <c r="E548" s="70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2"/>
      <c r="U548" s="72"/>
      <c r="V548" s="72"/>
      <c r="W548" s="72"/>
    </row>
    <row r="549" spans="1:23" ht="14.25" customHeight="1">
      <c r="A549" s="69"/>
      <c r="B549" s="71"/>
      <c r="C549" s="69"/>
      <c r="D549" s="71"/>
      <c r="E549" s="70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2"/>
      <c r="U549" s="72"/>
      <c r="V549" s="72"/>
      <c r="W549" s="72"/>
    </row>
    <row r="550" spans="1:23" ht="14.25" customHeight="1">
      <c r="A550" s="69"/>
      <c r="B550" s="71"/>
      <c r="C550" s="69"/>
      <c r="D550" s="71"/>
      <c r="E550" s="70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2"/>
      <c r="U550" s="72"/>
      <c r="V550" s="72"/>
      <c r="W550" s="72"/>
    </row>
    <row r="551" spans="1:23" ht="14.25" customHeight="1">
      <c r="A551" s="69"/>
      <c r="B551" s="71"/>
      <c r="C551" s="69"/>
      <c r="D551" s="71"/>
      <c r="E551" s="70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2"/>
      <c r="U551" s="72"/>
      <c r="V551" s="72"/>
      <c r="W551" s="72"/>
    </row>
    <row r="552" spans="1:23" ht="14.25" customHeight="1">
      <c r="A552" s="69"/>
      <c r="B552" s="71"/>
      <c r="C552" s="69"/>
      <c r="D552" s="71"/>
      <c r="E552" s="70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2"/>
      <c r="U552" s="72"/>
      <c r="V552" s="72"/>
      <c r="W552" s="72"/>
    </row>
    <row r="553" spans="1:23" ht="14.25" customHeight="1">
      <c r="A553" s="69"/>
      <c r="B553" s="71"/>
      <c r="C553" s="69"/>
      <c r="D553" s="71"/>
      <c r="E553" s="70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2"/>
      <c r="U553" s="72"/>
      <c r="V553" s="72"/>
      <c r="W553" s="72"/>
    </row>
    <row r="554" spans="1:23" ht="14.25" customHeight="1">
      <c r="A554" s="69"/>
      <c r="B554" s="71"/>
      <c r="C554" s="69"/>
      <c r="D554" s="71"/>
      <c r="E554" s="70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2"/>
      <c r="U554" s="72"/>
      <c r="V554" s="72"/>
      <c r="W554" s="72"/>
    </row>
    <row r="555" spans="1:23" ht="14.25" customHeight="1">
      <c r="A555" s="69"/>
      <c r="B555" s="71"/>
      <c r="C555" s="69"/>
      <c r="D555" s="71"/>
      <c r="E555" s="70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2"/>
      <c r="U555" s="72"/>
      <c r="V555" s="72"/>
      <c r="W555" s="72"/>
    </row>
    <row r="556" spans="1:23" ht="14.25" customHeight="1">
      <c r="A556" s="69"/>
      <c r="B556" s="71"/>
      <c r="C556" s="69"/>
      <c r="D556" s="71"/>
      <c r="E556" s="70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2"/>
      <c r="U556" s="72"/>
      <c r="V556" s="72"/>
      <c r="W556" s="72"/>
    </row>
    <row r="557" spans="1:23" ht="14.25" customHeight="1">
      <c r="A557" s="69"/>
      <c r="B557" s="71"/>
      <c r="C557" s="69"/>
      <c r="D557" s="71"/>
      <c r="E557" s="70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2"/>
      <c r="U557" s="72"/>
      <c r="V557" s="72"/>
      <c r="W557" s="72"/>
    </row>
    <row r="558" spans="1:23" ht="14.25" customHeight="1">
      <c r="A558" s="69"/>
      <c r="B558" s="71"/>
      <c r="C558" s="69"/>
      <c r="D558" s="71"/>
      <c r="E558" s="70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2"/>
      <c r="U558" s="72"/>
      <c r="V558" s="72"/>
      <c r="W558" s="72"/>
    </row>
    <row r="559" spans="1:23" ht="14.25" customHeight="1">
      <c r="A559" s="69"/>
      <c r="B559" s="71"/>
      <c r="C559" s="69"/>
      <c r="D559" s="71"/>
      <c r="E559" s="70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2"/>
      <c r="U559" s="72"/>
      <c r="V559" s="72"/>
      <c r="W559" s="72"/>
    </row>
    <row r="560" spans="1:23" ht="14.25" customHeight="1">
      <c r="A560" s="69"/>
      <c r="B560" s="71"/>
      <c r="C560" s="69"/>
      <c r="D560" s="71"/>
      <c r="E560" s="70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2"/>
      <c r="U560" s="72"/>
      <c r="V560" s="72"/>
      <c r="W560" s="72"/>
    </row>
    <row r="561" spans="1:23" ht="14.25" customHeight="1">
      <c r="A561" s="69"/>
      <c r="B561" s="71"/>
      <c r="C561" s="69"/>
      <c r="D561" s="71"/>
      <c r="E561" s="70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2"/>
      <c r="U561" s="72"/>
      <c r="V561" s="72"/>
      <c r="W561" s="72"/>
    </row>
    <row r="562" spans="1:23" ht="14.25" customHeight="1">
      <c r="A562" s="69"/>
      <c r="B562" s="71"/>
      <c r="C562" s="69"/>
      <c r="D562" s="71"/>
      <c r="E562" s="70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2"/>
      <c r="U562" s="72"/>
      <c r="V562" s="72"/>
      <c r="W562" s="72"/>
    </row>
    <row r="563" spans="1:23" ht="14.25" customHeight="1">
      <c r="A563" s="69"/>
      <c r="B563" s="71"/>
      <c r="C563" s="69"/>
      <c r="D563" s="71"/>
      <c r="E563" s="70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2"/>
      <c r="U563" s="72"/>
      <c r="V563" s="72"/>
      <c r="W563" s="72"/>
    </row>
    <row r="564" spans="1:23" ht="14.25" customHeight="1">
      <c r="A564" s="69"/>
      <c r="B564" s="71"/>
      <c r="C564" s="69"/>
      <c r="D564" s="71"/>
      <c r="E564" s="70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2"/>
      <c r="U564" s="72"/>
      <c r="V564" s="72"/>
      <c r="W564" s="72"/>
    </row>
    <row r="565" spans="1:23" ht="14.25" customHeight="1">
      <c r="A565" s="69"/>
      <c r="B565" s="71"/>
      <c r="C565" s="69"/>
      <c r="D565" s="71"/>
      <c r="E565" s="70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2"/>
      <c r="U565" s="72"/>
      <c r="V565" s="72"/>
      <c r="W565" s="72"/>
    </row>
    <row r="566" spans="1:23" ht="14.25" customHeight="1">
      <c r="A566" s="69"/>
      <c r="B566" s="71"/>
      <c r="C566" s="69"/>
      <c r="D566" s="71"/>
      <c r="E566" s="70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2"/>
      <c r="U566" s="72"/>
      <c r="V566" s="72"/>
      <c r="W566" s="72"/>
    </row>
    <row r="567" spans="1:23" ht="14.25" customHeight="1">
      <c r="A567" s="69"/>
      <c r="B567" s="71"/>
      <c r="C567" s="69"/>
      <c r="D567" s="71"/>
      <c r="E567" s="70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2"/>
      <c r="U567" s="72"/>
      <c r="V567" s="72"/>
      <c r="W567" s="72"/>
    </row>
    <row r="568" spans="1:23" ht="14.25" customHeight="1">
      <c r="A568" s="69"/>
      <c r="B568" s="71"/>
      <c r="C568" s="69"/>
      <c r="D568" s="71"/>
      <c r="E568" s="70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2"/>
      <c r="U568" s="72"/>
      <c r="V568" s="72"/>
      <c r="W568" s="72"/>
    </row>
    <row r="569" spans="1:23" ht="14.25" customHeight="1">
      <c r="A569" s="69"/>
      <c r="B569" s="71"/>
      <c r="C569" s="69"/>
      <c r="D569" s="71"/>
      <c r="E569" s="70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2"/>
      <c r="U569" s="72"/>
      <c r="V569" s="72"/>
      <c r="W569" s="72"/>
    </row>
    <row r="570" spans="1:23" ht="14.25" customHeight="1">
      <c r="A570" s="69"/>
      <c r="B570" s="71"/>
      <c r="C570" s="69"/>
      <c r="D570" s="71"/>
      <c r="E570" s="70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2"/>
      <c r="U570" s="72"/>
      <c r="V570" s="72"/>
      <c r="W570" s="72"/>
    </row>
    <row r="571" spans="1:23" ht="14.25" customHeight="1">
      <c r="A571" s="69"/>
      <c r="B571" s="71"/>
      <c r="C571" s="69"/>
      <c r="D571" s="71"/>
      <c r="E571" s="70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2"/>
      <c r="U571" s="72"/>
      <c r="V571" s="72"/>
      <c r="W571" s="72"/>
    </row>
    <row r="572" spans="1:23" ht="14.25" customHeight="1">
      <c r="A572" s="69"/>
      <c r="B572" s="71"/>
      <c r="C572" s="69"/>
      <c r="D572" s="71"/>
      <c r="E572" s="70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2"/>
      <c r="U572" s="72"/>
      <c r="V572" s="72"/>
      <c r="W572" s="72"/>
    </row>
    <row r="573" spans="1:23" ht="14.25" customHeight="1">
      <c r="A573" s="69"/>
      <c r="B573" s="71"/>
      <c r="C573" s="69"/>
      <c r="D573" s="71"/>
      <c r="E573" s="70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2"/>
      <c r="U573" s="72"/>
      <c r="V573" s="72"/>
      <c r="W573" s="72"/>
    </row>
    <row r="574" spans="1:23" ht="14.25" customHeight="1">
      <c r="A574" s="69"/>
      <c r="B574" s="71"/>
      <c r="C574" s="69"/>
      <c r="D574" s="71"/>
      <c r="E574" s="70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2"/>
      <c r="U574" s="72"/>
      <c r="V574" s="72"/>
      <c r="W574" s="72"/>
    </row>
    <row r="575" spans="1:23" ht="14.25" customHeight="1">
      <c r="A575" s="69"/>
      <c r="B575" s="71"/>
      <c r="C575" s="69"/>
      <c r="D575" s="71"/>
      <c r="E575" s="70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2"/>
      <c r="U575" s="72"/>
      <c r="V575" s="72"/>
      <c r="W575" s="72"/>
    </row>
    <row r="576" spans="1:23" ht="14.25" customHeight="1">
      <c r="A576" s="69"/>
      <c r="B576" s="71"/>
      <c r="C576" s="69"/>
      <c r="D576" s="71"/>
      <c r="E576" s="70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2"/>
      <c r="U576" s="72"/>
      <c r="V576" s="72"/>
      <c r="W576" s="72"/>
    </row>
    <row r="577" spans="1:23" ht="14.25" customHeight="1">
      <c r="A577" s="69"/>
      <c r="B577" s="71"/>
      <c r="C577" s="69"/>
      <c r="D577" s="71"/>
      <c r="E577" s="70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2"/>
      <c r="U577" s="72"/>
      <c r="V577" s="72"/>
      <c r="W577" s="72"/>
    </row>
    <row r="578" spans="1:23" ht="14.25" customHeight="1">
      <c r="A578" s="69"/>
      <c r="B578" s="71"/>
      <c r="C578" s="69"/>
      <c r="D578" s="71"/>
      <c r="E578" s="70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2"/>
      <c r="U578" s="72"/>
      <c r="V578" s="72"/>
      <c r="W578" s="72"/>
    </row>
  </sheetData>
  <mergeCells count="18">
    <mergeCell ref="A1:V1"/>
    <mergeCell ref="Y3:Z3"/>
    <mergeCell ref="AA3:AA6"/>
    <mergeCell ref="A5:C7"/>
    <mergeCell ref="D5:E7"/>
    <mergeCell ref="T5:T7"/>
    <mergeCell ref="U5:U7"/>
    <mergeCell ref="Z4:Z6"/>
    <mergeCell ref="Y4:Y6"/>
    <mergeCell ref="X4:X6"/>
    <mergeCell ref="G5:Q5"/>
    <mergeCell ref="W5:W7"/>
    <mergeCell ref="AB3:AE3"/>
    <mergeCell ref="AF3:AI3"/>
    <mergeCell ref="AB4:AE4"/>
    <mergeCell ref="AF4:AI4"/>
    <mergeCell ref="O47:O83"/>
    <mergeCell ref="V5:V7"/>
  </mergeCells>
  <printOptions horizontalCentered="1"/>
  <pageMargins left="0.25" right="0.25" top="0.5" bottom="0.75" header="0.3" footer="0.3"/>
  <pageSetup paperSize="9" scale="54" fitToHeight="0" orientation="portrait" r:id="rId1"/>
  <headerFooter alignWithMargins="0">
    <oddFooter>&amp;R&amp;"Arial,Italic"&amp;9PMO-T-OPM-006-R00</oddFooter>
  </headerFooter>
  <rowBreaks count="4" manualBreakCount="4">
    <brk id="55" max="19" man="1"/>
    <brk id="98" max="19" man="1"/>
    <brk id="139" max="20" man="1"/>
    <brk id="180" max="20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2329-4B6C-49C3-BB25-B218A92C8670}">
  <sheetPr>
    <pageSetUpPr fitToPage="1"/>
  </sheetPr>
  <dimension ref="A1:Y51"/>
  <sheetViews>
    <sheetView topLeftCell="A8" workbookViewId="0">
      <selection activeCell="AF46" sqref="AF46"/>
    </sheetView>
  </sheetViews>
  <sheetFormatPr defaultColWidth="8.85546875" defaultRowHeight="12"/>
  <cols>
    <col min="1" max="1" width="5" style="91" customWidth="1"/>
    <col min="2" max="2" width="11.5703125" style="91" customWidth="1"/>
    <col min="3" max="3" width="2.5703125" style="91" customWidth="1"/>
    <col min="4" max="4" width="13.85546875" style="91" customWidth="1"/>
    <col min="5" max="5" width="2.5703125" style="91" customWidth="1"/>
    <col min="6" max="6" width="11.5703125" style="91" customWidth="1"/>
    <col min="7" max="7" width="2.5703125" style="93" customWidth="1"/>
    <col min="8" max="8" width="10.42578125" style="91" customWidth="1"/>
    <col min="9" max="9" width="2.5703125" style="93" customWidth="1"/>
    <col min="10" max="10" width="11.5703125" style="91" customWidth="1"/>
    <col min="11" max="11" width="2.5703125" style="91" customWidth="1"/>
    <col min="12" max="12" width="5" style="91" customWidth="1"/>
    <col min="13" max="13" width="7.5703125" style="94" bestFit="1" customWidth="1"/>
    <col min="14" max="14" width="2.5703125" style="91" customWidth="1"/>
    <col min="15" max="15" width="14.42578125" style="91" customWidth="1"/>
    <col min="16" max="16" width="8.85546875" style="93"/>
    <col min="17" max="16384" width="8.85546875" style="91"/>
  </cols>
  <sheetData>
    <row r="1" spans="1:25" s="86" customFormat="1" ht="21.6" customHeight="1">
      <c r="A1" s="82"/>
      <c r="B1" s="594" t="s">
        <v>1249</v>
      </c>
      <c r="C1" s="594"/>
      <c r="D1" s="594"/>
      <c r="E1" s="594"/>
      <c r="F1" s="594"/>
      <c r="G1" s="594"/>
      <c r="H1" s="594"/>
      <c r="I1" s="594"/>
      <c r="J1" s="83"/>
      <c r="K1" s="83"/>
      <c r="L1" s="84"/>
      <c r="M1" s="83"/>
      <c r="N1" s="83"/>
      <c r="O1" s="83"/>
      <c r="P1" s="85"/>
    </row>
    <row r="2" spans="1:25" s="86" customFormat="1" ht="21.6" customHeight="1">
      <c r="A2" s="87"/>
      <c r="B2" s="595" t="s">
        <v>1250</v>
      </c>
      <c r="C2" s="595"/>
      <c r="D2" s="595"/>
      <c r="E2" s="595"/>
      <c r="F2" s="595"/>
      <c r="G2" s="595"/>
      <c r="H2" s="595"/>
      <c r="I2" s="595"/>
      <c r="L2" s="88"/>
      <c r="P2" s="89"/>
    </row>
    <row r="3" spans="1:25" ht="26.85" customHeight="1">
      <c r="A3" s="90"/>
      <c r="B3" s="589" t="s">
        <v>1251</v>
      </c>
      <c r="C3" s="593"/>
      <c r="D3" s="593"/>
      <c r="E3" s="593"/>
      <c r="F3" s="593"/>
      <c r="G3" s="593"/>
      <c r="H3" s="593"/>
      <c r="I3" s="590"/>
      <c r="J3"/>
      <c r="K3" s="230"/>
      <c r="L3" s="230"/>
      <c r="M3" s="230"/>
      <c r="P3" s="92"/>
      <c r="R3" s="86"/>
      <c r="S3" s="86"/>
      <c r="T3" s="86"/>
      <c r="U3" s="86"/>
      <c r="V3" s="86"/>
      <c r="W3" s="86"/>
      <c r="X3" s="86"/>
      <c r="Y3" s="86"/>
    </row>
    <row r="4" spans="1:25" ht="22.5" customHeight="1">
      <c r="A4" s="90"/>
      <c r="B4" s="206" t="s">
        <v>1252</v>
      </c>
      <c r="C4" s="206"/>
      <c r="D4" s="206" t="s">
        <v>1253</v>
      </c>
      <c r="E4" s="206"/>
      <c r="F4" s="206" t="s">
        <v>1254</v>
      </c>
      <c r="G4" s="217"/>
      <c r="H4" s="218" t="s">
        <v>1255</v>
      </c>
      <c r="I4" s="217"/>
      <c r="J4"/>
      <c r="K4" s="231"/>
      <c r="L4" s="596"/>
      <c r="M4" s="596"/>
      <c r="P4" s="92"/>
      <c r="R4" s="86"/>
      <c r="S4" s="86"/>
      <c r="T4" s="86"/>
      <c r="U4" s="86"/>
      <c r="V4" s="86"/>
      <c r="W4" s="86"/>
      <c r="X4" s="86"/>
      <c r="Y4" s="86"/>
    </row>
    <row r="5" spans="1:25" ht="15">
      <c r="A5" s="90"/>
      <c r="B5" s="207">
        <v>18043</v>
      </c>
      <c r="C5" s="207" t="s">
        <v>94</v>
      </c>
      <c r="D5" s="208" t="s">
        <v>1256</v>
      </c>
      <c r="E5" s="207"/>
      <c r="F5" s="207" t="s">
        <v>1257</v>
      </c>
      <c r="G5" s="207"/>
      <c r="H5" s="209" t="s">
        <v>1258</v>
      </c>
      <c r="I5" s="207"/>
      <c r="J5"/>
      <c r="K5" s="88"/>
      <c r="L5" s="597"/>
      <c r="M5" s="597"/>
      <c r="P5" s="92"/>
      <c r="R5" s="86"/>
      <c r="S5" s="86"/>
      <c r="T5" s="86"/>
      <c r="U5" s="86"/>
      <c r="V5" s="86"/>
      <c r="W5" s="86"/>
      <c r="X5" s="86"/>
      <c r="Y5" s="86"/>
    </row>
    <row r="6" spans="1:25">
      <c r="A6" s="90"/>
      <c r="C6" s="93"/>
      <c r="P6" s="95"/>
      <c r="R6" s="86"/>
      <c r="S6" s="86"/>
      <c r="T6" s="86"/>
      <c r="U6" s="86"/>
      <c r="V6" s="86"/>
      <c r="W6" s="86"/>
      <c r="X6" s="86"/>
      <c r="Y6" s="86"/>
    </row>
    <row r="7" spans="1:25" ht="26.85" customHeight="1">
      <c r="A7" s="90"/>
      <c r="B7" s="589" t="s">
        <v>1259</v>
      </c>
      <c r="C7" s="593"/>
      <c r="D7" s="593"/>
      <c r="E7" s="593"/>
      <c r="F7" s="593"/>
      <c r="G7" s="593"/>
      <c r="H7" s="593"/>
      <c r="I7" s="593"/>
      <c r="J7" s="593"/>
      <c r="K7" s="593"/>
      <c r="L7" s="593"/>
      <c r="M7" s="590"/>
      <c r="N7"/>
      <c r="O7"/>
      <c r="P7" s="92"/>
      <c r="R7" s="86"/>
      <c r="S7" s="86"/>
      <c r="T7" s="86"/>
      <c r="U7" s="86"/>
      <c r="V7" s="86"/>
      <c r="W7" s="86"/>
      <c r="X7" s="86"/>
      <c r="Y7" s="86"/>
    </row>
    <row r="8" spans="1:25" ht="22.5" customHeight="1">
      <c r="A8" s="90"/>
      <c r="B8" s="206" t="s">
        <v>1252</v>
      </c>
      <c r="C8" s="206"/>
      <c r="D8" s="206" t="s">
        <v>1253</v>
      </c>
      <c r="E8" s="206"/>
      <c r="F8" s="206" t="s">
        <v>1254</v>
      </c>
      <c r="G8" s="217"/>
      <c r="H8" s="218" t="s">
        <v>1255</v>
      </c>
      <c r="I8" s="217"/>
      <c r="J8" s="206" t="s">
        <v>1260</v>
      </c>
      <c r="K8" s="206"/>
      <c r="L8" s="589" t="s">
        <v>1261</v>
      </c>
      <c r="M8" s="590"/>
      <c r="P8" s="92"/>
      <c r="R8" s="86"/>
      <c r="S8" s="86"/>
      <c r="T8" s="86"/>
      <c r="U8" s="86"/>
      <c r="V8" s="86"/>
      <c r="W8" s="86"/>
      <c r="X8" s="86"/>
      <c r="Y8" s="86"/>
    </row>
    <row r="9" spans="1:25" ht="15" customHeight="1">
      <c r="A9" s="90"/>
      <c r="B9" s="207">
        <v>18043</v>
      </c>
      <c r="C9" s="207" t="s">
        <v>94</v>
      </c>
      <c r="D9" s="208" t="s">
        <v>1256</v>
      </c>
      <c r="E9" s="207"/>
      <c r="F9" s="207" t="s">
        <v>1257</v>
      </c>
      <c r="G9" s="207"/>
      <c r="H9" s="209" t="s">
        <v>1258</v>
      </c>
      <c r="I9" s="207"/>
      <c r="J9" s="207" t="s">
        <v>1262</v>
      </c>
      <c r="K9" s="207"/>
      <c r="L9" s="591" t="s">
        <v>1257</v>
      </c>
      <c r="M9" s="592"/>
      <c r="P9" s="92"/>
      <c r="R9" s="86"/>
      <c r="S9" s="86"/>
      <c r="T9" s="86"/>
      <c r="U9" s="86"/>
      <c r="V9" s="86"/>
      <c r="W9" s="86"/>
      <c r="X9" s="86"/>
      <c r="Y9" s="86"/>
    </row>
    <row r="10" spans="1:25" ht="12.75" thickBot="1">
      <c r="A10" s="90"/>
      <c r="B10" s="93"/>
      <c r="C10" s="93"/>
      <c r="D10" s="215"/>
      <c r="E10" s="93"/>
      <c r="F10" s="93"/>
      <c r="H10" s="113"/>
      <c r="J10" s="93"/>
      <c r="M10" s="91"/>
      <c r="P10" s="92"/>
      <c r="R10" s="86"/>
      <c r="S10" s="86"/>
      <c r="T10" s="86"/>
      <c r="U10" s="86"/>
      <c r="V10" s="86"/>
      <c r="W10" s="86"/>
      <c r="X10" s="86"/>
      <c r="Y10" s="86"/>
    </row>
    <row r="11" spans="1:25">
      <c r="A11" s="90"/>
      <c r="B11" s="96"/>
      <c r="C11" s="97"/>
      <c r="D11" s="98"/>
      <c r="E11" s="98"/>
      <c r="F11" s="98"/>
      <c r="G11" s="97"/>
      <c r="H11" s="99"/>
      <c r="P11" s="95"/>
      <c r="R11" s="86"/>
      <c r="S11" s="86"/>
      <c r="T11" s="86"/>
      <c r="U11" s="86"/>
      <c r="V11" s="86"/>
      <c r="W11" s="86"/>
      <c r="X11" s="86"/>
      <c r="Y11" s="86"/>
    </row>
    <row r="12" spans="1:25">
      <c r="A12" s="90"/>
      <c r="B12" s="100" t="s">
        <v>1263</v>
      </c>
      <c r="C12" s="101"/>
      <c r="D12" s="102" t="s">
        <v>1264</v>
      </c>
      <c r="E12" s="102"/>
      <c r="F12" s="102"/>
      <c r="G12" s="101"/>
      <c r="H12" s="103"/>
      <c r="P12" s="95"/>
      <c r="R12" s="86"/>
      <c r="S12" s="86"/>
      <c r="T12" s="86"/>
      <c r="U12" s="86"/>
      <c r="V12" s="86"/>
      <c r="W12" s="86"/>
      <c r="X12" s="86"/>
      <c r="Y12" s="86"/>
    </row>
    <row r="13" spans="1:25">
      <c r="A13" s="90"/>
      <c r="B13" s="104"/>
      <c r="C13" s="101"/>
      <c r="D13" s="102"/>
      <c r="E13" s="102"/>
      <c r="F13" s="102"/>
      <c r="G13" s="101"/>
      <c r="H13" s="103"/>
      <c r="P13" s="95"/>
      <c r="R13" s="86"/>
      <c r="S13" s="86"/>
      <c r="T13" s="86"/>
      <c r="U13" s="86"/>
      <c r="V13" s="86"/>
      <c r="W13" s="86"/>
      <c r="X13" s="86"/>
      <c r="Y13" s="86"/>
    </row>
    <row r="14" spans="1:25">
      <c r="A14" s="90"/>
      <c r="B14" s="100" t="s">
        <v>1265</v>
      </c>
      <c r="C14" s="101"/>
      <c r="D14" s="102" t="s">
        <v>1266</v>
      </c>
      <c r="E14" s="102"/>
      <c r="F14" s="102"/>
      <c r="G14" s="101"/>
      <c r="H14" s="103"/>
      <c r="P14" s="95"/>
    </row>
    <row r="15" spans="1:25">
      <c r="A15" s="90"/>
      <c r="B15" s="104"/>
      <c r="C15" s="101"/>
      <c r="D15" s="102"/>
      <c r="E15" s="102"/>
      <c r="F15" s="102"/>
      <c r="G15" s="101"/>
      <c r="H15" s="103"/>
      <c r="P15" s="95"/>
    </row>
    <row r="16" spans="1:25">
      <c r="A16" s="90"/>
      <c r="B16" s="105"/>
      <c r="C16" s="106"/>
      <c r="D16" s="107"/>
      <c r="E16" s="107"/>
      <c r="F16" s="107"/>
      <c r="G16" s="106"/>
      <c r="H16" s="108"/>
      <c r="P16" s="95"/>
    </row>
    <row r="17" spans="1:19">
      <c r="A17" s="90"/>
      <c r="C17" s="93"/>
      <c r="P17" s="95"/>
    </row>
    <row r="18" spans="1:19" ht="12.75" thickBot="1">
      <c r="A18" s="90"/>
      <c r="B18" s="109" t="s">
        <v>1267</v>
      </c>
      <c r="C18" s="93"/>
      <c r="D18" s="112">
        <v>18043</v>
      </c>
      <c r="P18" s="95"/>
    </row>
    <row r="19" spans="1:19" ht="15" customHeight="1">
      <c r="A19" s="90"/>
      <c r="C19" s="93"/>
      <c r="J19" s="220" t="s">
        <v>1268</v>
      </c>
      <c r="K19" s="221"/>
      <c r="L19" s="221"/>
      <c r="M19" s="222"/>
      <c r="N19" s="221"/>
      <c r="O19" s="223"/>
      <c r="P19" s="95"/>
      <c r="S19" s="110"/>
    </row>
    <row r="20" spans="1:19" ht="15" customHeight="1">
      <c r="A20" s="90"/>
      <c r="B20" s="109" t="s">
        <v>1253</v>
      </c>
      <c r="C20" s="93"/>
      <c r="D20" s="110" t="s">
        <v>1256</v>
      </c>
      <c r="J20" s="224" t="s">
        <v>1269</v>
      </c>
      <c r="K20" s="216"/>
      <c r="L20" s="216"/>
      <c r="M20" s="219"/>
      <c r="N20" s="216"/>
      <c r="O20" s="225"/>
      <c r="P20" s="95"/>
    </row>
    <row r="21" spans="1:19" ht="15" customHeight="1">
      <c r="A21" s="90"/>
      <c r="C21" s="93"/>
      <c r="J21" s="224" t="s">
        <v>1270</v>
      </c>
      <c r="K21" s="216"/>
      <c r="L21" s="216"/>
      <c r="M21" s="219"/>
      <c r="N21" s="216"/>
      <c r="O21" s="225"/>
      <c r="P21" s="95"/>
      <c r="S21" s="110"/>
    </row>
    <row r="22" spans="1:19" ht="15" customHeight="1" thickBot="1">
      <c r="A22" s="90"/>
      <c r="C22" s="93"/>
      <c r="J22" s="226" t="s">
        <v>1271</v>
      </c>
      <c r="K22" s="227"/>
      <c r="L22" s="227"/>
      <c r="M22" s="228"/>
      <c r="N22" s="227"/>
      <c r="O22" s="229"/>
      <c r="P22" s="95"/>
    </row>
    <row r="23" spans="1:19">
      <c r="A23" s="90"/>
      <c r="B23" s="109" t="s">
        <v>1272</v>
      </c>
      <c r="D23" s="111">
        <v>646</v>
      </c>
      <c r="F23" s="91" t="s">
        <v>1273</v>
      </c>
      <c r="P23" s="95"/>
    </row>
    <row r="24" spans="1:19">
      <c r="A24" s="90"/>
      <c r="D24" s="254">
        <v>231</v>
      </c>
      <c r="F24" s="91" t="s">
        <v>1274</v>
      </c>
      <c r="I24" s="91"/>
      <c r="M24" s="91"/>
      <c r="P24" s="95"/>
    </row>
    <row r="25" spans="1:19">
      <c r="A25" s="90"/>
      <c r="D25" s="305">
        <v>231</v>
      </c>
      <c r="F25" s="91" t="s">
        <v>1021</v>
      </c>
      <c r="I25" s="91"/>
      <c r="M25" s="91"/>
      <c r="P25" s="95"/>
    </row>
    <row r="26" spans="1:19">
      <c r="A26" s="90"/>
      <c r="D26" s="111">
        <v>520</v>
      </c>
      <c r="F26" s="91" t="s">
        <v>1275</v>
      </c>
      <c r="I26" s="91"/>
      <c r="M26" s="91"/>
      <c r="P26" s="95"/>
    </row>
    <row r="27" spans="1:19">
      <c r="A27" s="90"/>
      <c r="D27" s="111">
        <v>561</v>
      </c>
      <c r="F27" s="91" t="s">
        <v>1276</v>
      </c>
      <c r="I27" s="91"/>
      <c r="M27" s="91"/>
      <c r="P27" s="95"/>
    </row>
    <row r="28" spans="1:19">
      <c r="A28" s="90"/>
      <c r="D28" s="111">
        <v>191</v>
      </c>
      <c r="F28" s="91" t="s">
        <v>1277</v>
      </c>
      <c r="I28" s="91"/>
      <c r="M28" s="91"/>
      <c r="P28" s="95"/>
    </row>
    <row r="29" spans="1:19">
      <c r="A29" s="90"/>
      <c r="D29" s="111">
        <v>642</v>
      </c>
      <c r="F29" s="91" t="s">
        <v>1278</v>
      </c>
      <c r="I29" s="91"/>
      <c r="M29" s="91"/>
      <c r="P29" s="95"/>
    </row>
    <row r="30" spans="1:19">
      <c r="A30" s="90"/>
      <c r="D30" s="111"/>
      <c r="I30" s="91"/>
      <c r="M30" s="91"/>
      <c r="P30" s="95"/>
    </row>
    <row r="31" spans="1:19">
      <c r="A31" s="90"/>
      <c r="D31" s="111" t="s">
        <v>1279</v>
      </c>
      <c r="F31" s="91" t="s">
        <v>1280</v>
      </c>
      <c r="I31" s="91"/>
      <c r="M31" s="91"/>
      <c r="P31" s="95"/>
    </row>
    <row r="32" spans="1:19">
      <c r="A32" s="90"/>
      <c r="D32" s="111" t="s">
        <v>1281</v>
      </c>
      <c r="F32" s="91" t="s">
        <v>1282</v>
      </c>
      <c r="I32" s="91"/>
      <c r="M32" s="91"/>
      <c r="P32" s="95"/>
    </row>
    <row r="33" spans="1:16">
      <c r="A33" s="90"/>
      <c r="B33" s="109" t="s">
        <v>1283</v>
      </c>
      <c r="C33" s="93"/>
      <c r="D33" s="112" t="s">
        <v>1284</v>
      </c>
      <c r="G33" s="112"/>
      <c r="I33" s="112"/>
      <c r="P33" s="95"/>
    </row>
    <row r="34" spans="1:16">
      <c r="A34" s="90"/>
      <c r="B34" s="109"/>
      <c r="C34" s="93"/>
      <c r="D34" s="93"/>
      <c r="P34" s="95"/>
    </row>
    <row r="35" spans="1:16">
      <c r="A35" s="90"/>
      <c r="C35" s="93"/>
      <c r="D35" s="214"/>
      <c r="P35" s="95"/>
    </row>
    <row r="36" spans="1:16">
      <c r="A36" s="90"/>
      <c r="C36" s="93"/>
      <c r="D36" s="93"/>
      <c r="P36" s="95"/>
    </row>
    <row r="37" spans="1:16">
      <c r="A37" s="90"/>
      <c r="C37" s="93"/>
      <c r="P37" s="95"/>
    </row>
    <row r="38" spans="1:16">
      <c r="A38" s="90"/>
      <c r="B38" s="109" t="s">
        <v>1285</v>
      </c>
      <c r="C38" s="93"/>
      <c r="D38" s="115" t="s">
        <v>1286</v>
      </c>
      <c r="E38" s="240" t="s">
        <v>94</v>
      </c>
      <c r="F38" s="115" t="s">
        <v>95</v>
      </c>
      <c r="P38" s="95"/>
    </row>
    <row r="39" spans="1:16">
      <c r="A39" s="90"/>
      <c r="C39" s="93"/>
      <c r="D39" s="115" t="s">
        <v>1287</v>
      </c>
      <c r="E39" s="240" t="s">
        <v>94</v>
      </c>
      <c r="F39" s="115" t="s">
        <v>1288</v>
      </c>
      <c r="P39" s="95"/>
    </row>
    <row r="40" spans="1:16">
      <c r="A40" s="90"/>
      <c r="C40" s="93"/>
      <c r="D40" s="115" t="s">
        <v>1289</v>
      </c>
      <c r="E40" s="240" t="s">
        <v>94</v>
      </c>
      <c r="F40" s="115" t="s">
        <v>1290</v>
      </c>
      <c r="P40" s="95"/>
    </row>
    <row r="41" spans="1:16">
      <c r="A41" s="90"/>
      <c r="C41" s="93"/>
      <c r="G41" s="91"/>
      <c r="I41" s="91"/>
      <c r="P41" s="95"/>
    </row>
    <row r="42" spans="1:16">
      <c r="A42" s="90"/>
      <c r="C42" s="93"/>
      <c r="G42" s="91"/>
      <c r="I42" s="91"/>
      <c r="P42" s="95"/>
    </row>
    <row r="43" spans="1:16">
      <c r="A43" s="90"/>
      <c r="B43" s="109" t="s">
        <v>1260</v>
      </c>
      <c r="C43" s="113"/>
      <c r="D43" s="114" t="s">
        <v>1291</v>
      </c>
      <c r="E43" s="93"/>
      <c r="F43" s="113"/>
      <c r="G43" s="91"/>
      <c r="I43" s="115"/>
      <c r="P43" s="95"/>
    </row>
    <row r="44" spans="1:16">
      <c r="A44" s="90"/>
      <c r="C44" s="93"/>
      <c r="D44" s="116" t="s">
        <v>1292</v>
      </c>
      <c r="G44" s="91"/>
      <c r="H44" s="134"/>
      <c r="I44" s="91"/>
      <c r="P44" s="95"/>
    </row>
    <row r="45" spans="1:16">
      <c r="A45" s="90"/>
      <c r="P45" s="95"/>
    </row>
    <row r="46" spans="1:16">
      <c r="A46" s="90"/>
      <c r="B46" s="109" t="s">
        <v>1293</v>
      </c>
      <c r="D46" s="91" t="s">
        <v>1294</v>
      </c>
      <c r="P46" s="95"/>
    </row>
    <row r="47" spans="1:16">
      <c r="A47" s="90"/>
      <c r="P47" s="95"/>
    </row>
    <row r="48" spans="1:16">
      <c r="A48" s="90"/>
      <c r="P48" s="95"/>
    </row>
    <row r="49" spans="1:16">
      <c r="A49" s="90"/>
      <c r="P49" s="95"/>
    </row>
    <row r="50" spans="1:16">
      <c r="A50" s="90"/>
      <c r="P50" s="95"/>
    </row>
    <row r="51" spans="1:16">
      <c r="A51" s="117"/>
      <c r="B51" s="118"/>
      <c r="C51" s="118"/>
      <c r="D51" s="118"/>
      <c r="E51" s="118"/>
      <c r="F51" s="118"/>
      <c r="G51" s="119"/>
      <c r="H51" s="118"/>
      <c r="I51" s="119"/>
      <c r="J51" s="118"/>
      <c r="K51" s="118"/>
      <c r="L51" s="118"/>
      <c r="M51" s="120"/>
      <c r="N51" s="118"/>
      <c r="O51" s="118"/>
      <c r="P51" s="121"/>
    </row>
  </sheetData>
  <mergeCells count="8">
    <mergeCell ref="L8:M8"/>
    <mergeCell ref="L9:M9"/>
    <mergeCell ref="B7:M7"/>
    <mergeCell ref="B1:I1"/>
    <mergeCell ref="B2:I2"/>
    <mergeCell ref="L4:M4"/>
    <mergeCell ref="L5:M5"/>
    <mergeCell ref="B3:I3"/>
  </mergeCells>
  <pageMargins left="0.7" right="0.7" top="0.75" bottom="0.75" header="0.3" footer="0.3"/>
  <pageSetup paperSize="9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EB93-6FF3-476A-8C00-E26993AA170C}">
  <sheetPr>
    <tabColor rgb="FFFFFF00"/>
    <pageSetUpPr fitToPage="1"/>
  </sheetPr>
  <dimension ref="A1:Z225"/>
  <sheetViews>
    <sheetView workbookViewId="0">
      <selection sqref="A1:J1"/>
    </sheetView>
  </sheetViews>
  <sheetFormatPr defaultRowHeight="15"/>
  <cols>
    <col min="1" max="1" width="3.42578125" style="8" customWidth="1"/>
    <col min="2" max="2" width="4.42578125" style="7" customWidth="1"/>
    <col min="3" max="3" width="25" style="8" customWidth="1"/>
    <col min="4" max="4" width="4.42578125" style="8" customWidth="1"/>
    <col min="5" max="5" width="24.42578125" style="8" customWidth="1"/>
    <col min="6" max="6" width="4.42578125" style="9" customWidth="1"/>
    <col min="7" max="7" width="7.5703125" style="9" customWidth="1"/>
    <col min="8" max="9" width="10" style="9" customWidth="1"/>
    <col min="10" max="10" width="3.42578125" style="10" customWidth="1"/>
    <col min="11" max="260" width="9.140625" style="8"/>
    <col min="261" max="261" width="3.42578125" style="8" customWidth="1"/>
    <col min="262" max="262" width="6.5703125" style="8" customWidth="1"/>
    <col min="263" max="263" width="55.5703125" style="8" customWidth="1"/>
    <col min="264" max="265" width="12.42578125" style="8" customWidth="1"/>
    <col min="266" max="266" width="9.140625" style="8"/>
    <col min="267" max="267" width="3.42578125" style="8" customWidth="1"/>
    <col min="268" max="516" width="9.140625" style="8"/>
    <col min="517" max="517" width="3.42578125" style="8" customWidth="1"/>
    <col min="518" max="518" width="6.5703125" style="8" customWidth="1"/>
    <col min="519" max="519" width="55.5703125" style="8" customWidth="1"/>
    <col min="520" max="521" width="12.42578125" style="8" customWidth="1"/>
    <col min="522" max="522" width="9.140625" style="8"/>
    <col min="523" max="523" width="3.42578125" style="8" customWidth="1"/>
    <col min="524" max="772" width="9.140625" style="8"/>
    <col min="773" max="773" width="3.42578125" style="8" customWidth="1"/>
    <col min="774" max="774" width="6.5703125" style="8" customWidth="1"/>
    <col min="775" max="775" width="55.5703125" style="8" customWidth="1"/>
    <col min="776" max="777" width="12.42578125" style="8" customWidth="1"/>
    <col min="778" max="778" width="9.140625" style="8"/>
    <col min="779" max="779" width="3.42578125" style="8" customWidth="1"/>
    <col min="780" max="1028" width="9.140625" style="8"/>
    <col min="1029" max="1029" width="3.42578125" style="8" customWidth="1"/>
    <col min="1030" max="1030" width="6.5703125" style="8" customWidth="1"/>
    <col min="1031" max="1031" width="55.5703125" style="8" customWidth="1"/>
    <col min="1032" max="1033" width="12.42578125" style="8" customWidth="1"/>
    <col min="1034" max="1034" width="9.140625" style="8"/>
    <col min="1035" max="1035" width="3.42578125" style="8" customWidth="1"/>
    <col min="1036" max="1284" width="9.140625" style="8"/>
    <col min="1285" max="1285" width="3.42578125" style="8" customWidth="1"/>
    <col min="1286" max="1286" width="6.5703125" style="8" customWidth="1"/>
    <col min="1287" max="1287" width="55.5703125" style="8" customWidth="1"/>
    <col min="1288" max="1289" width="12.42578125" style="8" customWidth="1"/>
    <col min="1290" max="1290" width="9.140625" style="8"/>
    <col min="1291" max="1291" width="3.42578125" style="8" customWidth="1"/>
    <col min="1292" max="1540" width="9.140625" style="8"/>
    <col min="1541" max="1541" width="3.42578125" style="8" customWidth="1"/>
    <col min="1542" max="1542" width="6.5703125" style="8" customWidth="1"/>
    <col min="1543" max="1543" width="55.5703125" style="8" customWidth="1"/>
    <col min="1544" max="1545" width="12.42578125" style="8" customWidth="1"/>
    <col min="1546" max="1546" width="9.140625" style="8"/>
    <col min="1547" max="1547" width="3.42578125" style="8" customWidth="1"/>
    <col min="1548" max="1796" width="9.140625" style="8"/>
    <col min="1797" max="1797" width="3.42578125" style="8" customWidth="1"/>
    <col min="1798" max="1798" width="6.5703125" style="8" customWidth="1"/>
    <col min="1799" max="1799" width="55.5703125" style="8" customWidth="1"/>
    <col min="1800" max="1801" width="12.42578125" style="8" customWidth="1"/>
    <col min="1802" max="1802" width="9.140625" style="8"/>
    <col min="1803" max="1803" width="3.42578125" style="8" customWidth="1"/>
    <col min="1804" max="2052" width="9.140625" style="8"/>
    <col min="2053" max="2053" width="3.42578125" style="8" customWidth="1"/>
    <col min="2054" max="2054" width="6.5703125" style="8" customWidth="1"/>
    <col min="2055" max="2055" width="55.5703125" style="8" customWidth="1"/>
    <col min="2056" max="2057" width="12.42578125" style="8" customWidth="1"/>
    <col min="2058" max="2058" width="9.140625" style="8"/>
    <col min="2059" max="2059" width="3.42578125" style="8" customWidth="1"/>
    <col min="2060" max="2308" width="9.140625" style="8"/>
    <col min="2309" max="2309" width="3.42578125" style="8" customWidth="1"/>
    <col min="2310" max="2310" width="6.5703125" style="8" customWidth="1"/>
    <col min="2311" max="2311" width="55.5703125" style="8" customWidth="1"/>
    <col min="2312" max="2313" width="12.42578125" style="8" customWidth="1"/>
    <col min="2314" max="2314" width="9.140625" style="8"/>
    <col min="2315" max="2315" width="3.42578125" style="8" customWidth="1"/>
    <col min="2316" max="2564" width="9.140625" style="8"/>
    <col min="2565" max="2565" width="3.42578125" style="8" customWidth="1"/>
    <col min="2566" max="2566" width="6.5703125" style="8" customWidth="1"/>
    <col min="2567" max="2567" width="55.5703125" style="8" customWidth="1"/>
    <col min="2568" max="2569" width="12.42578125" style="8" customWidth="1"/>
    <col min="2570" max="2570" width="9.140625" style="8"/>
    <col min="2571" max="2571" width="3.42578125" style="8" customWidth="1"/>
    <col min="2572" max="2820" width="9.140625" style="8"/>
    <col min="2821" max="2821" width="3.42578125" style="8" customWidth="1"/>
    <col min="2822" max="2822" width="6.5703125" style="8" customWidth="1"/>
    <col min="2823" max="2823" width="55.5703125" style="8" customWidth="1"/>
    <col min="2824" max="2825" width="12.42578125" style="8" customWidth="1"/>
    <col min="2826" max="2826" width="9.140625" style="8"/>
    <col min="2827" max="2827" width="3.42578125" style="8" customWidth="1"/>
    <col min="2828" max="3076" width="9.140625" style="8"/>
    <col min="3077" max="3077" width="3.42578125" style="8" customWidth="1"/>
    <col min="3078" max="3078" width="6.5703125" style="8" customWidth="1"/>
    <col min="3079" max="3079" width="55.5703125" style="8" customWidth="1"/>
    <col min="3080" max="3081" width="12.42578125" style="8" customWidth="1"/>
    <col min="3082" max="3082" width="9.140625" style="8"/>
    <col min="3083" max="3083" width="3.42578125" style="8" customWidth="1"/>
    <col min="3084" max="3332" width="9.140625" style="8"/>
    <col min="3333" max="3333" width="3.42578125" style="8" customWidth="1"/>
    <col min="3334" max="3334" width="6.5703125" style="8" customWidth="1"/>
    <col min="3335" max="3335" width="55.5703125" style="8" customWidth="1"/>
    <col min="3336" max="3337" width="12.42578125" style="8" customWidth="1"/>
    <col min="3338" max="3338" width="9.140625" style="8"/>
    <col min="3339" max="3339" width="3.42578125" style="8" customWidth="1"/>
    <col min="3340" max="3588" width="9.140625" style="8"/>
    <col min="3589" max="3589" width="3.42578125" style="8" customWidth="1"/>
    <col min="3590" max="3590" width="6.5703125" style="8" customWidth="1"/>
    <col min="3591" max="3591" width="55.5703125" style="8" customWidth="1"/>
    <col min="3592" max="3593" width="12.42578125" style="8" customWidth="1"/>
    <col min="3594" max="3594" width="9.140625" style="8"/>
    <col min="3595" max="3595" width="3.42578125" style="8" customWidth="1"/>
    <col min="3596" max="3844" width="9.140625" style="8"/>
    <col min="3845" max="3845" width="3.42578125" style="8" customWidth="1"/>
    <col min="3846" max="3846" width="6.5703125" style="8" customWidth="1"/>
    <col min="3847" max="3847" width="55.5703125" style="8" customWidth="1"/>
    <col min="3848" max="3849" width="12.42578125" style="8" customWidth="1"/>
    <col min="3850" max="3850" width="9.140625" style="8"/>
    <col min="3851" max="3851" width="3.42578125" style="8" customWidth="1"/>
    <col min="3852" max="4100" width="9.140625" style="8"/>
    <col min="4101" max="4101" width="3.42578125" style="8" customWidth="1"/>
    <col min="4102" max="4102" width="6.5703125" style="8" customWidth="1"/>
    <col min="4103" max="4103" width="55.5703125" style="8" customWidth="1"/>
    <col min="4104" max="4105" width="12.42578125" style="8" customWidth="1"/>
    <col min="4106" max="4106" width="9.140625" style="8"/>
    <col min="4107" max="4107" width="3.42578125" style="8" customWidth="1"/>
    <col min="4108" max="4356" width="9.140625" style="8"/>
    <col min="4357" max="4357" width="3.42578125" style="8" customWidth="1"/>
    <col min="4358" max="4358" width="6.5703125" style="8" customWidth="1"/>
    <col min="4359" max="4359" width="55.5703125" style="8" customWidth="1"/>
    <col min="4360" max="4361" width="12.42578125" style="8" customWidth="1"/>
    <col min="4362" max="4362" width="9.140625" style="8"/>
    <col min="4363" max="4363" width="3.42578125" style="8" customWidth="1"/>
    <col min="4364" max="4612" width="9.140625" style="8"/>
    <col min="4613" max="4613" width="3.42578125" style="8" customWidth="1"/>
    <col min="4614" max="4614" width="6.5703125" style="8" customWidth="1"/>
    <col min="4615" max="4615" width="55.5703125" style="8" customWidth="1"/>
    <col min="4616" max="4617" width="12.42578125" style="8" customWidth="1"/>
    <col min="4618" max="4618" width="9.140625" style="8"/>
    <col min="4619" max="4619" width="3.42578125" style="8" customWidth="1"/>
    <col min="4620" max="4868" width="9.140625" style="8"/>
    <col min="4869" max="4869" width="3.42578125" style="8" customWidth="1"/>
    <col min="4870" max="4870" width="6.5703125" style="8" customWidth="1"/>
    <col min="4871" max="4871" width="55.5703125" style="8" customWidth="1"/>
    <col min="4872" max="4873" width="12.42578125" style="8" customWidth="1"/>
    <col min="4874" max="4874" width="9.140625" style="8"/>
    <col min="4875" max="4875" width="3.42578125" style="8" customWidth="1"/>
    <col min="4876" max="5124" width="9.140625" style="8"/>
    <col min="5125" max="5125" width="3.42578125" style="8" customWidth="1"/>
    <col min="5126" max="5126" width="6.5703125" style="8" customWidth="1"/>
    <col min="5127" max="5127" width="55.5703125" style="8" customWidth="1"/>
    <col min="5128" max="5129" width="12.42578125" style="8" customWidth="1"/>
    <col min="5130" max="5130" width="9.140625" style="8"/>
    <col min="5131" max="5131" width="3.42578125" style="8" customWidth="1"/>
    <col min="5132" max="5380" width="9.140625" style="8"/>
    <col min="5381" max="5381" width="3.42578125" style="8" customWidth="1"/>
    <col min="5382" max="5382" width="6.5703125" style="8" customWidth="1"/>
    <col min="5383" max="5383" width="55.5703125" style="8" customWidth="1"/>
    <col min="5384" max="5385" width="12.42578125" style="8" customWidth="1"/>
    <col min="5386" max="5386" width="9.140625" style="8"/>
    <col min="5387" max="5387" width="3.42578125" style="8" customWidth="1"/>
    <col min="5388" max="5636" width="9.140625" style="8"/>
    <col min="5637" max="5637" width="3.42578125" style="8" customWidth="1"/>
    <col min="5638" max="5638" width="6.5703125" style="8" customWidth="1"/>
    <col min="5639" max="5639" width="55.5703125" style="8" customWidth="1"/>
    <col min="5640" max="5641" width="12.42578125" style="8" customWidth="1"/>
    <col min="5642" max="5642" width="9.140625" style="8"/>
    <col min="5643" max="5643" width="3.42578125" style="8" customWidth="1"/>
    <col min="5644" max="5892" width="9.140625" style="8"/>
    <col min="5893" max="5893" width="3.42578125" style="8" customWidth="1"/>
    <col min="5894" max="5894" width="6.5703125" style="8" customWidth="1"/>
    <col min="5895" max="5895" width="55.5703125" style="8" customWidth="1"/>
    <col min="5896" max="5897" width="12.42578125" style="8" customWidth="1"/>
    <col min="5898" max="5898" width="9.140625" style="8"/>
    <col min="5899" max="5899" width="3.42578125" style="8" customWidth="1"/>
    <col min="5900" max="6148" width="9.140625" style="8"/>
    <col min="6149" max="6149" width="3.42578125" style="8" customWidth="1"/>
    <col min="6150" max="6150" width="6.5703125" style="8" customWidth="1"/>
    <col min="6151" max="6151" width="55.5703125" style="8" customWidth="1"/>
    <col min="6152" max="6153" width="12.42578125" style="8" customWidth="1"/>
    <col min="6154" max="6154" width="9.140625" style="8"/>
    <col min="6155" max="6155" width="3.42578125" style="8" customWidth="1"/>
    <col min="6156" max="6404" width="9.140625" style="8"/>
    <col min="6405" max="6405" width="3.42578125" style="8" customWidth="1"/>
    <col min="6406" max="6406" width="6.5703125" style="8" customWidth="1"/>
    <col min="6407" max="6407" width="55.5703125" style="8" customWidth="1"/>
    <col min="6408" max="6409" width="12.42578125" style="8" customWidth="1"/>
    <col min="6410" max="6410" width="9.140625" style="8"/>
    <col min="6411" max="6411" width="3.42578125" style="8" customWidth="1"/>
    <col min="6412" max="6660" width="9.140625" style="8"/>
    <col min="6661" max="6661" width="3.42578125" style="8" customWidth="1"/>
    <col min="6662" max="6662" width="6.5703125" style="8" customWidth="1"/>
    <col min="6663" max="6663" width="55.5703125" style="8" customWidth="1"/>
    <col min="6664" max="6665" width="12.42578125" style="8" customWidth="1"/>
    <col min="6666" max="6666" width="9.140625" style="8"/>
    <col min="6667" max="6667" width="3.42578125" style="8" customWidth="1"/>
    <col min="6668" max="6916" width="9.140625" style="8"/>
    <col min="6917" max="6917" width="3.42578125" style="8" customWidth="1"/>
    <col min="6918" max="6918" width="6.5703125" style="8" customWidth="1"/>
    <col min="6919" max="6919" width="55.5703125" style="8" customWidth="1"/>
    <col min="6920" max="6921" width="12.42578125" style="8" customWidth="1"/>
    <col min="6922" max="6922" width="9.140625" style="8"/>
    <col min="6923" max="6923" width="3.42578125" style="8" customWidth="1"/>
    <col min="6924" max="7172" width="9.140625" style="8"/>
    <col min="7173" max="7173" width="3.42578125" style="8" customWidth="1"/>
    <col min="7174" max="7174" width="6.5703125" style="8" customWidth="1"/>
    <col min="7175" max="7175" width="55.5703125" style="8" customWidth="1"/>
    <col min="7176" max="7177" width="12.42578125" style="8" customWidth="1"/>
    <col min="7178" max="7178" width="9.140625" style="8"/>
    <col min="7179" max="7179" width="3.42578125" style="8" customWidth="1"/>
    <col min="7180" max="7428" width="9.140625" style="8"/>
    <col min="7429" max="7429" width="3.42578125" style="8" customWidth="1"/>
    <col min="7430" max="7430" width="6.5703125" style="8" customWidth="1"/>
    <col min="7431" max="7431" width="55.5703125" style="8" customWidth="1"/>
    <col min="7432" max="7433" width="12.42578125" style="8" customWidth="1"/>
    <col min="7434" max="7434" width="9.140625" style="8"/>
    <col min="7435" max="7435" width="3.42578125" style="8" customWidth="1"/>
    <col min="7436" max="7684" width="9.140625" style="8"/>
    <col min="7685" max="7685" width="3.42578125" style="8" customWidth="1"/>
    <col min="7686" max="7686" width="6.5703125" style="8" customWidth="1"/>
    <col min="7687" max="7687" width="55.5703125" style="8" customWidth="1"/>
    <col min="7688" max="7689" width="12.42578125" style="8" customWidth="1"/>
    <col min="7690" max="7690" width="9.140625" style="8"/>
    <col min="7691" max="7691" width="3.42578125" style="8" customWidth="1"/>
    <col min="7692" max="7940" width="9.140625" style="8"/>
    <col min="7941" max="7941" width="3.42578125" style="8" customWidth="1"/>
    <col min="7942" max="7942" width="6.5703125" style="8" customWidth="1"/>
    <col min="7943" max="7943" width="55.5703125" style="8" customWidth="1"/>
    <col min="7944" max="7945" width="12.42578125" style="8" customWidth="1"/>
    <col min="7946" max="7946" width="9.140625" style="8"/>
    <col min="7947" max="7947" width="3.42578125" style="8" customWidth="1"/>
    <col min="7948" max="8196" width="9.140625" style="8"/>
    <col min="8197" max="8197" width="3.42578125" style="8" customWidth="1"/>
    <col min="8198" max="8198" width="6.5703125" style="8" customWidth="1"/>
    <col min="8199" max="8199" width="55.5703125" style="8" customWidth="1"/>
    <col min="8200" max="8201" width="12.42578125" style="8" customWidth="1"/>
    <col min="8202" max="8202" width="9.140625" style="8"/>
    <col min="8203" max="8203" width="3.42578125" style="8" customWidth="1"/>
    <col min="8204" max="8452" width="9.140625" style="8"/>
    <col min="8453" max="8453" width="3.42578125" style="8" customWidth="1"/>
    <col min="8454" max="8454" width="6.5703125" style="8" customWidth="1"/>
    <col min="8455" max="8455" width="55.5703125" style="8" customWidth="1"/>
    <col min="8456" max="8457" width="12.42578125" style="8" customWidth="1"/>
    <col min="8458" max="8458" width="9.140625" style="8"/>
    <col min="8459" max="8459" width="3.42578125" style="8" customWidth="1"/>
    <col min="8460" max="8708" width="9.140625" style="8"/>
    <col min="8709" max="8709" width="3.42578125" style="8" customWidth="1"/>
    <col min="8710" max="8710" width="6.5703125" style="8" customWidth="1"/>
    <col min="8711" max="8711" width="55.5703125" style="8" customWidth="1"/>
    <col min="8712" max="8713" width="12.42578125" style="8" customWidth="1"/>
    <col min="8714" max="8714" width="9.140625" style="8"/>
    <col min="8715" max="8715" width="3.42578125" style="8" customWidth="1"/>
    <col min="8716" max="8964" width="9.140625" style="8"/>
    <col min="8965" max="8965" width="3.42578125" style="8" customWidth="1"/>
    <col min="8966" max="8966" width="6.5703125" style="8" customWidth="1"/>
    <col min="8967" max="8967" width="55.5703125" style="8" customWidth="1"/>
    <col min="8968" max="8969" width="12.42578125" style="8" customWidth="1"/>
    <col min="8970" max="8970" width="9.140625" style="8"/>
    <col min="8971" max="8971" width="3.42578125" style="8" customWidth="1"/>
    <col min="8972" max="9220" width="9.140625" style="8"/>
    <col min="9221" max="9221" width="3.42578125" style="8" customWidth="1"/>
    <col min="9222" max="9222" width="6.5703125" style="8" customWidth="1"/>
    <col min="9223" max="9223" width="55.5703125" style="8" customWidth="1"/>
    <col min="9224" max="9225" width="12.42578125" style="8" customWidth="1"/>
    <col min="9226" max="9226" width="9.140625" style="8"/>
    <col min="9227" max="9227" width="3.42578125" style="8" customWidth="1"/>
    <col min="9228" max="9476" width="9.140625" style="8"/>
    <col min="9477" max="9477" width="3.42578125" style="8" customWidth="1"/>
    <col min="9478" max="9478" width="6.5703125" style="8" customWidth="1"/>
    <col min="9479" max="9479" width="55.5703125" style="8" customWidth="1"/>
    <col min="9480" max="9481" width="12.42578125" style="8" customWidth="1"/>
    <col min="9482" max="9482" width="9.140625" style="8"/>
    <col min="9483" max="9483" width="3.42578125" style="8" customWidth="1"/>
    <col min="9484" max="9732" width="9.140625" style="8"/>
    <col min="9733" max="9733" width="3.42578125" style="8" customWidth="1"/>
    <col min="9734" max="9734" width="6.5703125" style="8" customWidth="1"/>
    <col min="9735" max="9735" width="55.5703125" style="8" customWidth="1"/>
    <col min="9736" max="9737" width="12.42578125" style="8" customWidth="1"/>
    <col min="9738" max="9738" width="9.140625" style="8"/>
    <col min="9739" max="9739" width="3.42578125" style="8" customWidth="1"/>
    <col min="9740" max="9988" width="9.140625" style="8"/>
    <col min="9989" max="9989" width="3.42578125" style="8" customWidth="1"/>
    <col min="9990" max="9990" width="6.5703125" style="8" customWidth="1"/>
    <col min="9991" max="9991" width="55.5703125" style="8" customWidth="1"/>
    <col min="9992" max="9993" width="12.42578125" style="8" customWidth="1"/>
    <col min="9994" max="9994" width="9.140625" style="8"/>
    <col min="9995" max="9995" width="3.42578125" style="8" customWidth="1"/>
    <col min="9996" max="10244" width="9.140625" style="8"/>
    <col min="10245" max="10245" width="3.42578125" style="8" customWidth="1"/>
    <col min="10246" max="10246" width="6.5703125" style="8" customWidth="1"/>
    <col min="10247" max="10247" width="55.5703125" style="8" customWidth="1"/>
    <col min="10248" max="10249" width="12.42578125" style="8" customWidth="1"/>
    <col min="10250" max="10250" width="9.140625" style="8"/>
    <col min="10251" max="10251" width="3.42578125" style="8" customWidth="1"/>
    <col min="10252" max="10500" width="9.140625" style="8"/>
    <col min="10501" max="10501" width="3.42578125" style="8" customWidth="1"/>
    <col min="10502" max="10502" width="6.5703125" style="8" customWidth="1"/>
    <col min="10503" max="10503" width="55.5703125" style="8" customWidth="1"/>
    <col min="10504" max="10505" width="12.42578125" style="8" customWidth="1"/>
    <col min="10506" max="10506" width="9.140625" style="8"/>
    <col min="10507" max="10507" width="3.42578125" style="8" customWidth="1"/>
    <col min="10508" max="10756" width="9.140625" style="8"/>
    <col min="10757" max="10757" width="3.42578125" style="8" customWidth="1"/>
    <col min="10758" max="10758" width="6.5703125" style="8" customWidth="1"/>
    <col min="10759" max="10759" width="55.5703125" style="8" customWidth="1"/>
    <col min="10760" max="10761" width="12.42578125" style="8" customWidth="1"/>
    <col min="10762" max="10762" width="9.140625" style="8"/>
    <col min="10763" max="10763" width="3.42578125" style="8" customWidth="1"/>
    <col min="10764" max="11012" width="9.140625" style="8"/>
    <col min="11013" max="11013" width="3.42578125" style="8" customWidth="1"/>
    <col min="11014" max="11014" width="6.5703125" style="8" customWidth="1"/>
    <col min="11015" max="11015" width="55.5703125" style="8" customWidth="1"/>
    <col min="11016" max="11017" width="12.42578125" style="8" customWidth="1"/>
    <col min="11018" max="11018" width="9.140625" style="8"/>
    <col min="11019" max="11019" width="3.42578125" style="8" customWidth="1"/>
    <col min="11020" max="11268" width="9.140625" style="8"/>
    <col min="11269" max="11269" width="3.42578125" style="8" customWidth="1"/>
    <col min="11270" max="11270" width="6.5703125" style="8" customWidth="1"/>
    <col min="11271" max="11271" width="55.5703125" style="8" customWidth="1"/>
    <col min="11272" max="11273" width="12.42578125" style="8" customWidth="1"/>
    <col min="11274" max="11274" width="9.140625" style="8"/>
    <col min="11275" max="11275" width="3.42578125" style="8" customWidth="1"/>
    <col min="11276" max="11524" width="9.140625" style="8"/>
    <col min="11525" max="11525" width="3.42578125" style="8" customWidth="1"/>
    <col min="11526" max="11526" width="6.5703125" style="8" customWidth="1"/>
    <col min="11527" max="11527" width="55.5703125" style="8" customWidth="1"/>
    <col min="11528" max="11529" width="12.42578125" style="8" customWidth="1"/>
    <col min="11530" max="11530" width="9.140625" style="8"/>
    <col min="11531" max="11531" width="3.42578125" style="8" customWidth="1"/>
    <col min="11532" max="11780" width="9.140625" style="8"/>
    <col min="11781" max="11781" width="3.42578125" style="8" customWidth="1"/>
    <col min="11782" max="11782" width="6.5703125" style="8" customWidth="1"/>
    <col min="11783" max="11783" width="55.5703125" style="8" customWidth="1"/>
    <col min="11784" max="11785" width="12.42578125" style="8" customWidth="1"/>
    <col min="11786" max="11786" width="9.140625" style="8"/>
    <col min="11787" max="11787" width="3.42578125" style="8" customWidth="1"/>
    <col min="11788" max="12036" width="9.140625" style="8"/>
    <col min="12037" max="12037" width="3.42578125" style="8" customWidth="1"/>
    <col min="12038" max="12038" width="6.5703125" style="8" customWidth="1"/>
    <col min="12039" max="12039" width="55.5703125" style="8" customWidth="1"/>
    <col min="12040" max="12041" width="12.42578125" style="8" customWidth="1"/>
    <col min="12042" max="12042" width="9.140625" style="8"/>
    <col min="12043" max="12043" width="3.42578125" style="8" customWidth="1"/>
    <col min="12044" max="12292" width="9.140625" style="8"/>
    <col min="12293" max="12293" width="3.42578125" style="8" customWidth="1"/>
    <col min="12294" max="12294" width="6.5703125" style="8" customWidth="1"/>
    <col min="12295" max="12295" width="55.5703125" style="8" customWidth="1"/>
    <col min="12296" max="12297" width="12.42578125" style="8" customWidth="1"/>
    <col min="12298" max="12298" width="9.140625" style="8"/>
    <col min="12299" max="12299" width="3.42578125" style="8" customWidth="1"/>
    <col min="12300" max="12548" width="9.140625" style="8"/>
    <col min="12549" max="12549" width="3.42578125" style="8" customWidth="1"/>
    <col min="12550" max="12550" width="6.5703125" style="8" customWidth="1"/>
    <col min="12551" max="12551" width="55.5703125" style="8" customWidth="1"/>
    <col min="12552" max="12553" width="12.42578125" style="8" customWidth="1"/>
    <col min="12554" max="12554" width="9.140625" style="8"/>
    <col min="12555" max="12555" width="3.42578125" style="8" customWidth="1"/>
    <col min="12556" max="12804" width="9.140625" style="8"/>
    <col min="12805" max="12805" width="3.42578125" style="8" customWidth="1"/>
    <col min="12806" max="12806" width="6.5703125" style="8" customWidth="1"/>
    <col min="12807" max="12807" width="55.5703125" style="8" customWidth="1"/>
    <col min="12808" max="12809" width="12.42578125" style="8" customWidth="1"/>
    <col min="12810" max="12810" width="9.140625" style="8"/>
    <col min="12811" max="12811" width="3.42578125" style="8" customWidth="1"/>
    <col min="12812" max="13060" width="9.140625" style="8"/>
    <col min="13061" max="13061" width="3.42578125" style="8" customWidth="1"/>
    <col min="13062" max="13062" width="6.5703125" style="8" customWidth="1"/>
    <col min="13063" max="13063" width="55.5703125" style="8" customWidth="1"/>
    <col min="13064" max="13065" width="12.42578125" style="8" customWidth="1"/>
    <col min="13066" max="13066" width="9.140625" style="8"/>
    <col min="13067" max="13067" width="3.42578125" style="8" customWidth="1"/>
    <col min="13068" max="13316" width="9.140625" style="8"/>
    <col min="13317" max="13317" width="3.42578125" style="8" customWidth="1"/>
    <col min="13318" max="13318" width="6.5703125" style="8" customWidth="1"/>
    <col min="13319" max="13319" width="55.5703125" style="8" customWidth="1"/>
    <col min="13320" max="13321" width="12.42578125" style="8" customWidth="1"/>
    <col min="13322" max="13322" width="9.140625" style="8"/>
    <col min="13323" max="13323" width="3.42578125" style="8" customWidth="1"/>
    <col min="13324" max="13572" width="9.140625" style="8"/>
    <col min="13573" max="13573" width="3.42578125" style="8" customWidth="1"/>
    <col min="13574" max="13574" width="6.5703125" style="8" customWidth="1"/>
    <col min="13575" max="13575" width="55.5703125" style="8" customWidth="1"/>
    <col min="13576" max="13577" width="12.42578125" style="8" customWidth="1"/>
    <col min="13578" max="13578" width="9.140625" style="8"/>
    <col min="13579" max="13579" width="3.42578125" style="8" customWidth="1"/>
    <col min="13580" max="13828" width="9.140625" style="8"/>
    <col min="13829" max="13829" width="3.42578125" style="8" customWidth="1"/>
    <col min="13830" max="13830" width="6.5703125" style="8" customWidth="1"/>
    <col min="13831" max="13831" width="55.5703125" style="8" customWidth="1"/>
    <col min="13832" max="13833" width="12.42578125" style="8" customWidth="1"/>
    <col min="13834" max="13834" width="9.140625" style="8"/>
    <col min="13835" max="13835" width="3.42578125" style="8" customWidth="1"/>
    <col min="13836" max="14084" width="9.140625" style="8"/>
    <col min="14085" max="14085" width="3.42578125" style="8" customWidth="1"/>
    <col min="14086" max="14086" width="6.5703125" style="8" customWidth="1"/>
    <col min="14087" max="14087" width="55.5703125" style="8" customWidth="1"/>
    <col min="14088" max="14089" width="12.42578125" style="8" customWidth="1"/>
    <col min="14090" max="14090" width="9.140625" style="8"/>
    <col min="14091" max="14091" width="3.42578125" style="8" customWidth="1"/>
    <col min="14092" max="14340" width="9.140625" style="8"/>
    <col min="14341" max="14341" width="3.42578125" style="8" customWidth="1"/>
    <col min="14342" max="14342" width="6.5703125" style="8" customWidth="1"/>
    <col min="14343" max="14343" width="55.5703125" style="8" customWidth="1"/>
    <col min="14344" max="14345" width="12.42578125" style="8" customWidth="1"/>
    <col min="14346" max="14346" width="9.140625" style="8"/>
    <col min="14347" max="14347" width="3.42578125" style="8" customWidth="1"/>
    <col min="14348" max="14596" width="9.140625" style="8"/>
    <col min="14597" max="14597" width="3.42578125" style="8" customWidth="1"/>
    <col min="14598" max="14598" width="6.5703125" style="8" customWidth="1"/>
    <col min="14599" max="14599" width="55.5703125" style="8" customWidth="1"/>
    <col min="14600" max="14601" width="12.42578125" style="8" customWidth="1"/>
    <col min="14602" max="14602" width="9.140625" style="8"/>
    <col min="14603" max="14603" width="3.42578125" style="8" customWidth="1"/>
    <col min="14604" max="14852" width="9.140625" style="8"/>
    <col min="14853" max="14853" width="3.42578125" style="8" customWidth="1"/>
    <col min="14854" max="14854" width="6.5703125" style="8" customWidth="1"/>
    <col min="14855" max="14855" width="55.5703125" style="8" customWidth="1"/>
    <col min="14856" max="14857" width="12.42578125" style="8" customWidth="1"/>
    <col min="14858" max="14858" width="9.140625" style="8"/>
    <col min="14859" max="14859" width="3.42578125" style="8" customWidth="1"/>
    <col min="14860" max="15108" width="9.140625" style="8"/>
    <col min="15109" max="15109" width="3.42578125" style="8" customWidth="1"/>
    <col min="15110" max="15110" width="6.5703125" style="8" customWidth="1"/>
    <col min="15111" max="15111" width="55.5703125" style="8" customWidth="1"/>
    <col min="15112" max="15113" width="12.42578125" style="8" customWidth="1"/>
    <col min="15114" max="15114" width="9.140625" style="8"/>
    <col min="15115" max="15115" width="3.42578125" style="8" customWidth="1"/>
    <col min="15116" max="15364" width="9.140625" style="8"/>
    <col min="15365" max="15365" width="3.42578125" style="8" customWidth="1"/>
    <col min="15366" max="15366" width="6.5703125" style="8" customWidth="1"/>
    <col min="15367" max="15367" width="55.5703125" style="8" customWidth="1"/>
    <col min="15368" max="15369" width="12.42578125" style="8" customWidth="1"/>
    <col min="15370" max="15370" width="9.140625" style="8"/>
    <col min="15371" max="15371" width="3.42578125" style="8" customWidth="1"/>
    <col min="15372" max="15620" width="9.140625" style="8"/>
    <col min="15621" max="15621" width="3.42578125" style="8" customWidth="1"/>
    <col min="15622" max="15622" width="6.5703125" style="8" customWidth="1"/>
    <col min="15623" max="15623" width="55.5703125" style="8" customWidth="1"/>
    <col min="15624" max="15625" width="12.42578125" style="8" customWidth="1"/>
    <col min="15626" max="15626" width="9.140625" style="8"/>
    <col min="15627" max="15627" width="3.42578125" style="8" customWidth="1"/>
    <col min="15628" max="15876" width="9.140625" style="8"/>
    <col min="15877" max="15877" width="3.42578125" style="8" customWidth="1"/>
    <col min="15878" max="15878" width="6.5703125" style="8" customWidth="1"/>
    <col min="15879" max="15879" width="55.5703125" style="8" customWidth="1"/>
    <col min="15880" max="15881" width="12.42578125" style="8" customWidth="1"/>
    <col min="15882" max="15882" width="9.140625" style="8"/>
    <col min="15883" max="15883" width="3.42578125" style="8" customWidth="1"/>
    <col min="15884" max="16132" width="9.140625" style="8"/>
    <col min="16133" max="16133" width="3.42578125" style="8" customWidth="1"/>
    <col min="16134" max="16134" width="6.5703125" style="8" customWidth="1"/>
    <col min="16135" max="16135" width="55.5703125" style="8" customWidth="1"/>
    <col min="16136" max="16137" width="12.42578125" style="8" customWidth="1"/>
    <col min="16138" max="16138" width="9.140625" style="8"/>
    <col min="16139" max="16139" width="3.42578125" style="8" customWidth="1"/>
    <col min="16140" max="16384" width="9.140625" style="8"/>
  </cols>
  <sheetData>
    <row r="1" spans="1:26" s="1" customFormat="1" ht="45" customHeight="1">
      <c r="A1" s="598" t="s">
        <v>1295</v>
      </c>
      <c r="B1" s="599"/>
      <c r="C1" s="599"/>
      <c r="D1" s="599"/>
      <c r="E1" s="599"/>
      <c r="F1" s="599"/>
      <c r="G1" s="599"/>
      <c r="H1" s="599"/>
      <c r="I1" s="599"/>
      <c r="J1" s="600"/>
    </row>
    <row r="2" spans="1:26" s="1" customFormat="1" ht="15.75">
      <c r="A2" s="122"/>
      <c r="B2" s="541"/>
      <c r="C2" s="541"/>
      <c r="D2" s="541"/>
      <c r="E2" s="541"/>
      <c r="F2" s="541"/>
      <c r="G2" s="541"/>
      <c r="H2" s="541"/>
      <c r="I2" s="541"/>
      <c r="J2" s="123"/>
    </row>
    <row r="3" spans="1:26" s="1" customFormat="1" ht="15.75">
      <c r="A3" s="122"/>
      <c r="B3" s="30"/>
      <c r="C3" s="30"/>
      <c r="D3" s="30"/>
      <c r="E3" s="30"/>
      <c r="F3" s="30"/>
      <c r="G3" s="30"/>
      <c r="H3" s="30"/>
      <c r="I3" s="30"/>
      <c r="J3" s="123"/>
    </row>
    <row r="4" spans="1:26" s="1" customFormat="1" ht="15.75">
      <c r="A4" s="122"/>
      <c r="B4" s="30"/>
      <c r="C4" s="30"/>
      <c r="D4" s="30"/>
      <c r="E4" s="30"/>
      <c r="F4" s="30"/>
      <c r="G4" s="30"/>
      <c r="H4" s="30"/>
      <c r="I4" s="30"/>
      <c r="J4" s="123"/>
    </row>
    <row r="5" spans="1:26" s="1" customFormat="1" ht="15.75">
      <c r="A5" s="122"/>
      <c r="B5" s="30"/>
      <c r="C5" s="30"/>
      <c r="D5" s="30"/>
      <c r="E5" s="30"/>
      <c r="F5" s="30"/>
      <c r="G5" s="30"/>
      <c r="H5" s="30"/>
      <c r="I5" s="30"/>
      <c r="J5" s="123"/>
    </row>
    <row r="6" spans="1:26" s="1" customFormat="1" ht="15.75">
      <c r="A6" s="122"/>
      <c r="B6" s="30"/>
      <c r="C6" s="30"/>
      <c r="D6" s="30"/>
      <c r="E6" s="30"/>
      <c r="F6" s="30"/>
      <c r="G6" s="30"/>
      <c r="H6" s="30"/>
      <c r="I6" s="30"/>
      <c r="J6" s="123"/>
    </row>
    <row r="7" spans="1:26" s="1" customFormat="1" ht="15.75">
      <c r="A7" s="122"/>
      <c r="B7" s="30"/>
      <c r="C7" s="30"/>
      <c r="D7" s="30"/>
      <c r="E7" s="30"/>
      <c r="F7" s="30"/>
      <c r="G7" s="30"/>
      <c r="H7" s="30"/>
      <c r="I7" s="30"/>
      <c r="J7" s="123"/>
    </row>
    <row r="8" spans="1:26" s="1" customFormat="1" ht="15.75">
      <c r="A8" s="122"/>
      <c r="B8" s="30"/>
      <c r="C8" s="30"/>
      <c r="D8" s="30"/>
      <c r="E8" s="30"/>
      <c r="F8" s="30"/>
      <c r="G8" s="30"/>
      <c r="H8" s="30"/>
      <c r="I8" s="30"/>
      <c r="J8" s="123"/>
    </row>
    <row r="9" spans="1:26" s="6" customFormat="1" ht="15" customHeight="1">
      <c r="A9" s="124"/>
      <c r="B9" s="12"/>
      <c r="C9" s="12"/>
      <c r="D9" s="12"/>
      <c r="E9" s="12"/>
      <c r="F9" s="12"/>
      <c r="G9" s="12"/>
      <c r="H9" s="12"/>
      <c r="I9" s="12"/>
      <c r="J9" s="125"/>
      <c r="K9" s="4"/>
      <c r="L9" s="4"/>
      <c r="M9" s="4"/>
      <c r="N9" s="4"/>
      <c r="O9" s="4"/>
      <c r="P9" s="4"/>
      <c r="Q9" s="4"/>
      <c r="R9" s="4"/>
      <c r="S9" s="4"/>
      <c r="T9" s="5"/>
      <c r="U9" s="5"/>
      <c r="V9" s="5"/>
      <c r="W9" s="5"/>
      <c r="X9" s="5"/>
      <c r="Y9" s="5"/>
      <c r="Z9" s="5"/>
    </row>
    <row r="10" spans="1:26" s="1" customFormat="1" ht="15" customHeight="1">
      <c r="A10" s="124"/>
      <c r="B10" s="12"/>
      <c r="C10" s="12"/>
      <c r="D10" s="12"/>
      <c r="E10" s="12"/>
      <c r="F10" s="12"/>
      <c r="G10" s="12"/>
      <c r="H10" s="12"/>
      <c r="I10" s="12"/>
      <c r="J10" s="125"/>
    </row>
    <row r="11" spans="1:26" s="1" customFormat="1" ht="15" customHeight="1">
      <c r="A11" s="124"/>
      <c r="B11" s="12"/>
      <c r="C11" s="12"/>
      <c r="D11" s="12"/>
      <c r="E11" s="12"/>
      <c r="F11" s="12"/>
      <c r="G11" s="12"/>
      <c r="H11" s="12"/>
      <c r="I11" s="12"/>
      <c r="J11" s="125"/>
    </row>
    <row r="12" spans="1:26" s="1" customFormat="1" ht="15" customHeight="1">
      <c r="A12" s="124"/>
      <c r="B12" s="12"/>
      <c r="C12" s="12"/>
      <c r="D12" s="12"/>
      <c r="E12" s="12"/>
      <c r="F12" s="12"/>
      <c r="G12" s="12"/>
      <c r="H12" s="12"/>
      <c r="I12" s="12"/>
      <c r="J12" s="125"/>
    </row>
    <row r="13" spans="1:26" s="1" customFormat="1" ht="15.75">
      <c r="A13" s="122"/>
      <c r="B13" s="30"/>
      <c r="C13" s="30"/>
      <c r="D13" s="30"/>
      <c r="E13" s="30"/>
      <c r="F13" s="30"/>
      <c r="G13" s="30"/>
      <c r="H13" s="30"/>
      <c r="I13" s="30"/>
      <c r="J13" s="123"/>
    </row>
    <row r="14" spans="1:26" s="1" customFormat="1" ht="15.75">
      <c r="A14" s="122"/>
      <c r="B14" s="30"/>
      <c r="C14" s="30"/>
      <c r="D14" s="30"/>
      <c r="E14" s="30"/>
      <c r="F14" s="30"/>
      <c r="G14" s="30"/>
      <c r="H14" s="30"/>
      <c r="I14" s="30"/>
      <c r="J14" s="123"/>
    </row>
    <row r="15" spans="1:26" s="1" customFormat="1" ht="15.75">
      <c r="A15" s="122"/>
      <c r="B15" s="30"/>
      <c r="C15" s="30"/>
      <c r="D15" s="30"/>
      <c r="E15" s="30"/>
      <c r="F15" s="30"/>
      <c r="G15" s="30"/>
      <c r="H15" s="30"/>
      <c r="I15" s="30"/>
      <c r="J15" s="123"/>
    </row>
    <row r="16" spans="1:26" s="1" customFormat="1" ht="15.75">
      <c r="A16" s="122"/>
      <c r="B16" s="30"/>
      <c r="C16" s="30"/>
      <c r="D16" s="30"/>
      <c r="E16" s="30"/>
      <c r="F16" s="30"/>
      <c r="G16" s="30"/>
      <c r="H16" s="30"/>
      <c r="I16" s="30"/>
      <c r="J16" s="123"/>
    </row>
    <row r="17" spans="1:26" s="1" customFormat="1" ht="15.75">
      <c r="A17" s="122"/>
      <c r="B17" s="30"/>
      <c r="C17" s="30"/>
      <c r="D17" s="30"/>
      <c r="E17" s="30"/>
      <c r="F17" s="30"/>
      <c r="G17" s="30"/>
      <c r="H17" s="30"/>
      <c r="I17" s="30"/>
      <c r="J17" s="123"/>
    </row>
    <row r="18" spans="1:26" s="1" customFormat="1" ht="15.75">
      <c r="A18" s="122"/>
      <c r="B18" s="30"/>
      <c r="C18" s="30"/>
      <c r="D18" s="30"/>
      <c r="E18" s="30"/>
      <c r="F18" s="30"/>
      <c r="G18" s="30"/>
      <c r="H18" s="30"/>
      <c r="I18" s="30"/>
      <c r="J18" s="123"/>
    </row>
    <row r="19" spans="1:26" s="1" customFormat="1" ht="15.75">
      <c r="A19" s="122"/>
      <c r="B19" s="30"/>
      <c r="C19" s="30"/>
      <c r="D19" s="30"/>
      <c r="E19" s="30"/>
      <c r="F19" s="30"/>
      <c r="G19" s="30"/>
      <c r="H19" s="30"/>
      <c r="I19" s="30"/>
      <c r="J19" s="123"/>
    </row>
    <row r="20" spans="1:26" s="1" customFormat="1">
      <c r="A20" s="126"/>
      <c r="B20" s="28"/>
      <c r="C20" s="28"/>
      <c r="D20" s="28"/>
      <c r="E20" s="28"/>
      <c r="F20" s="28"/>
      <c r="G20" s="28"/>
      <c r="H20" s="28"/>
      <c r="I20" s="28"/>
      <c r="J20" s="127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1" customFormat="1" ht="69.75" customHeight="1">
      <c r="A21" s="126"/>
      <c r="B21" s="542" t="s">
        <v>1296</v>
      </c>
      <c r="C21" s="542"/>
      <c r="D21" s="542"/>
      <c r="E21" s="542"/>
      <c r="F21" s="542"/>
      <c r="G21" s="542"/>
      <c r="H21" s="542"/>
      <c r="I21" s="542"/>
      <c r="J21" s="127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1" customFormat="1" ht="15" customHeight="1">
      <c r="A22" s="126"/>
      <c r="B22" s="543"/>
      <c r="C22" s="543"/>
      <c r="D22" s="543"/>
      <c r="E22" s="543"/>
      <c r="F22" s="543"/>
      <c r="G22" s="543"/>
      <c r="H22" s="543"/>
      <c r="I22" s="543"/>
      <c r="J22" s="127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1" customFormat="1" ht="15" customHeight="1">
      <c r="A23" s="126"/>
      <c r="B23" s="544"/>
      <c r="C23" s="544"/>
      <c r="D23" s="544"/>
      <c r="E23" s="544"/>
      <c r="F23" s="544"/>
      <c r="G23" s="544"/>
      <c r="H23" s="544"/>
      <c r="I23" s="544"/>
      <c r="J23" s="12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1" customFormat="1" ht="15" customHeight="1">
      <c r="A24" s="126"/>
      <c r="B24" s="544"/>
      <c r="C24" s="544"/>
      <c r="D24" s="544"/>
      <c r="E24" s="544"/>
      <c r="F24" s="544"/>
      <c r="G24" s="544"/>
      <c r="H24" s="544"/>
      <c r="I24" s="544"/>
      <c r="J24" s="127"/>
      <c r="K24" s="2"/>
      <c r="L24" s="2"/>
      <c r="M24" s="2"/>
      <c r="N24" s="2"/>
      <c r="O24" s="2"/>
      <c r="P24" s="2"/>
      <c r="Q24" s="2"/>
      <c r="R24" s="2"/>
      <c r="S24" s="2"/>
      <c r="T24" s="3"/>
      <c r="U24" s="3"/>
      <c r="V24" s="3"/>
      <c r="W24" s="3"/>
      <c r="X24" s="3"/>
      <c r="Y24" s="3"/>
      <c r="Z24" s="3"/>
    </row>
    <row r="25" spans="1:26" s="1" customFormat="1" ht="15" customHeight="1">
      <c r="A25" s="126"/>
      <c r="B25" s="544"/>
      <c r="C25" s="544"/>
      <c r="D25" s="544"/>
      <c r="E25" s="544"/>
      <c r="F25" s="544"/>
      <c r="G25" s="544"/>
      <c r="H25" s="544"/>
      <c r="I25" s="544"/>
      <c r="J25" s="127"/>
      <c r="K25" s="2"/>
      <c r="L25" s="2"/>
      <c r="M25" s="2"/>
      <c r="N25" s="2"/>
      <c r="O25" s="2"/>
      <c r="P25" s="2"/>
      <c r="Q25" s="2"/>
      <c r="R25" s="2"/>
      <c r="S25" s="2"/>
      <c r="T25" s="3"/>
      <c r="U25" s="3"/>
      <c r="V25" s="3"/>
      <c r="W25" s="3"/>
      <c r="X25" s="3"/>
      <c r="Y25" s="3"/>
      <c r="Z25" s="3"/>
    </row>
    <row r="26" spans="1:26" s="1" customFormat="1" ht="15" customHeight="1">
      <c r="A26" s="126"/>
      <c r="B26" s="12"/>
      <c r="C26" s="12"/>
      <c r="D26" s="12"/>
      <c r="E26" s="12"/>
      <c r="F26" s="12"/>
      <c r="G26" s="12"/>
      <c r="H26" s="12"/>
      <c r="I26" s="12"/>
      <c r="J26" s="127"/>
      <c r="K26" s="2"/>
      <c r="L26" s="2"/>
      <c r="M26" s="2"/>
      <c r="N26" s="2"/>
      <c r="O26" s="2"/>
      <c r="P26" s="2"/>
      <c r="Q26" s="2"/>
      <c r="R26" s="2"/>
      <c r="S26" s="2"/>
      <c r="T26" s="3"/>
      <c r="U26" s="3"/>
      <c r="V26" s="3"/>
      <c r="W26" s="3"/>
      <c r="X26" s="3"/>
      <c r="Y26" s="3"/>
      <c r="Z26" s="3"/>
    </row>
    <row r="27" spans="1:26" s="1" customFormat="1" ht="15" customHeight="1">
      <c r="A27" s="126"/>
      <c r="B27" s="544"/>
      <c r="C27" s="544"/>
      <c r="D27" s="544"/>
      <c r="E27" s="544"/>
      <c r="F27" s="544"/>
      <c r="G27" s="544"/>
      <c r="H27" s="544"/>
      <c r="I27" s="544"/>
      <c r="J27" s="127"/>
      <c r="K27" s="2"/>
      <c r="L27" s="2"/>
      <c r="M27" s="2"/>
      <c r="N27" s="2"/>
      <c r="O27" s="2"/>
      <c r="P27" s="2"/>
      <c r="Q27" s="2"/>
      <c r="R27" s="2"/>
      <c r="S27" s="2"/>
      <c r="T27" s="3"/>
      <c r="U27" s="3"/>
      <c r="V27" s="3"/>
      <c r="W27" s="3"/>
      <c r="X27" s="3"/>
      <c r="Y27" s="3"/>
      <c r="Z27" s="3"/>
    </row>
    <row r="28" spans="1:26" s="6" customFormat="1" ht="15" customHeight="1">
      <c r="A28" s="124"/>
      <c r="B28" s="544"/>
      <c r="C28" s="544"/>
      <c r="D28" s="544"/>
      <c r="E28" s="544"/>
      <c r="F28" s="544"/>
      <c r="G28" s="544"/>
      <c r="H28" s="544"/>
      <c r="I28" s="544"/>
      <c r="J28" s="125"/>
      <c r="K28" s="4"/>
      <c r="L28" s="4"/>
      <c r="M28" s="4"/>
      <c r="N28" s="4"/>
      <c r="O28" s="4"/>
      <c r="P28" s="4"/>
      <c r="Q28" s="4"/>
      <c r="R28" s="4"/>
      <c r="S28" s="4"/>
      <c r="T28" s="5"/>
      <c r="U28" s="5"/>
      <c r="V28" s="5"/>
      <c r="W28" s="5"/>
      <c r="X28" s="5"/>
      <c r="Y28" s="5"/>
      <c r="Z28" s="5"/>
    </row>
    <row r="29" spans="1:26" s="6" customFormat="1" ht="15" customHeight="1">
      <c r="A29" s="124"/>
      <c r="B29" s="544"/>
      <c r="C29" s="544"/>
      <c r="D29" s="544"/>
      <c r="E29" s="544"/>
      <c r="F29" s="544"/>
      <c r="G29" s="544"/>
      <c r="H29" s="544"/>
      <c r="I29" s="544"/>
      <c r="J29" s="125"/>
      <c r="K29" s="4"/>
      <c r="L29" s="4"/>
      <c r="M29" s="5"/>
      <c r="N29" s="4"/>
      <c r="O29" s="5"/>
      <c r="P29" s="4"/>
      <c r="Q29" s="4"/>
      <c r="R29" s="4"/>
      <c r="S29" s="4"/>
      <c r="T29" s="4"/>
      <c r="U29" s="5"/>
      <c r="V29" s="5"/>
      <c r="W29" s="5"/>
      <c r="X29" s="5"/>
      <c r="Y29" s="5"/>
      <c r="Z29" s="5"/>
    </row>
    <row r="30" spans="1:26" s="6" customFormat="1" ht="15" customHeight="1">
      <c r="A30" s="124"/>
      <c r="B30" s="12"/>
      <c r="C30" s="12"/>
      <c r="D30" s="12"/>
      <c r="E30" s="12"/>
      <c r="F30" s="80"/>
      <c r="G30" s="12"/>
      <c r="H30" s="81"/>
      <c r="I30" s="12"/>
      <c r="J30" s="125"/>
      <c r="K30" s="4"/>
      <c r="L30" s="4"/>
      <c r="M30" s="4"/>
      <c r="N30" s="4"/>
      <c r="O30" s="4"/>
      <c r="P30" s="4"/>
      <c r="Q30" s="4"/>
      <c r="R30" s="4"/>
      <c r="S30" s="4"/>
      <c r="T30" s="5"/>
      <c r="U30" s="5"/>
      <c r="V30" s="5"/>
      <c r="W30" s="5"/>
      <c r="X30" s="5"/>
      <c r="Y30" s="5"/>
      <c r="Z30" s="5"/>
    </row>
    <row r="31" spans="1:26" s="6" customFormat="1" ht="15" customHeight="1">
      <c r="A31" s="124"/>
      <c r="B31" s="12"/>
      <c r="C31" s="12"/>
      <c r="D31" s="12"/>
      <c r="E31" s="12"/>
      <c r="F31" s="12"/>
      <c r="G31" s="12"/>
      <c r="H31" s="12"/>
      <c r="I31" s="12"/>
      <c r="J31" s="125"/>
      <c r="K31" s="4"/>
      <c r="L31" s="4"/>
      <c r="M31" s="4"/>
      <c r="N31" s="4"/>
      <c r="O31" s="4"/>
      <c r="P31" s="4"/>
      <c r="Q31" s="4"/>
      <c r="R31" s="4"/>
      <c r="S31" s="4"/>
      <c r="T31" s="5"/>
      <c r="U31" s="5"/>
      <c r="V31" s="5"/>
      <c r="W31" s="5"/>
      <c r="X31" s="5"/>
      <c r="Y31" s="5"/>
      <c r="Z31" s="5"/>
    </row>
    <row r="32" spans="1:26" s="6" customFormat="1" ht="15" customHeight="1">
      <c r="A32" s="124"/>
      <c r="B32" s="12"/>
      <c r="C32" s="12"/>
      <c r="D32" s="12"/>
      <c r="E32" s="12"/>
      <c r="F32" s="12"/>
      <c r="G32" s="12"/>
      <c r="H32" s="12"/>
      <c r="I32" s="12"/>
      <c r="J32" s="125"/>
      <c r="K32" s="4"/>
      <c r="L32" s="4"/>
      <c r="M32" s="4"/>
      <c r="N32" s="4"/>
      <c r="O32" s="4"/>
      <c r="P32" s="4"/>
      <c r="Q32" s="4"/>
      <c r="R32" s="4"/>
      <c r="S32" s="4"/>
      <c r="T32" s="5"/>
      <c r="U32" s="5"/>
      <c r="V32" s="5"/>
      <c r="W32" s="5"/>
      <c r="X32" s="5"/>
      <c r="Y32" s="5"/>
      <c r="Z32" s="5"/>
    </row>
    <row r="33" spans="1:26" s="6" customFormat="1" ht="15" customHeight="1">
      <c r="A33" s="124"/>
      <c r="B33" s="12"/>
      <c r="C33" s="12"/>
      <c r="D33" s="12"/>
      <c r="E33" s="12"/>
      <c r="F33" s="12"/>
      <c r="G33" s="12"/>
      <c r="H33" s="12"/>
      <c r="I33" s="12"/>
      <c r="J33" s="125"/>
      <c r="K33" s="4"/>
      <c r="L33" s="4"/>
      <c r="M33" s="4"/>
      <c r="N33" s="4"/>
      <c r="O33" s="4"/>
      <c r="P33" s="4"/>
      <c r="Q33" s="4"/>
      <c r="R33" s="4"/>
      <c r="S33" s="4"/>
      <c r="T33" s="5"/>
      <c r="U33" s="5"/>
      <c r="V33" s="5"/>
      <c r="W33" s="5"/>
      <c r="X33" s="5"/>
      <c r="Y33" s="5"/>
      <c r="Z33" s="5"/>
    </row>
    <row r="34" spans="1:26" s="6" customFormat="1" ht="15" customHeight="1">
      <c r="A34" s="124"/>
      <c r="B34" s="12"/>
      <c r="C34" s="12"/>
      <c r="D34" s="12"/>
      <c r="E34" s="12"/>
      <c r="F34" s="12"/>
      <c r="G34" s="12"/>
      <c r="H34" s="12"/>
      <c r="I34" s="12"/>
      <c r="J34" s="125"/>
      <c r="K34" s="4"/>
      <c r="L34" s="4"/>
      <c r="M34" s="4"/>
      <c r="N34" s="4"/>
      <c r="O34" s="4"/>
      <c r="P34" s="4"/>
      <c r="Q34" s="4"/>
      <c r="R34" s="4"/>
      <c r="S34" s="4"/>
      <c r="T34" s="5"/>
      <c r="U34" s="5"/>
      <c r="V34" s="5"/>
      <c r="W34" s="5"/>
      <c r="X34" s="5"/>
      <c r="Y34" s="5"/>
      <c r="Z34" s="5"/>
    </row>
    <row r="35" spans="1:26" s="6" customFormat="1" ht="15" customHeight="1">
      <c r="A35" s="124"/>
      <c r="B35" s="12"/>
      <c r="C35" s="12"/>
      <c r="D35" s="12"/>
      <c r="E35" s="12"/>
      <c r="F35" s="12"/>
      <c r="G35" s="12"/>
      <c r="H35" s="12"/>
      <c r="I35" s="12"/>
      <c r="J35" s="125"/>
      <c r="K35" s="4"/>
      <c r="L35" s="4"/>
      <c r="M35" s="4"/>
      <c r="N35" s="4"/>
      <c r="O35" s="4"/>
      <c r="P35" s="4"/>
      <c r="Q35" s="4"/>
      <c r="R35" s="4"/>
      <c r="S35" s="4"/>
      <c r="T35" s="5"/>
      <c r="U35" s="5"/>
      <c r="V35" s="5"/>
      <c r="W35" s="5"/>
      <c r="X35" s="5"/>
      <c r="Y35" s="5"/>
      <c r="Z35" s="5"/>
    </row>
    <row r="36" spans="1:26" s="6" customFormat="1" ht="15" customHeight="1">
      <c r="A36" s="124"/>
      <c r="B36" s="12"/>
      <c r="C36" s="12"/>
      <c r="D36" s="12"/>
      <c r="E36" s="12"/>
      <c r="F36" s="12"/>
      <c r="G36" s="12"/>
      <c r="H36" s="12"/>
      <c r="I36" s="12"/>
      <c r="J36" s="125"/>
      <c r="K36" s="4"/>
      <c r="L36" s="4"/>
      <c r="M36" s="4"/>
      <c r="N36" s="4"/>
      <c r="O36" s="4"/>
      <c r="P36" s="4"/>
      <c r="Q36" s="4"/>
      <c r="R36" s="4"/>
      <c r="S36" s="4"/>
      <c r="T36" s="5"/>
      <c r="U36" s="5"/>
      <c r="V36" s="5"/>
      <c r="W36" s="5"/>
      <c r="X36" s="5"/>
      <c r="Y36" s="5"/>
      <c r="Z36" s="5"/>
    </row>
    <row r="37" spans="1:26" s="6" customFormat="1" ht="15" customHeight="1">
      <c r="A37" s="124"/>
      <c r="B37" s="12"/>
      <c r="C37" s="12"/>
      <c r="D37" s="12"/>
      <c r="E37" s="12"/>
      <c r="F37" s="12"/>
      <c r="G37" s="12"/>
      <c r="H37" s="12"/>
      <c r="I37" s="12"/>
      <c r="J37" s="125"/>
      <c r="K37" s="4"/>
      <c r="L37" s="4"/>
      <c r="M37" s="4"/>
      <c r="N37" s="4"/>
      <c r="O37" s="4"/>
      <c r="P37" s="4"/>
      <c r="Q37" s="4"/>
      <c r="R37" s="4"/>
      <c r="S37" s="4"/>
      <c r="T37" s="5"/>
      <c r="U37" s="5"/>
      <c r="V37" s="5"/>
      <c r="W37" s="5"/>
      <c r="X37" s="5"/>
      <c r="Y37" s="5"/>
      <c r="Z37" s="5"/>
    </row>
    <row r="38" spans="1:26" s="1" customFormat="1" ht="15" customHeight="1">
      <c r="A38" s="124"/>
      <c r="B38" s="12"/>
      <c r="C38" s="12"/>
      <c r="D38" s="12"/>
      <c r="E38" s="12"/>
      <c r="F38" s="12"/>
      <c r="G38" s="12"/>
      <c r="H38" s="12"/>
      <c r="I38" s="12"/>
      <c r="J38" s="125"/>
    </row>
    <row r="39" spans="1:26" s="1" customFormat="1" ht="15" customHeight="1">
      <c r="A39" s="124"/>
      <c r="B39" s="12"/>
      <c r="C39" s="12"/>
      <c r="D39" s="12"/>
      <c r="E39" s="12"/>
      <c r="F39" s="12"/>
      <c r="G39" s="12"/>
      <c r="H39" s="12"/>
      <c r="I39" s="12"/>
      <c r="J39" s="125"/>
    </row>
    <row r="40" spans="1:26" s="1" customFormat="1" ht="15" customHeight="1">
      <c r="A40" s="124"/>
      <c r="B40" s="12"/>
      <c r="C40" s="12"/>
      <c r="D40" s="12"/>
      <c r="E40" s="12"/>
      <c r="F40" s="12"/>
      <c r="G40" s="12"/>
      <c r="H40" s="12"/>
      <c r="I40" s="12"/>
      <c r="J40" s="125"/>
    </row>
    <row r="41" spans="1:26" s="1" customFormat="1" ht="18" customHeight="1">
      <c r="A41" s="124"/>
      <c r="B41" s="12"/>
      <c r="C41" s="12"/>
      <c r="D41" s="12"/>
      <c r="E41" s="12"/>
      <c r="F41" s="12"/>
      <c r="G41" s="12"/>
      <c r="H41" s="12"/>
      <c r="I41" s="12"/>
      <c r="J41" s="125"/>
    </row>
    <row r="42" spans="1:26" s="1" customFormat="1" ht="18" customHeight="1">
      <c r="A42" s="124"/>
      <c r="B42" s="12"/>
      <c r="C42" s="12"/>
      <c r="D42" s="12"/>
      <c r="E42" s="12"/>
      <c r="F42" s="12"/>
      <c r="G42" s="12"/>
      <c r="H42" s="12"/>
      <c r="I42" s="12"/>
      <c r="J42" s="125"/>
    </row>
    <row r="43" spans="1:26" s="1" customFormat="1" ht="25.35" customHeight="1">
      <c r="A43" s="124"/>
      <c r="B43" s="12"/>
      <c r="C43" s="12"/>
      <c r="D43" s="12"/>
      <c r="E43" s="12"/>
      <c r="F43" s="12"/>
      <c r="G43" s="12"/>
      <c r="H43" s="12"/>
      <c r="I43" s="12"/>
      <c r="J43" s="125"/>
    </row>
    <row r="44" spans="1:26" s="1" customFormat="1" ht="25.35" customHeight="1">
      <c r="A44" s="124"/>
      <c r="B44" s="12"/>
      <c r="C44" s="12"/>
      <c r="D44" s="12"/>
      <c r="E44" s="12"/>
      <c r="F44" s="12"/>
      <c r="G44" s="12"/>
      <c r="H44" s="12"/>
      <c r="I44" s="12"/>
      <c r="J44" s="125"/>
    </row>
    <row r="45" spans="1:26" s="1" customFormat="1" ht="25.35" customHeight="1">
      <c r="A45" s="128"/>
      <c r="B45" s="129"/>
      <c r="C45" s="129"/>
      <c r="D45" s="129"/>
      <c r="E45" s="129"/>
      <c r="F45" s="129"/>
      <c r="G45" s="129"/>
      <c r="H45" s="129"/>
      <c r="I45" s="129"/>
      <c r="J45" s="130"/>
    </row>
    <row r="46" spans="1:26" s="1" customFormat="1" ht="45" customHeight="1">
      <c r="A46" s="598" t="s">
        <v>1295</v>
      </c>
      <c r="B46" s="599"/>
      <c r="C46" s="599"/>
      <c r="D46" s="599"/>
      <c r="E46" s="599"/>
      <c r="F46" s="599"/>
      <c r="G46" s="599"/>
      <c r="H46" s="599"/>
      <c r="I46" s="599"/>
      <c r="J46" s="600"/>
    </row>
    <row r="47" spans="1:26" s="1" customFormat="1" ht="15.75">
      <c r="A47" s="122"/>
      <c r="B47" s="541"/>
      <c r="C47" s="541"/>
      <c r="D47" s="541"/>
      <c r="E47" s="541"/>
      <c r="F47" s="541"/>
      <c r="G47" s="541"/>
      <c r="H47" s="541"/>
      <c r="I47" s="541"/>
      <c r="J47" s="123"/>
    </row>
    <row r="48" spans="1:26" s="1" customFormat="1" ht="15.75">
      <c r="A48" s="122"/>
      <c r="B48" s="30"/>
      <c r="C48" s="30"/>
      <c r="D48" s="30"/>
      <c r="E48" s="30"/>
      <c r="F48" s="30"/>
      <c r="G48" s="30"/>
      <c r="H48" s="30"/>
      <c r="I48" s="30"/>
      <c r="J48" s="123"/>
    </row>
    <row r="49" spans="1:26" s="1" customFormat="1" ht="15.75">
      <c r="A49" s="122"/>
      <c r="B49" s="30"/>
      <c r="C49" s="30"/>
      <c r="D49" s="30"/>
      <c r="E49" s="30"/>
      <c r="F49" s="30"/>
      <c r="G49" s="30"/>
      <c r="H49" s="30"/>
      <c r="I49" s="30"/>
      <c r="J49" s="123"/>
    </row>
    <row r="50" spans="1:26" s="1" customFormat="1" ht="15.75">
      <c r="A50" s="122"/>
      <c r="B50" s="30"/>
      <c r="C50" s="30"/>
      <c r="D50" s="30"/>
      <c r="E50" s="30"/>
      <c r="F50" s="30"/>
      <c r="G50" s="30"/>
      <c r="H50" s="30"/>
      <c r="I50" s="30"/>
      <c r="J50" s="123"/>
    </row>
    <row r="51" spans="1:26" s="1" customFormat="1" ht="15.75">
      <c r="A51" s="122"/>
      <c r="B51" s="30"/>
      <c r="C51" s="30"/>
      <c r="D51" s="30"/>
      <c r="E51" s="30"/>
      <c r="F51" s="30"/>
      <c r="G51" s="30"/>
      <c r="H51" s="30"/>
      <c r="I51" s="30"/>
      <c r="J51" s="123"/>
    </row>
    <row r="52" spans="1:26" s="1" customFormat="1" ht="15.75">
      <c r="A52" s="122"/>
      <c r="B52" s="30"/>
      <c r="C52" s="30"/>
      <c r="D52" s="30"/>
      <c r="E52" s="30"/>
      <c r="F52" s="30"/>
      <c r="G52" s="30"/>
      <c r="H52" s="30"/>
      <c r="I52" s="30"/>
      <c r="J52" s="123"/>
    </row>
    <row r="53" spans="1:26" s="1" customFormat="1" ht="15.75">
      <c r="A53" s="122"/>
      <c r="B53" s="30"/>
      <c r="C53" s="30"/>
      <c r="D53" s="30"/>
      <c r="E53" s="30"/>
      <c r="F53" s="30"/>
      <c r="G53" s="30"/>
      <c r="H53" s="30"/>
      <c r="I53" s="30"/>
      <c r="J53" s="123"/>
    </row>
    <row r="54" spans="1:26" s="6" customFormat="1" ht="15" customHeight="1">
      <c r="A54" s="124"/>
      <c r="B54" s="12"/>
      <c r="C54" s="12"/>
      <c r="D54" s="12"/>
      <c r="E54" s="12"/>
      <c r="F54" s="12"/>
      <c r="G54" s="12"/>
      <c r="H54" s="12"/>
      <c r="I54" s="12"/>
      <c r="J54" s="125"/>
      <c r="K54" s="4"/>
      <c r="L54" s="4"/>
      <c r="M54" s="4"/>
      <c r="N54" s="4"/>
      <c r="O54" s="4"/>
      <c r="P54" s="4"/>
      <c r="Q54" s="4"/>
      <c r="R54" s="4"/>
      <c r="S54" s="4"/>
      <c r="T54" s="5"/>
      <c r="U54" s="5"/>
      <c r="V54" s="5"/>
      <c r="W54" s="5"/>
      <c r="X54" s="5"/>
      <c r="Y54" s="5"/>
      <c r="Z54" s="5"/>
    </row>
    <row r="55" spans="1:26" s="1" customFormat="1" ht="15" customHeight="1">
      <c r="A55" s="124"/>
      <c r="B55" s="12"/>
      <c r="C55" s="12"/>
      <c r="D55" s="12"/>
      <c r="E55" s="12"/>
      <c r="F55" s="12"/>
      <c r="G55" s="12"/>
      <c r="H55" s="12"/>
      <c r="I55" s="12"/>
      <c r="J55" s="125"/>
    </row>
    <row r="56" spans="1:26" s="1" customFormat="1" ht="15" customHeight="1">
      <c r="A56" s="124"/>
      <c r="B56" s="12"/>
      <c r="C56" s="12"/>
      <c r="D56" s="12"/>
      <c r="E56" s="12"/>
      <c r="F56" s="12"/>
      <c r="G56" s="12"/>
      <c r="H56" s="12"/>
      <c r="I56" s="12"/>
      <c r="J56" s="125"/>
    </row>
    <row r="57" spans="1:26" s="1" customFormat="1" ht="15" customHeight="1">
      <c r="A57" s="124"/>
      <c r="B57" s="12"/>
      <c r="C57" s="12"/>
      <c r="D57" s="12"/>
      <c r="E57" s="12"/>
      <c r="F57" s="12"/>
      <c r="G57" s="12"/>
      <c r="H57" s="12"/>
      <c r="I57" s="12"/>
      <c r="J57" s="125"/>
    </row>
    <row r="58" spans="1:26" s="1" customFormat="1" ht="15.75">
      <c r="A58" s="122"/>
      <c r="B58" s="30"/>
      <c r="C58" s="30"/>
      <c r="D58" s="30"/>
      <c r="E58" s="30"/>
      <c r="F58" s="30"/>
      <c r="G58" s="30"/>
      <c r="H58" s="30"/>
      <c r="I58" s="30"/>
      <c r="J58" s="123"/>
    </row>
    <row r="59" spans="1:26" s="1" customFormat="1" ht="15.75">
      <c r="A59" s="122"/>
      <c r="B59" s="30"/>
      <c r="C59" s="30"/>
      <c r="D59" s="30"/>
      <c r="E59" s="30"/>
      <c r="F59" s="30"/>
      <c r="G59" s="30"/>
      <c r="H59" s="30"/>
      <c r="I59" s="30"/>
      <c r="J59" s="123"/>
    </row>
    <row r="60" spans="1:26" s="1" customFormat="1" ht="15.75">
      <c r="A60" s="122"/>
      <c r="B60" s="30"/>
      <c r="C60" s="30"/>
      <c r="D60" s="30"/>
      <c r="E60" s="30"/>
      <c r="F60" s="30"/>
      <c r="G60" s="30"/>
      <c r="H60" s="30"/>
      <c r="I60" s="30"/>
      <c r="J60" s="123"/>
    </row>
    <row r="61" spans="1:26" s="1" customFormat="1" ht="15.75">
      <c r="A61" s="122"/>
      <c r="B61" s="30"/>
      <c r="C61" s="30"/>
      <c r="D61" s="30"/>
      <c r="E61" s="30"/>
      <c r="F61" s="30"/>
      <c r="G61" s="30"/>
      <c r="H61" s="30"/>
      <c r="I61" s="30"/>
      <c r="J61" s="123"/>
    </row>
    <row r="62" spans="1:26" s="1" customFormat="1" ht="15.75">
      <c r="A62" s="122"/>
      <c r="B62" s="30"/>
      <c r="C62" s="30"/>
      <c r="D62" s="30"/>
      <c r="E62" s="30"/>
      <c r="F62" s="30"/>
      <c r="G62" s="30"/>
      <c r="H62" s="30"/>
      <c r="I62" s="30"/>
      <c r="J62" s="123"/>
    </row>
    <row r="63" spans="1:26" s="1" customFormat="1" ht="15.75">
      <c r="A63" s="122"/>
      <c r="B63" s="30"/>
      <c r="C63" s="30"/>
      <c r="D63" s="30"/>
      <c r="E63" s="30"/>
      <c r="F63" s="30"/>
      <c r="G63" s="30"/>
      <c r="H63" s="30"/>
      <c r="I63" s="30"/>
      <c r="J63" s="123"/>
    </row>
    <row r="64" spans="1:26" s="1" customFormat="1" ht="15.75">
      <c r="A64" s="122"/>
      <c r="B64" s="30"/>
      <c r="C64" s="30"/>
      <c r="D64" s="30"/>
      <c r="E64" s="30"/>
      <c r="F64" s="30"/>
      <c r="G64" s="30"/>
      <c r="H64" s="30"/>
      <c r="I64" s="30"/>
      <c r="J64" s="123"/>
    </row>
    <row r="65" spans="1:26" s="1" customFormat="1">
      <c r="A65" s="126"/>
      <c r="B65" s="28"/>
      <c r="C65" s="28"/>
      <c r="D65" s="28"/>
      <c r="E65" s="28"/>
      <c r="F65" s="28"/>
      <c r="G65" s="28"/>
      <c r="H65" s="28"/>
      <c r="I65" s="28"/>
      <c r="J65" s="127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s="1" customFormat="1" ht="69.75" customHeight="1">
      <c r="A66" s="126"/>
      <c r="B66" s="542" t="s">
        <v>1297</v>
      </c>
      <c r="C66" s="542"/>
      <c r="D66" s="542"/>
      <c r="E66" s="542"/>
      <c r="F66" s="542"/>
      <c r="G66" s="542"/>
      <c r="H66" s="542"/>
      <c r="I66" s="542"/>
      <c r="J66" s="127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s="1" customFormat="1" ht="15" customHeight="1">
      <c r="A67" s="126"/>
      <c r="B67" s="543"/>
      <c r="C67" s="543"/>
      <c r="D67" s="543"/>
      <c r="E67" s="543"/>
      <c r="F67" s="543"/>
      <c r="G67" s="543"/>
      <c r="H67" s="543"/>
      <c r="I67" s="543"/>
      <c r="J67" s="127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s="1" customFormat="1" ht="15" customHeight="1">
      <c r="A68" s="126"/>
      <c r="B68" s="544"/>
      <c r="C68" s="544"/>
      <c r="D68" s="544"/>
      <c r="E68" s="544"/>
      <c r="F68" s="544"/>
      <c r="G68" s="544"/>
      <c r="H68" s="544"/>
      <c r="I68" s="544"/>
      <c r="J68" s="12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s="1" customFormat="1" ht="15" customHeight="1">
      <c r="A69" s="126"/>
      <c r="B69" s="544"/>
      <c r="C69" s="544"/>
      <c r="D69" s="544"/>
      <c r="E69" s="544"/>
      <c r="F69" s="544"/>
      <c r="G69" s="544"/>
      <c r="H69" s="544"/>
      <c r="I69" s="544"/>
      <c r="J69" s="127"/>
      <c r="K69" s="2"/>
      <c r="L69" s="2"/>
      <c r="M69" s="2"/>
      <c r="N69" s="2"/>
      <c r="O69" s="2"/>
      <c r="P69" s="2"/>
      <c r="Q69" s="2"/>
      <c r="R69" s="2"/>
      <c r="S69" s="2"/>
      <c r="T69" s="3"/>
      <c r="U69" s="3"/>
      <c r="V69" s="3"/>
      <c r="W69" s="3"/>
      <c r="X69" s="3"/>
      <c r="Y69" s="3"/>
      <c r="Z69" s="3"/>
    </row>
    <row r="70" spans="1:26" s="1" customFormat="1" ht="15" customHeight="1">
      <c r="A70" s="126"/>
      <c r="B70" s="544"/>
      <c r="C70" s="544"/>
      <c r="D70" s="544"/>
      <c r="E70" s="544"/>
      <c r="F70" s="544"/>
      <c r="G70" s="544"/>
      <c r="H70" s="544"/>
      <c r="I70" s="544"/>
      <c r="J70" s="127"/>
      <c r="K70" s="2"/>
      <c r="L70" s="2"/>
      <c r="M70" s="2"/>
      <c r="N70" s="2"/>
      <c r="O70" s="2"/>
      <c r="P70" s="2"/>
      <c r="Q70" s="2"/>
      <c r="R70" s="2"/>
      <c r="S70" s="2"/>
      <c r="T70" s="3"/>
      <c r="U70" s="3"/>
      <c r="V70" s="3"/>
      <c r="W70" s="3"/>
      <c r="X70" s="3"/>
      <c r="Y70" s="3"/>
      <c r="Z70" s="3"/>
    </row>
    <row r="71" spans="1:26" s="1" customFormat="1" ht="15" customHeight="1">
      <c r="A71" s="126"/>
      <c r="B71" s="12"/>
      <c r="C71" s="12"/>
      <c r="D71" s="12"/>
      <c r="E71" s="12"/>
      <c r="F71" s="12"/>
      <c r="G71" s="12"/>
      <c r="H71" s="12"/>
      <c r="I71" s="12"/>
      <c r="J71" s="127"/>
      <c r="K71" s="2"/>
      <c r="L71" s="2"/>
      <c r="M71" s="2"/>
      <c r="N71" s="2"/>
      <c r="O71" s="2"/>
      <c r="P71" s="2"/>
      <c r="Q71" s="2"/>
      <c r="R71" s="2"/>
      <c r="S71" s="2"/>
      <c r="T71" s="3"/>
      <c r="U71" s="3"/>
      <c r="V71" s="3"/>
      <c r="W71" s="3"/>
      <c r="X71" s="3"/>
      <c r="Y71" s="3"/>
      <c r="Z71" s="3"/>
    </row>
    <row r="72" spans="1:26" s="1" customFormat="1" ht="15" customHeight="1">
      <c r="A72" s="126"/>
      <c r="B72" s="544"/>
      <c r="C72" s="544"/>
      <c r="D72" s="544"/>
      <c r="E72" s="544"/>
      <c r="F72" s="544"/>
      <c r="G72" s="544"/>
      <c r="H72" s="544"/>
      <c r="I72" s="544"/>
      <c r="J72" s="127"/>
      <c r="K72" s="2"/>
      <c r="L72" s="2"/>
      <c r="M72" s="2"/>
      <c r="N72" s="2"/>
      <c r="O72" s="2"/>
      <c r="P72" s="2"/>
      <c r="Q72" s="2"/>
      <c r="R72" s="2"/>
      <c r="S72" s="2"/>
      <c r="T72" s="3"/>
      <c r="U72" s="3"/>
      <c r="V72" s="3"/>
      <c r="W72" s="3"/>
      <c r="X72" s="3"/>
      <c r="Y72" s="3"/>
      <c r="Z72" s="3"/>
    </row>
    <row r="73" spans="1:26" s="6" customFormat="1" ht="15" customHeight="1">
      <c r="A73" s="124"/>
      <c r="B73" s="544"/>
      <c r="C73" s="544"/>
      <c r="D73" s="544"/>
      <c r="E73" s="544"/>
      <c r="F73" s="544"/>
      <c r="G73" s="544"/>
      <c r="H73" s="544"/>
      <c r="I73" s="544"/>
      <c r="J73" s="125"/>
      <c r="K73" s="4"/>
      <c r="L73" s="4"/>
      <c r="M73" s="4"/>
      <c r="N73" s="4"/>
      <c r="O73" s="4"/>
      <c r="P73" s="4"/>
      <c r="Q73" s="4"/>
      <c r="R73" s="4"/>
      <c r="S73" s="4"/>
      <c r="T73" s="5"/>
      <c r="U73" s="5"/>
      <c r="V73" s="5"/>
      <c r="W73" s="5"/>
      <c r="X73" s="5"/>
      <c r="Y73" s="5"/>
      <c r="Z73" s="5"/>
    </row>
    <row r="74" spans="1:26" s="6" customFormat="1" ht="15" customHeight="1">
      <c r="A74" s="124"/>
      <c r="B74" s="544"/>
      <c r="C74" s="544"/>
      <c r="D74" s="544"/>
      <c r="E74" s="544"/>
      <c r="F74" s="544"/>
      <c r="G74" s="544"/>
      <c r="H74" s="544"/>
      <c r="I74" s="544"/>
      <c r="J74" s="125"/>
      <c r="K74" s="4"/>
      <c r="L74" s="4"/>
      <c r="M74" s="5"/>
      <c r="N74" s="4"/>
      <c r="O74" s="5"/>
      <c r="P74" s="4"/>
      <c r="Q74" s="4"/>
      <c r="R74" s="4"/>
      <c r="S74" s="4"/>
      <c r="T74" s="4"/>
      <c r="U74" s="5"/>
      <c r="V74" s="5"/>
      <c r="W74" s="5"/>
      <c r="X74" s="5"/>
      <c r="Y74" s="5"/>
      <c r="Z74" s="5"/>
    </row>
    <row r="75" spans="1:26" s="6" customFormat="1" ht="15" customHeight="1">
      <c r="A75" s="124"/>
      <c r="B75" s="12"/>
      <c r="C75" s="12"/>
      <c r="D75" s="12"/>
      <c r="E75" s="12"/>
      <c r="F75" s="80"/>
      <c r="G75" s="12"/>
      <c r="H75" s="81"/>
      <c r="I75" s="12"/>
      <c r="J75" s="125"/>
      <c r="K75" s="4"/>
      <c r="L75" s="4"/>
      <c r="M75" s="4"/>
      <c r="N75" s="4"/>
      <c r="O75" s="4"/>
      <c r="P75" s="4"/>
      <c r="Q75" s="4"/>
      <c r="R75" s="4"/>
      <c r="S75" s="4"/>
      <c r="T75" s="5"/>
      <c r="U75" s="5"/>
      <c r="V75" s="5"/>
      <c r="W75" s="5"/>
      <c r="X75" s="5"/>
      <c r="Y75" s="5"/>
      <c r="Z75" s="5"/>
    </row>
    <row r="76" spans="1:26" s="6" customFormat="1" ht="15" customHeight="1">
      <c r="A76" s="124"/>
      <c r="B76" s="12"/>
      <c r="C76" s="12"/>
      <c r="D76" s="12"/>
      <c r="E76" s="12"/>
      <c r="F76" s="12"/>
      <c r="G76" s="12"/>
      <c r="H76" s="12"/>
      <c r="I76" s="12"/>
      <c r="J76" s="125"/>
      <c r="K76" s="4"/>
      <c r="L76" s="4"/>
      <c r="M76" s="4"/>
      <c r="N76" s="4"/>
      <c r="O76" s="4"/>
      <c r="P76" s="4"/>
      <c r="Q76" s="4"/>
      <c r="R76" s="4"/>
      <c r="S76" s="4"/>
      <c r="T76" s="5"/>
      <c r="U76" s="5"/>
      <c r="V76" s="5"/>
      <c r="W76" s="5"/>
      <c r="X76" s="5"/>
      <c r="Y76" s="5"/>
      <c r="Z76" s="5"/>
    </row>
    <row r="77" spans="1:26" s="6" customFormat="1" ht="15" customHeight="1">
      <c r="A77" s="124"/>
      <c r="B77" s="12"/>
      <c r="C77" s="12"/>
      <c r="D77" s="12"/>
      <c r="E77" s="12"/>
      <c r="F77" s="12"/>
      <c r="G77" s="12"/>
      <c r="H77" s="12"/>
      <c r="I77" s="12"/>
      <c r="J77" s="125"/>
      <c r="K77" s="4"/>
      <c r="L77" s="4"/>
      <c r="M77" s="4"/>
      <c r="N77" s="4"/>
      <c r="O77" s="4"/>
      <c r="P77" s="4"/>
      <c r="Q77" s="4"/>
      <c r="R77" s="4"/>
      <c r="S77" s="4"/>
      <c r="T77" s="5"/>
      <c r="U77" s="5"/>
      <c r="V77" s="5"/>
      <c r="W77" s="5"/>
      <c r="X77" s="5"/>
      <c r="Y77" s="5"/>
      <c r="Z77" s="5"/>
    </row>
    <row r="78" spans="1:26" s="6" customFormat="1" ht="15" customHeight="1">
      <c r="A78" s="124"/>
      <c r="B78" s="12"/>
      <c r="C78" s="12"/>
      <c r="D78" s="12"/>
      <c r="E78" s="12"/>
      <c r="F78" s="12"/>
      <c r="G78" s="12"/>
      <c r="H78" s="12"/>
      <c r="I78" s="12"/>
      <c r="J78" s="125"/>
      <c r="K78" s="4"/>
      <c r="L78" s="4"/>
      <c r="M78" s="4"/>
      <c r="N78" s="4"/>
      <c r="O78" s="4"/>
      <c r="P78" s="4"/>
      <c r="Q78" s="4"/>
      <c r="R78" s="4"/>
      <c r="S78" s="4"/>
      <c r="T78" s="5"/>
      <c r="U78" s="5"/>
      <c r="V78" s="5"/>
      <c r="W78" s="5"/>
      <c r="X78" s="5"/>
      <c r="Y78" s="5"/>
      <c r="Z78" s="5"/>
    </row>
    <row r="79" spans="1:26" s="6" customFormat="1" ht="15" customHeight="1">
      <c r="A79" s="124"/>
      <c r="B79" s="12"/>
      <c r="C79" s="12"/>
      <c r="D79" s="12"/>
      <c r="E79" s="12"/>
      <c r="F79" s="12"/>
      <c r="G79" s="12"/>
      <c r="H79" s="12"/>
      <c r="I79" s="12"/>
      <c r="J79" s="125"/>
      <c r="K79" s="4"/>
      <c r="L79" s="4"/>
      <c r="M79" s="4"/>
      <c r="N79" s="4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</row>
    <row r="80" spans="1:26" s="6" customFormat="1" ht="15" customHeight="1">
      <c r="A80" s="124"/>
      <c r="B80" s="12"/>
      <c r="C80" s="12"/>
      <c r="D80" s="12"/>
      <c r="E80" s="12"/>
      <c r="F80" s="12"/>
      <c r="G80" s="12"/>
      <c r="H80" s="12"/>
      <c r="I80" s="12"/>
      <c r="J80" s="125"/>
      <c r="K80" s="4"/>
      <c r="L80" s="4"/>
      <c r="M80" s="4"/>
      <c r="N80" s="4"/>
      <c r="O80" s="4"/>
      <c r="P80" s="4"/>
      <c r="Q80" s="4"/>
      <c r="R80" s="4"/>
      <c r="S80" s="4"/>
      <c r="T80" s="5"/>
      <c r="U80" s="5"/>
      <c r="V80" s="5"/>
      <c r="W80" s="5"/>
      <c r="X80" s="5"/>
      <c r="Y80" s="5"/>
      <c r="Z80" s="5"/>
    </row>
    <row r="81" spans="1:26" s="6" customFormat="1" ht="15" customHeight="1">
      <c r="A81" s="124"/>
      <c r="B81" s="12"/>
      <c r="C81" s="12"/>
      <c r="D81" s="12"/>
      <c r="E81" s="12"/>
      <c r="F81" s="12"/>
      <c r="G81" s="12"/>
      <c r="H81" s="12"/>
      <c r="I81" s="12"/>
      <c r="J81" s="125"/>
      <c r="K81" s="4"/>
      <c r="L81" s="4"/>
      <c r="M81" s="4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</row>
    <row r="82" spans="1:26" s="6" customFormat="1" ht="15" customHeight="1">
      <c r="A82" s="124"/>
      <c r="B82" s="12"/>
      <c r="C82" s="12"/>
      <c r="D82" s="12"/>
      <c r="E82" s="12"/>
      <c r="F82" s="12"/>
      <c r="G82" s="12"/>
      <c r="H82" s="12"/>
      <c r="I82" s="12"/>
      <c r="J82" s="125"/>
      <c r="K82" s="4"/>
      <c r="L82" s="4"/>
      <c r="M82" s="4"/>
      <c r="N82" s="4"/>
      <c r="O82" s="4"/>
      <c r="P82" s="4"/>
      <c r="Q82" s="4"/>
      <c r="R82" s="4"/>
      <c r="S82" s="4"/>
      <c r="T82" s="5"/>
      <c r="U82" s="5"/>
      <c r="V82" s="5"/>
      <c r="W82" s="5"/>
      <c r="X82" s="5"/>
      <c r="Y82" s="5"/>
      <c r="Z82" s="5"/>
    </row>
    <row r="83" spans="1:26" s="1" customFormat="1" ht="15" customHeight="1">
      <c r="A83" s="124"/>
      <c r="B83" s="12"/>
      <c r="C83" s="12"/>
      <c r="D83" s="12"/>
      <c r="E83" s="12"/>
      <c r="F83" s="12"/>
      <c r="G83" s="12"/>
      <c r="H83" s="12"/>
      <c r="I83" s="12"/>
      <c r="J83" s="125"/>
    </row>
    <row r="84" spans="1:26" s="1" customFormat="1" ht="15" customHeight="1">
      <c r="A84" s="124"/>
      <c r="B84" s="12"/>
      <c r="C84" s="12"/>
      <c r="D84" s="12"/>
      <c r="E84" s="12"/>
      <c r="F84" s="12"/>
      <c r="G84" s="12"/>
      <c r="H84" s="12"/>
      <c r="I84" s="12"/>
      <c r="J84" s="125"/>
    </row>
    <row r="85" spans="1:26" s="1" customFormat="1" ht="15" customHeight="1">
      <c r="A85" s="124"/>
      <c r="B85" s="12"/>
      <c r="C85" s="12"/>
      <c r="D85" s="12"/>
      <c r="E85" s="12"/>
      <c r="F85" s="12"/>
      <c r="G85" s="12"/>
      <c r="H85" s="12"/>
      <c r="I85" s="12"/>
      <c r="J85" s="125"/>
    </row>
    <row r="86" spans="1:26" s="1" customFormat="1" ht="18" customHeight="1">
      <c r="A86" s="124"/>
      <c r="B86" s="12"/>
      <c r="C86" s="12"/>
      <c r="D86" s="12"/>
      <c r="E86" s="12"/>
      <c r="F86" s="12"/>
      <c r="G86" s="12"/>
      <c r="H86" s="12"/>
      <c r="I86" s="12"/>
      <c r="J86" s="125"/>
    </row>
    <row r="87" spans="1:26" s="1" customFormat="1" ht="18" customHeight="1">
      <c r="A87" s="124"/>
      <c r="B87" s="12"/>
      <c r="C87" s="12"/>
      <c r="D87" s="12"/>
      <c r="E87" s="12"/>
      <c r="F87" s="12"/>
      <c r="G87" s="12"/>
      <c r="H87" s="12"/>
      <c r="I87" s="12"/>
      <c r="J87" s="125"/>
    </row>
    <row r="88" spans="1:26" s="1" customFormat="1" ht="25.35" customHeight="1">
      <c r="A88" s="124"/>
      <c r="B88" s="12"/>
      <c r="C88" s="12"/>
      <c r="D88" s="12"/>
      <c r="E88" s="12"/>
      <c r="F88" s="12"/>
      <c r="G88" s="12"/>
      <c r="H88" s="12"/>
      <c r="I88" s="12"/>
      <c r="J88" s="125"/>
    </row>
    <row r="89" spans="1:26" s="1" customFormat="1" ht="25.35" customHeight="1">
      <c r="A89" s="124"/>
      <c r="B89" s="12"/>
      <c r="C89" s="12"/>
      <c r="D89" s="12"/>
      <c r="E89" s="12"/>
      <c r="F89" s="12"/>
      <c r="G89" s="12"/>
      <c r="H89" s="12"/>
      <c r="I89" s="12"/>
      <c r="J89" s="125"/>
    </row>
    <row r="90" spans="1:26" s="1" customFormat="1" ht="25.35" customHeight="1">
      <c r="A90" s="128"/>
      <c r="B90" s="129"/>
      <c r="C90" s="129"/>
      <c r="D90" s="129"/>
      <c r="E90" s="129"/>
      <c r="F90" s="129"/>
      <c r="G90" s="129"/>
      <c r="H90" s="129"/>
      <c r="I90" s="129"/>
      <c r="J90" s="130"/>
    </row>
    <row r="91" spans="1:26" s="1" customFormat="1" ht="45" customHeight="1">
      <c r="A91" s="598" t="s">
        <v>1295</v>
      </c>
      <c r="B91" s="599"/>
      <c r="C91" s="599"/>
      <c r="D91" s="599"/>
      <c r="E91" s="599"/>
      <c r="F91" s="599"/>
      <c r="G91" s="599"/>
      <c r="H91" s="599"/>
      <c r="I91" s="599"/>
      <c r="J91" s="600"/>
    </row>
    <row r="92" spans="1:26" s="1" customFormat="1" ht="15.75">
      <c r="A92" s="122"/>
      <c r="B92" s="541"/>
      <c r="C92" s="541"/>
      <c r="D92" s="541"/>
      <c r="E92" s="541"/>
      <c r="F92" s="541"/>
      <c r="G92" s="541"/>
      <c r="H92" s="541"/>
      <c r="I92" s="541"/>
      <c r="J92" s="123"/>
    </row>
    <row r="93" spans="1:26" s="1" customFormat="1" ht="15.75">
      <c r="A93" s="122"/>
      <c r="B93" s="30"/>
      <c r="C93" s="30"/>
      <c r="D93" s="30"/>
      <c r="E93" s="30"/>
      <c r="F93" s="30"/>
      <c r="G93" s="30"/>
      <c r="H93" s="30"/>
      <c r="I93" s="30"/>
      <c r="J93" s="123"/>
    </row>
    <row r="94" spans="1:26" s="1" customFormat="1" ht="15.75">
      <c r="A94" s="122"/>
      <c r="B94" s="30"/>
      <c r="C94" s="30"/>
      <c r="D94" s="30"/>
      <c r="E94" s="30"/>
      <c r="F94" s="30"/>
      <c r="G94" s="30"/>
      <c r="H94" s="30"/>
      <c r="I94" s="30"/>
      <c r="J94" s="123"/>
    </row>
    <row r="95" spans="1:26" s="1" customFormat="1" ht="15.75">
      <c r="A95" s="122"/>
      <c r="B95" s="30"/>
      <c r="C95" s="30"/>
      <c r="D95" s="30"/>
      <c r="E95" s="30"/>
      <c r="F95" s="30"/>
      <c r="G95" s="30"/>
      <c r="H95" s="30"/>
      <c r="I95" s="30"/>
      <c r="J95" s="123"/>
    </row>
    <row r="96" spans="1:26" s="1" customFormat="1" ht="15.75">
      <c r="A96" s="122"/>
      <c r="B96" s="30"/>
      <c r="C96" s="30"/>
      <c r="D96" s="30"/>
      <c r="E96" s="30"/>
      <c r="F96" s="30"/>
      <c r="G96" s="30"/>
      <c r="H96" s="30"/>
      <c r="I96" s="30"/>
      <c r="J96" s="123"/>
    </row>
    <row r="97" spans="1:26" s="1" customFormat="1" ht="15.75">
      <c r="A97" s="122"/>
      <c r="B97" s="30"/>
      <c r="C97" s="30"/>
      <c r="D97" s="30"/>
      <c r="E97" s="30"/>
      <c r="F97" s="30"/>
      <c r="G97" s="30"/>
      <c r="H97" s="30"/>
      <c r="I97" s="30"/>
      <c r="J97" s="123"/>
    </row>
    <row r="98" spans="1:26" s="1" customFormat="1" ht="15.75">
      <c r="A98" s="122"/>
      <c r="B98" s="30"/>
      <c r="C98" s="30"/>
      <c r="D98" s="30"/>
      <c r="E98" s="30"/>
      <c r="F98" s="30"/>
      <c r="G98" s="30"/>
      <c r="H98" s="30"/>
      <c r="I98" s="30"/>
      <c r="J98" s="123"/>
    </row>
    <row r="99" spans="1:26" s="6" customFormat="1" ht="15" customHeight="1">
      <c r="A99" s="124"/>
      <c r="B99" s="12"/>
      <c r="C99" s="12"/>
      <c r="D99" s="12"/>
      <c r="E99" s="12"/>
      <c r="F99" s="12"/>
      <c r="G99" s="12"/>
      <c r="H99" s="12"/>
      <c r="I99" s="12"/>
      <c r="J99" s="125"/>
      <c r="K99" s="4"/>
      <c r="L99" s="4"/>
      <c r="M99" s="4"/>
      <c r="N99" s="4"/>
      <c r="O99" s="4"/>
      <c r="P99" s="4"/>
      <c r="Q99" s="4"/>
      <c r="R99" s="4"/>
      <c r="S99" s="4"/>
      <c r="T99" s="5"/>
      <c r="U99" s="5"/>
      <c r="V99" s="5"/>
      <c r="W99" s="5"/>
      <c r="X99" s="5"/>
      <c r="Y99" s="5"/>
      <c r="Z99" s="5"/>
    </row>
    <row r="100" spans="1:26" s="1" customFormat="1" ht="15" customHeight="1">
      <c r="A100" s="124"/>
      <c r="B100" s="12"/>
      <c r="C100" s="12"/>
      <c r="D100" s="12"/>
      <c r="E100" s="12"/>
      <c r="F100" s="12"/>
      <c r="G100" s="12"/>
      <c r="H100" s="12"/>
      <c r="I100" s="12"/>
      <c r="J100" s="125"/>
    </row>
    <row r="101" spans="1:26" s="1" customFormat="1" ht="15" customHeight="1">
      <c r="A101" s="124"/>
      <c r="B101" s="12"/>
      <c r="C101" s="12"/>
      <c r="D101" s="12"/>
      <c r="E101" s="12"/>
      <c r="F101" s="12"/>
      <c r="G101" s="12"/>
      <c r="H101" s="12"/>
      <c r="I101" s="12"/>
      <c r="J101" s="125"/>
    </row>
    <row r="102" spans="1:26" s="1" customFormat="1" ht="15" customHeight="1">
      <c r="A102" s="124"/>
      <c r="B102" s="12"/>
      <c r="C102" s="12"/>
      <c r="D102" s="12"/>
      <c r="E102" s="12"/>
      <c r="F102" s="12"/>
      <c r="G102" s="12"/>
      <c r="H102" s="12"/>
      <c r="I102" s="12"/>
      <c r="J102" s="125"/>
    </row>
    <row r="103" spans="1:26" s="1" customFormat="1" ht="15.75">
      <c r="A103" s="122"/>
      <c r="B103" s="30"/>
      <c r="C103" s="30"/>
      <c r="D103" s="30"/>
      <c r="E103" s="30"/>
      <c r="F103" s="30"/>
      <c r="G103" s="30"/>
      <c r="H103" s="30"/>
      <c r="I103" s="30"/>
      <c r="J103" s="123"/>
    </row>
    <row r="104" spans="1:26" s="1" customFormat="1" ht="15.75">
      <c r="A104" s="122"/>
      <c r="B104" s="30"/>
      <c r="C104" s="30"/>
      <c r="D104" s="30"/>
      <c r="E104" s="30"/>
      <c r="F104" s="30"/>
      <c r="G104" s="30"/>
      <c r="H104" s="30"/>
      <c r="I104" s="30"/>
      <c r="J104" s="123"/>
    </row>
    <row r="105" spans="1:26" s="1" customFormat="1" ht="15.75">
      <c r="A105" s="122"/>
      <c r="B105" s="30"/>
      <c r="C105" s="30"/>
      <c r="D105" s="30"/>
      <c r="E105" s="30"/>
      <c r="F105" s="30"/>
      <c r="G105" s="30"/>
      <c r="H105" s="30"/>
      <c r="I105" s="30"/>
      <c r="J105" s="123"/>
    </row>
    <row r="106" spans="1:26" s="1" customFormat="1" ht="15.75">
      <c r="A106" s="122"/>
      <c r="B106" s="30"/>
      <c r="C106" s="30"/>
      <c r="D106" s="30"/>
      <c r="E106" s="30"/>
      <c r="F106" s="30"/>
      <c r="G106" s="30"/>
      <c r="H106" s="30"/>
      <c r="I106" s="30"/>
      <c r="J106" s="123"/>
    </row>
    <row r="107" spans="1:26" s="1" customFormat="1" ht="15.75">
      <c r="A107" s="122"/>
      <c r="B107" s="30"/>
      <c r="C107" s="30"/>
      <c r="D107" s="30"/>
      <c r="E107" s="30"/>
      <c r="F107" s="30"/>
      <c r="G107" s="30"/>
      <c r="H107" s="30"/>
      <c r="I107" s="30"/>
      <c r="J107" s="123"/>
    </row>
    <row r="108" spans="1:26" s="1" customFormat="1" ht="15.75">
      <c r="A108" s="122"/>
      <c r="B108" s="30"/>
      <c r="C108" s="30"/>
      <c r="D108" s="30"/>
      <c r="E108" s="30"/>
      <c r="F108" s="30"/>
      <c r="G108" s="30"/>
      <c r="H108" s="30"/>
      <c r="I108" s="30"/>
      <c r="J108" s="123"/>
    </row>
    <row r="109" spans="1:26" s="1" customFormat="1" ht="15.75">
      <c r="A109" s="122"/>
      <c r="B109" s="30"/>
      <c r="C109" s="30"/>
      <c r="D109" s="30"/>
      <c r="E109" s="30"/>
      <c r="F109" s="30"/>
      <c r="G109" s="30"/>
      <c r="H109" s="30"/>
      <c r="I109" s="30"/>
      <c r="J109" s="123"/>
    </row>
    <row r="110" spans="1:26" s="1" customFormat="1">
      <c r="A110" s="126"/>
      <c r="B110" s="28"/>
      <c r="C110" s="28"/>
      <c r="D110" s="28"/>
      <c r="E110" s="28"/>
      <c r="F110" s="28"/>
      <c r="G110" s="28"/>
      <c r="H110" s="28"/>
      <c r="I110" s="28"/>
      <c r="J110" s="127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s="1" customFormat="1" ht="69.75" customHeight="1">
      <c r="A111" s="126"/>
      <c r="B111" s="542" t="s">
        <v>1298</v>
      </c>
      <c r="C111" s="542"/>
      <c r="D111" s="542"/>
      <c r="E111" s="542"/>
      <c r="F111" s="542"/>
      <c r="G111" s="542"/>
      <c r="H111" s="542"/>
      <c r="I111" s="542"/>
      <c r="J111" s="127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s="1" customFormat="1" ht="15" customHeight="1">
      <c r="A112" s="126"/>
      <c r="B112" s="543"/>
      <c r="C112" s="543"/>
      <c r="D112" s="543"/>
      <c r="E112" s="543"/>
      <c r="F112" s="543"/>
      <c r="G112" s="543"/>
      <c r="H112" s="543"/>
      <c r="I112" s="543"/>
      <c r="J112" s="127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s="1" customFormat="1" ht="15" customHeight="1">
      <c r="A113" s="126"/>
      <c r="B113" s="544"/>
      <c r="C113" s="544"/>
      <c r="D113" s="544"/>
      <c r="E113" s="544"/>
      <c r="F113" s="544"/>
      <c r="G113" s="544"/>
      <c r="H113" s="544"/>
      <c r="I113" s="544"/>
      <c r="J113" s="127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s="1" customFormat="1" ht="15" customHeight="1">
      <c r="A114" s="126"/>
      <c r="B114" s="544"/>
      <c r="C114" s="544"/>
      <c r="D114" s="544"/>
      <c r="E114" s="544"/>
      <c r="F114" s="544"/>
      <c r="G114" s="544"/>
      <c r="H114" s="544"/>
      <c r="I114" s="544"/>
      <c r="J114" s="127"/>
      <c r="K114" s="2"/>
      <c r="L114" s="2"/>
      <c r="M114" s="2"/>
      <c r="N114" s="2"/>
      <c r="O114" s="2"/>
      <c r="P114" s="2"/>
      <c r="Q114" s="2"/>
      <c r="R114" s="2"/>
      <c r="S114" s="2"/>
      <c r="T114" s="3"/>
      <c r="U114" s="3"/>
      <c r="V114" s="3"/>
      <c r="W114" s="3"/>
      <c r="X114" s="3"/>
      <c r="Y114" s="3"/>
      <c r="Z114" s="3"/>
    </row>
    <row r="115" spans="1:26" s="1" customFormat="1" ht="15" customHeight="1">
      <c r="A115" s="126"/>
      <c r="B115" s="544"/>
      <c r="C115" s="544"/>
      <c r="D115" s="544"/>
      <c r="E115" s="544"/>
      <c r="F115" s="544"/>
      <c r="G115" s="544"/>
      <c r="H115" s="544"/>
      <c r="I115" s="544"/>
      <c r="J115" s="127"/>
      <c r="K115" s="2"/>
      <c r="L115" s="2"/>
      <c r="M115" s="2"/>
      <c r="N115" s="2"/>
      <c r="O115" s="2"/>
      <c r="P115" s="2"/>
      <c r="Q115" s="2"/>
      <c r="R115" s="2"/>
      <c r="S115" s="2"/>
      <c r="T115" s="3"/>
      <c r="U115" s="3"/>
      <c r="V115" s="3"/>
      <c r="W115" s="3"/>
      <c r="X115" s="3"/>
      <c r="Y115" s="3"/>
      <c r="Z115" s="3"/>
    </row>
    <row r="116" spans="1:26" s="1" customFormat="1" ht="15" customHeight="1">
      <c r="A116" s="126"/>
      <c r="B116" s="12"/>
      <c r="C116" s="12"/>
      <c r="D116" s="12"/>
      <c r="E116" s="12"/>
      <c r="F116" s="12"/>
      <c r="G116" s="12"/>
      <c r="H116" s="12"/>
      <c r="I116" s="12"/>
      <c r="J116" s="127"/>
      <c r="K116" s="2"/>
      <c r="L116" s="2"/>
      <c r="M116" s="2"/>
      <c r="N116" s="2"/>
      <c r="O116" s="2"/>
      <c r="P116" s="2"/>
      <c r="Q116" s="2"/>
      <c r="R116" s="2"/>
      <c r="S116" s="2"/>
      <c r="T116" s="3"/>
      <c r="U116" s="3"/>
      <c r="V116" s="3"/>
      <c r="W116" s="3"/>
      <c r="X116" s="3"/>
      <c r="Y116" s="3"/>
      <c r="Z116" s="3"/>
    </row>
    <row r="117" spans="1:26" s="1" customFormat="1" ht="15" customHeight="1">
      <c r="A117" s="126"/>
      <c r="B117" s="544"/>
      <c r="C117" s="544"/>
      <c r="D117" s="544"/>
      <c r="E117" s="544"/>
      <c r="F117" s="544"/>
      <c r="G117" s="544"/>
      <c r="H117" s="544"/>
      <c r="I117" s="544"/>
      <c r="J117" s="127"/>
      <c r="K117" s="2"/>
      <c r="L117" s="2"/>
      <c r="M117" s="2"/>
      <c r="N117" s="2"/>
      <c r="O117" s="2"/>
      <c r="P117" s="2"/>
      <c r="Q117" s="2"/>
      <c r="R117" s="2"/>
      <c r="S117" s="2"/>
      <c r="T117" s="3"/>
      <c r="U117" s="3"/>
      <c r="V117" s="3"/>
      <c r="W117" s="3"/>
      <c r="X117" s="3"/>
      <c r="Y117" s="3"/>
      <c r="Z117" s="3"/>
    </row>
    <row r="118" spans="1:26" s="6" customFormat="1" ht="15" customHeight="1">
      <c r="A118" s="124"/>
      <c r="B118" s="544"/>
      <c r="C118" s="544"/>
      <c r="D118" s="544"/>
      <c r="E118" s="544"/>
      <c r="F118" s="544"/>
      <c r="G118" s="544"/>
      <c r="H118" s="544"/>
      <c r="I118" s="544"/>
      <c r="J118" s="125"/>
      <c r="K118" s="4"/>
      <c r="L118" s="4"/>
      <c r="M118" s="4"/>
      <c r="N118" s="4"/>
      <c r="O118" s="4"/>
      <c r="P118" s="4"/>
      <c r="Q118" s="4"/>
      <c r="R118" s="4"/>
      <c r="S118" s="4"/>
      <c r="T118" s="5"/>
      <c r="U118" s="5"/>
      <c r="V118" s="5"/>
      <c r="W118" s="5"/>
      <c r="X118" s="5"/>
      <c r="Y118" s="5"/>
      <c r="Z118" s="5"/>
    </row>
    <row r="119" spans="1:26" s="6" customFormat="1" ht="15" customHeight="1">
      <c r="A119" s="124"/>
      <c r="B119" s="544"/>
      <c r="C119" s="544"/>
      <c r="D119" s="544"/>
      <c r="E119" s="544"/>
      <c r="F119" s="544"/>
      <c r="G119" s="544"/>
      <c r="H119" s="544"/>
      <c r="I119" s="544"/>
      <c r="J119" s="125"/>
      <c r="K119" s="4"/>
      <c r="L119" s="4"/>
      <c r="M119" s="5"/>
      <c r="N119" s="4"/>
      <c r="O119" s="5"/>
      <c r="P119" s="4"/>
      <c r="Q119" s="4"/>
      <c r="R119" s="4"/>
      <c r="S119" s="4"/>
      <c r="T119" s="4"/>
      <c r="U119" s="5"/>
      <c r="V119" s="5"/>
      <c r="W119" s="5"/>
      <c r="X119" s="5"/>
      <c r="Y119" s="5"/>
      <c r="Z119" s="5"/>
    </row>
    <row r="120" spans="1:26" s="6" customFormat="1" ht="15" customHeight="1">
      <c r="A120" s="124"/>
      <c r="B120" s="12"/>
      <c r="C120" s="12"/>
      <c r="D120" s="12"/>
      <c r="E120" s="12"/>
      <c r="F120" s="80"/>
      <c r="G120" s="12"/>
      <c r="H120" s="81"/>
      <c r="I120" s="12"/>
      <c r="J120" s="125"/>
      <c r="K120" s="4"/>
      <c r="L120" s="4"/>
      <c r="M120" s="4"/>
      <c r="N120" s="4"/>
      <c r="O120" s="4"/>
      <c r="P120" s="4"/>
      <c r="Q120" s="4"/>
      <c r="R120" s="4"/>
      <c r="S120" s="4"/>
      <c r="T120" s="5"/>
      <c r="U120" s="5"/>
      <c r="V120" s="5"/>
      <c r="W120" s="5"/>
      <c r="X120" s="5"/>
      <c r="Y120" s="5"/>
      <c r="Z120" s="5"/>
    </row>
    <row r="121" spans="1:26" s="6" customFormat="1" ht="15" customHeight="1">
      <c r="A121" s="124"/>
      <c r="B121" s="12"/>
      <c r="C121" s="12"/>
      <c r="D121" s="12"/>
      <c r="E121" s="12"/>
      <c r="F121" s="12"/>
      <c r="G121" s="12"/>
      <c r="H121" s="12"/>
      <c r="I121" s="12"/>
      <c r="J121" s="125"/>
      <c r="K121" s="4"/>
      <c r="L121" s="4"/>
      <c r="M121" s="4"/>
      <c r="N121" s="4"/>
      <c r="O121" s="4"/>
      <c r="P121" s="4"/>
      <c r="Q121" s="4"/>
      <c r="R121" s="4"/>
      <c r="S121" s="4"/>
      <c r="T121" s="5"/>
      <c r="U121" s="5"/>
      <c r="V121" s="5"/>
      <c r="W121" s="5"/>
      <c r="X121" s="5"/>
      <c r="Y121" s="5"/>
      <c r="Z121" s="5"/>
    </row>
    <row r="122" spans="1:26" s="6" customFormat="1" ht="15" customHeight="1">
      <c r="A122" s="124"/>
      <c r="B122" s="12"/>
      <c r="C122" s="12"/>
      <c r="D122" s="12"/>
      <c r="E122" s="12"/>
      <c r="F122" s="12"/>
      <c r="G122" s="12"/>
      <c r="H122" s="12"/>
      <c r="I122" s="12"/>
      <c r="J122" s="125"/>
      <c r="K122" s="4"/>
      <c r="L122" s="4"/>
      <c r="M122" s="4"/>
      <c r="N122" s="4"/>
      <c r="O122" s="4"/>
      <c r="P122" s="4"/>
      <c r="Q122" s="4"/>
      <c r="R122" s="4"/>
      <c r="S122" s="4"/>
      <c r="T122" s="5"/>
      <c r="U122" s="5"/>
      <c r="V122" s="5"/>
      <c r="W122" s="5"/>
      <c r="X122" s="5"/>
      <c r="Y122" s="5"/>
      <c r="Z122" s="5"/>
    </row>
    <row r="123" spans="1:26" s="6" customFormat="1" ht="15" customHeight="1">
      <c r="A123" s="124"/>
      <c r="B123" s="12"/>
      <c r="C123" s="12"/>
      <c r="D123" s="12"/>
      <c r="E123" s="12"/>
      <c r="F123" s="12"/>
      <c r="G123" s="12"/>
      <c r="H123" s="12"/>
      <c r="I123" s="12"/>
      <c r="J123" s="125"/>
      <c r="K123" s="4"/>
      <c r="L123" s="4"/>
      <c r="M123" s="4"/>
      <c r="N123" s="4"/>
      <c r="O123" s="4"/>
      <c r="P123" s="4"/>
      <c r="Q123" s="4"/>
      <c r="R123" s="4"/>
      <c r="S123" s="4"/>
      <c r="T123" s="5"/>
      <c r="U123" s="5"/>
      <c r="V123" s="5"/>
      <c r="W123" s="5"/>
      <c r="X123" s="5"/>
      <c r="Y123" s="5"/>
      <c r="Z123" s="5"/>
    </row>
    <row r="124" spans="1:26" s="6" customFormat="1" ht="15" customHeight="1">
      <c r="A124" s="124"/>
      <c r="B124" s="12"/>
      <c r="C124" s="12"/>
      <c r="D124" s="12"/>
      <c r="E124" s="12"/>
      <c r="F124" s="12"/>
      <c r="G124" s="12"/>
      <c r="H124" s="12"/>
      <c r="I124" s="12"/>
      <c r="J124" s="125"/>
      <c r="K124" s="4"/>
      <c r="L124" s="4"/>
      <c r="M124" s="4"/>
      <c r="N124" s="4"/>
      <c r="O124" s="4"/>
      <c r="P124" s="4"/>
      <c r="Q124" s="4"/>
      <c r="R124" s="4"/>
      <c r="S124" s="4"/>
      <c r="T124" s="5"/>
      <c r="U124" s="5"/>
      <c r="V124" s="5"/>
      <c r="W124" s="5"/>
      <c r="X124" s="5"/>
      <c r="Y124" s="5"/>
      <c r="Z124" s="5"/>
    </row>
    <row r="125" spans="1:26" s="6" customFormat="1" ht="15" customHeight="1">
      <c r="A125" s="124"/>
      <c r="B125" s="12"/>
      <c r="C125" s="12"/>
      <c r="D125" s="12"/>
      <c r="E125" s="12"/>
      <c r="F125" s="12"/>
      <c r="G125" s="12"/>
      <c r="H125" s="12"/>
      <c r="I125" s="12"/>
      <c r="J125" s="125"/>
      <c r="K125" s="4"/>
      <c r="L125" s="4"/>
      <c r="M125" s="4"/>
      <c r="N125" s="4"/>
      <c r="O125" s="4"/>
      <c r="P125" s="4"/>
      <c r="Q125" s="4"/>
      <c r="R125" s="4"/>
      <c r="S125" s="4"/>
      <c r="T125" s="5"/>
      <c r="U125" s="5"/>
      <c r="V125" s="5"/>
      <c r="W125" s="5"/>
      <c r="X125" s="5"/>
      <c r="Y125" s="5"/>
      <c r="Z125" s="5"/>
    </row>
    <row r="126" spans="1:26" s="6" customFormat="1" ht="15" customHeight="1">
      <c r="A126" s="124"/>
      <c r="B126" s="12"/>
      <c r="C126" s="12"/>
      <c r="D126" s="12"/>
      <c r="E126" s="12"/>
      <c r="F126" s="12"/>
      <c r="G126" s="12"/>
      <c r="H126" s="12"/>
      <c r="I126" s="12"/>
      <c r="J126" s="125"/>
      <c r="K126" s="4"/>
      <c r="L126" s="4"/>
      <c r="M126" s="4"/>
      <c r="N126" s="4"/>
      <c r="O126" s="4"/>
      <c r="P126" s="4"/>
      <c r="Q126" s="4"/>
      <c r="R126" s="4"/>
      <c r="S126" s="4"/>
      <c r="T126" s="5"/>
      <c r="U126" s="5"/>
      <c r="V126" s="5"/>
      <c r="W126" s="5"/>
      <c r="X126" s="5"/>
      <c r="Y126" s="5"/>
      <c r="Z126" s="5"/>
    </row>
    <row r="127" spans="1:26" s="6" customFormat="1" ht="15" customHeight="1">
      <c r="A127" s="124"/>
      <c r="B127" s="12"/>
      <c r="C127" s="12"/>
      <c r="D127" s="12"/>
      <c r="E127" s="12"/>
      <c r="F127" s="12"/>
      <c r="G127" s="12"/>
      <c r="H127" s="12"/>
      <c r="I127" s="12"/>
      <c r="J127" s="125"/>
      <c r="K127" s="4"/>
      <c r="L127" s="4"/>
      <c r="M127" s="4"/>
      <c r="N127" s="4"/>
      <c r="O127" s="4"/>
      <c r="P127" s="4"/>
      <c r="Q127" s="4"/>
      <c r="R127" s="4"/>
      <c r="S127" s="4"/>
      <c r="T127" s="5"/>
      <c r="U127" s="5"/>
      <c r="V127" s="5"/>
      <c r="W127" s="5"/>
      <c r="X127" s="5"/>
      <c r="Y127" s="5"/>
      <c r="Z127" s="5"/>
    </row>
    <row r="128" spans="1:26" s="1" customFormat="1" ht="15" customHeight="1">
      <c r="A128" s="124"/>
      <c r="B128" s="12"/>
      <c r="C128" s="12"/>
      <c r="D128" s="12"/>
      <c r="E128" s="12"/>
      <c r="F128" s="12"/>
      <c r="G128" s="12"/>
      <c r="H128" s="12"/>
      <c r="I128" s="12"/>
      <c r="J128" s="125"/>
    </row>
    <row r="129" spans="1:26" s="1" customFormat="1" ht="15" customHeight="1">
      <c r="A129" s="124"/>
      <c r="B129" s="12"/>
      <c r="C129" s="12"/>
      <c r="D129" s="12"/>
      <c r="E129" s="12"/>
      <c r="F129" s="12"/>
      <c r="G129" s="12"/>
      <c r="H129" s="12"/>
      <c r="I129" s="12"/>
      <c r="J129" s="125"/>
    </row>
    <row r="130" spans="1:26" s="1" customFormat="1" ht="15" customHeight="1">
      <c r="A130" s="124"/>
      <c r="B130" s="12"/>
      <c r="C130" s="12"/>
      <c r="D130" s="12"/>
      <c r="E130" s="12"/>
      <c r="F130" s="12"/>
      <c r="G130" s="12"/>
      <c r="H130" s="12"/>
      <c r="I130" s="12"/>
      <c r="J130" s="125"/>
    </row>
    <row r="131" spans="1:26" s="1" customFormat="1" ht="18" customHeight="1">
      <c r="A131" s="124"/>
      <c r="B131" s="12"/>
      <c r="C131" s="12"/>
      <c r="D131" s="12"/>
      <c r="E131" s="12"/>
      <c r="F131" s="12"/>
      <c r="G131" s="12"/>
      <c r="H131" s="12"/>
      <c r="I131" s="12"/>
      <c r="J131" s="125"/>
    </row>
    <row r="132" spans="1:26" s="1" customFormat="1" ht="18" customHeight="1">
      <c r="A132" s="124"/>
      <c r="B132" s="12"/>
      <c r="C132" s="12"/>
      <c r="D132" s="12"/>
      <c r="E132" s="12"/>
      <c r="F132" s="12"/>
      <c r="G132" s="12"/>
      <c r="H132" s="12"/>
      <c r="I132" s="12"/>
      <c r="J132" s="125"/>
    </row>
    <row r="133" spans="1:26" s="1" customFormat="1" ht="25.35" customHeight="1">
      <c r="A133" s="124"/>
      <c r="B133" s="12"/>
      <c r="C133" s="12"/>
      <c r="D133" s="12"/>
      <c r="E133" s="12"/>
      <c r="F133" s="12"/>
      <c r="G133" s="12"/>
      <c r="H133" s="12"/>
      <c r="I133" s="12"/>
      <c r="J133" s="125"/>
    </row>
    <row r="134" spans="1:26" s="1" customFormat="1" ht="25.35" customHeight="1">
      <c r="A134" s="124"/>
      <c r="B134" s="12"/>
      <c r="C134" s="12"/>
      <c r="D134" s="12"/>
      <c r="E134" s="12"/>
      <c r="F134" s="12"/>
      <c r="G134" s="12"/>
      <c r="H134" s="12"/>
      <c r="I134" s="12"/>
      <c r="J134" s="125"/>
    </row>
    <row r="135" spans="1:26" s="1" customFormat="1" ht="25.35" customHeight="1">
      <c r="A135" s="128"/>
      <c r="B135" s="129"/>
      <c r="C135" s="129"/>
      <c r="D135" s="129"/>
      <c r="E135" s="129"/>
      <c r="F135" s="129"/>
      <c r="G135" s="129"/>
      <c r="H135" s="129"/>
      <c r="I135" s="129"/>
      <c r="J135" s="130"/>
    </row>
    <row r="136" spans="1:26" s="1" customFormat="1" ht="45" customHeight="1">
      <c r="A136" s="598" t="s">
        <v>1295</v>
      </c>
      <c r="B136" s="599"/>
      <c r="C136" s="599"/>
      <c r="D136" s="599"/>
      <c r="E136" s="599"/>
      <c r="F136" s="599"/>
      <c r="G136" s="599"/>
      <c r="H136" s="599"/>
      <c r="I136" s="599"/>
      <c r="J136" s="600"/>
    </row>
    <row r="137" spans="1:26" s="1" customFormat="1" ht="15.75">
      <c r="A137" s="122"/>
      <c r="B137" s="541"/>
      <c r="C137" s="541"/>
      <c r="D137" s="541"/>
      <c r="E137" s="541"/>
      <c r="F137" s="541"/>
      <c r="G137" s="541"/>
      <c r="H137" s="541"/>
      <c r="I137" s="541"/>
      <c r="J137" s="123"/>
    </row>
    <row r="138" spans="1:26" s="1" customFormat="1" ht="15.75">
      <c r="A138" s="122"/>
      <c r="B138" s="30"/>
      <c r="C138" s="30"/>
      <c r="D138" s="30"/>
      <c r="E138" s="30"/>
      <c r="F138" s="30"/>
      <c r="G138" s="30"/>
      <c r="H138" s="30"/>
      <c r="I138" s="30"/>
      <c r="J138" s="123"/>
    </row>
    <row r="139" spans="1:26" s="1" customFormat="1" ht="15.75">
      <c r="A139" s="122"/>
      <c r="B139" s="30"/>
      <c r="C139" s="30"/>
      <c r="D139" s="30"/>
      <c r="E139" s="30"/>
      <c r="F139" s="30"/>
      <c r="G139" s="30"/>
      <c r="H139" s="30"/>
      <c r="I139" s="30"/>
      <c r="J139" s="123"/>
    </row>
    <row r="140" spans="1:26" s="1" customFormat="1" ht="15.75">
      <c r="A140" s="122"/>
      <c r="B140" s="30"/>
      <c r="C140" s="30"/>
      <c r="D140" s="30"/>
      <c r="E140" s="30"/>
      <c r="F140" s="30"/>
      <c r="G140" s="30"/>
      <c r="H140" s="30"/>
      <c r="I140" s="30"/>
      <c r="J140" s="123"/>
    </row>
    <row r="141" spans="1:26" s="1" customFormat="1" ht="15.75">
      <c r="A141" s="122"/>
      <c r="B141" s="30"/>
      <c r="C141" s="30"/>
      <c r="D141" s="30"/>
      <c r="E141" s="30"/>
      <c r="F141" s="30"/>
      <c r="G141" s="30"/>
      <c r="H141" s="30"/>
      <c r="I141" s="30"/>
      <c r="J141" s="123"/>
    </row>
    <row r="142" spans="1:26" s="1" customFormat="1" ht="15.75">
      <c r="A142" s="122"/>
      <c r="B142" s="30"/>
      <c r="C142" s="30"/>
      <c r="D142" s="30"/>
      <c r="E142" s="30"/>
      <c r="F142" s="30"/>
      <c r="G142" s="30"/>
      <c r="H142" s="30"/>
      <c r="I142" s="30"/>
      <c r="J142" s="123"/>
    </row>
    <row r="143" spans="1:26" s="1" customFormat="1" ht="15.75">
      <c r="A143" s="122"/>
      <c r="B143" s="30"/>
      <c r="C143" s="30"/>
      <c r="D143" s="30"/>
      <c r="E143" s="30"/>
      <c r="F143" s="30"/>
      <c r="G143" s="30"/>
      <c r="H143" s="30"/>
      <c r="I143" s="30"/>
      <c r="J143" s="123"/>
    </row>
    <row r="144" spans="1:26" s="6" customFormat="1" ht="15" customHeight="1">
      <c r="A144" s="124"/>
      <c r="B144" s="12"/>
      <c r="C144" s="12"/>
      <c r="D144" s="12"/>
      <c r="E144" s="12"/>
      <c r="F144" s="12"/>
      <c r="G144" s="12"/>
      <c r="H144" s="12"/>
      <c r="I144" s="12"/>
      <c r="J144" s="125"/>
      <c r="K144" s="4"/>
      <c r="L144" s="4"/>
      <c r="M144" s="4"/>
      <c r="N144" s="4"/>
      <c r="O144" s="4"/>
      <c r="P144" s="4"/>
      <c r="Q144" s="4"/>
      <c r="R144" s="4"/>
      <c r="S144" s="4"/>
      <c r="T144" s="5"/>
      <c r="U144" s="5"/>
      <c r="V144" s="5"/>
      <c r="W144" s="5"/>
      <c r="X144" s="5"/>
      <c r="Y144" s="5"/>
      <c r="Z144" s="5"/>
    </row>
    <row r="145" spans="1:26" s="1" customFormat="1" ht="15" customHeight="1">
      <c r="A145" s="124"/>
      <c r="B145" s="12"/>
      <c r="C145" s="12"/>
      <c r="D145" s="12"/>
      <c r="E145" s="12"/>
      <c r="F145" s="12"/>
      <c r="G145" s="12"/>
      <c r="H145" s="12"/>
      <c r="I145" s="12"/>
      <c r="J145" s="125"/>
    </row>
    <row r="146" spans="1:26" s="1" customFormat="1" ht="15" customHeight="1">
      <c r="A146" s="124"/>
      <c r="B146" s="12"/>
      <c r="C146" s="12"/>
      <c r="D146" s="12"/>
      <c r="E146" s="12"/>
      <c r="F146" s="12"/>
      <c r="G146" s="12"/>
      <c r="H146" s="12"/>
      <c r="I146" s="12"/>
      <c r="J146" s="125"/>
    </row>
    <row r="147" spans="1:26" s="1" customFormat="1" ht="15" customHeight="1">
      <c r="A147" s="124"/>
      <c r="B147" s="12"/>
      <c r="C147" s="12"/>
      <c r="D147" s="12"/>
      <c r="E147" s="12"/>
      <c r="F147" s="12"/>
      <c r="G147" s="12"/>
      <c r="H147" s="12"/>
      <c r="I147" s="12"/>
      <c r="J147" s="125"/>
    </row>
    <row r="148" spans="1:26" s="1" customFormat="1" ht="15.75">
      <c r="A148" s="122"/>
      <c r="B148" s="30"/>
      <c r="C148" s="30"/>
      <c r="D148" s="30"/>
      <c r="E148" s="30"/>
      <c r="F148" s="30"/>
      <c r="G148" s="30"/>
      <c r="H148" s="30"/>
      <c r="I148" s="30"/>
      <c r="J148" s="123"/>
    </row>
    <row r="149" spans="1:26" s="1" customFormat="1" ht="15.75">
      <c r="A149" s="122"/>
      <c r="B149" s="30"/>
      <c r="C149" s="30"/>
      <c r="D149" s="30"/>
      <c r="E149" s="30"/>
      <c r="F149" s="30"/>
      <c r="G149" s="30"/>
      <c r="H149" s="30"/>
      <c r="I149" s="30"/>
      <c r="J149" s="123"/>
    </row>
    <row r="150" spans="1:26" s="1" customFormat="1" ht="15.75">
      <c r="A150" s="122"/>
      <c r="B150" s="30"/>
      <c r="C150" s="30"/>
      <c r="D150" s="30"/>
      <c r="E150" s="30"/>
      <c r="F150" s="30"/>
      <c r="G150" s="30"/>
      <c r="H150" s="30"/>
      <c r="I150" s="30"/>
      <c r="J150" s="123"/>
    </row>
    <row r="151" spans="1:26" s="1" customFormat="1" ht="15.75">
      <c r="A151" s="122"/>
      <c r="B151" s="30"/>
      <c r="C151" s="30"/>
      <c r="D151" s="30"/>
      <c r="E151" s="30"/>
      <c r="F151" s="30"/>
      <c r="G151" s="30"/>
      <c r="H151" s="30"/>
      <c r="I151" s="30"/>
      <c r="J151" s="123"/>
    </row>
    <row r="152" spans="1:26" s="1" customFormat="1" ht="15.75">
      <c r="A152" s="122"/>
      <c r="B152" s="30"/>
      <c r="C152" s="30"/>
      <c r="D152" s="30"/>
      <c r="E152" s="30"/>
      <c r="F152" s="30"/>
      <c r="G152" s="30"/>
      <c r="H152" s="30"/>
      <c r="I152" s="30"/>
      <c r="J152" s="123"/>
    </row>
    <row r="153" spans="1:26" s="1" customFormat="1" ht="15.75">
      <c r="A153" s="122"/>
      <c r="B153" s="30"/>
      <c r="C153" s="30"/>
      <c r="D153" s="30"/>
      <c r="E153" s="30"/>
      <c r="F153" s="30"/>
      <c r="G153" s="30"/>
      <c r="H153" s="30"/>
      <c r="I153" s="30"/>
      <c r="J153" s="123"/>
    </row>
    <row r="154" spans="1:26" s="1" customFormat="1" ht="15.75">
      <c r="A154" s="122"/>
      <c r="B154" s="30"/>
      <c r="C154" s="30"/>
      <c r="D154" s="30"/>
      <c r="E154" s="30"/>
      <c r="F154" s="30"/>
      <c r="G154" s="30"/>
      <c r="H154" s="30"/>
      <c r="I154" s="30"/>
      <c r="J154" s="123"/>
    </row>
    <row r="155" spans="1:26" s="1" customFormat="1">
      <c r="A155" s="126"/>
      <c r="B155" s="28"/>
      <c r="C155" s="28"/>
      <c r="D155" s="28"/>
      <c r="E155" s="28"/>
      <c r="F155" s="28"/>
      <c r="G155" s="28"/>
      <c r="H155" s="28"/>
      <c r="I155" s="28"/>
      <c r="J155" s="127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s="1" customFormat="1" ht="69.75" customHeight="1">
      <c r="A156" s="126"/>
      <c r="B156" s="542" t="s">
        <v>1299</v>
      </c>
      <c r="C156" s="542"/>
      <c r="D156" s="542"/>
      <c r="E156" s="542"/>
      <c r="F156" s="542"/>
      <c r="G156" s="542"/>
      <c r="H156" s="542"/>
      <c r="I156" s="542"/>
      <c r="J156" s="127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s="1" customFormat="1" ht="15" customHeight="1">
      <c r="A157" s="126"/>
      <c r="B157" s="543"/>
      <c r="C157" s="543"/>
      <c r="D157" s="543"/>
      <c r="E157" s="543"/>
      <c r="F157" s="543"/>
      <c r="G157" s="543"/>
      <c r="H157" s="543"/>
      <c r="I157" s="543"/>
      <c r="J157" s="127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s="1" customFormat="1" ht="15" customHeight="1">
      <c r="A158" s="126"/>
      <c r="B158" s="544"/>
      <c r="C158" s="544"/>
      <c r="D158" s="544"/>
      <c r="E158" s="544"/>
      <c r="F158" s="544"/>
      <c r="G158" s="544"/>
      <c r="H158" s="544"/>
      <c r="I158" s="544"/>
      <c r="J158" s="127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s="1" customFormat="1" ht="15" customHeight="1">
      <c r="A159" s="126"/>
      <c r="B159" s="544"/>
      <c r="C159" s="544"/>
      <c r="D159" s="544"/>
      <c r="E159" s="544"/>
      <c r="F159" s="544"/>
      <c r="G159" s="544"/>
      <c r="H159" s="544"/>
      <c r="I159" s="544"/>
      <c r="J159" s="127"/>
      <c r="K159" s="2"/>
      <c r="L159" s="2"/>
      <c r="M159" s="2"/>
      <c r="N159" s="2"/>
      <c r="O159" s="2"/>
      <c r="P159" s="2"/>
      <c r="Q159" s="2"/>
      <c r="R159" s="2"/>
      <c r="S159" s="2"/>
      <c r="T159" s="3"/>
      <c r="U159" s="3"/>
      <c r="V159" s="3"/>
      <c r="W159" s="3"/>
      <c r="X159" s="3"/>
      <c r="Y159" s="3"/>
      <c r="Z159" s="3"/>
    </row>
    <row r="160" spans="1:26" s="1" customFormat="1" ht="15" customHeight="1">
      <c r="A160" s="126"/>
      <c r="B160" s="544"/>
      <c r="C160" s="544"/>
      <c r="D160" s="544"/>
      <c r="E160" s="544"/>
      <c r="F160" s="544"/>
      <c r="G160" s="544"/>
      <c r="H160" s="544"/>
      <c r="I160" s="544"/>
      <c r="J160" s="127"/>
      <c r="K160" s="2"/>
      <c r="L160" s="2"/>
      <c r="M160" s="2"/>
      <c r="N160" s="2"/>
      <c r="O160" s="2"/>
      <c r="P160" s="2"/>
      <c r="Q160" s="2"/>
      <c r="R160" s="2"/>
      <c r="S160" s="2"/>
      <c r="T160" s="3"/>
      <c r="U160" s="3"/>
      <c r="V160" s="3"/>
      <c r="W160" s="3"/>
      <c r="X160" s="3"/>
      <c r="Y160" s="3"/>
      <c r="Z160" s="3"/>
    </row>
    <row r="161" spans="1:26" s="1" customFormat="1" ht="15" customHeight="1">
      <c r="A161" s="126"/>
      <c r="B161" s="12"/>
      <c r="C161" s="12"/>
      <c r="D161" s="12"/>
      <c r="E161" s="12"/>
      <c r="F161" s="12"/>
      <c r="G161" s="12"/>
      <c r="H161" s="12"/>
      <c r="I161" s="12"/>
      <c r="J161" s="127"/>
      <c r="K161" s="2"/>
      <c r="L161" s="2"/>
      <c r="M161" s="2"/>
      <c r="N161" s="2"/>
      <c r="O161" s="2"/>
      <c r="P161" s="2"/>
      <c r="Q161" s="2"/>
      <c r="R161" s="2"/>
      <c r="S161" s="2"/>
      <c r="T161" s="3"/>
      <c r="U161" s="3"/>
      <c r="V161" s="3"/>
      <c r="W161" s="3"/>
      <c r="X161" s="3"/>
      <c r="Y161" s="3"/>
      <c r="Z161" s="3"/>
    </row>
    <row r="162" spans="1:26" s="1" customFormat="1" ht="15" customHeight="1">
      <c r="A162" s="126"/>
      <c r="B162" s="544"/>
      <c r="C162" s="544"/>
      <c r="D162" s="544"/>
      <c r="E162" s="544"/>
      <c r="F162" s="544"/>
      <c r="G162" s="544"/>
      <c r="H162" s="544"/>
      <c r="I162" s="544"/>
      <c r="J162" s="127"/>
      <c r="K162" s="2"/>
      <c r="L162" s="2"/>
      <c r="M162" s="2"/>
      <c r="N162" s="2"/>
      <c r="O162" s="2"/>
      <c r="P162" s="2"/>
      <c r="Q162" s="2"/>
      <c r="R162" s="2"/>
      <c r="S162" s="2"/>
      <c r="T162" s="3"/>
      <c r="U162" s="3"/>
      <c r="V162" s="3"/>
      <c r="W162" s="3"/>
      <c r="X162" s="3"/>
      <c r="Y162" s="3"/>
      <c r="Z162" s="3"/>
    </row>
    <row r="163" spans="1:26" s="6" customFormat="1" ht="15" customHeight="1">
      <c r="A163" s="124"/>
      <c r="B163" s="544"/>
      <c r="C163" s="544"/>
      <c r="D163" s="544"/>
      <c r="E163" s="544"/>
      <c r="F163" s="544"/>
      <c r="G163" s="544"/>
      <c r="H163" s="544"/>
      <c r="I163" s="544"/>
      <c r="J163" s="125"/>
      <c r="K163" s="4"/>
      <c r="L163" s="4"/>
      <c r="M163" s="4"/>
      <c r="N163" s="4"/>
      <c r="O163" s="4"/>
      <c r="P163" s="4"/>
      <c r="Q163" s="4"/>
      <c r="R163" s="4"/>
      <c r="S163" s="4"/>
      <c r="T163" s="5"/>
      <c r="U163" s="5"/>
      <c r="V163" s="5"/>
      <c r="W163" s="5"/>
      <c r="X163" s="5"/>
      <c r="Y163" s="5"/>
      <c r="Z163" s="5"/>
    </row>
    <row r="164" spans="1:26" s="6" customFormat="1" ht="15" customHeight="1">
      <c r="A164" s="124"/>
      <c r="B164" s="544"/>
      <c r="C164" s="544"/>
      <c r="D164" s="544"/>
      <c r="E164" s="544"/>
      <c r="F164" s="544"/>
      <c r="G164" s="544"/>
      <c r="H164" s="544"/>
      <c r="I164" s="544"/>
      <c r="J164" s="125"/>
      <c r="K164" s="4"/>
      <c r="L164" s="4"/>
      <c r="M164" s="5"/>
      <c r="N164" s="4"/>
      <c r="O164" s="5"/>
      <c r="P164" s="4"/>
      <c r="Q164" s="4"/>
      <c r="R164" s="4"/>
      <c r="S164" s="4"/>
      <c r="T164" s="4"/>
      <c r="U164" s="5"/>
      <c r="V164" s="5"/>
      <c r="W164" s="5"/>
      <c r="X164" s="5"/>
      <c r="Y164" s="5"/>
      <c r="Z164" s="5"/>
    </row>
    <row r="165" spans="1:26" s="6" customFormat="1" ht="15" customHeight="1">
      <c r="A165" s="124"/>
      <c r="B165" s="12"/>
      <c r="C165" s="12"/>
      <c r="D165" s="12"/>
      <c r="E165" s="12"/>
      <c r="F165" s="80"/>
      <c r="G165" s="12"/>
      <c r="H165" s="81"/>
      <c r="I165" s="12"/>
      <c r="J165" s="125"/>
      <c r="K165" s="4"/>
      <c r="L165" s="4"/>
      <c r="M165" s="4"/>
      <c r="N165" s="4"/>
      <c r="O165" s="4"/>
      <c r="P165" s="4"/>
      <c r="Q165" s="4"/>
      <c r="R165" s="4"/>
      <c r="S165" s="4"/>
      <c r="T165" s="5"/>
      <c r="U165" s="5"/>
      <c r="V165" s="5"/>
      <c r="W165" s="5"/>
      <c r="X165" s="5"/>
      <c r="Y165" s="5"/>
      <c r="Z165" s="5"/>
    </row>
    <row r="166" spans="1:26" s="6" customFormat="1" ht="15" customHeight="1">
      <c r="A166" s="124"/>
      <c r="B166" s="12"/>
      <c r="C166" s="12"/>
      <c r="D166" s="12"/>
      <c r="E166" s="12"/>
      <c r="F166" s="12"/>
      <c r="G166" s="12"/>
      <c r="H166" s="12"/>
      <c r="I166" s="12"/>
      <c r="J166" s="125"/>
      <c r="K166" s="4"/>
      <c r="L166" s="4"/>
      <c r="M166" s="4"/>
      <c r="N166" s="4"/>
      <c r="O166" s="4"/>
      <c r="P166" s="4"/>
      <c r="Q166" s="4"/>
      <c r="R166" s="4"/>
      <c r="S166" s="4"/>
      <c r="T166" s="5"/>
      <c r="U166" s="5"/>
      <c r="V166" s="5"/>
      <c r="W166" s="5"/>
      <c r="X166" s="5"/>
      <c r="Y166" s="5"/>
      <c r="Z166" s="5"/>
    </row>
    <row r="167" spans="1:26" s="6" customFormat="1" ht="15" customHeight="1">
      <c r="A167" s="124"/>
      <c r="B167" s="12"/>
      <c r="C167" s="12"/>
      <c r="D167" s="12"/>
      <c r="E167" s="12"/>
      <c r="F167" s="12"/>
      <c r="G167" s="12"/>
      <c r="H167" s="12"/>
      <c r="I167" s="12"/>
      <c r="J167" s="125"/>
      <c r="K167" s="4"/>
      <c r="L167" s="4"/>
      <c r="M167" s="4"/>
      <c r="N167" s="4"/>
      <c r="O167" s="4"/>
      <c r="P167" s="4"/>
      <c r="Q167" s="4"/>
      <c r="R167" s="4"/>
      <c r="S167" s="4"/>
      <c r="T167" s="5"/>
      <c r="U167" s="5"/>
      <c r="V167" s="5"/>
      <c r="W167" s="5"/>
      <c r="X167" s="5"/>
      <c r="Y167" s="5"/>
      <c r="Z167" s="5"/>
    </row>
    <row r="168" spans="1:26" s="6" customFormat="1" ht="15" customHeight="1">
      <c r="A168" s="124"/>
      <c r="B168" s="12"/>
      <c r="C168" s="12"/>
      <c r="D168" s="12"/>
      <c r="E168" s="12"/>
      <c r="F168" s="12"/>
      <c r="G168" s="12"/>
      <c r="H168" s="12"/>
      <c r="I168" s="12"/>
      <c r="J168" s="125"/>
      <c r="K168" s="4"/>
      <c r="L168" s="4"/>
      <c r="M168" s="4"/>
      <c r="N168" s="4"/>
      <c r="O168" s="4"/>
      <c r="P168" s="4"/>
      <c r="Q168" s="4"/>
      <c r="R168" s="4"/>
      <c r="S168" s="4"/>
      <c r="T168" s="5"/>
      <c r="U168" s="5"/>
      <c r="V168" s="5"/>
      <c r="W168" s="5"/>
      <c r="X168" s="5"/>
      <c r="Y168" s="5"/>
      <c r="Z168" s="5"/>
    </row>
    <row r="169" spans="1:26" s="6" customFormat="1" ht="15" customHeight="1">
      <c r="A169" s="124"/>
      <c r="B169" s="12"/>
      <c r="C169" s="12"/>
      <c r="D169" s="12"/>
      <c r="E169" s="12"/>
      <c r="F169" s="12"/>
      <c r="G169" s="12"/>
      <c r="H169" s="12"/>
      <c r="I169" s="12"/>
      <c r="J169" s="125"/>
      <c r="K169" s="4"/>
      <c r="L169" s="4"/>
      <c r="M169" s="4"/>
      <c r="N169" s="4"/>
      <c r="O169" s="4"/>
      <c r="P169" s="4"/>
      <c r="Q169" s="4"/>
      <c r="R169" s="4"/>
      <c r="S169" s="4"/>
      <c r="T169" s="5"/>
      <c r="U169" s="5"/>
      <c r="V169" s="5"/>
      <c r="W169" s="5"/>
      <c r="X169" s="5"/>
      <c r="Y169" s="5"/>
      <c r="Z169" s="5"/>
    </row>
    <row r="170" spans="1:26" s="6" customFormat="1" ht="15" customHeight="1">
      <c r="A170" s="124"/>
      <c r="B170" s="12"/>
      <c r="C170" s="12"/>
      <c r="D170" s="12"/>
      <c r="E170" s="12"/>
      <c r="F170" s="12"/>
      <c r="G170" s="12"/>
      <c r="H170" s="12"/>
      <c r="I170" s="12"/>
      <c r="J170" s="125"/>
      <c r="K170" s="4"/>
      <c r="L170" s="4"/>
      <c r="M170" s="4"/>
      <c r="N170" s="4"/>
      <c r="O170" s="4"/>
      <c r="P170" s="4"/>
      <c r="Q170" s="4"/>
      <c r="R170" s="4"/>
      <c r="S170" s="4"/>
      <c r="T170" s="5"/>
      <c r="U170" s="5"/>
      <c r="V170" s="5"/>
      <c r="W170" s="5"/>
      <c r="X170" s="5"/>
      <c r="Y170" s="5"/>
      <c r="Z170" s="5"/>
    </row>
    <row r="171" spans="1:26" s="6" customFormat="1" ht="15" customHeight="1">
      <c r="A171" s="124"/>
      <c r="B171" s="12"/>
      <c r="C171" s="12"/>
      <c r="D171" s="12"/>
      <c r="E171" s="12"/>
      <c r="F171" s="12"/>
      <c r="G171" s="12"/>
      <c r="H171" s="12"/>
      <c r="I171" s="12"/>
      <c r="J171" s="125"/>
      <c r="K171" s="4"/>
      <c r="L171" s="4"/>
      <c r="M171" s="4"/>
      <c r="N171" s="4"/>
      <c r="O171" s="4"/>
      <c r="P171" s="4"/>
      <c r="Q171" s="4"/>
      <c r="R171" s="4"/>
      <c r="S171" s="4"/>
      <c r="T171" s="5"/>
      <c r="U171" s="5"/>
      <c r="V171" s="5"/>
      <c r="W171" s="5"/>
      <c r="X171" s="5"/>
      <c r="Y171" s="5"/>
      <c r="Z171" s="5"/>
    </row>
    <row r="172" spans="1:26" s="6" customFormat="1" ht="15" customHeight="1">
      <c r="A172" s="124"/>
      <c r="B172" s="12"/>
      <c r="C172" s="12"/>
      <c r="D172" s="12"/>
      <c r="E172" s="12"/>
      <c r="F172" s="12"/>
      <c r="G172" s="12"/>
      <c r="H172" s="12"/>
      <c r="I172" s="12"/>
      <c r="J172" s="125"/>
      <c r="K172" s="4"/>
      <c r="L172" s="4"/>
      <c r="M172" s="4"/>
      <c r="N172" s="4"/>
      <c r="O172" s="4"/>
      <c r="P172" s="4"/>
      <c r="Q172" s="4"/>
      <c r="R172" s="4"/>
      <c r="S172" s="4"/>
      <c r="T172" s="5"/>
      <c r="U172" s="5"/>
      <c r="V172" s="5"/>
      <c r="W172" s="5"/>
      <c r="X172" s="5"/>
      <c r="Y172" s="5"/>
      <c r="Z172" s="5"/>
    </row>
    <row r="173" spans="1:26" s="1" customFormat="1" ht="15" customHeight="1">
      <c r="A173" s="124"/>
      <c r="B173" s="12"/>
      <c r="C173" s="12"/>
      <c r="D173" s="12"/>
      <c r="E173" s="12"/>
      <c r="F173" s="12"/>
      <c r="G173" s="12"/>
      <c r="H173" s="12"/>
      <c r="I173" s="12"/>
      <c r="J173" s="125"/>
    </row>
    <row r="174" spans="1:26" s="1" customFormat="1" ht="15" customHeight="1">
      <c r="A174" s="124"/>
      <c r="B174" s="12"/>
      <c r="C174" s="12"/>
      <c r="D174" s="12"/>
      <c r="E174" s="12"/>
      <c r="F174" s="12"/>
      <c r="G174" s="12"/>
      <c r="H174" s="12"/>
      <c r="I174" s="12"/>
      <c r="J174" s="125"/>
    </row>
    <row r="175" spans="1:26" s="1" customFormat="1" ht="15" customHeight="1">
      <c r="A175" s="124"/>
      <c r="B175" s="12"/>
      <c r="C175" s="12"/>
      <c r="D175" s="12"/>
      <c r="E175" s="12"/>
      <c r="F175" s="12"/>
      <c r="G175" s="12"/>
      <c r="H175" s="12"/>
      <c r="I175" s="12"/>
      <c r="J175" s="125"/>
    </row>
    <row r="176" spans="1:26" s="1" customFormat="1" ht="18" customHeight="1">
      <c r="A176" s="124"/>
      <c r="B176" s="12"/>
      <c r="C176" s="12"/>
      <c r="D176" s="12"/>
      <c r="E176" s="12"/>
      <c r="F176" s="12"/>
      <c r="G176" s="12"/>
      <c r="H176" s="12"/>
      <c r="I176" s="12"/>
      <c r="J176" s="125"/>
    </row>
    <row r="177" spans="1:26" s="1" customFormat="1" ht="18" customHeight="1">
      <c r="A177" s="124"/>
      <c r="B177" s="12"/>
      <c r="C177" s="12"/>
      <c r="D177" s="12"/>
      <c r="E177" s="12"/>
      <c r="F177" s="12"/>
      <c r="G177" s="12"/>
      <c r="H177" s="12"/>
      <c r="I177" s="12"/>
      <c r="J177" s="125"/>
    </row>
    <row r="178" spans="1:26" s="1" customFormat="1" ht="25.35" customHeight="1">
      <c r="A178" s="124"/>
      <c r="B178" s="12"/>
      <c r="C178" s="12"/>
      <c r="D178" s="12"/>
      <c r="E178" s="12"/>
      <c r="F178" s="12"/>
      <c r="G178" s="12"/>
      <c r="H178" s="12"/>
      <c r="I178" s="12"/>
      <c r="J178" s="125"/>
    </row>
    <row r="179" spans="1:26" s="1" customFormat="1" ht="25.35" customHeight="1">
      <c r="A179" s="124"/>
      <c r="B179" s="12"/>
      <c r="C179" s="12"/>
      <c r="D179" s="12"/>
      <c r="E179" s="12"/>
      <c r="F179" s="12"/>
      <c r="G179" s="12"/>
      <c r="H179" s="12"/>
      <c r="I179" s="12"/>
      <c r="J179" s="125"/>
    </row>
    <row r="180" spans="1:26" s="1" customFormat="1" ht="25.35" customHeight="1">
      <c r="A180" s="128"/>
      <c r="B180" s="129"/>
      <c r="C180" s="129"/>
      <c r="D180" s="129"/>
      <c r="E180" s="129"/>
      <c r="F180" s="129"/>
      <c r="G180" s="129"/>
      <c r="H180" s="129"/>
      <c r="I180" s="129"/>
      <c r="J180" s="130"/>
    </row>
    <row r="181" spans="1:26" s="1" customFormat="1" ht="45" customHeight="1">
      <c r="A181" s="598" t="s">
        <v>1295</v>
      </c>
      <c r="B181" s="599"/>
      <c r="C181" s="599"/>
      <c r="D181" s="599"/>
      <c r="E181" s="599"/>
      <c r="F181" s="599"/>
      <c r="G181" s="599"/>
      <c r="H181" s="599"/>
      <c r="I181" s="599"/>
      <c r="J181" s="600"/>
    </row>
    <row r="182" spans="1:26" s="1" customFormat="1" ht="15.75">
      <c r="A182" s="122"/>
      <c r="B182" s="541"/>
      <c r="C182" s="541"/>
      <c r="D182" s="541"/>
      <c r="E182" s="541"/>
      <c r="F182" s="541"/>
      <c r="G182" s="541"/>
      <c r="H182" s="541"/>
      <c r="I182" s="541"/>
      <c r="J182" s="123"/>
    </row>
    <row r="183" spans="1:26" s="1" customFormat="1" ht="15.75">
      <c r="A183" s="122"/>
      <c r="B183" s="30"/>
      <c r="C183" s="30"/>
      <c r="D183" s="30"/>
      <c r="E183" s="30"/>
      <c r="F183" s="30"/>
      <c r="G183" s="30"/>
      <c r="H183" s="30"/>
      <c r="I183" s="30"/>
      <c r="J183" s="123"/>
    </row>
    <row r="184" spans="1:26" s="1" customFormat="1" ht="15.75">
      <c r="A184" s="122"/>
      <c r="B184" s="30"/>
      <c r="C184" s="30"/>
      <c r="D184" s="30"/>
      <c r="E184" s="30"/>
      <c r="F184" s="30"/>
      <c r="G184" s="30"/>
      <c r="H184" s="30"/>
      <c r="I184" s="30"/>
      <c r="J184" s="123"/>
    </row>
    <row r="185" spans="1:26" s="1" customFormat="1" ht="15.75">
      <c r="A185" s="122"/>
      <c r="B185" s="30"/>
      <c r="C185" s="30"/>
      <c r="D185" s="30"/>
      <c r="E185" s="30"/>
      <c r="F185" s="30"/>
      <c r="G185" s="30"/>
      <c r="H185" s="30"/>
      <c r="I185" s="30"/>
      <c r="J185" s="123"/>
    </row>
    <row r="186" spans="1:26" s="1" customFormat="1" ht="15.75">
      <c r="A186" s="122"/>
      <c r="B186" s="30"/>
      <c r="C186" s="30"/>
      <c r="D186" s="30"/>
      <c r="E186" s="30"/>
      <c r="F186" s="30"/>
      <c r="G186" s="30"/>
      <c r="H186" s="30"/>
      <c r="I186" s="30"/>
      <c r="J186" s="123"/>
    </row>
    <row r="187" spans="1:26" s="1" customFormat="1" ht="15.75">
      <c r="A187" s="122"/>
      <c r="B187" s="30"/>
      <c r="C187" s="30"/>
      <c r="D187" s="30"/>
      <c r="E187" s="30"/>
      <c r="F187" s="30"/>
      <c r="G187" s="30"/>
      <c r="H187" s="30"/>
      <c r="I187" s="30"/>
      <c r="J187" s="123"/>
    </row>
    <row r="188" spans="1:26" s="1" customFormat="1" ht="15.75">
      <c r="A188" s="122"/>
      <c r="B188" s="30"/>
      <c r="C188" s="30"/>
      <c r="D188" s="30"/>
      <c r="E188" s="30"/>
      <c r="F188" s="30"/>
      <c r="G188" s="30"/>
      <c r="H188" s="30"/>
      <c r="I188" s="30"/>
      <c r="J188" s="123"/>
    </row>
    <row r="189" spans="1:26" s="6" customFormat="1" ht="15" customHeight="1">
      <c r="A189" s="124"/>
      <c r="B189" s="12"/>
      <c r="C189" s="12"/>
      <c r="D189" s="12"/>
      <c r="E189" s="12"/>
      <c r="F189" s="12"/>
      <c r="G189" s="12"/>
      <c r="H189" s="12"/>
      <c r="I189" s="12"/>
      <c r="J189" s="125"/>
      <c r="K189" s="4"/>
      <c r="L189" s="4"/>
      <c r="M189" s="4"/>
      <c r="N189" s="4"/>
      <c r="O189" s="4"/>
      <c r="P189" s="4"/>
      <c r="Q189" s="4"/>
      <c r="R189" s="4"/>
      <c r="S189" s="4"/>
      <c r="T189" s="5"/>
      <c r="U189" s="5"/>
      <c r="V189" s="5"/>
      <c r="W189" s="5"/>
      <c r="X189" s="5"/>
      <c r="Y189" s="5"/>
      <c r="Z189" s="5"/>
    </row>
    <row r="190" spans="1:26" s="1" customFormat="1" ht="15" customHeight="1">
      <c r="A190" s="124"/>
      <c r="B190" s="12"/>
      <c r="C190" s="12"/>
      <c r="D190" s="12"/>
      <c r="E190" s="12"/>
      <c r="F190" s="12"/>
      <c r="G190" s="12"/>
      <c r="H190" s="12"/>
      <c r="I190" s="12"/>
      <c r="J190" s="125"/>
    </row>
    <row r="191" spans="1:26" s="1" customFormat="1" ht="15" customHeight="1">
      <c r="A191" s="124"/>
      <c r="B191" s="12"/>
      <c r="C191" s="12"/>
      <c r="D191" s="12"/>
      <c r="E191" s="12"/>
      <c r="F191" s="12"/>
      <c r="G191" s="12"/>
      <c r="H191" s="12"/>
      <c r="I191" s="12"/>
      <c r="J191" s="125"/>
    </row>
    <row r="192" spans="1:26" s="1" customFormat="1" ht="15" customHeight="1">
      <c r="A192" s="124"/>
      <c r="B192" s="12"/>
      <c r="C192" s="12"/>
      <c r="D192" s="12"/>
      <c r="E192" s="12"/>
      <c r="F192" s="12"/>
      <c r="G192" s="12"/>
      <c r="H192" s="12"/>
      <c r="I192" s="12"/>
      <c r="J192" s="125"/>
    </row>
    <row r="193" spans="1:26" s="1" customFormat="1" ht="15.75">
      <c r="A193" s="122"/>
      <c r="B193" s="30"/>
      <c r="C193" s="30"/>
      <c r="D193" s="30"/>
      <c r="E193" s="30"/>
      <c r="F193" s="30"/>
      <c r="G193" s="30"/>
      <c r="H193" s="30"/>
      <c r="I193" s="30"/>
      <c r="J193" s="123"/>
    </row>
    <row r="194" spans="1:26" s="1" customFormat="1" ht="15.75">
      <c r="A194" s="122"/>
      <c r="B194" s="30"/>
      <c r="C194" s="30"/>
      <c r="D194" s="30"/>
      <c r="E194" s="30"/>
      <c r="F194" s="30"/>
      <c r="G194" s="30"/>
      <c r="H194" s="30"/>
      <c r="I194" s="30"/>
      <c r="J194" s="123"/>
    </row>
    <row r="195" spans="1:26" s="1" customFormat="1" ht="15.75">
      <c r="A195" s="122"/>
      <c r="B195" s="30"/>
      <c r="C195" s="30"/>
      <c r="D195" s="30"/>
      <c r="E195" s="30"/>
      <c r="F195" s="30"/>
      <c r="G195" s="30"/>
      <c r="H195" s="30"/>
      <c r="I195" s="30"/>
      <c r="J195" s="123"/>
    </row>
    <row r="196" spans="1:26" s="1" customFormat="1" ht="15.75">
      <c r="A196" s="122"/>
      <c r="B196" s="30"/>
      <c r="C196" s="30"/>
      <c r="D196" s="30"/>
      <c r="E196" s="30"/>
      <c r="F196" s="30"/>
      <c r="G196" s="30"/>
      <c r="H196" s="30"/>
      <c r="I196" s="30"/>
      <c r="J196" s="123"/>
    </row>
    <row r="197" spans="1:26" s="1" customFormat="1" ht="15.75">
      <c r="A197" s="122"/>
      <c r="B197" s="30"/>
      <c r="C197" s="30"/>
      <c r="D197" s="30"/>
      <c r="E197" s="30"/>
      <c r="F197" s="30"/>
      <c r="G197" s="30"/>
      <c r="H197" s="30"/>
      <c r="I197" s="30"/>
      <c r="J197" s="123"/>
    </row>
    <row r="198" spans="1:26" s="1" customFormat="1" ht="15.75">
      <c r="A198" s="122"/>
      <c r="B198" s="30"/>
      <c r="C198" s="30"/>
      <c r="D198" s="30"/>
      <c r="E198" s="30"/>
      <c r="F198" s="30"/>
      <c r="G198" s="30"/>
      <c r="H198" s="30"/>
      <c r="I198" s="30"/>
      <c r="J198" s="123"/>
    </row>
    <row r="199" spans="1:26" s="1" customFormat="1" ht="15.75">
      <c r="A199" s="122"/>
      <c r="B199" s="30"/>
      <c r="C199" s="30"/>
      <c r="D199" s="30"/>
      <c r="E199" s="30"/>
      <c r="F199" s="30"/>
      <c r="G199" s="30"/>
      <c r="H199" s="30"/>
      <c r="I199" s="30"/>
      <c r="J199" s="123"/>
    </row>
    <row r="200" spans="1:26" s="1" customFormat="1">
      <c r="A200" s="126"/>
      <c r="B200" s="28"/>
      <c r="C200" s="28"/>
      <c r="D200" s="28"/>
      <c r="E200" s="28"/>
      <c r="F200" s="28"/>
      <c r="G200" s="28"/>
      <c r="H200" s="28"/>
      <c r="I200" s="28"/>
      <c r="J200" s="127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s="1" customFormat="1" ht="69.75" customHeight="1">
      <c r="A201" s="126"/>
      <c r="B201" s="542" t="s">
        <v>1300</v>
      </c>
      <c r="C201" s="542"/>
      <c r="D201" s="542"/>
      <c r="E201" s="542"/>
      <c r="F201" s="542"/>
      <c r="G201" s="542"/>
      <c r="H201" s="542"/>
      <c r="I201" s="542"/>
      <c r="J201" s="127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s="1" customFormat="1" ht="15" customHeight="1">
      <c r="A202" s="126"/>
      <c r="B202" s="543"/>
      <c r="C202" s="543"/>
      <c r="D202" s="543"/>
      <c r="E202" s="543"/>
      <c r="F202" s="543"/>
      <c r="G202" s="543"/>
      <c r="H202" s="543"/>
      <c r="I202" s="543"/>
      <c r="J202" s="127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s="1" customFormat="1" ht="15" customHeight="1">
      <c r="A203" s="126"/>
      <c r="B203" s="544"/>
      <c r="C203" s="544"/>
      <c r="D203" s="544"/>
      <c r="E203" s="544"/>
      <c r="F203" s="544"/>
      <c r="G203" s="544"/>
      <c r="H203" s="544"/>
      <c r="I203" s="544"/>
      <c r="J203" s="127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s="1" customFormat="1" ht="15" customHeight="1">
      <c r="A204" s="126"/>
      <c r="B204" s="544"/>
      <c r="C204" s="544"/>
      <c r="D204" s="544"/>
      <c r="E204" s="544"/>
      <c r="F204" s="544"/>
      <c r="G204" s="544"/>
      <c r="H204" s="544"/>
      <c r="I204" s="544"/>
      <c r="J204" s="127"/>
      <c r="K204" s="2"/>
      <c r="L204" s="2"/>
      <c r="M204" s="2"/>
      <c r="N204" s="2"/>
      <c r="O204" s="2"/>
      <c r="P204" s="2"/>
      <c r="Q204" s="2"/>
      <c r="R204" s="2"/>
      <c r="S204" s="2"/>
      <c r="T204" s="3"/>
      <c r="U204" s="3"/>
      <c r="V204" s="3"/>
      <c r="W204" s="3"/>
      <c r="X204" s="3"/>
      <c r="Y204" s="3"/>
      <c r="Z204" s="3"/>
    </row>
    <row r="205" spans="1:26" s="1" customFormat="1" ht="15" customHeight="1">
      <c r="A205" s="126"/>
      <c r="B205" s="544"/>
      <c r="C205" s="544"/>
      <c r="D205" s="544"/>
      <c r="E205" s="544"/>
      <c r="F205" s="544"/>
      <c r="G205" s="544"/>
      <c r="H205" s="544"/>
      <c r="I205" s="544"/>
      <c r="J205" s="127"/>
      <c r="K205" s="2"/>
      <c r="L205" s="2"/>
      <c r="M205" s="2"/>
      <c r="N205" s="2"/>
      <c r="O205" s="2"/>
      <c r="P205" s="2"/>
      <c r="Q205" s="2"/>
      <c r="R205" s="2"/>
      <c r="S205" s="2"/>
      <c r="T205" s="3"/>
      <c r="U205" s="3"/>
      <c r="V205" s="3"/>
      <c r="W205" s="3"/>
      <c r="X205" s="3"/>
      <c r="Y205" s="3"/>
      <c r="Z205" s="3"/>
    </row>
    <row r="206" spans="1:26" s="1" customFormat="1" ht="15" customHeight="1">
      <c r="A206" s="126"/>
      <c r="B206" s="12"/>
      <c r="C206" s="12"/>
      <c r="D206" s="12"/>
      <c r="E206" s="12"/>
      <c r="F206" s="12"/>
      <c r="G206" s="12"/>
      <c r="H206" s="12"/>
      <c r="I206" s="12"/>
      <c r="J206" s="127"/>
      <c r="K206" s="2"/>
      <c r="L206" s="2"/>
      <c r="M206" s="2"/>
      <c r="N206" s="2"/>
      <c r="O206" s="2"/>
      <c r="P206" s="2"/>
      <c r="Q206" s="2"/>
      <c r="R206" s="2"/>
      <c r="S206" s="2"/>
      <c r="T206" s="3"/>
      <c r="U206" s="3"/>
      <c r="V206" s="3"/>
      <c r="W206" s="3"/>
      <c r="X206" s="3"/>
      <c r="Y206" s="3"/>
      <c r="Z206" s="3"/>
    </row>
    <row r="207" spans="1:26" s="1" customFormat="1" ht="15" customHeight="1">
      <c r="A207" s="126"/>
      <c r="B207" s="544"/>
      <c r="C207" s="544"/>
      <c r="D207" s="544"/>
      <c r="E207" s="544"/>
      <c r="F207" s="544"/>
      <c r="G207" s="544"/>
      <c r="H207" s="544"/>
      <c r="I207" s="544"/>
      <c r="J207" s="127"/>
      <c r="K207" s="2"/>
      <c r="L207" s="2"/>
      <c r="M207" s="2"/>
      <c r="N207" s="2"/>
      <c r="O207" s="2"/>
      <c r="P207" s="2"/>
      <c r="Q207" s="2"/>
      <c r="R207" s="2"/>
      <c r="S207" s="2"/>
      <c r="T207" s="3"/>
      <c r="U207" s="3"/>
      <c r="V207" s="3"/>
      <c r="W207" s="3"/>
      <c r="X207" s="3"/>
      <c r="Y207" s="3"/>
      <c r="Z207" s="3"/>
    </row>
    <row r="208" spans="1:26" s="6" customFormat="1" ht="15" customHeight="1">
      <c r="A208" s="124"/>
      <c r="B208" s="544"/>
      <c r="C208" s="544"/>
      <c r="D208" s="544"/>
      <c r="E208" s="544"/>
      <c r="F208" s="544"/>
      <c r="G208" s="544"/>
      <c r="H208" s="544"/>
      <c r="I208" s="544"/>
      <c r="J208" s="125"/>
      <c r="K208" s="4"/>
      <c r="L208" s="4"/>
      <c r="M208" s="4"/>
      <c r="N208" s="4"/>
      <c r="O208" s="4"/>
      <c r="P208" s="4"/>
      <c r="Q208" s="4"/>
      <c r="R208" s="4"/>
      <c r="S208" s="4"/>
      <c r="T208" s="5"/>
      <c r="U208" s="5"/>
      <c r="V208" s="5"/>
      <c r="W208" s="5"/>
      <c r="X208" s="5"/>
      <c r="Y208" s="5"/>
      <c r="Z208" s="5"/>
    </row>
    <row r="209" spans="1:26" s="6" customFormat="1" ht="15" customHeight="1">
      <c r="A209" s="124"/>
      <c r="B209" s="544"/>
      <c r="C209" s="544"/>
      <c r="D209" s="544"/>
      <c r="E209" s="544"/>
      <c r="F209" s="544"/>
      <c r="G209" s="544"/>
      <c r="H209" s="544"/>
      <c r="I209" s="544"/>
      <c r="J209" s="125"/>
      <c r="K209" s="4"/>
      <c r="L209" s="4"/>
      <c r="M209" s="5"/>
      <c r="N209" s="4"/>
      <c r="O209" s="5"/>
      <c r="P209" s="4"/>
      <c r="Q209" s="4"/>
      <c r="R209" s="4"/>
      <c r="S209" s="4"/>
      <c r="T209" s="4"/>
      <c r="U209" s="5"/>
      <c r="V209" s="5"/>
      <c r="W209" s="5"/>
      <c r="X209" s="5"/>
      <c r="Y209" s="5"/>
      <c r="Z209" s="5"/>
    </row>
    <row r="210" spans="1:26" s="6" customFormat="1" ht="15" customHeight="1">
      <c r="A210" s="124"/>
      <c r="B210" s="12"/>
      <c r="C210" s="12"/>
      <c r="D210" s="12"/>
      <c r="E210" s="12"/>
      <c r="F210" s="80"/>
      <c r="G210" s="12"/>
      <c r="H210" s="81"/>
      <c r="I210" s="12"/>
      <c r="J210" s="125"/>
      <c r="K210" s="4"/>
      <c r="L210" s="4"/>
      <c r="M210" s="4"/>
      <c r="N210" s="4"/>
      <c r="O210" s="4"/>
      <c r="P210" s="4"/>
      <c r="Q210" s="4"/>
      <c r="R210" s="4"/>
      <c r="S210" s="4"/>
      <c r="T210" s="5"/>
      <c r="U210" s="5"/>
      <c r="V210" s="5"/>
      <c r="W210" s="5"/>
      <c r="X210" s="5"/>
      <c r="Y210" s="5"/>
      <c r="Z210" s="5"/>
    </row>
    <row r="211" spans="1:26" s="6" customFormat="1" ht="15" customHeight="1">
      <c r="A211" s="124"/>
      <c r="B211" s="12"/>
      <c r="C211" s="12"/>
      <c r="D211" s="12"/>
      <c r="E211" s="12"/>
      <c r="F211" s="12"/>
      <c r="G211" s="12"/>
      <c r="H211" s="12"/>
      <c r="I211" s="12"/>
      <c r="J211" s="125"/>
      <c r="K211" s="4"/>
      <c r="L211" s="4"/>
      <c r="M211" s="4"/>
      <c r="N211" s="4"/>
      <c r="O211" s="4"/>
      <c r="P211" s="4"/>
      <c r="Q211" s="4"/>
      <c r="R211" s="4"/>
      <c r="S211" s="4"/>
      <c r="T211" s="5"/>
      <c r="U211" s="5"/>
      <c r="V211" s="5"/>
      <c r="W211" s="5"/>
      <c r="X211" s="5"/>
      <c r="Y211" s="5"/>
      <c r="Z211" s="5"/>
    </row>
    <row r="212" spans="1:26" s="6" customFormat="1" ht="15" customHeight="1">
      <c r="A212" s="124"/>
      <c r="B212" s="12"/>
      <c r="C212" s="12"/>
      <c r="D212" s="12"/>
      <c r="E212" s="12"/>
      <c r="F212" s="12"/>
      <c r="G212" s="12"/>
      <c r="H212" s="12"/>
      <c r="I212" s="12"/>
      <c r="J212" s="125"/>
      <c r="K212" s="4"/>
      <c r="L212" s="4"/>
      <c r="M212" s="4"/>
      <c r="N212" s="4"/>
      <c r="O212" s="4"/>
      <c r="P212" s="4"/>
      <c r="Q212" s="4"/>
      <c r="R212" s="4"/>
      <c r="S212" s="4"/>
      <c r="T212" s="5"/>
      <c r="U212" s="5"/>
      <c r="V212" s="5"/>
      <c r="W212" s="5"/>
      <c r="X212" s="5"/>
      <c r="Y212" s="5"/>
      <c r="Z212" s="5"/>
    </row>
    <row r="213" spans="1:26" s="6" customFormat="1" ht="15" customHeight="1">
      <c r="A213" s="124"/>
      <c r="B213" s="12"/>
      <c r="C213" s="12"/>
      <c r="D213" s="12"/>
      <c r="E213" s="12"/>
      <c r="F213" s="12"/>
      <c r="G213" s="12"/>
      <c r="H213" s="12"/>
      <c r="I213" s="12"/>
      <c r="J213" s="125"/>
      <c r="K213" s="4"/>
      <c r="L213" s="4"/>
      <c r="M213" s="4"/>
      <c r="N213" s="4"/>
      <c r="O213" s="4"/>
      <c r="P213" s="4"/>
      <c r="Q213" s="4"/>
      <c r="R213" s="4"/>
      <c r="S213" s="4"/>
      <c r="T213" s="5"/>
      <c r="U213" s="5"/>
      <c r="V213" s="5"/>
      <c r="W213" s="5"/>
      <c r="X213" s="5"/>
      <c r="Y213" s="5"/>
      <c r="Z213" s="5"/>
    </row>
    <row r="214" spans="1:26" s="6" customFormat="1" ht="15" customHeight="1">
      <c r="A214" s="124"/>
      <c r="B214" s="12"/>
      <c r="C214" s="12"/>
      <c r="D214" s="12"/>
      <c r="E214" s="12"/>
      <c r="F214" s="12"/>
      <c r="G214" s="12"/>
      <c r="H214" s="12"/>
      <c r="I214" s="12"/>
      <c r="J214" s="125"/>
      <c r="K214" s="4"/>
      <c r="L214" s="4"/>
      <c r="M214" s="4"/>
      <c r="N214" s="4"/>
      <c r="O214" s="4"/>
      <c r="P214" s="4"/>
      <c r="Q214" s="4"/>
      <c r="R214" s="4"/>
      <c r="S214" s="4"/>
      <c r="T214" s="5"/>
      <c r="U214" s="5"/>
      <c r="V214" s="5"/>
      <c r="W214" s="5"/>
      <c r="X214" s="5"/>
      <c r="Y214" s="5"/>
      <c r="Z214" s="5"/>
    </row>
    <row r="215" spans="1:26" s="6" customFormat="1" ht="15" customHeight="1">
      <c r="A215" s="124"/>
      <c r="B215" s="12"/>
      <c r="C215" s="12"/>
      <c r="D215" s="12"/>
      <c r="E215" s="12"/>
      <c r="F215" s="12"/>
      <c r="G215" s="12"/>
      <c r="H215" s="12"/>
      <c r="I215" s="12"/>
      <c r="J215" s="125"/>
      <c r="K215" s="4"/>
      <c r="L215" s="4"/>
      <c r="M215" s="4"/>
      <c r="N215" s="4"/>
      <c r="O215" s="4"/>
      <c r="P215" s="4"/>
      <c r="Q215" s="4"/>
      <c r="R215" s="4"/>
      <c r="S215" s="4"/>
      <c r="T215" s="5"/>
      <c r="U215" s="5"/>
      <c r="V215" s="5"/>
      <c r="W215" s="5"/>
      <c r="X215" s="5"/>
      <c r="Y215" s="5"/>
      <c r="Z215" s="5"/>
    </row>
    <row r="216" spans="1:26" s="6" customFormat="1" ht="15" customHeight="1">
      <c r="A216" s="124"/>
      <c r="B216" s="12"/>
      <c r="C216" s="12"/>
      <c r="D216" s="12"/>
      <c r="E216" s="12"/>
      <c r="F216" s="12"/>
      <c r="G216" s="12"/>
      <c r="H216" s="12"/>
      <c r="I216" s="12"/>
      <c r="J216" s="125"/>
      <c r="K216" s="4"/>
      <c r="L216" s="4"/>
      <c r="M216" s="4"/>
      <c r="N216" s="4"/>
      <c r="O216" s="4"/>
      <c r="P216" s="4"/>
      <c r="Q216" s="4"/>
      <c r="R216" s="4"/>
      <c r="S216" s="4"/>
      <c r="T216" s="5"/>
      <c r="U216" s="5"/>
      <c r="V216" s="5"/>
      <c r="W216" s="5"/>
      <c r="X216" s="5"/>
      <c r="Y216" s="5"/>
      <c r="Z216" s="5"/>
    </row>
    <row r="217" spans="1:26" s="6" customFormat="1" ht="15" customHeight="1">
      <c r="A217" s="124"/>
      <c r="B217" s="12"/>
      <c r="C217" s="12"/>
      <c r="D217" s="12"/>
      <c r="E217" s="12"/>
      <c r="F217" s="12"/>
      <c r="G217" s="12"/>
      <c r="H217" s="12"/>
      <c r="I217" s="12"/>
      <c r="J217" s="125"/>
      <c r="K217" s="4"/>
      <c r="L217" s="4"/>
      <c r="M217" s="4"/>
      <c r="N217" s="4"/>
      <c r="O217" s="4"/>
      <c r="P217" s="4"/>
      <c r="Q217" s="4"/>
      <c r="R217" s="4"/>
      <c r="S217" s="4"/>
      <c r="T217" s="5"/>
      <c r="U217" s="5"/>
      <c r="V217" s="5"/>
      <c r="W217" s="5"/>
      <c r="X217" s="5"/>
      <c r="Y217" s="5"/>
      <c r="Z217" s="5"/>
    </row>
    <row r="218" spans="1:26" s="1" customFormat="1" ht="15" customHeight="1">
      <c r="A218" s="124"/>
      <c r="B218" s="12"/>
      <c r="C218" s="12"/>
      <c r="D218" s="12"/>
      <c r="E218" s="12"/>
      <c r="F218" s="12"/>
      <c r="G218" s="12"/>
      <c r="H218" s="12"/>
      <c r="I218" s="12"/>
      <c r="J218" s="125"/>
    </row>
    <row r="219" spans="1:26" s="1" customFormat="1" ht="15" customHeight="1">
      <c r="A219" s="124"/>
      <c r="B219" s="12"/>
      <c r="C219" s="12"/>
      <c r="D219" s="12"/>
      <c r="E219" s="12"/>
      <c r="F219" s="12"/>
      <c r="G219" s="12"/>
      <c r="H219" s="12"/>
      <c r="I219" s="12"/>
      <c r="J219" s="125"/>
    </row>
    <row r="220" spans="1:26" s="1" customFormat="1" ht="15" customHeight="1">
      <c r="A220" s="124"/>
      <c r="B220" s="12"/>
      <c r="C220" s="12"/>
      <c r="D220" s="12"/>
      <c r="E220" s="12"/>
      <c r="F220" s="12"/>
      <c r="G220" s="12"/>
      <c r="H220" s="12"/>
      <c r="I220" s="12"/>
      <c r="J220" s="125"/>
    </row>
    <row r="221" spans="1:26" s="1" customFormat="1" ht="18" customHeight="1">
      <c r="A221" s="124"/>
      <c r="B221" s="12"/>
      <c r="C221" s="12"/>
      <c r="D221" s="12"/>
      <c r="E221" s="12"/>
      <c r="F221" s="12"/>
      <c r="G221" s="12"/>
      <c r="H221" s="12"/>
      <c r="I221" s="12"/>
      <c r="J221" s="125"/>
    </row>
    <row r="222" spans="1:26" s="1" customFormat="1" ht="18" customHeight="1">
      <c r="A222" s="124"/>
      <c r="B222" s="12"/>
      <c r="C222" s="12"/>
      <c r="D222" s="12"/>
      <c r="E222" s="12"/>
      <c r="F222" s="12"/>
      <c r="G222" s="12"/>
      <c r="H222" s="12"/>
      <c r="I222" s="12"/>
      <c r="J222" s="125"/>
    </row>
    <row r="223" spans="1:26" s="1" customFormat="1" ht="25.35" customHeight="1">
      <c r="A223" s="124"/>
      <c r="B223" s="12"/>
      <c r="C223" s="12"/>
      <c r="D223" s="12"/>
      <c r="E223" s="12"/>
      <c r="F223" s="12"/>
      <c r="G223" s="12"/>
      <c r="H223" s="12"/>
      <c r="I223" s="12"/>
      <c r="J223" s="125"/>
    </row>
    <row r="224" spans="1:26" s="1" customFormat="1" ht="25.35" customHeight="1">
      <c r="A224" s="124"/>
      <c r="B224" s="12"/>
      <c r="C224" s="12"/>
      <c r="D224" s="12"/>
      <c r="E224" s="12"/>
      <c r="F224" s="12"/>
      <c r="G224" s="12"/>
      <c r="H224" s="12"/>
      <c r="I224" s="12"/>
      <c r="J224" s="125"/>
    </row>
    <row r="225" spans="1:10" s="1" customFormat="1" ht="25.35" customHeight="1">
      <c r="A225" s="128"/>
      <c r="B225" s="129"/>
      <c r="C225" s="129"/>
      <c r="D225" s="129"/>
      <c r="E225" s="129"/>
      <c r="F225" s="129"/>
      <c r="G225" s="129"/>
      <c r="H225" s="129"/>
      <c r="I225" s="129"/>
      <c r="J225" s="130"/>
    </row>
  </sheetData>
  <dataConsolidate/>
  <mergeCells count="50">
    <mergeCell ref="B204:I204"/>
    <mergeCell ref="B205:I205"/>
    <mergeCell ref="B207:I207"/>
    <mergeCell ref="B208:I208"/>
    <mergeCell ref="B209:I209"/>
    <mergeCell ref="A181:J181"/>
    <mergeCell ref="B182:I182"/>
    <mergeCell ref="B201:I201"/>
    <mergeCell ref="B202:I202"/>
    <mergeCell ref="B203:I203"/>
    <mergeCell ref="B159:I159"/>
    <mergeCell ref="B160:I160"/>
    <mergeCell ref="B162:I162"/>
    <mergeCell ref="B163:I163"/>
    <mergeCell ref="B164:I164"/>
    <mergeCell ref="A136:J136"/>
    <mergeCell ref="B137:I137"/>
    <mergeCell ref="B156:I156"/>
    <mergeCell ref="B157:I157"/>
    <mergeCell ref="B158:I158"/>
    <mergeCell ref="B114:I114"/>
    <mergeCell ref="B115:I115"/>
    <mergeCell ref="B117:I117"/>
    <mergeCell ref="B118:I118"/>
    <mergeCell ref="B119:I119"/>
    <mergeCell ref="A91:J91"/>
    <mergeCell ref="B92:I92"/>
    <mergeCell ref="B111:I111"/>
    <mergeCell ref="B112:I112"/>
    <mergeCell ref="B113:I113"/>
    <mergeCell ref="B69:I69"/>
    <mergeCell ref="B70:I70"/>
    <mergeCell ref="B72:I72"/>
    <mergeCell ref="B73:I73"/>
    <mergeCell ref="B74:I74"/>
    <mergeCell ref="A46:J46"/>
    <mergeCell ref="B47:I47"/>
    <mergeCell ref="B66:I66"/>
    <mergeCell ref="B67:I67"/>
    <mergeCell ref="B68:I68"/>
    <mergeCell ref="B25:I25"/>
    <mergeCell ref="B27:I27"/>
    <mergeCell ref="B28:I28"/>
    <mergeCell ref="B29:I29"/>
    <mergeCell ref="A1:J1"/>
    <mergeCell ref="B2:I2"/>
    <mergeCell ref="B21:I21"/>
    <mergeCell ref="B22:I22"/>
    <mergeCell ref="B23:I23"/>
    <mergeCell ref="B24:I24"/>
  </mergeCells>
  <dataValidations disablePrompts="1" count="3">
    <dataValidation type="list" allowBlank="1" showInputMessage="1" showErrorMessage="1" promptTitle="SYSTEM" prompt="SELECT FROM DROP DOWN LIST" sqref="WVN983024:WVR983024 SX24:TB26 ACT24:ACX26 AMP24:AMT26 AWL24:AWP26 BGH24:BGL26 BQD24:BQH26 BZZ24:CAD26 CJV24:CJZ26 CTR24:CTV26 DDN24:DDR26 DNJ24:DNN26 DXF24:DXJ26 EHB24:EHF26 EQX24:ERB26 FAT24:FAX26 FKP24:FKT26 FUL24:FUP26 GEH24:GEL26 GOD24:GOH26 GXZ24:GYD26 HHV24:HHZ26 HRR24:HRV26 IBN24:IBR26 ILJ24:ILN26 IVF24:IVJ26 JFB24:JFF26 JOX24:JPB26 JYT24:JYX26 KIP24:KIT26 KSL24:KSP26 LCH24:LCL26 LMD24:LMH26 LVZ24:LWD26 MFV24:MFZ26 MPR24:MPV26 MZN24:MZR26 NJJ24:NJN26 NTF24:NTJ26 ODB24:ODF26 OMX24:ONB26 OWT24:OWX26 PGP24:PGT26 PQL24:PQP26 QAH24:QAL26 QKD24:QKH26 QTZ24:QUD26 RDV24:RDZ26 RNR24:RNV26 RXN24:RXR26 SHJ24:SHN26 SRF24:SRJ26 TBB24:TBF26 TKX24:TLB26 TUT24:TUX26 UEP24:UET26 UOL24:UOP26 UYH24:UYL26 VID24:VIH26 VRZ24:VSD26 WBV24:WBZ26 WLR24:WLV26 WVN24:WVR26 B65520:I65520 JB65520:JF65520 SX65520:TB65520 ACT65520:ACX65520 AMP65520:AMT65520 AWL65520:AWP65520 BGH65520:BGL65520 BQD65520:BQH65520 BZZ65520:CAD65520 CJV65520:CJZ65520 CTR65520:CTV65520 DDN65520:DDR65520 DNJ65520:DNN65520 DXF65520:DXJ65520 EHB65520:EHF65520 EQX65520:ERB65520 FAT65520:FAX65520 FKP65520:FKT65520 FUL65520:FUP65520 GEH65520:GEL65520 GOD65520:GOH65520 GXZ65520:GYD65520 HHV65520:HHZ65520 HRR65520:HRV65520 IBN65520:IBR65520 ILJ65520:ILN65520 IVF65520:IVJ65520 JFB65520:JFF65520 JOX65520:JPB65520 JYT65520:JYX65520 KIP65520:KIT65520 KSL65520:KSP65520 LCH65520:LCL65520 LMD65520:LMH65520 LVZ65520:LWD65520 MFV65520:MFZ65520 MPR65520:MPV65520 MZN65520:MZR65520 NJJ65520:NJN65520 NTF65520:NTJ65520 ODB65520:ODF65520 OMX65520:ONB65520 OWT65520:OWX65520 PGP65520:PGT65520 PQL65520:PQP65520 QAH65520:QAL65520 QKD65520:QKH65520 QTZ65520:QUD65520 RDV65520:RDZ65520 RNR65520:RNV65520 RXN65520:RXR65520 SHJ65520:SHN65520 SRF65520:SRJ65520 TBB65520:TBF65520 TKX65520:TLB65520 TUT65520:TUX65520 UEP65520:UET65520 UOL65520:UOP65520 UYH65520:UYL65520 VID65520:VIH65520 VRZ65520:VSD65520 WBV65520:WBZ65520 WLR65520:WLV65520 WVN65520:WVR65520 B131056:I131056 JB131056:JF131056 SX131056:TB131056 ACT131056:ACX131056 AMP131056:AMT131056 AWL131056:AWP131056 BGH131056:BGL131056 BQD131056:BQH131056 BZZ131056:CAD131056 CJV131056:CJZ131056 CTR131056:CTV131056 DDN131056:DDR131056 DNJ131056:DNN131056 DXF131056:DXJ131056 EHB131056:EHF131056 EQX131056:ERB131056 FAT131056:FAX131056 FKP131056:FKT131056 FUL131056:FUP131056 GEH131056:GEL131056 GOD131056:GOH131056 GXZ131056:GYD131056 HHV131056:HHZ131056 HRR131056:HRV131056 IBN131056:IBR131056 ILJ131056:ILN131056 IVF131056:IVJ131056 JFB131056:JFF131056 JOX131056:JPB131056 JYT131056:JYX131056 KIP131056:KIT131056 KSL131056:KSP131056 LCH131056:LCL131056 LMD131056:LMH131056 LVZ131056:LWD131056 MFV131056:MFZ131056 MPR131056:MPV131056 MZN131056:MZR131056 NJJ131056:NJN131056 NTF131056:NTJ131056 ODB131056:ODF131056 OMX131056:ONB131056 OWT131056:OWX131056 PGP131056:PGT131056 PQL131056:PQP131056 QAH131056:QAL131056 QKD131056:QKH131056 QTZ131056:QUD131056 RDV131056:RDZ131056 RNR131056:RNV131056 RXN131056:RXR131056 SHJ131056:SHN131056 SRF131056:SRJ131056 TBB131056:TBF131056 TKX131056:TLB131056 TUT131056:TUX131056 UEP131056:UET131056 UOL131056:UOP131056 UYH131056:UYL131056 VID131056:VIH131056 VRZ131056:VSD131056 WBV131056:WBZ131056 WLR131056:WLV131056 WVN131056:WVR131056 B196592:I196592 JB196592:JF196592 SX196592:TB196592 ACT196592:ACX196592 AMP196592:AMT196592 AWL196592:AWP196592 BGH196592:BGL196592 BQD196592:BQH196592 BZZ196592:CAD196592 CJV196592:CJZ196592 CTR196592:CTV196592 DDN196592:DDR196592 DNJ196592:DNN196592 DXF196592:DXJ196592 EHB196592:EHF196592 EQX196592:ERB196592 FAT196592:FAX196592 FKP196592:FKT196592 FUL196592:FUP196592 GEH196592:GEL196592 GOD196592:GOH196592 GXZ196592:GYD196592 HHV196592:HHZ196592 HRR196592:HRV196592 IBN196592:IBR196592 ILJ196592:ILN196592 IVF196592:IVJ196592 JFB196592:JFF196592 JOX196592:JPB196592 JYT196592:JYX196592 KIP196592:KIT196592 KSL196592:KSP196592 LCH196592:LCL196592 LMD196592:LMH196592 LVZ196592:LWD196592 MFV196592:MFZ196592 MPR196592:MPV196592 MZN196592:MZR196592 NJJ196592:NJN196592 NTF196592:NTJ196592 ODB196592:ODF196592 OMX196592:ONB196592 OWT196592:OWX196592 PGP196592:PGT196592 PQL196592:PQP196592 QAH196592:QAL196592 QKD196592:QKH196592 QTZ196592:QUD196592 RDV196592:RDZ196592 RNR196592:RNV196592 RXN196592:RXR196592 SHJ196592:SHN196592 SRF196592:SRJ196592 TBB196592:TBF196592 TKX196592:TLB196592 TUT196592:TUX196592 UEP196592:UET196592 UOL196592:UOP196592 UYH196592:UYL196592 VID196592:VIH196592 VRZ196592:VSD196592 WBV196592:WBZ196592 WLR196592:WLV196592 WVN196592:WVR196592 B262128:I262128 JB262128:JF262128 SX262128:TB262128 ACT262128:ACX262128 AMP262128:AMT262128 AWL262128:AWP262128 BGH262128:BGL262128 BQD262128:BQH262128 BZZ262128:CAD262128 CJV262128:CJZ262128 CTR262128:CTV262128 DDN262128:DDR262128 DNJ262128:DNN262128 DXF262128:DXJ262128 EHB262128:EHF262128 EQX262128:ERB262128 FAT262128:FAX262128 FKP262128:FKT262128 FUL262128:FUP262128 GEH262128:GEL262128 GOD262128:GOH262128 GXZ262128:GYD262128 HHV262128:HHZ262128 HRR262128:HRV262128 IBN262128:IBR262128 ILJ262128:ILN262128 IVF262128:IVJ262128 JFB262128:JFF262128 JOX262128:JPB262128 JYT262128:JYX262128 KIP262128:KIT262128 KSL262128:KSP262128 LCH262128:LCL262128 LMD262128:LMH262128 LVZ262128:LWD262128 MFV262128:MFZ262128 MPR262128:MPV262128 MZN262128:MZR262128 NJJ262128:NJN262128 NTF262128:NTJ262128 ODB262128:ODF262128 OMX262128:ONB262128 OWT262128:OWX262128 PGP262128:PGT262128 PQL262128:PQP262128 QAH262128:QAL262128 QKD262128:QKH262128 QTZ262128:QUD262128 RDV262128:RDZ262128 RNR262128:RNV262128 RXN262128:RXR262128 SHJ262128:SHN262128 SRF262128:SRJ262128 TBB262128:TBF262128 TKX262128:TLB262128 TUT262128:TUX262128 UEP262128:UET262128 UOL262128:UOP262128 UYH262128:UYL262128 VID262128:VIH262128 VRZ262128:VSD262128 WBV262128:WBZ262128 WLR262128:WLV262128 WVN262128:WVR262128 B327664:I327664 JB327664:JF327664 SX327664:TB327664 ACT327664:ACX327664 AMP327664:AMT327664 AWL327664:AWP327664 BGH327664:BGL327664 BQD327664:BQH327664 BZZ327664:CAD327664 CJV327664:CJZ327664 CTR327664:CTV327664 DDN327664:DDR327664 DNJ327664:DNN327664 DXF327664:DXJ327664 EHB327664:EHF327664 EQX327664:ERB327664 FAT327664:FAX327664 FKP327664:FKT327664 FUL327664:FUP327664 GEH327664:GEL327664 GOD327664:GOH327664 GXZ327664:GYD327664 HHV327664:HHZ327664 HRR327664:HRV327664 IBN327664:IBR327664 ILJ327664:ILN327664 IVF327664:IVJ327664 JFB327664:JFF327664 JOX327664:JPB327664 JYT327664:JYX327664 KIP327664:KIT327664 KSL327664:KSP327664 LCH327664:LCL327664 LMD327664:LMH327664 LVZ327664:LWD327664 MFV327664:MFZ327664 MPR327664:MPV327664 MZN327664:MZR327664 NJJ327664:NJN327664 NTF327664:NTJ327664 ODB327664:ODF327664 OMX327664:ONB327664 OWT327664:OWX327664 PGP327664:PGT327664 PQL327664:PQP327664 QAH327664:QAL327664 QKD327664:QKH327664 QTZ327664:QUD327664 RDV327664:RDZ327664 RNR327664:RNV327664 RXN327664:RXR327664 SHJ327664:SHN327664 SRF327664:SRJ327664 TBB327664:TBF327664 TKX327664:TLB327664 TUT327664:TUX327664 UEP327664:UET327664 UOL327664:UOP327664 UYH327664:UYL327664 VID327664:VIH327664 VRZ327664:VSD327664 WBV327664:WBZ327664 WLR327664:WLV327664 WVN327664:WVR327664 B393200:I393200 JB393200:JF393200 SX393200:TB393200 ACT393200:ACX393200 AMP393200:AMT393200 AWL393200:AWP393200 BGH393200:BGL393200 BQD393200:BQH393200 BZZ393200:CAD393200 CJV393200:CJZ393200 CTR393200:CTV393200 DDN393200:DDR393200 DNJ393200:DNN393200 DXF393200:DXJ393200 EHB393200:EHF393200 EQX393200:ERB393200 FAT393200:FAX393200 FKP393200:FKT393200 FUL393200:FUP393200 GEH393200:GEL393200 GOD393200:GOH393200 GXZ393200:GYD393200 HHV393200:HHZ393200 HRR393200:HRV393200 IBN393200:IBR393200 ILJ393200:ILN393200 IVF393200:IVJ393200 JFB393200:JFF393200 JOX393200:JPB393200 JYT393200:JYX393200 KIP393200:KIT393200 KSL393200:KSP393200 LCH393200:LCL393200 LMD393200:LMH393200 LVZ393200:LWD393200 MFV393200:MFZ393200 MPR393200:MPV393200 MZN393200:MZR393200 NJJ393200:NJN393200 NTF393200:NTJ393200 ODB393200:ODF393200 OMX393200:ONB393200 OWT393200:OWX393200 PGP393200:PGT393200 PQL393200:PQP393200 QAH393200:QAL393200 QKD393200:QKH393200 QTZ393200:QUD393200 RDV393200:RDZ393200 RNR393200:RNV393200 RXN393200:RXR393200 SHJ393200:SHN393200 SRF393200:SRJ393200 TBB393200:TBF393200 TKX393200:TLB393200 TUT393200:TUX393200 UEP393200:UET393200 UOL393200:UOP393200 UYH393200:UYL393200 VID393200:VIH393200 VRZ393200:VSD393200 WBV393200:WBZ393200 WLR393200:WLV393200 WVN393200:WVR393200 B458736:I458736 JB458736:JF458736 SX458736:TB458736 ACT458736:ACX458736 AMP458736:AMT458736 AWL458736:AWP458736 BGH458736:BGL458736 BQD458736:BQH458736 BZZ458736:CAD458736 CJV458736:CJZ458736 CTR458736:CTV458736 DDN458736:DDR458736 DNJ458736:DNN458736 DXF458736:DXJ458736 EHB458736:EHF458736 EQX458736:ERB458736 FAT458736:FAX458736 FKP458736:FKT458736 FUL458736:FUP458736 GEH458736:GEL458736 GOD458736:GOH458736 GXZ458736:GYD458736 HHV458736:HHZ458736 HRR458736:HRV458736 IBN458736:IBR458736 ILJ458736:ILN458736 IVF458736:IVJ458736 JFB458736:JFF458736 JOX458736:JPB458736 JYT458736:JYX458736 KIP458736:KIT458736 KSL458736:KSP458736 LCH458736:LCL458736 LMD458736:LMH458736 LVZ458736:LWD458736 MFV458736:MFZ458736 MPR458736:MPV458736 MZN458736:MZR458736 NJJ458736:NJN458736 NTF458736:NTJ458736 ODB458736:ODF458736 OMX458736:ONB458736 OWT458736:OWX458736 PGP458736:PGT458736 PQL458736:PQP458736 QAH458736:QAL458736 QKD458736:QKH458736 QTZ458736:QUD458736 RDV458736:RDZ458736 RNR458736:RNV458736 RXN458736:RXR458736 SHJ458736:SHN458736 SRF458736:SRJ458736 TBB458736:TBF458736 TKX458736:TLB458736 TUT458736:TUX458736 UEP458736:UET458736 UOL458736:UOP458736 UYH458736:UYL458736 VID458736:VIH458736 VRZ458736:VSD458736 WBV458736:WBZ458736 WLR458736:WLV458736 WVN458736:WVR458736 B524272:I524272 JB524272:JF524272 SX524272:TB524272 ACT524272:ACX524272 AMP524272:AMT524272 AWL524272:AWP524272 BGH524272:BGL524272 BQD524272:BQH524272 BZZ524272:CAD524272 CJV524272:CJZ524272 CTR524272:CTV524272 DDN524272:DDR524272 DNJ524272:DNN524272 DXF524272:DXJ524272 EHB524272:EHF524272 EQX524272:ERB524272 FAT524272:FAX524272 FKP524272:FKT524272 FUL524272:FUP524272 GEH524272:GEL524272 GOD524272:GOH524272 GXZ524272:GYD524272 HHV524272:HHZ524272 HRR524272:HRV524272 IBN524272:IBR524272 ILJ524272:ILN524272 IVF524272:IVJ524272 JFB524272:JFF524272 JOX524272:JPB524272 JYT524272:JYX524272 KIP524272:KIT524272 KSL524272:KSP524272 LCH524272:LCL524272 LMD524272:LMH524272 LVZ524272:LWD524272 MFV524272:MFZ524272 MPR524272:MPV524272 MZN524272:MZR524272 NJJ524272:NJN524272 NTF524272:NTJ524272 ODB524272:ODF524272 OMX524272:ONB524272 OWT524272:OWX524272 PGP524272:PGT524272 PQL524272:PQP524272 QAH524272:QAL524272 QKD524272:QKH524272 QTZ524272:QUD524272 RDV524272:RDZ524272 RNR524272:RNV524272 RXN524272:RXR524272 SHJ524272:SHN524272 SRF524272:SRJ524272 TBB524272:TBF524272 TKX524272:TLB524272 TUT524272:TUX524272 UEP524272:UET524272 UOL524272:UOP524272 UYH524272:UYL524272 VID524272:VIH524272 VRZ524272:VSD524272 WBV524272:WBZ524272 WLR524272:WLV524272 WVN524272:WVR524272 B589808:I589808 JB589808:JF589808 SX589808:TB589808 ACT589808:ACX589808 AMP589808:AMT589808 AWL589808:AWP589808 BGH589808:BGL589808 BQD589808:BQH589808 BZZ589808:CAD589808 CJV589808:CJZ589808 CTR589808:CTV589808 DDN589808:DDR589808 DNJ589808:DNN589808 DXF589808:DXJ589808 EHB589808:EHF589808 EQX589808:ERB589808 FAT589808:FAX589808 FKP589808:FKT589808 FUL589808:FUP589808 GEH589808:GEL589808 GOD589808:GOH589808 GXZ589808:GYD589808 HHV589808:HHZ589808 HRR589808:HRV589808 IBN589808:IBR589808 ILJ589808:ILN589808 IVF589808:IVJ589808 JFB589808:JFF589808 JOX589808:JPB589808 JYT589808:JYX589808 KIP589808:KIT589808 KSL589808:KSP589808 LCH589808:LCL589808 LMD589808:LMH589808 LVZ589808:LWD589808 MFV589808:MFZ589808 MPR589808:MPV589808 MZN589808:MZR589808 NJJ589808:NJN589808 NTF589808:NTJ589808 ODB589808:ODF589808 OMX589808:ONB589808 OWT589808:OWX589808 PGP589808:PGT589808 PQL589808:PQP589808 QAH589808:QAL589808 QKD589808:QKH589808 QTZ589808:QUD589808 RDV589808:RDZ589808 RNR589808:RNV589808 RXN589808:RXR589808 SHJ589808:SHN589808 SRF589808:SRJ589808 TBB589808:TBF589808 TKX589808:TLB589808 TUT589808:TUX589808 UEP589808:UET589808 UOL589808:UOP589808 UYH589808:UYL589808 VID589808:VIH589808 VRZ589808:VSD589808 WBV589808:WBZ589808 WLR589808:WLV589808 WVN589808:WVR589808 B655344:I655344 JB655344:JF655344 SX655344:TB655344 ACT655344:ACX655344 AMP655344:AMT655344 AWL655344:AWP655344 BGH655344:BGL655344 BQD655344:BQH655344 BZZ655344:CAD655344 CJV655344:CJZ655344 CTR655344:CTV655344 DDN655344:DDR655344 DNJ655344:DNN655344 DXF655344:DXJ655344 EHB655344:EHF655344 EQX655344:ERB655344 FAT655344:FAX655344 FKP655344:FKT655344 FUL655344:FUP655344 GEH655344:GEL655344 GOD655344:GOH655344 GXZ655344:GYD655344 HHV655344:HHZ655344 HRR655344:HRV655344 IBN655344:IBR655344 ILJ655344:ILN655344 IVF655344:IVJ655344 JFB655344:JFF655344 JOX655344:JPB655344 JYT655344:JYX655344 KIP655344:KIT655344 KSL655344:KSP655344 LCH655344:LCL655344 LMD655344:LMH655344 LVZ655344:LWD655344 MFV655344:MFZ655344 MPR655344:MPV655344 MZN655344:MZR655344 NJJ655344:NJN655344 NTF655344:NTJ655344 ODB655344:ODF655344 OMX655344:ONB655344 OWT655344:OWX655344 PGP655344:PGT655344 PQL655344:PQP655344 QAH655344:QAL655344 QKD655344:QKH655344 QTZ655344:QUD655344 RDV655344:RDZ655344 RNR655344:RNV655344 RXN655344:RXR655344 SHJ655344:SHN655344 SRF655344:SRJ655344 TBB655344:TBF655344 TKX655344:TLB655344 TUT655344:TUX655344 UEP655344:UET655344 UOL655344:UOP655344 UYH655344:UYL655344 VID655344:VIH655344 VRZ655344:VSD655344 WBV655344:WBZ655344 WLR655344:WLV655344 WVN655344:WVR655344 B720880:I720880 JB720880:JF720880 SX720880:TB720880 ACT720880:ACX720880 AMP720880:AMT720880 AWL720880:AWP720880 BGH720880:BGL720880 BQD720880:BQH720880 BZZ720880:CAD720880 CJV720880:CJZ720880 CTR720880:CTV720880 DDN720880:DDR720880 DNJ720880:DNN720880 DXF720880:DXJ720880 EHB720880:EHF720880 EQX720880:ERB720880 FAT720880:FAX720880 FKP720880:FKT720880 FUL720880:FUP720880 GEH720880:GEL720880 GOD720880:GOH720880 GXZ720880:GYD720880 HHV720880:HHZ720880 HRR720880:HRV720880 IBN720880:IBR720880 ILJ720880:ILN720880 IVF720880:IVJ720880 JFB720880:JFF720880 JOX720880:JPB720880 JYT720880:JYX720880 KIP720880:KIT720880 KSL720880:KSP720880 LCH720880:LCL720880 LMD720880:LMH720880 LVZ720880:LWD720880 MFV720880:MFZ720880 MPR720880:MPV720880 MZN720880:MZR720880 NJJ720880:NJN720880 NTF720880:NTJ720880 ODB720880:ODF720880 OMX720880:ONB720880 OWT720880:OWX720880 PGP720880:PGT720880 PQL720880:PQP720880 QAH720880:QAL720880 QKD720880:QKH720880 QTZ720880:QUD720880 RDV720880:RDZ720880 RNR720880:RNV720880 RXN720880:RXR720880 SHJ720880:SHN720880 SRF720880:SRJ720880 TBB720880:TBF720880 TKX720880:TLB720880 TUT720880:TUX720880 UEP720880:UET720880 UOL720880:UOP720880 UYH720880:UYL720880 VID720880:VIH720880 VRZ720880:VSD720880 WBV720880:WBZ720880 WLR720880:WLV720880 WVN720880:WVR720880 B786416:I786416 JB786416:JF786416 SX786416:TB786416 ACT786416:ACX786416 AMP786416:AMT786416 AWL786416:AWP786416 BGH786416:BGL786416 BQD786416:BQH786416 BZZ786416:CAD786416 CJV786416:CJZ786416 CTR786416:CTV786416 DDN786416:DDR786416 DNJ786416:DNN786416 DXF786416:DXJ786416 EHB786416:EHF786416 EQX786416:ERB786416 FAT786416:FAX786416 FKP786416:FKT786416 FUL786416:FUP786416 GEH786416:GEL786416 GOD786416:GOH786416 GXZ786416:GYD786416 HHV786416:HHZ786416 HRR786416:HRV786416 IBN786416:IBR786416 ILJ786416:ILN786416 IVF786416:IVJ786416 JFB786416:JFF786416 JOX786416:JPB786416 JYT786416:JYX786416 KIP786416:KIT786416 KSL786416:KSP786416 LCH786416:LCL786416 LMD786416:LMH786416 LVZ786416:LWD786416 MFV786416:MFZ786416 MPR786416:MPV786416 MZN786416:MZR786416 NJJ786416:NJN786416 NTF786416:NTJ786416 ODB786416:ODF786416 OMX786416:ONB786416 OWT786416:OWX786416 PGP786416:PGT786416 PQL786416:PQP786416 QAH786416:QAL786416 QKD786416:QKH786416 QTZ786416:QUD786416 RDV786416:RDZ786416 RNR786416:RNV786416 RXN786416:RXR786416 SHJ786416:SHN786416 SRF786416:SRJ786416 TBB786416:TBF786416 TKX786416:TLB786416 TUT786416:TUX786416 UEP786416:UET786416 UOL786416:UOP786416 UYH786416:UYL786416 VID786416:VIH786416 VRZ786416:VSD786416 WBV786416:WBZ786416 WLR786416:WLV786416 WVN786416:WVR786416 B851952:I851952 JB851952:JF851952 SX851952:TB851952 ACT851952:ACX851952 AMP851952:AMT851952 AWL851952:AWP851952 BGH851952:BGL851952 BQD851952:BQH851952 BZZ851952:CAD851952 CJV851952:CJZ851952 CTR851952:CTV851952 DDN851952:DDR851952 DNJ851952:DNN851952 DXF851952:DXJ851952 EHB851952:EHF851952 EQX851952:ERB851952 FAT851952:FAX851952 FKP851952:FKT851952 FUL851952:FUP851952 GEH851952:GEL851952 GOD851952:GOH851952 GXZ851952:GYD851952 HHV851952:HHZ851952 HRR851952:HRV851952 IBN851952:IBR851952 ILJ851952:ILN851952 IVF851952:IVJ851952 JFB851952:JFF851952 JOX851952:JPB851952 JYT851952:JYX851952 KIP851952:KIT851952 KSL851952:KSP851952 LCH851952:LCL851952 LMD851952:LMH851952 LVZ851952:LWD851952 MFV851952:MFZ851952 MPR851952:MPV851952 MZN851952:MZR851952 NJJ851952:NJN851952 NTF851952:NTJ851952 ODB851952:ODF851952 OMX851952:ONB851952 OWT851952:OWX851952 PGP851952:PGT851952 PQL851952:PQP851952 QAH851952:QAL851952 QKD851952:QKH851952 QTZ851952:QUD851952 RDV851952:RDZ851952 RNR851952:RNV851952 RXN851952:RXR851952 SHJ851952:SHN851952 SRF851952:SRJ851952 TBB851952:TBF851952 TKX851952:TLB851952 TUT851952:TUX851952 UEP851952:UET851952 UOL851952:UOP851952 UYH851952:UYL851952 VID851952:VIH851952 VRZ851952:VSD851952 WBV851952:WBZ851952 WLR851952:WLV851952 WVN851952:WVR851952 B917488:I917488 JB917488:JF917488 SX917488:TB917488 ACT917488:ACX917488 AMP917488:AMT917488 AWL917488:AWP917488 BGH917488:BGL917488 BQD917488:BQH917488 BZZ917488:CAD917488 CJV917488:CJZ917488 CTR917488:CTV917488 DDN917488:DDR917488 DNJ917488:DNN917488 DXF917488:DXJ917488 EHB917488:EHF917488 EQX917488:ERB917488 FAT917488:FAX917488 FKP917488:FKT917488 FUL917488:FUP917488 GEH917488:GEL917488 GOD917488:GOH917488 GXZ917488:GYD917488 HHV917488:HHZ917488 HRR917488:HRV917488 IBN917488:IBR917488 ILJ917488:ILN917488 IVF917488:IVJ917488 JFB917488:JFF917488 JOX917488:JPB917488 JYT917488:JYX917488 KIP917488:KIT917488 KSL917488:KSP917488 LCH917488:LCL917488 LMD917488:LMH917488 LVZ917488:LWD917488 MFV917488:MFZ917488 MPR917488:MPV917488 MZN917488:MZR917488 NJJ917488:NJN917488 NTF917488:NTJ917488 ODB917488:ODF917488 OMX917488:ONB917488 OWT917488:OWX917488 PGP917488:PGT917488 PQL917488:PQP917488 QAH917488:QAL917488 QKD917488:QKH917488 QTZ917488:QUD917488 RDV917488:RDZ917488 RNR917488:RNV917488 RXN917488:RXR917488 SHJ917488:SHN917488 SRF917488:SRJ917488 TBB917488:TBF917488 TKX917488:TLB917488 TUT917488:TUX917488 UEP917488:UET917488 UOL917488:UOP917488 UYH917488:UYL917488 VID917488:VIH917488 VRZ917488:VSD917488 WBV917488:WBZ917488 WLR917488:WLV917488 WVN917488:WVR917488 B983024:I983024 JB983024:JF983024 SX983024:TB983024 ACT983024:ACX983024 AMP983024:AMT983024 AWL983024:AWP983024 BGH983024:BGL983024 BQD983024:BQH983024 BZZ983024:CAD983024 CJV983024:CJZ983024 CTR983024:CTV983024 DDN983024:DDR983024 DNJ983024:DNN983024 DXF983024:DXJ983024 EHB983024:EHF983024 EQX983024:ERB983024 FAT983024:FAX983024 FKP983024:FKT983024 FUL983024:FUP983024 GEH983024:GEL983024 GOD983024:GOH983024 GXZ983024:GYD983024 HHV983024:HHZ983024 HRR983024:HRV983024 IBN983024:IBR983024 ILJ983024:ILN983024 IVF983024:IVJ983024 JFB983024:JFF983024 JOX983024:JPB983024 JYT983024:JYX983024 KIP983024:KIT983024 KSL983024:KSP983024 LCH983024:LCL983024 LMD983024:LMH983024 LVZ983024:LWD983024 MFV983024:MFZ983024 MPR983024:MPV983024 MZN983024:MZR983024 NJJ983024:NJN983024 NTF983024:NTJ983024 ODB983024:ODF983024 OMX983024:ONB983024 OWT983024:OWX983024 PGP983024:PGT983024 PQL983024:PQP983024 QAH983024:QAL983024 QKD983024:QKH983024 QTZ983024:QUD983024 RDV983024:RDZ983024 RNR983024:RNV983024 RXN983024:RXR983024 SHJ983024:SHN983024 SRF983024:SRJ983024 TBB983024:TBF983024 TKX983024:TLB983024 TUT983024:TUX983024 UEP983024:UET983024 UOL983024:UOP983024 UYH983024:UYL983024 VID983024:VIH983024 VRZ983024:VSD983024 WBV983024:WBZ983024 WLR983024:WLV983024 JB24:JF26 SX69:TB71 ACT69:ACX71 AMP69:AMT71 AWL69:AWP71 BGH69:BGL71 BQD69:BQH71 BZZ69:CAD71 CJV69:CJZ71 CTR69:CTV71 DDN69:DDR71 DNJ69:DNN71 DXF69:DXJ71 EHB69:EHF71 EQX69:ERB71 FAT69:FAX71 FKP69:FKT71 FUL69:FUP71 GEH69:GEL71 GOD69:GOH71 GXZ69:GYD71 HHV69:HHZ71 HRR69:HRV71 IBN69:IBR71 ILJ69:ILN71 IVF69:IVJ71 JFB69:JFF71 JOX69:JPB71 JYT69:JYX71 KIP69:KIT71 KSL69:KSP71 LCH69:LCL71 LMD69:LMH71 LVZ69:LWD71 MFV69:MFZ71 MPR69:MPV71 MZN69:MZR71 NJJ69:NJN71 NTF69:NTJ71 ODB69:ODF71 OMX69:ONB71 OWT69:OWX71 PGP69:PGT71 PQL69:PQP71 QAH69:QAL71 QKD69:QKH71 QTZ69:QUD71 RDV69:RDZ71 RNR69:RNV71 RXN69:RXR71 SHJ69:SHN71 SRF69:SRJ71 TBB69:TBF71 TKX69:TLB71 TUT69:TUX71 UEP69:UET71 UOL69:UOP71 UYH69:UYL71 VID69:VIH71 VRZ69:VSD71 WBV69:WBZ71 WLR69:WLV71 WVN69:WVR71 JB69:JF71 SX114:TB116 ACT114:ACX116 AMP114:AMT116 AWL114:AWP116 BGH114:BGL116 BQD114:BQH116 BZZ114:CAD116 CJV114:CJZ116 CTR114:CTV116 DDN114:DDR116 DNJ114:DNN116 DXF114:DXJ116 EHB114:EHF116 EQX114:ERB116 FAT114:FAX116 FKP114:FKT116 FUL114:FUP116 GEH114:GEL116 GOD114:GOH116 GXZ114:GYD116 HHV114:HHZ116 HRR114:HRV116 IBN114:IBR116 ILJ114:ILN116 IVF114:IVJ116 JFB114:JFF116 JOX114:JPB116 JYT114:JYX116 KIP114:KIT116 KSL114:KSP116 LCH114:LCL116 LMD114:LMH116 LVZ114:LWD116 MFV114:MFZ116 MPR114:MPV116 MZN114:MZR116 NJJ114:NJN116 NTF114:NTJ116 ODB114:ODF116 OMX114:ONB116 OWT114:OWX116 PGP114:PGT116 PQL114:PQP116 QAH114:QAL116 QKD114:QKH116 QTZ114:QUD116 RDV114:RDZ116 RNR114:RNV116 RXN114:RXR116 SHJ114:SHN116 SRF114:SRJ116 TBB114:TBF116 TKX114:TLB116 TUT114:TUX116 UEP114:UET116 UOL114:UOP116 UYH114:UYL116 VID114:VIH116 VRZ114:VSD116 WBV114:WBZ116 WLR114:WLV116 WVN114:WVR116 JB114:JF116 SX159:TB161 ACT159:ACX161 AMP159:AMT161 AWL159:AWP161 BGH159:BGL161 BQD159:BQH161 BZZ159:CAD161 CJV159:CJZ161 CTR159:CTV161 DDN159:DDR161 DNJ159:DNN161 DXF159:DXJ161 EHB159:EHF161 EQX159:ERB161 FAT159:FAX161 FKP159:FKT161 FUL159:FUP161 GEH159:GEL161 GOD159:GOH161 GXZ159:GYD161 HHV159:HHZ161 HRR159:HRV161 IBN159:IBR161 ILJ159:ILN161 IVF159:IVJ161 JFB159:JFF161 JOX159:JPB161 JYT159:JYX161 KIP159:KIT161 KSL159:KSP161 LCH159:LCL161 LMD159:LMH161 LVZ159:LWD161 MFV159:MFZ161 MPR159:MPV161 MZN159:MZR161 NJJ159:NJN161 NTF159:NTJ161 ODB159:ODF161 OMX159:ONB161 OWT159:OWX161 PGP159:PGT161 PQL159:PQP161 QAH159:QAL161 QKD159:QKH161 QTZ159:QUD161 RDV159:RDZ161 RNR159:RNV161 RXN159:RXR161 SHJ159:SHN161 SRF159:SRJ161 TBB159:TBF161 TKX159:TLB161 TUT159:TUX161 UEP159:UET161 UOL159:UOP161 UYH159:UYL161 VID159:VIH161 VRZ159:VSD161 WBV159:WBZ161 WLR159:WLV161 WVN159:WVR161 JB159:JF161 SX204:TB206 ACT204:ACX206 AMP204:AMT206 AWL204:AWP206 BGH204:BGL206 BQD204:BQH206 BZZ204:CAD206 CJV204:CJZ206 CTR204:CTV206 DDN204:DDR206 DNJ204:DNN206 DXF204:DXJ206 EHB204:EHF206 EQX204:ERB206 FAT204:FAX206 FKP204:FKT206 FUL204:FUP206 GEH204:GEL206 GOD204:GOH206 GXZ204:GYD206 HHV204:HHZ206 HRR204:HRV206 IBN204:IBR206 ILJ204:ILN206 IVF204:IVJ206 JFB204:JFF206 JOX204:JPB206 JYT204:JYX206 KIP204:KIT206 KSL204:KSP206 LCH204:LCL206 LMD204:LMH206 LVZ204:LWD206 MFV204:MFZ206 MPR204:MPV206 MZN204:MZR206 NJJ204:NJN206 NTF204:NTJ206 ODB204:ODF206 OMX204:ONB206 OWT204:OWX206 PGP204:PGT206 PQL204:PQP206 QAH204:QAL206 QKD204:QKH206 QTZ204:QUD206 RDV204:RDZ206 RNR204:RNV206 RXN204:RXR206 SHJ204:SHN206 SRF204:SRJ206 TBB204:TBF206 TKX204:TLB206 TUT204:TUX206 UEP204:UET206 UOL204:UOP206 UYH204:UYL206 VID204:VIH206 VRZ204:VSD206 WBV204:WBZ206 WLR204:WLV206 WVN204:WVR206 JB204:JF206" xr:uid="{7694A617-3AEB-40C9-A9A8-61DB8FBA1E4A}">
      <formula1>$K$24:$S$24</formula1>
    </dataValidation>
    <dataValidation type="list" allowBlank="1" showInputMessage="1" showErrorMessage="1" promptTitle="WORK" prompt="SELECT FROM DROP DOWN LIST" sqref="WVN983023:WVR983023 B65519:I65519 JB65519:JF65519 SX65519:TB65519 ACT65519:ACX65519 AMP65519:AMT65519 AWL65519:AWP65519 BGH65519:BGL65519 BQD65519:BQH65519 BZZ65519:CAD65519 CJV65519:CJZ65519 CTR65519:CTV65519 DDN65519:DDR65519 DNJ65519:DNN65519 DXF65519:DXJ65519 EHB65519:EHF65519 EQX65519:ERB65519 FAT65519:FAX65519 FKP65519:FKT65519 FUL65519:FUP65519 GEH65519:GEL65519 GOD65519:GOH65519 GXZ65519:GYD65519 HHV65519:HHZ65519 HRR65519:HRV65519 IBN65519:IBR65519 ILJ65519:ILN65519 IVF65519:IVJ65519 JFB65519:JFF65519 JOX65519:JPB65519 JYT65519:JYX65519 KIP65519:KIT65519 KSL65519:KSP65519 LCH65519:LCL65519 LMD65519:LMH65519 LVZ65519:LWD65519 MFV65519:MFZ65519 MPR65519:MPV65519 MZN65519:MZR65519 NJJ65519:NJN65519 NTF65519:NTJ65519 ODB65519:ODF65519 OMX65519:ONB65519 OWT65519:OWX65519 PGP65519:PGT65519 PQL65519:PQP65519 QAH65519:QAL65519 QKD65519:QKH65519 QTZ65519:QUD65519 RDV65519:RDZ65519 RNR65519:RNV65519 RXN65519:RXR65519 SHJ65519:SHN65519 SRF65519:SRJ65519 TBB65519:TBF65519 TKX65519:TLB65519 TUT65519:TUX65519 UEP65519:UET65519 UOL65519:UOP65519 UYH65519:UYL65519 VID65519:VIH65519 VRZ65519:VSD65519 WBV65519:WBZ65519 WLR65519:WLV65519 WVN65519:WVR65519 B131055:I131055 JB131055:JF131055 SX131055:TB131055 ACT131055:ACX131055 AMP131055:AMT131055 AWL131055:AWP131055 BGH131055:BGL131055 BQD131055:BQH131055 BZZ131055:CAD131055 CJV131055:CJZ131055 CTR131055:CTV131055 DDN131055:DDR131055 DNJ131055:DNN131055 DXF131055:DXJ131055 EHB131055:EHF131055 EQX131055:ERB131055 FAT131055:FAX131055 FKP131055:FKT131055 FUL131055:FUP131055 GEH131055:GEL131055 GOD131055:GOH131055 GXZ131055:GYD131055 HHV131055:HHZ131055 HRR131055:HRV131055 IBN131055:IBR131055 ILJ131055:ILN131055 IVF131055:IVJ131055 JFB131055:JFF131055 JOX131055:JPB131055 JYT131055:JYX131055 KIP131055:KIT131055 KSL131055:KSP131055 LCH131055:LCL131055 LMD131055:LMH131055 LVZ131055:LWD131055 MFV131055:MFZ131055 MPR131055:MPV131055 MZN131055:MZR131055 NJJ131055:NJN131055 NTF131055:NTJ131055 ODB131055:ODF131055 OMX131055:ONB131055 OWT131055:OWX131055 PGP131055:PGT131055 PQL131055:PQP131055 QAH131055:QAL131055 QKD131055:QKH131055 QTZ131055:QUD131055 RDV131055:RDZ131055 RNR131055:RNV131055 RXN131055:RXR131055 SHJ131055:SHN131055 SRF131055:SRJ131055 TBB131055:TBF131055 TKX131055:TLB131055 TUT131055:TUX131055 UEP131055:UET131055 UOL131055:UOP131055 UYH131055:UYL131055 VID131055:VIH131055 VRZ131055:VSD131055 WBV131055:WBZ131055 WLR131055:WLV131055 WVN131055:WVR131055 B196591:I196591 JB196591:JF196591 SX196591:TB196591 ACT196591:ACX196591 AMP196591:AMT196591 AWL196591:AWP196591 BGH196591:BGL196591 BQD196591:BQH196591 BZZ196591:CAD196591 CJV196591:CJZ196591 CTR196591:CTV196591 DDN196591:DDR196591 DNJ196591:DNN196591 DXF196591:DXJ196591 EHB196591:EHF196591 EQX196591:ERB196591 FAT196591:FAX196591 FKP196591:FKT196591 FUL196591:FUP196591 GEH196591:GEL196591 GOD196591:GOH196591 GXZ196591:GYD196591 HHV196591:HHZ196591 HRR196591:HRV196591 IBN196591:IBR196591 ILJ196591:ILN196591 IVF196591:IVJ196591 JFB196591:JFF196591 JOX196591:JPB196591 JYT196591:JYX196591 KIP196591:KIT196591 KSL196591:KSP196591 LCH196591:LCL196591 LMD196591:LMH196591 LVZ196591:LWD196591 MFV196591:MFZ196591 MPR196591:MPV196591 MZN196591:MZR196591 NJJ196591:NJN196591 NTF196591:NTJ196591 ODB196591:ODF196591 OMX196591:ONB196591 OWT196591:OWX196591 PGP196591:PGT196591 PQL196591:PQP196591 QAH196591:QAL196591 QKD196591:QKH196591 QTZ196591:QUD196591 RDV196591:RDZ196591 RNR196591:RNV196591 RXN196591:RXR196591 SHJ196591:SHN196591 SRF196591:SRJ196591 TBB196591:TBF196591 TKX196591:TLB196591 TUT196591:TUX196591 UEP196591:UET196591 UOL196591:UOP196591 UYH196591:UYL196591 VID196591:VIH196591 VRZ196591:VSD196591 WBV196591:WBZ196591 WLR196591:WLV196591 WVN196591:WVR196591 B262127:I262127 JB262127:JF262127 SX262127:TB262127 ACT262127:ACX262127 AMP262127:AMT262127 AWL262127:AWP262127 BGH262127:BGL262127 BQD262127:BQH262127 BZZ262127:CAD262127 CJV262127:CJZ262127 CTR262127:CTV262127 DDN262127:DDR262127 DNJ262127:DNN262127 DXF262127:DXJ262127 EHB262127:EHF262127 EQX262127:ERB262127 FAT262127:FAX262127 FKP262127:FKT262127 FUL262127:FUP262127 GEH262127:GEL262127 GOD262127:GOH262127 GXZ262127:GYD262127 HHV262127:HHZ262127 HRR262127:HRV262127 IBN262127:IBR262127 ILJ262127:ILN262127 IVF262127:IVJ262127 JFB262127:JFF262127 JOX262127:JPB262127 JYT262127:JYX262127 KIP262127:KIT262127 KSL262127:KSP262127 LCH262127:LCL262127 LMD262127:LMH262127 LVZ262127:LWD262127 MFV262127:MFZ262127 MPR262127:MPV262127 MZN262127:MZR262127 NJJ262127:NJN262127 NTF262127:NTJ262127 ODB262127:ODF262127 OMX262127:ONB262127 OWT262127:OWX262127 PGP262127:PGT262127 PQL262127:PQP262127 QAH262127:QAL262127 QKD262127:QKH262127 QTZ262127:QUD262127 RDV262127:RDZ262127 RNR262127:RNV262127 RXN262127:RXR262127 SHJ262127:SHN262127 SRF262127:SRJ262127 TBB262127:TBF262127 TKX262127:TLB262127 TUT262127:TUX262127 UEP262127:UET262127 UOL262127:UOP262127 UYH262127:UYL262127 VID262127:VIH262127 VRZ262127:VSD262127 WBV262127:WBZ262127 WLR262127:WLV262127 WVN262127:WVR262127 B327663:I327663 JB327663:JF327663 SX327663:TB327663 ACT327663:ACX327663 AMP327663:AMT327663 AWL327663:AWP327663 BGH327663:BGL327663 BQD327663:BQH327663 BZZ327663:CAD327663 CJV327663:CJZ327663 CTR327663:CTV327663 DDN327663:DDR327663 DNJ327663:DNN327663 DXF327663:DXJ327663 EHB327663:EHF327663 EQX327663:ERB327663 FAT327663:FAX327663 FKP327663:FKT327663 FUL327663:FUP327663 GEH327663:GEL327663 GOD327663:GOH327663 GXZ327663:GYD327663 HHV327663:HHZ327663 HRR327663:HRV327663 IBN327663:IBR327663 ILJ327663:ILN327663 IVF327663:IVJ327663 JFB327663:JFF327663 JOX327663:JPB327663 JYT327663:JYX327663 KIP327663:KIT327663 KSL327663:KSP327663 LCH327663:LCL327663 LMD327663:LMH327663 LVZ327663:LWD327663 MFV327663:MFZ327663 MPR327663:MPV327663 MZN327663:MZR327663 NJJ327663:NJN327663 NTF327663:NTJ327663 ODB327663:ODF327663 OMX327663:ONB327663 OWT327663:OWX327663 PGP327663:PGT327663 PQL327663:PQP327663 QAH327663:QAL327663 QKD327663:QKH327663 QTZ327663:QUD327663 RDV327663:RDZ327663 RNR327663:RNV327663 RXN327663:RXR327663 SHJ327663:SHN327663 SRF327663:SRJ327663 TBB327663:TBF327663 TKX327663:TLB327663 TUT327663:TUX327663 UEP327663:UET327663 UOL327663:UOP327663 UYH327663:UYL327663 VID327663:VIH327663 VRZ327663:VSD327663 WBV327663:WBZ327663 WLR327663:WLV327663 WVN327663:WVR327663 B393199:I393199 JB393199:JF393199 SX393199:TB393199 ACT393199:ACX393199 AMP393199:AMT393199 AWL393199:AWP393199 BGH393199:BGL393199 BQD393199:BQH393199 BZZ393199:CAD393199 CJV393199:CJZ393199 CTR393199:CTV393199 DDN393199:DDR393199 DNJ393199:DNN393199 DXF393199:DXJ393199 EHB393199:EHF393199 EQX393199:ERB393199 FAT393199:FAX393199 FKP393199:FKT393199 FUL393199:FUP393199 GEH393199:GEL393199 GOD393199:GOH393199 GXZ393199:GYD393199 HHV393199:HHZ393199 HRR393199:HRV393199 IBN393199:IBR393199 ILJ393199:ILN393199 IVF393199:IVJ393199 JFB393199:JFF393199 JOX393199:JPB393199 JYT393199:JYX393199 KIP393199:KIT393199 KSL393199:KSP393199 LCH393199:LCL393199 LMD393199:LMH393199 LVZ393199:LWD393199 MFV393199:MFZ393199 MPR393199:MPV393199 MZN393199:MZR393199 NJJ393199:NJN393199 NTF393199:NTJ393199 ODB393199:ODF393199 OMX393199:ONB393199 OWT393199:OWX393199 PGP393199:PGT393199 PQL393199:PQP393199 QAH393199:QAL393199 QKD393199:QKH393199 QTZ393199:QUD393199 RDV393199:RDZ393199 RNR393199:RNV393199 RXN393199:RXR393199 SHJ393199:SHN393199 SRF393199:SRJ393199 TBB393199:TBF393199 TKX393199:TLB393199 TUT393199:TUX393199 UEP393199:UET393199 UOL393199:UOP393199 UYH393199:UYL393199 VID393199:VIH393199 VRZ393199:VSD393199 WBV393199:WBZ393199 WLR393199:WLV393199 WVN393199:WVR393199 B458735:I458735 JB458735:JF458735 SX458735:TB458735 ACT458735:ACX458735 AMP458735:AMT458735 AWL458735:AWP458735 BGH458735:BGL458735 BQD458735:BQH458735 BZZ458735:CAD458735 CJV458735:CJZ458735 CTR458735:CTV458735 DDN458735:DDR458735 DNJ458735:DNN458735 DXF458735:DXJ458735 EHB458735:EHF458735 EQX458735:ERB458735 FAT458735:FAX458735 FKP458735:FKT458735 FUL458735:FUP458735 GEH458735:GEL458735 GOD458735:GOH458735 GXZ458735:GYD458735 HHV458735:HHZ458735 HRR458735:HRV458735 IBN458735:IBR458735 ILJ458735:ILN458735 IVF458735:IVJ458735 JFB458735:JFF458735 JOX458735:JPB458735 JYT458735:JYX458735 KIP458735:KIT458735 KSL458735:KSP458735 LCH458735:LCL458735 LMD458735:LMH458735 LVZ458735:LWD458735 MFV458735:MFZ458735 MPR458735:MPV458735 MZN458735:MZR458735 NJJ458735:NJN458735 NTF458735:NTJ458735 ODB458735:ODF458735 OMX458735:ONB458735 OWT458735:OWX458735 PGP458735:PGT458735 PQL458735:PQP458735 QAH458735:QAL458735 QKD458735:QKH458735 QTZ458735:QUD458735 RDV458735:RDZ458735 RNR458735:RNV458735 RXN458735:RXR458735 SHJ458735:SHN458735 SRF458735:SRJ458735 TBB458735:TBF458735 TKX458735:TLB458735 TUT458735:TUX458735 UEP458735:UET458735 UOL458735:UOP458735 UYH458735:UYL458735 VID458735:VIH458735 VRZ458735:VSD458735 WBV458735:WBZ458735 WLR458735:WLV458735 WVN458735:WVR458735 B524271:I524271 JB524271:JF524271 SX524271:TB524271 ACT524271:ACX524271 AMP524271:AMT524271 AWL524271:AWP524271 BGH524271:BGL524271 BQD524271:BQH524271 BZZ524271:CAD524271 CJV524271:CJZ524271 CTR524271:CTV524271 DDN524271:DDR524271 DNJ524271:DNN524271 DXF524271:DXJ524271 EHB524271:EHF524271 EQX524271:ERB524271 FAT524271:FAX524271 FKP524271:FKT524271 FUL524271:FUP524271 GEH524271:GEL524271 GOD524271:GOH524271 GXZ524271:GYD524271 HHV524271:HHZ524271 HRR524271:HRV524271 IBN524271:IBR524271 ILJ524271:ILN524271 IVF524271:IVJ524271 JFB524271:JFF524271 JOX524271:JPB524271 JYT524271:JYX524271 KIP524271:KIT524271 KSL524271:KSP524271 LCH524271:LCL524271 LMD524271:LMH524271 LVZ524271:LWD524271 MFV524271:MFZ524271 MPR524271:MPV524271 MZN524271:MZR524271 NJJ524271:NJN524271 NTF524271:NTJ524271 ODB524271:ODF524271 OMX524271:ONB524271 OWT524271:OWX524271 PGP524271:PGT524271 PQL524271:PQP524271 QAH524271:QAL524271 QKD524271:QKH524271 QTZ524271:QUD524271 RDV524271:RDZ524271 RNR524271:RNV524271 RXN524271:RXR524271 SHJ524271:SHN524271 SRF524271:SRJ524271 TBB524271:TBF524271 TKX524271:TLB524271 TUT524271:TUX524271 UEP524271:UET524271 UOL524271:UOP524271 UYH524271:UYL524271 VID524271:VIH524271 VRZ524271:VSD524271 WBV524271:WBZ524271 WLR524271:WLV524271 WVN524271:WVR524271 B589807:I589807 JB589807:JF589807 SX589807:TB589807 ACT589807:ACX589807 AMP589807:AMT589807 AWL589807:AWP589807 BGH589807:BGL589807 BQD589807:BQH589807 BZZ589807:CAD589807 CJV589807:CJZ589807 CTR589807:CTV589807 DDN589807:DDR589807 DNJ589807:DNN589807 DXF589807:DXJ589807 EHB589807:EHF589807 EQX589807:ERB589807 FAT589807:FAX589807 FKP589807:FKT589807 FUL589807:FUP589807 GEH589807:GEL589807 GOD589807:GOH589807 GXZ589807:GYD589807 HHV589807:HHZ589807 HRR589807:HRV589807 IBN589807:IBR589807 ILJ589807:ILN589807 IVF589807:IVJ589807 JFB589807:JFF589807 JOX589807:JPB589807 JYT589807:JYX589807 KIP589807:KIT589807 KSL589807:KSP589807 LCH589807:LCL589807 LMD589807:LMH589807 LVZ589807:LWD589807 MFV589807:MFZ589807 MPR589807:MPV589807 MZN589807:MZR589807 NJJ589807:NJN589807 NTF589807:NTJ589807 ODB589807:ODF589807 OMX589807:ONB589807 OWT589807:OWX589807 PGP589807:PGT589807 PQL589807:PQP589807 QAH589807:QAL589807 QKD589807:QKH589807 QTZ589807:QUD589807 RDV589807:RDZ589807 RNR589807:RNV589807 RXN589807:RXR589807 SHJ589807:SHN589807 SRF589807:SRJ589807 TBB589807:TBF589807 TKX589807:TLB589807 TUT589807:TUX589807 UEP589807:UET589807 UOL589807:UOP589807 UYH589807:UYL589807 VID589807:VIH589807 VRZ589807:VSD589807 WBV589807:WBZ589807 WLR589807:WLV589807 WVN589807:WVR589807 B655343:I655343 JB655343:JF655343 SX655343:TB655343 ACT655343:ACX655343 AMP655343:AMT655343 AWL655343:AWP655343 BGH655343:BGL655343 BQD655343:BQH655343 BZZ655343:CAD655343 CJV655343:CJZ655343 CTR655343:CTV655343 DDN655343:DDR655343 DNJ655343:DNN655343 DXF655343:DXJ655343 EHB655343:EHF655343 EQX655343:ERB655343 FAT655343:FAX655343 FKP655343:FKT655343 FUL655343:FUP655343 GEH655343:GEL655343 GOD655343:GOH655343 GXZ655343:GYD655343 HHV655343:HHZ655343 HRR655343:HRV655343 IBN655343:IBR655343 ILJ655343:ILN655343 IVF655343:IVJ655343 JFB655343:JFF655343 JOX655343:JPB655343 JYT655343:JYX655343 KIP655343:KIT655343 KSL655343:KSP655343 LCH655343:LCL655343 LMD655343:LMH655343 LVZ655343:LWD655343 MFV655343:MFZ655343 MPR655343:MPV655343 MZN655343:MZR655343 NJJ655343:NJN655343 NTF655343:NTJ655343 ODB655343:ODF655343 OMX655343:ONB655343 OWT655343:OWX655343 PGP655343:PGT655343 PQL655343:PQP655343 QAH655343:QAL655343 QKD655343:QKH655343 QTZ655343:QUD655343 RDV655343:RDZ655343 RNR655343:RNV655343 RXN655343:RXR655343 SHJ655343:SHN655343 SRF655343:SRJ655343 TBB655343:TBF655343 TKX655343:TLB655343 TUT655343:TUX655343 UEP655343:UET655343 UOL655343:UOP655343 UYH655343:UYL655343 VID655343:VIH655343 VRZ655343:VSD655343 WBV655343:WBZ655343 WLR655343:WLV655343 WVN655343:WVR655343 B720879:I720879 JB720879:JF720879 SX720879:TB720879 ACT720879:ACX720879 AMP720879:AMT720879 AWL720879:AWP720879 BGH720879:BGL720879 BQD720879:BQH720879 BZZ720879:CAD720879 CJV720879:CJZ720879 CTR720879:CTV720879 DDN720879:DDR720879 DNJ720879:DNN720879 DXF720879:DXJ720879 EHB720879:EHF720879 EQX720879:ERB720879 FAT720879:FAX720879 FKP720879:FKT720879 FUL720879:FUP720879 GEH720879:GEL720879 GOD720879:GOH720879 GXZ720879:GYD720879 HHV720879:HHZ720879 HRR720879:HRV720879 IBN720879:IBR720879 ILJ720879:ILN720879 IVF720879:IVJ720879 JFB720879:JFF720879 JOX720879:JPB720879 JYT720879:JYX720879 KIP720879:KIT720879 KSL720879:KSP720879 LCH720879:LCL720879 LMD720879:LMH720879 LVZ720879:LWD720879 MFV720879:MFZ720879 MPR720879:MPV720879 MZN720879:MZR720879 NJJ720879:NJN720879 NTF720879:NTJ720879 ODB720879:ODF720879 OMX720879:ONB720879 OWT720879:OWX720879 PGP720879:PGT720879 PQL720879:PQP720879 QAH720879:QAL720879 QKD720879:QKH720879 QTZ720879:QUD720879 RDV720879:RDZ720879 RNR720879:RNV720879 RXN720879:RXR720879 SHJ720879:SHN720879 SRF720879:SRJ720879 TBB720879:TBF720879 TKX720879:TLB720879 TUT720879:TUX720879 UEP720879:UET720879 UOL720879:UOP720879 UYH720879:UYL720879 VID720879:VIH720879 VRZ720879:VSD720879 WBV720879:WBZ720879 WLR720879:WLV720879 WVN720879:WVR720879 B786415:I786415 JB786415:JF786415 SX786415:TB786415 ACT786415:ACX786415 AMP786415:AMT786415 AWL786415:AWP786415 BGH786415:BGL786415 BQD786415:BQH786415 BZZ786415:CAD786415 CJV786415:CJZ786415 CTR786415:CTV786415 DDN786415:DDR786415 DNJ786415:DNN786415 DXF786415:DXJ786415 EHB786415:EHF786415 EQX786415:ERB786415 FAT786415:FAX786415 FKP786415:FKT786415 FUL786415:FUP786415 GEH786415:GEL786415 GOD786415:GOH786415 GXZ786415:GYD786415 HHV786415:HHZ786415 HRR786415:HRV786415 IBN786415:IBR786415 ILJ786415:ILN786415 IVF786415:IVJ786415 JFB786415:JFF786415 JOX786415:JPB786415 JYT786415:JYX786415 KIP786415:KIT786415 KSL786415:KSP786415 LCH786415:LCL786415 LMD786415:LMH786415 LVZ786415:LWD786415 MFV786415:MFZ786415 MPR786415:MPV786415 MZN786415:MZR786415 NJJ786415:NJN786415 NTF786415:NTJ786415 ODB786415:ODF786415 OMX786415:ONB786415 OWT786415:OWX786415 PGP786415:PGT786415 PQL786415:PQP786415 QAH786415:QAL786415 QKD786415:QKH786415 QTZ786415:QUD786415 RDV786415:RDZ786415 RNR786415:RNV786415 RXN786415:RXR786415 SHJ786415:SHN786415 SRF786415:SRJ786415 TBB786415:TBF786415 TKX786415:TLB786415 TUT786415:TUX786415 UEP786415:UET786415 UOL786415:UOP786415 UYH786415:UYL786415 VID786415:VIH786415 VRZ786415:VSD786415 WBV786415:WBZ786415 WLR786415:WLV786415 WVN786415:WVR786415 B851951:I851951 JB851951:JF851951 SX851951:TB851951 ACT851951:ACX851951 AMP851951:AMT851951 AWL851951:AWP851951 BGH851951:BGL851951 BQD851951:BQH851951 BZZ851951:CAD851951 CJV851951:CJZ851951 CTR851951:CTV851951 DDN851951:DDR851951 DNJ851951:DNN851951 DXF851951:DXJ851951 EHB851951:EHF851951 EQX851951:ERB851951 FAT851951:FAX851951 FKP851951:FKT851951 FUL851951:FUP851951 GEH851951:GEL851951 GOD851951:GOH851951 GXZ851951:GYD851951 HHV851951:HHZ851951 HRR851951:HRV851951 IBN851951:IBR851951 ILJ851951:ILN851951 IVF851951:IVJ851951 JFB851951:JFF851951 JOX851951:JPB851951 JYT851951:JYX851951 KIP851951:KIT851951 KSL851951:KSP851951 LCH851951:LCL851951 LMD851951:LMH851951 LVZ851951:LWD851951 MFV851951:MFZ851951 MPR851951:MPV851951 MZN851951:MZR851951 NJJ851951:NJN851951 NTF851951:NTJ851951 ODB851951:ODF851951 OMX851951:ONB851951 OWT851951:OWX851951 PGP851951:PGT851951 PQL851951:PQP851951 QAH851951:QAL851951 QKD851951:QKH851951 QTZ851951:QUD851951 RDV851951:RDZ851951 RNR851951:RNV851951 RXN851951:RXR851951 SHJ851951:SHN851951 SRF851951:SRJ851951 TBB851951:TBF851951 TKX851951:TLB851951 TUT851951:TUX851951 UEP851951:UET851951 UOL851951:UOP851951 UYH851951:UYL851951 VID851951:VIH851951 VRZ851951:VSD851951 WBV851951:WBZ851951 WLR851951:WLV851951 WVN851951:WVR851951 B917487:I917487 JB917487:JF917487 SX917487:TB917487 ACT917487:ACX917487 AMP917487:AMT917487 AWL917487:AWP917487 BGH917487:BGL917487 BQD917487:BQH917487 BZZ917487:CAD917487 CJV917487:CJZ917487 CTR917487:CTV917487 DDN917487:DDR917487 DNJ917487:DNN917487 DXF917487:DXJ917487 EHB917487:EHF917487 EQX917487:ERB917487 FAT917487:FAX917487 FKP917487:FKT917487 FUL917487:FUP917487 GEH917487:GEL917487 GOD917487:GOH917487 GXZ917487:GYD917487 HHV917487:HHZ917487 HRR917487:HRV917487 IBN917487:IBR917487 ILJ917487:ILN917487 IVF917487:IVJ917487 JFB917487:JFF917487 JOX917487:JPB917487 JYT917487:JYX917487 KIP917487:KIT917487 KSL917487:KSP917487 LCH917487:LCL917487 LMD917487:LMH917487 LVZ917487:LWD917487 MFV917487:MFZ917487 MPR917487:MPV917487 MZN917487:MZR917487 NJJ917487:NJN917487 NTF917487:NTJ917487 ODB917487:ODF917487 OMX917487:ONB917487 OWT917487:OWX917487 PGP917487:PGT917487 PQL917487:PQP917487 QAH917487:QAL917487 QKD917487:QKH917487 QTZ917487:QUD917487 RDV917487:RDZ917487 RNR917487:RNV917487 RXN917487:RXR917487 SHJ917487:SHN917487 SRF917487:SRJ917487 TBB917487:TBF917487 TKX917487:TLB917487 TUT917487:TUX917487 UEP917487:UET917487 UOL917487:UOP917487 UYH917487:UYL917487 VID917487:VIH917487 VRZ917487:VSD917487 WBV917487:WBZ917487 WLR917487:WLV917487 WVN917487:WVR917487 B983023:I983023 JB983023:JF983023 SX983023:TB983023 ACT983023:ACX983023 AMP983023:AMT983023 AWL983023:AWP983023 BGH983023:BGL983023 BQD983023:BQH983023 BZZ983023:CAD983023 CJV983023:CJZ983023 CTR983023:CTV983023 DDN983023:DDR983023 DNJ983023:DNN983023 DXF983023:DXJ983023 EHB983023:EHF983023 EQX983023:ERB983023 FAT983023:FAX983023 FKP983023:FKT983023 FUL983023:FUP983023 GEH983023:GEL983023 GOD983023:GOH983023 GXZ983023:GYD983023 HHV983023:HHZ983023 HRR983023:HRV983023 IBN983023:IBR983023 ILJ983023:ILN983023 IVF983023:IVJ983023 JFB983023:JFF983023 JOX983023:JPB983023 JYT983023:JYX983023 KIP983023:KIT983023 KSL983023:KSP983023 LCH983023:LCL983023 LMD983023:LMH983023 LVZ983023:LWD983023 MFV983023:MFZ983023 MPR983023:MPV983023 MZN983023:MZR983023 NJJ983023:NJN983023 NTF983023:NTJ983023 ODB983023:ODF983023 OMX983023:ONB983023 OWT983023:OWX983023 PGP983023:PGT983023 PQL983023:PQP983023 QAH983023:QAL983023 QKD983023:QKH983023 QTZ983023:QUD983023 RDV983023:RDZ983023 RNR983023:RNV983023 RXN983023:RXR983023 SHJ983023:SHN983023 SRF983023:SRJ983023 TBB983023:TBF983023 TKX983023:TLB983023 TUT983023:TUX983023 UEP983023:UET983023 UOL983023:UOP983023 UYH983023:UYL983023 VID983023:VIH983023 VRZ983023:VSD983023 WBV983023:WBZ983023 WLR983023:WLV983023" xr:uid="{97B5D906-E62A-45FD-8E14-4DAACAA9A7DD}">
      <formula1>#REF!</formula1>
    </dataValidation>
    <dataValidation allowBlank="1" showInputMessage="1" showErrorMessage="1" promptTitle="SYSTEM" prompt="SELECT FROM DROP DOWN LIST" sqref="WVN983025:WVR983025 WLR983025:WLV983025 B65521:I65521 JB65521:JF65521 SX65521:TB65521 ACT65521:ACX65521 AMP65521:AMT65521 AWL65521:AWP65521 BGH65521:BGL65521 BQD65521:BQH65521 BZZ65521:CAD65521 CJV65521:CJZ65521 CTR65521:CTV65521 DDN65521:DDR65521 DNJ65521:DNN65521 DXF65521:DXJ65521 EHB65521:EHF65521 EQX65521:ERB65521 FAT65521:FAX65521 FKP65521:FKT65521 FUL65521:FUP65521 GEH65521:GEL65521 GOD65521:GOH65521 GXZ65521:GYD65521 HHV65521:HHZ65521 HRR65521:HRV65521 IBN65521:IBR65521 ILJ65521:ILN65521 IVF65521:IVJ65521 JFB65521:JFF65521 JOX65521:JPB65521 JYT65521:JYX65521 KIP65521:KIT65521 KSL65521:KSP65521 LCH65521:LCL65521 LMD65521:LMH65521 LVZ65521:LWD65521 MFV65521:MFZ65521 MPR65521:MPV65521 MZN65521:MZR65521 NJJ65521:NJN65521 NTF65521:NTJ65521 ODB65521:ODF65521 OMX65521:ONB65521 OWT65521:OWX65521 PGP65521:PGT65521 PQL65521:PQP65521 QAH65521:QAL65521 QKD65521:QKH65521 QTZ65521:QUD65521 RDV65521:RDZ65521 RNR65521:RNV65521 RXN65521:RXR65521 SHJ65521:SHN65521 SRF65521:SRJ65521 TBB65521:TBF65521 TKX65521:TLB65521 TUT65521:TUX65521 UEP65521:UET65521 UOL65521:UOP65521 UYH65521:UYL65521 VID65521:VIH65521 VRZ65521:VSD65521 WBV65521:WBZ65521 WLR65521:WLV65521 WVN65521:WVR65521 B131057:I131057 JB131057:JF131057 SX131057:TB131057 ACT131057:ACX131057 AMP131057:AMT131057 AWL131057:AWP131057 BGH131057:BGL131057 BQD131057:BQH131057 BZZ131057:CAD131057 CJV131057:CJZ131057 CTR131057:CTV131057 DDN131057:DDR131057 DNJ131057:DNN131057 DXF131057:DXJ131057 EHB131057:EHF131057 EQX131057:ERB131057 FAT131057:FAX131057 FKP131057:FKT131057 FUL131057:FUP131057 GEH131057:GEL131057 GOD131057:GOH131057 GXZ131057:GYD131057 HHV131057:HHZ131057 HRR131057:HRV131057 IBN131057:IBR131057 ILJ131057:ILN131057 IVF131057:IVJ131057 JFB131057:JFF131057 JOX131057:JPB131057 JYT131057:JYX131057 KIP131057:KIT131057 KSL131057:KSP131057 LCH131057:LCL131057 LMD131057:LMH131057 LVZ131057:LWD131057 MFV131057:MFZ131057 MPR131057:MPV131057 MZN131057:MZR131057 NJJ131057:NJN131057 NTF131057:NTJ131057 ODB131057:ODF131057 OMX131057:ONB131057 OWT131057:OWX131057 PGP131057:PGT131057 PQL131057:PQP131057 QAH131057:QAL131057 QKD131057:QKH131057 QTZ131057:QUD131057 RDV131057:RDZ131057 RNR131057:RNV131057 RXN131057:RXR131057 SHJ131057:SHN131057 SRF131057:SRJ131057 TBB131057:TBF131057 TKX131057:TLB131057 TUT131057:TUX131057 UEP131057:UET131057 UOL131057:UOP131057 UYH131057:UYL131057 VID131057:VIH131057 VRZ131057:VSD131057 WBV131057:WBZ131057 WLR131057:WLV131057 WVN131057:WVR131057 B196593:I196593 JB196593:JF196593 SX196593:TB196593 ACT196593:ACX196593 AMP196593:AMT196593 AWL196593:AWP196593 BGH196593:BGL196593 BQD196593:BQH196593 BZZ196593:CAD196593 CJV196593:CJZ196593 CTR196593:CTV196593 DDN196593:DDR196593 DNJ196593:DNN196593 DXF196593:DXJ196593 EHB196593:EHF196593 EQX196593:ERB196593 FAT196593:FAX196593 FKP196593:FKT196593 FUL196593:FUP196593 GEH196593:GEL196593 GOD196593:GOH196593 GXZ196593:GYD196593 HHV196593:HHZ196593 HRR196593:HRV196593 IBN196593:IBR196593 ILJ196593:ILN196593 IVF196593:IVJ196593 JFB196593:JFF196593 JOX196593:JPB196593 JYT196593:JYX196593 KIP196593:KIT196593 KSL196593:KSP196593 LCH196593:LCL196593 LMD196593:LMH196593 LVZ196593:LWD196593 MFV196593:MFZ196593 MPR196593:MPV196593 MZN196593:MZR196593 NJJ196593:NJN196593 NTF196593:NTJ196593 ODB196593:ODF196593 OMX196593:ONB196593 OWT196593:OWX196593 PGP196593:PGT196593 PQL196593:PQP196593 QAH196593:QAL196593 QKD196593:QKH196593 QTZ196593:QUD196593 RDV196593:RDZ196593 RNR196593:RNV196593 RXN196593:RXR196593 SHJ196593:SHN196593 SRF196593:SRJ196593 TBB196593:TBF196593 TKX196593:TLB196593 TUT196593:TUX196593 UEP196593:UET196593 UOL196593:UOP196593 UYH196593:UYL196593 VID196593:VIH196593 VRZ196593:VSD196593 WBV196593:WBZ196593 WLR196593:WLV196593 WVN196593:WVR196593 B262129:I262129 JB262129:JF262129 SX262129:TB262129 ACT262129:ACX262129 AMP262129:AMT262129 AWL262129:AWP262129 BGH262129:BGL262129 BQD262129:BQH262129 BZZ262129:CAD262129 CJV262129:CJZ262129 CTR262129:CTV262129 DDN262129:DDR262129 DNJ262129:DNN262129 DXF262129:DXJ262129 EHB262129:EHF262129 EQX262129:ERB262129 FAT262129:FAX262129 FKP262129:FKT262129 FUL262129:FUP262129 GEH262129:GEL262129 GOD262129:GOH262129 GXZ262129:GYD262129 HHV262129:HHZ262129 HRR262129:HRV262129 IBN262129:IBR262129 ILJ262129:ILN262129 IVF262129:IVJ262129 JFB262129:JFF262129 JOX262129:JPB262129 JYT262129:JYX262129 KIP262129:KIT262129 KSL262129:KSP262129 LCH262129:LCL262129 LMD262129:LMH262129 LVZ262129:LWD262129 MFV262129:MFZ262129 MPR262129:MPV262129 MZN262129:MZR262129 NJJ262129:NJN262129 NTF262129:NTJ262129 ODB262129:ODF262129 OMX262129:ONB262129 OWT262129:OWX262129 PGP262129:PGT262129 PQL262129:PQP262129 QAH262129:QAL262129 QKD262129:QKH262129 QTZ262129:QUD262129 RDV262129:RDZ262129 RNR262129:RNV262129 RXN262129:RXR262129 SHJ262129:SHN262129 SRF262129:SRJ262129 TBB262129:TBF262129 TKX262129:TLB262129 TUT262129:TUX262129 UEP262129:UET262129 UOL262129:UOP262129 UYH262129:UYL262129 VID262129:VIH262129 VRZ262129:VSD262129 WBV262129:WBZ262129 WLR262129:WLV262129 WVN262129:WVR262129 B327665:I327665 JB327665:JF327665 SX327665:TB327665 ACT327665:ACX327665 AMP327665:AMT327665 AWL327665:AWP327665 BGH327665:BGL327665 BQD327665:BQH327665 BZZ327665:CAD327665 CJV327665:CJZ327665 CTR327665:CTV327665 DDN327665:DDR327665 DNJ327665:DNN327665 DXF327665:DXJ327665 EHB327665:EHF327665 EQX327665:ERB327665 FAT327665:FAX327665 FKP327665:FKT327665 FUL327665:FUP327665 GEH327665:GEL327665 GOD327665:GOH327665 GXZ327665:GYD327665 HHV327665:HHZ327665 HRR327665:HRV327665 IBN327665:IBR327665 ILJ327665:ILN327665 IVF327665:IVJ327665 JFB327665:JFF327665 JOX327665:JPB327665 JYT327665:JYX327665 KIP327665:KIT327665 KSL327665:KSP327665 LCH327665:LCL327665 LMD327665:LMH327665 LVZ327665:LWD327665 MFV327665:MFZ327665 MPR327665:MPV327665 MZN327665:MZR327665 NJJ327665:NJN327665 NTF327665:NTJ327665 ODB327665:ODF327665 OMX327665:ONB327665 OWT327665:OWX327665 PGP327665:PGT327665 PQL327665:PQP327665 QAH327665:QAL327665 QKD327665:QKH327665 QTZ327665:QUD327665 RDV327665:RDZ327665 RNR327665:RNV327665 RXN327665:RXR327665 SHJ327665:SHN327665 SRF327665:SRJ327665 TBB327665:TBF327665 TKX327665:TLB327665 TUT327665:TUX327665 UEP327665:UET327665 UOL327665:UOP327665 UYH327665:UYL327665 VID327665:VIH327665 VRZ327665:VSD327665 WBV327665:WBZ327665 WLR327665:WLV327665 WVN327665:WVR327665 B393201:I393201 JB393201:JF393201 SX393201:TB393201 ACT393201:ACX393201 AMP393201:AMT393201 AWL393201:AWP393201 BGH393201:BGL393201 BQD393201:BQH393201 BZZ393201:CAD393201 CJV393201:CJZ393201 CTR393201:CTV393201 DDN393201:DDR393201 DNJ393201:DNN393201 DXF393201:DXJ393201 EHB393201:EHF393201 EQX393201:ERB393201 FAT393201:FAX393201 FKP393201:FKT393201 FUL393201:FUP393201 GEH393201:GEL393201 GOD393201:GOH393201 GXZ393201:GYD393201 HHV393201:HHZ393201 HRR393201:HRV393201 IBN393201:IBR393201 ILJ393201:ILN393201 IVF393201:IVJ393201 JFB393201:JFF393201 JOX393201:JPB393201 JYT393201:JYX393201 KIP393201:KIT393201 KSL393201:KSP393201 LCH393201:LCL393201 LMD393201:LMH393201 LVZ393201:LWD393201 MFV393201:MFZ393201 MPR393201:MPV393201 MZN393201:MZR393201 NJJ393201:NJN393201 NTF393201:NTJ393201 ODB393201:ODF393201 OMX393201:ONB393201 OWT393201:OWX393201 PGP393201:PGT393201 PQL393201:PQP393201 QAH393201:QAL393201 QKD393201:QKH393201 QTZ393201:QUD393201 RDV393201:RDZ393201 RNR393201:RNV393201 RXN393201:RXR393201 SHJ393201:SHN393201 SRF393201:SRJ393201 TBB393201:TBF393201 TKX393201:TLB393201 TUT393201:TUX393201 UEP393201:UET393201 UOL393201:UOP393201 UYH393201:UYL393201 VID393201:VIH393201 VRZ393201:VSD393201 WBV393201:WBZ393201 WLR393201:WLV393201 WVN393201:WVR393201 B458737:I458737 JB458737:JF458737 SX458737:TB458737 ACT458737:ACX458737 AMP458737:AMT458737 AWL458737:AWP458737 BGH458737:BGL458737 BQD458737:BQH458737 BZZ458737:CAD458737 CJV458737:CJZ458737 CTR458737:CTV458737 DDN458737:DDR458737 DNJ458737:DNN458737 DXF458737:DXJ458737 EHB458737:EHF458737 EQX458737:ERB458737 FAT458737:FAX458737 FKP458737:FKT458737 FUL458737:FUP458737 GEH458737:GEL458737 GOD458737:GOH458737 GXZ458737:GYD458737 HHV458737:HHZ458737 HRR458737:HRV458737 IBN458737:IBR458737 ILJ458737:ILN458737 IVF458737:IVJ458737 JFB458737:JFF458737 JOX458737:JPB458737 JYT458737:JYX458737 KIP458737:KIT458737 KSL458737:KSP458737 LCH458737:LCL458737 LMD458737:LMH458737 LVZ458737:LWD458737 MFV458737:MFZ458737 MPR458737:MPV458737 MZN458737:MZR458737 NJJ458737:NJN458737 NTF458737:NTJ458737 ODB458737:ODF458737 OMX458737:ONB458737 OWT458737:OWX458737 PGP458737:PGT458737 PQL458737:PQP458737 QAH458737:QAL458737 QKD458737:QKH458737 QTZ458737:QUD458737 RDV458737:RDZ458737 RNR458737:RNV458737 RXN458737:RXR458737 SHJ458737:SHN458737 SRF458737:SRJ458737 TBB458737:TBF458737 TKX458737:TLB458737 TUT458737:TUX458737 UEP458737:UET458737 UOL458737:UOP458737 UYH458737:UYL458737 VID458737:VIH458737 VRZ458737:VSD458737 WBV458737:WBZ458737 WLR458737:WLV458737 WVN458737:WVR458737 B524273:I524273 JB524273:JF524273 SX524273:TB524273 ACT524273:ACX524273 AMP524273:AMT524273 AWL524273:AWP524273 BGH524273:BGL524273 BQD524273:BQH524273 BZZ524273:CAD524273 CJV524273:CJZ524273 CTR524273:CTV524273 DDN524273:DDR524273 DNJ524273:DNN524273 DXF524273:DXJ524273 EHB524273:EHF524273 EQX524273:ERB524273 FAT524273:FAX524273 FKP524273:FKT524273 FUL524273:FUP524273 GEH524273:GEL524273 GOD524273:GOH524273 GXZ524273:GYD524273 HHV524273:HHZ524273 HRR524273:HRV524273 IBN524273:IBR524273 ILJ524273:ILN524273 IVF524273:IVJ524273 JFB524273:JFF524273 JOX524273:JPB524273 JYT524273:JYX524273 KIP524273:KIT524273 KSL524273:KSP524273 LCH524273:LCL524273 LMD524273:LMH524273 LVZ524273:LWD524273 MFV524273:MFZ524273 MPR524273:MPV524273 MZN524273:MZR524273 NJJ524273:NJN524273 NTF524273:NTJ524273 ODB524273:ODF524273 OMX524273:ONB524273 OWT524273:OWX524273 PGP524273:PGT524273 PQL524273:PQP524273 QAH524273:QAL524273 QKD524273:QKH524273 QTZ524273:QUD524273 RDV524273:RDZ524273 RNR524273:RNV524273 RXN524273:RXR524273 SHJ524273:SHN524273 SRF524273:SRJ524273 TBB524273:TBF524273 TKX524273:TLB524273 TUT524273:TUX524273 UEP524273:UET524273 UOL524273:UOP524273 UYH524273:UYL524273 VID524273:VIH524273 VRZ524273:VSD524273 WBV524273:WBZ524273 WLR524273:WLV524273 WVN524273:WVR524273 B589809:I589809 JB589809:JF589809 SX589809:TB589809 ACT589809:ACX589809 AMP589809:AMT589809 AWL589809:AWP589809 BGH589809:BGL589809 BQD589809:BQH589809 BZZ589809:CAD589809 CJV589809:CJZ589809 CTR589809:CTV589809 DDN589809:DDR589809 DNJ589809:DNN589809 DXF589809:DXJ589809 EHB589809:EHF589809 EQX589809:ERB589809 FAT589809:FAX589809 FKP589809:FKT589809 FUL589809:FUP589809 GEH589809:GEL589809 GOD589809:GOH589809 GXZ589809:GYD589809 HHV589809:HHZ589809 HRR589809:HRV589809 IBN589809:IBR589809 ILJ589809:ILN589809 IVF589809:IVJ589809 JFB589809:JFF589809 JOX589809:JPB589809 JYT589809:JYX589809 KIP589809:KIT589809 KSL589809:KSP589809 LCH589809:LCL589809 LMD589809:LMH589809 LVZ589809:LWD589809 MFV589809:MFZ589809 MPR589809:MPV589809 MZN589809:MZR589809 NJJ589809:NJN589809 NTF589809:NTJ589809 ODB589809:ODF589809 OMX589809:ONB589809 OWT589809:OWX589809 PGP589809:PGT589809 PQL589809:PQP589809 QAH589809:QAL589809 QKD589809:QKH589809 QTZ589809:QUD589809 RDV589809:RDZ589809 RNR589809:RNV589809 RXN589809:RXR589809 SHJ589809:SHN589809 SRF589809:SRJ589809 TBB589809:TBF589809 TKX589809:TLB589809 TUT589809:TUX589809 UEP589809:UET589809 UOL589809:UOP589809 UYH589809:UYL589809 VID589809:VIH589809 VRZ589809:VSD589809 WBV589809:WBZ589809 WLR589809:WLV589809 WVN589809:WVR589809 B655345:I655345 JB655345:JF655345 SX655345:TB655345 ACT655345:ACX655345 AMP655345:AMT655345 AWL655345:AWP655345 BGH655345:BGL655345 BQD655345:BQH655345 BZZ655345:CAD655345 CJV655345:CJZ655345 CTR655345:CTV655345 DDN655345:DDR655345 DNJ655345:DNN655345 DXF655345:DXJ655345 EHB655345:EHF655345 EQX655345:ERB655345 FAT655345:FAX655345 FKP655345:FKT655345 FUL655345:FUP655345 GEH655345:GEL655345 GOD655345:GOH655345 GXZ655345:GYD655345 HHV655345:HHZ655345 HRR655345:HRV655345 IBN655345:IBR655345 ILJ655345:ILN655345 IVF655345:IVJ655345 JFB655345:JFF655345 JOX655345:JPB655345 JYT655345:JYX655345 KIP655345:KIT655345 KSL655345:KSP655345 LCH655345:LCL655345 LMD655345:LMH655345 LVZ655345:LWD655345 MFV655345:MFZ655345 MPR655345:MPV655345 MZN655345:MZR655345 NJJ655345:NJN655345 NTF655345:NTJ655345 ODB655345:ODF655345 OMX655345:ONB655345 OWT655345:OWX655345 PGP655345:PGT655345 PQL655345:PQP655345 QAH655345:QAL655345 QKD655345:QKH655345 QTZ655345:QUD655345 RDV655345:RDZ655345 RNR655345:RNV655345 RXN655345:RXR655345 SHJ655345:SHN655345 SRF655345:SRJ655345 TBB655345:TBF655345 TKX655345:TLB655345 TUT655345:TUX655345 UEP655345:UET655345 UOL655345:UOP655345 UYH655345:UYL655345 VID655345:VIH655345 VRZ655345:VSD655345 WBV655345:WBZ655345 WLR655345:WLV655345 WVN655345:WVR655345 B720881:I720881 JB720881:JF720881 SX720881:TB720881 ACT720881:ACX720881 AMP720881:AMT720881 AWL720881:AWP720881 BGH720881:BGL720881 BQD720881:BQH720881 BZZ720881:CAD720881 CJV720881:CJZ720881 CTR720881:CTV720881 DDN720881:DDR720881 DNJ720881:DNN720881 DXF720881:DXJ720881 EHB720881:EHF720881 EQX720881:ERB720881 FAT720881:FAX720881 FKP720881:FKT720881 FUL720881:FUP720881 GEH720881:GEL720881 GOD720881:GOH720881 GXZ720881:GYD720881 HHV720881:HHZ720881 HRR720881:HRV720881 IBN720881:IBR720881 ILJ720881:ILN720881 IVF720881:IVJ720881 JFB720881:JFF720881 JOX720881:JPB720881 JYT720881:JYX720881 KIP720881:KIT720881 KSL720881:KSP720881 LCH720881:LCL720881 LMD720881:LMH720881 LVZ720881:LWD720881 MFV720881:MFZ720881 MPR720881:MPV720881 MZN720881:MZR720881 NJJ720881:NJN720881 NTF720881:NTJ720881 ODB720881:ODF720881 OMX720881:ONB720881 OWT720881:OWX720881 PGP720881:PGT720881 PQL720881:PQP720881 QAH720881:QAL720881 QKD720881:QKH720881 QTZ720881:QUD720881 RDV720881:RDZ720881 RNR720881:RNV720881 RXN720881:RXR720881 SHJ720881:SHN720881 SRF720881:SRJ720881 TBB720881:TBF720881 TKX720881:TLB720881 TUT720881:TUX720881 UEP720881:UET720881 UOL720881:UOP720881 UYH720881:UYL720881 VID720881:VIH720881 VRZ720881:VSD720881 WBV720881:WBZ720881 WLR720881:WLV720881 WVN720881:WVR720881 B786417:I786417 JB786417:JF786417 SX786417:TB786417 ACT786417:ACX786417 AMP786417:AMT786417 AWL786417:AWP786417 BGH786417:BGL786417 BQD786417:BQH786417 BZZ786417:CAD786417 CJV786417:CJZ786417 CTR786417:CTV786417 DDN786417:DDR786417 DNJ786417:DNN786417 DXF786417:DXJ786417 EHB786417:EHF786417 EQX786417:ERB786417 FAT786417:FAX786417 FKP786417:FKT786417 FUL786417:FUP786417 GEH786417:GEL786417 GOD786417:GOH786417 GXZ786417:GYD786417 HHV786417:HHZ786417 HRR786417:HRV786417 IBN786417:IBR786417 ILJ786417:ILN786417 IVF786417:IVJ786417 JFB786417:JFF786417 JOX786417:JPB786417 JYT786417:JYX786417 KIP786417:KIT786417 KSL786417:KSP786417 LCH786417:LCL786417 LMD786417:LMH786417 LVZ786417:LWD786417 MFV786417:MFZ786417 MPR786417:MPV786417 MZN786417:MZR786417 NJJ786417:NJN786417 NTF786417:NTJ786417 ODB786417:ODF786417 OMX786417:ONB786417 OWT786417:OWX786417 PGP786417:PGT786417 PQL786417:PQP786417 QAH786417:QAL786417 QKD786417:QKH786417 QTZ786417:QUD786417 RDV786417:RDZ786417 RNR786417:RNV786417 RXN786417:RXR786417 SHJ786417:SHN786417 SRF786417:SRJ786417 TBB786417:TBF786417 TKX786417:TLB786417 TUT786417:TUX786417 UEP786417:UET786417 UOL786417:UOP786417 UYH786417:UYL786417 VID786417:VIH786417 VRZ786417:VSD786417 WBV786417:WBZ786417 WLR786417:WLV786417 WVN786417:WVR786417 B851953:I851953 JB851953:JF851953 SX851953:TB851953 ACT851953:ACX851953 AMP851953:AMT851953 AWL851953:AWP851953 BGH851953:BGL851953 BQD851953:BQH851953 BZZ851953:CAD851953 CJV851953:CJZ851953 CTR851953:CTV851953 DDN851953:DDR851953 DNJ851953:DNN851953 DXF851953:DXJ851953 EHB851953:EHF851953 EQX851953:ERB851953 FAT851953:FAX851953 FKP851953:FKT851953 FUL851953:FUP851953 GEH851953:GEL851953 GOD851953:GOH851953 GXZ851953:GYD851953 HHV851953:HHZ851953 HRR851953:HRV851953 IBN851953:IBR851953 ILJ851953:ILN851953 IVF851953:IVJ851953 JFB851953:JFF851953 JOX851953:JPB851953 JYT851953:JYX851953 KIP851953:KIT851953 KSL851953:KSP851953 LCH851953:LCL851953 LMD851953:LMH851953 LVZ851953:LWD851953 MFV851953:MFZ851953 MPR851953:MPV851953 MZN851953:MZR851953 NJJ851953:NJN851953 NTF851953:NTJ851953 ODB851953:ODF851953 OMX851953:ONB851953 OWT851953:OWX851953 PGP851953:PGT851953 PQL851953:PQP851953 QAH851953:QAL851953 QKD851953:QKH851953 QTZ851953:QUD851953 RDV851953:RDZ851953 RNR851953:RNV851953 RXN851953:RXR851953 SHJ851953:SHN851953 SRF851953:SRJ851953 TBB851953:TBF851953 TKX851953:TLB851953 TUT851953:TUX851953 UEP851953:UET851953 UOL851953:UOP851953 UYH851953:UYL851953 VID851953:VIH851953 VRZ851953:VSD851953 WBV851953:WBZ851953 WLR851953:WLV851953 WVN851953:WVR851953 B917489:I917489 JB917489:JF917489 SX917489:TB917489 ACT917489:ACX917489 AMP917489:AMT917489 AWL917489:AWP917489 BGH917489:BGL917489 BQD917489:BQH917489 BZZ917489:CAD917489 CJV917489:CJZ917489 CTR917489:CTV917489 DDN917489:DDR917489 DNJ917489:DNN917489 DXF917489:DXJ917489 EHB917489:EHF917489 EQX917489:ERB917489 FAT917489:FAX917489 FKP917489:FKT917489 FUL917489:FUP917489 GEH917489:GEL917489 GOD917489:GOH917489 GXZ917489:GYD917489 HHV917489:HHZ917489 HRR917489:HRV917489 IBN917489:IBR917489 ILJ917489:ILN917489 IVF917489:IVJ917489 JFB917489:JFF917489 JOX917489:JPB917489 JYT917489:JYX917489 KIP917489:KIT917489 KSL917489:KSP917489 LCH917489:LCL917489 LMD917489:LMH917489 LVZ917489:LWD917489 MFV917489:MFZ917489 MPR917489:MPV917489 MZN917489:MZR917489 NJJ917489:NJN917489 NTF917489:NTJ917489 ODB917489:ODF917489 OMX917489:ONB917489 OWT917489:OWX917489 PGP917489:PGT917489 PQL917489:PQP917489 QAH917489:QAL917489 QKD917489:QKH917489 QTZ917489:QUD917489 RDV917489:RDZ917489 RNR917489:RNV917489 RXN917489:RXR917489 SHJ917489:SHN917489 SRF917489:SRJ917489 TBB917489:TBF917489 TKX917489:TLB917489 TUT917489:TUX917489 UEP917489:UET917489 UOL917489:UOP917489 UYH917489:UYL917489 VID917489:VIH917489 VRZ917489:VSD917489 WBV917489:WBZ917489 WLR917489:WLV917489 WVN917489:WVR917489 B983025:I983025 JB983025:JF983025 SX983025:TB983025 ACT983025:ACX983025 AMP983025:AMT983025 AWL983025:AWP983025 BGH983025:BGL983025 BQD983025:BQH983025 BZZ983025:CAD983025 CJV983025:CJZ983025 CTR983025:CTV983025 DDN983025:DDR983025 DNJ983025:DNN983025 DXF983025:DXJ983025 EHB983025:EHF983025 EQX983025:ERB983025 FAT983025:FAX983025 FKP983025:FKT983025 FUL983025:FUP983025 GEH983025:GEL983025 GOD983025:GOH983025 GXZ983025:GYD983025 HHV983025:HHZ983025 HRR983025:HRV983025 IBN983025:IBR983025 ILJ983025:ILN983025 IVF983025:IVJ983025 JFB983025:JFF983025 JOX983025:JPB983025 JYT983025:JYX983025 KIP983025:KIT983025 KSL983025:KSP983025 LCH983025:LCL983025 LMD983025:LMH983025 LVZ983025:LWD983025 MFV983025:MFZ983025 MPR983025:MPV983025 MZN983025:MZR983025 NJJ983025:NJN983025 NTF983025:NTJ983025 ODB983025:ODF983025 OMX983025:ONB983025 OWT983025:OWX983025 PGP983025:PGT983025 PQL983025:PQP983025 QAH983025:QAL983025 QKD983025:QKH983025 QTZ983025:QUD983025 RDV983025:RDZ983025 RNR983025:RNV983025 RXN983025:RXR983025 SHJ983025:SHN983025 SRF983025:SRJ983025 TBB983025:TBF983025 TKX983025:TLB983025 TUT983025:TUX983025 UEP983025:UET983025 UOL983025:UOP983025 UYH983025:UYL983025 VID983025:VIH983025 VRZ983025:VSD983025 WBV983025:WBZ983025 ACT9:ACX9 ACT27:ACX37 SX9:TB9 SX27:TB37 JB9:JF9 JB27:JF37 WVN9:WVR9 WVN27:WVR37 WLR9:WLV9 WLR27:WLV37 WBV9:WBZ9 WBV27:WBZ37 VRZ9:VSD9 VRZ27:VSD37 VID9:VIH9 VID27:VIH37 UYH9:UYL9 UYH27:UYL37 UOL9:UOP9 UOL27:UOP37 UEP9:UET9 UEP27:UET37 TUT9:TUX9 TUT27:TUX37 TKX9:TLB9 TKX27:TLB37 TBB9:TBF9 TBB27:TBF37 SRF9:SRJ9 SRF27:SRJ37 SHJ9:SHN9 SHJ27:SHN37 RXN9:RXR9 RXN27:RXR37 RNR9:RNV9 RNR27:RNV37 RDV9:RDZ9 RDV27:RDZ37 QTZ9:QUD9 QTZ27:QUD37 QKD9:QKH9 QKD27:QKH37 QAH9:QAL9 QAH27:QAL37 PQL9:PQP9 PQL27:PQP37 PGP9:PGT9 PGP27:PGT37 OWT9:OWX9 OWT27:OWX37 OMX9:ONB9 OMX27:ONB37 ODB9:ODF9 ODB27:ODF37 NTF9:NTJ9 NTF27:NTJ37 NJJ9:NJN9 NJJ27:NJN37 MZN9:MZR9 MZN27:MZR37 MPR9:MPV9 MPR27:MPV37 MFV9:MFZ9 MFV27:MFZ37 LVZ9:LWD9 LVZ27:LWD37 LMD9:LMH9 LMD27:LMH37 LCH9:LCL9 LCH27:LCL37 KSL9:KSP9 KSL27:KSP37 KIP9:KIT9 KIP27:KIT37 JYT9:JYX9 JYT27:JYX37 JOX9:JPB9 JOX27:JPB37 JFB9:JFF9 JFB27:JFF37 IVF9:IVJ9 IVF27:IVJ37 ILJ9:ILN9 ILJ27:ILN37 IBN9:IBR9 IBN27:IBR37 HRR9:HRV9 HRR27:HRV37 HHV9:HHZ9 HHV27:HHZ37 GXZ9:GYD9 GXZ27:GYD37 GOD9:GOH9 GOD27:GOH37 GEH9:GEL9 GEH27:GEL37 FUL9:FUP9 FUL27:FUP37 FKP9:FKT9 FKP27:FKT37 FAT9:FAX9 FAT27:FAX37 EQX9:ERB9 EQX27:ERB37 EHB9:EHF9 EHB27:EHF37 DXF9:DXJ9 DXF27:DXJ37 DNJ9:DNN9 DNJ27:DNN37 DDN9:DDR9 DDN27:DDR37 CTR9:CTV9 CTR27:CTV37 CJV9:CJZ9 CJV27:CJZ37 BZZ9:CAD9 BZZ27:CAD37 BQD9:BQH9 BQD27:BQH37 BGH9:BGL9 BGH27:BGL37 AWL9:AWP9 AWL27:AWP37 AMP9:AMT9 AMP27:AMT37 ACT54:ACX54 ACT72:ACX82 SX54:TB54 SX72:TB82 JB54:JF54 JB72:JF82 WVN54:WVR54 WVN72:WVR82 WLR54:WLV54 WLR72:WLV82 WBV54:WBZ54 WBV72:WBZ82 VRZ54:VSD54 VRZ72:VSD82 VID54:VIH54 VID72:VIH82 UYH54:UYL54 UYH72:UYL82 UOL54:UOP54 UOL72:UOP82 UEP54:UET54 UEP72:UET82 TUT54:TUX54 TUT72:TUX82 TKX54:TLB54 TKX72:TLB82 TBB54:TBF54 TBB72:TBF82 SRF54:SRJ54 SRF72:SRJ82 SHJ54:SHN54 SHJ72:SHN82 RXN54:RXR54 RXN72:RXR82 RNR54:RNV54 RNR72:RNV82 RDV54:RDZ54 RDV72:RDZ82 QTZ54:QUD54 QTZ72:QUD82 QKD54:QKH54 QKD72:QKH82 QAH54:QAL54 QAH72:QAL82 PQL54:PQP54 PQL72:PQP82 PGP54:PGT54 PGP72:PGT82 OWT54:OWX54 OWT72:OWX82 OMX54:ONB54 OMX72:ONB82 ODB54:ODF54 ODB72:ODF82 NTF54:NTJ54 NTF72:NTJ82 NJJ54:NJN54 NJJ72:NJN82 MZN54:MZR54 MZN72:MZR82 MPR54:MPV54 MPR72:MPV82 MFV54:MFZ54 MFV72:MFZ82 LVZ54:LWD54 LVZ72:LWD82 LMD54:LMH54 LMD72:LMH82 LCH54:LCL54 LCH72:LCL82 KSL54:KSP54 KSL72:KSP82 KIP54:KIT54 KIP72:KIT82 JYT54:JYX54 JYT72:JYX82 JOX54:JPB54 JOX72:JPB82 JFB54:JFF54 JFB72:JFF82 IVF54:IVJ54 IVF72:IVJ82 ILJ54:ILN54 ILJ72:ILN82 IBN54:IBR54 IBN72:IBR82 HRR54:HRV54 HRR72:HRV82 HHV54:HHZ54 HHV72:HHZ82 GXZ54:GYD54 GXZ72:GYD82 GOD54:GOH54 GOD72:GOH82 GEH54:GEL54 GEH72:GEL82 FUL54:FUP54 FUL72:FUP82 FKP54:FKT54 FKP72:FKT82 FAT54:FAX54 FAT72:FAX82 EQX54:ERB54 EQX72:ERB82 EHB54:EHF54 EHB72:EHF82 DXF54:DXJ54 DXF72:DXJ82 DNJ54:DNN54 DNJ72:DNN82 DDN54:DDR54 DDN72:DDR82 CTR54:CTV54 CTR72:CTV82 CJV54:CJZ54 CJV72:CJZ82 BZZ54:CAD54 BZZ72:CAD82 BQD54:BQH54 BQD72:BQH82 BGH54:BGL54 BGH72:BGL82 AWL54:AWP54 AWL72:AWP82 AMP54:AMT54 AMP72:AMT82 ACT99:ACX99 ACT117:ACX127 SX99:TB99 SX117:TB127 JB99:JF99 JB117:JF127 WVN99:WVR99 WVN117:WVR127 WLR99:WLV99 WLR117:WLV127 WBV99:WBZ99 WBV117:WBZ127 VRZ99:VSD99 VRZ117:VSD127 VID99:VIH99 VID117:VIH127 UYH99:UYL99 UYH117:UYL127 UOL99:UOP99 UOL117:UOP127 UEP99:UET99 UEP117:UET127 TUT99:TUX99 TUT117:TUX127 TKX99:TLB99 TKX117:TLB127 TBB99:TBF99 TBB117:TBF127 SRF99:SRJ99 SRF117:SRJ127 SHJ99:SHN99 SHJ117:SHN127 RXN99:RXR99 RXN117:RXR127 RNR99:RNV99 RNR117:RNV127 RDV99:RDZ99 RDV117:RDZ127 QTZ99:QUD99 QTZ117:QUD127 QKD99:QKH99 QKD117:QKH127 QAH99:QAL99 QAH117:QAL127 PQL99:PQP99 PQL117:PQP127 PGP99:PGT99 PGP117:PGT127 OWT99:OWX99 OWT117:OWX127 OMX99:ONB99 OMX117:ONB127 ODB99:ODF99 ODB117:ODF127 NTF99:NTJ99 NTF117:NTJ127 NJJ99:NJN99 NJJ117:NJN127 MZN99:MZR99 MZN117:MZR127 MPR99:MPV99 MPR117:MPV127 MFV99:MFZ99 MFV117:MFZ127 LVZ99:LWD99 LVZ117:LWD127 LMD99:LMH99 LMD117:LMH127 LCH99:LCL99 LCH117:LCL127 KSL99:KSP99 KSL117:KSP127 KIP99:KIT99 KIP117:KIT127 JYT99:JYX99 JYT117:JYX127 JOX99:JPB99 JOX117:JPB127 JFB99:JFF99 JFB117:JFF127 IVF99:IVJ99 IVF117:IVJ127 ILJ99:ILN99 ILJ117:ILN127 IBN99:IBR99 IBN117:IBR127 HRR99:HRV99 HRR117:HRV127 HHV99:HHZ99 HHV117:HHZ127 GXZ99:GYD99 GXZ117:GYD127 GOD99:GOH99 GOD117:GOH127 GEH99:GEL99 GEH117:GEL127 FUL99:FUP99 FUL117:FUP127 FKP99:FKT99 FKP117:FKT127 FAT99:FAX99 FAT117:FAX127 EQX99:ERB99 EQX117:ERB127 EHB99:EHF99 EHB117:EHF127 DXF99:DXJ99 DXF117:DXJ127 DNJ99:DNN99 DNJ117:DNN127 DDN99:DDR99 DDN117:DDR127 CTR99:CTV99 CTR117:CTV127 CJV99:CJZ99 CJV117:CJZ127 BZZ99:CAD99 BZZ117:CAD127 BQD99:BQH99 BQD117:BQH127 BGH99:BGL99 BGH117:BGL127 AWL99:AWP99 AWL117:AWP127 AMP99:AMT99 AMP117:AMT127 ACT144:ACX144 ACT162:ACX172 SX144:TB144 SX162:TB172 JB144:JF144 JB162:JF172 WVN144:WVR144 WVN162:WVR172 WLR144:WLV144 WLR162:WLV172 WBV144:WBZ144 WBV162:WBZ172 VRZ144:VSD144 VRZ162:VSD172 VID144:VIH144 VID162:VIH172 UYH144:UYL144 UYH162:UYL172 UOL144:UOP144 UOL162:UOP172 UEP144:UET144 UEP162:UET172 TUT144:TUX144 TUT162:TUX172 TKX144:TLB144 TKX162:TLB172 TBB144:TBF144 TBB162:TBF172 SRF144:SRJ144 SRF162:SRJ172 SHJ144:SHN144 SHJ162:SHN172 RXN144:RXR144 RXN162:RXR172 RNR144:RNV144 RNR162:RNV172 RDV144:RDZ144 RDV162:RDZ172 QTZ144:QUD144 QTZ162:QUD172 QKD144:QKH144 QKD162:QKH172 QAH144:QAL144 QAH162:QAL172 PQL144:PQP144 PQL162:PQP172 PGP144:PGT144 PGP162:PGT172 OWT144:OWX144 OWT162:OWX172 OMX144:ONB144 OMX162:ONB172 ODB144:ODF144 ODB162:ODF172 NTF144:NTJ144 NTF162:NTJ172 NJJ144:NJN144 NJJ162:NJN172 MZN144:MZR144 MZN162:MZR172 MPR144:MPV144 MPR162:MPV172 MFV144:MFZ144 MFV162:MFZ172 LVZ144:LWD144 LVZ162:LWD172 LMD144:LMH144 LMD162:LMH172 LCH144:LCL144 LCH162:LCL172 KSL144:KSP144 KSL162:KSP172 KIP144:KIT144 KIP162:KIT172 JYT144:JYX144 JYT162:JYX172 JOX144:JPB144 JOX162:JPB172 JFB144:JFF144 JFB162:JFF172 IVF144:IVJ144 IVF162:IVJ172 ILJ144:ILN144 ILJ162:ILN172 IBN144:IBR144 IBN162:IBR172 HRR144:HRV144 HRR162:HRV172 HHV144:HHZ144 HHV162:HHZ172 GXZ144:GYD144 GXZ162:GYD172 GOD144:GOH144 GOD162:GOH172 GEH144:GEL144 GEH162:GEL172 FUL144:FUP144 FUL162:FUP172 FKP144:FKT144 FKP162:FKT172 FAT144:FAX144 FAT162:FAX172 EQX144:ERB144 EQX162:ERB172 EHB144:EHF144 EHB162:EHF172 DXF144:DXJ144 DXF162:DXJ172 DNJ144:DNN144 DNJ162:DNN172 DDN144:DDR144 DDN162:DDR172 CTR144:CTV144 CTR162:CTV172 CJV144:CJZ144 CJV162:CJZ172 BZZ144:CAD144 BZZ162:CAD172 BQD144:BQH144 BQD162:BQH172 BGH144:BGL144 BGH162:BGL172 AWL144:AWP144 AWL162:AWP172 AMP144:AMT144 AMP162:AMT172 ACT189:ACX189 ACT207:ACX217 SX189:TB189 SX207:TB217 JB189:JF189 JB207:JF217 WVN189:WVR189 WVN207:WVR217 WLR189:WLV189 WLR207:WLV217 WBV189:WBZ189 WBV207:WBZ217 VRZ189:VSD189 VRZ207:VSD217 VID189:VIH189 VID207:VIH217 UYH189:UYL189 UYH207:UYL217 UOL189:UOP189 UOL207:UOP217 UEP189:UET189 UEP207:UET217 TUT189:TUX189 TUT207:TUX217 TKX189:TLB189 TKX207:TLB217 TBB189:TBF189 TBB207:TBF217 SRF189:SRJ189 SRF207:SRJ217 SHJ189:SHN189 SHJ207:SHN217 RXN189:RXR189 RXN207:RXR217 RNR189:RNV189 RNR207:RNV217 RDV189:RDZ189 RDV207:RDZ217 QTZ189:QUD189 QTZ207:QUD217 QKD189:QKH189 QKD207:QKH217 QAH189:QAL189 QAH207:QAL217 PQL189:PQP189 PQL207:PQP217 PGP189:PGT189 PGP207:PGT217 OWT189:OWX189 OWT207:OWX217 OMX189:ONB189 OMX207:ONB217 ODB189:ODF189 ODB207:ODF217 NTF189:NTJ189 NTF207:NTJ217 NJJ189:NJN189 NJJ207:NJN217 MZN189:MZR189 MZN207:MZR217 MPR189:MPV189 MPR207:MPV217 MFV189:MFZ189 MFV207:MFZ217 LVZ189:LWD189 LVZ207:LWD217 LMD189:LMH189 LMD207:LMH217 LCH189:LCL189 LCH207:LCL217 KSL189:KSP189 KSL207:KSP217 KIP189:KIT189 KIP207:KIT217 JYT189:JYX189 JYT207:JYX217 JOX189:JPB189 JOX207:JPB217 JFB189:JFF189 JFB207:JFF217 IVF189:IVJ189 IVF207:IVJ217 ILJ189:ILN189 ILJ207:ILN217 IBN189:IBR189 IBN207:IBR217 HRR189:HRV189 HRR207:HRV217 HHV189:HHZ189 HHV207:HHZ217 GXZ189:GYD189 GXZ207:GYD217 GOD189:GOH189 GOD207:GOH217 GEH189:GEL189 GEH207:GEL217 FUL189:FUP189 FUL207:FUP217 FKP189:FKT189 FKP207:FKT217 FAT189:FAX189 FAT207:FAX217 EQX189:ERB189 EQX207:ERB217 EHB189:EHF189 EHB207:EHF217 DXF189:DXJ189 DXF207:DXJ217 DNJ189:DNN189 DNJ207:DNN217 DDN189:DDR189 DDN207:DDR217 CTR189:CTV189 CTR207:CTV217 CJV189:CJZ189 CJV207:CJZ217 BZZ189:CAD189 BZZ207:CAD217 BQD189:BQH189 BQD207:BQH217 BGH189:BGL189 BGH207:BGL217 AWL189:AWP189 AWL207:AWP217 AMP189:AMT189 AMP207:AMT217" xr:uid="{7B032365-4EE8-425D-BCB4-63415C76A8F7}"/>
  </dataValidations>
  <printOptions horizontalCentered="1"/>
  <pageMargins left="0.7" right="0.7" top="0.75" bottom="0.75" header="0.3" footer="0.3"/>
  <pageSetup paperSize="9" scale="90" fitToHeight="0" orientation="portrait" r:id="rId1"/>
  <headerFooter alignWithMargins="0">
    <oddFooter>&amp;R&amp;F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FC53-83D8-4468-9E6D-1D588FB7F591}">
  <dimension ref="A1:H47"/>
  <sheetViews>
    <sheetView workbookViewId="0"/>
  </sheetViews>
  <sheetFormatPr defaultColWidth="9.42578125" defaultRowHeight="15"/>
  <cols>
    <col min="1" max="1" width="9.42578125" style="150"/>
    <col min="2" max="2" width="12.42578125" style="150" customWidth="1"/>
    <col min="3" max="3" width="3.42578125" style="150" customWidth="1"/>
    <col min="4" max="4" width="15.5703125" style="150" customWidth="1"/>
    <col min="5" max="5" width="29" style="150" customWidth="1"/>
    <col min="6" max="6" width="38.5703125" style="150" customWidth="1"/>
    <col min="7" max="16384" width="9.42578125" style="150"/>
  </cols>
  <sheetData>
    <row r="1" spans="1:8" s="146" customFormat="1" ht="16.350000000000001" customHeight="1">
      <c r="D1" s="147"/>
      <c r="E1" s="148"/>
    </row>
    <row r="2" spans="1:8" ht="15.75">
      <c r="A2" s="149"/>
      <c r="B2" s="149"/>
      <c r="C2" s="149"/>
      <c r="D2" s="149"/>
      <c r="E2" s="149"/>
      <c r="F2" s="149"/>
    </row>
    <row r="3" spans="1:8" ht="138">
      <c r="A3" s="151"/>
      <c r="B3" s="151"/>
      <c r="C3" s="210" t="s">
        <v>1301</v>
      </c>
      <c r="D3" s="152" t="s">
        <v>1302</v>
      </c>
      <c r="E3" s="152" t="s">
        <v>1303</v>
      </c>
      <c r="F3" s="152" t="s">
        <v>1304</v>
      </c>
    </row>
    <row r="4" spans="1:8" ht="16.350000000000001" customHeight="1">
      <c r="A4" s="149"/>
      <c r="B4" s="153" t="s">
        <v>1305</v>
      </c>
      <c r="C4" s="178"/>
      <c r="D4" s="154"/>
      <c r="E4" s="154"/>
      <c r="F4" s="154"/>
    </row>
    <row r="5" spans="1:8" ht="16.350000000000001" customHeight="1">
      <c r="A5" s="149"/>
      <c r="B5" s="149"/>
      <c r="C5" s="211"/>
      <c r="D5" s="149" t="s">
        <v>1306</v>
      </c>
      <c r="E5" s="149" t="s">
        <v>1307</v>
      </c>
      <c r="F5" s="149" t="s">
        <v>1308</v>
      </c>
    </row>
    <row r="6" spans="1:8" ht="16.350000000000001" customHeight="1">
      <c r="A6" s="149"/>
      <c r="B6" s="149"/>
      <c r="C6" s="211"/>
      <c r="D6" s="149" t="s">
        <v>1309</v>
      </c>
      <c r="E6" s="149" t="s">
        <v>1310</v>
      </c>
      <c r="F6" s="149" t="s">
        <v>1311</v>
      </c>
    </row>
    <row r="7" spans="1:8" ht="16.350000000000001" customHeight="1">
      <c r="A7" s="149"/>
      <c r="B7" s="149"/>
      <c r="C7" s="175"/>
      <c r="D7" s="149" t="s">
        <v>1312</v>
      </c>
      <c r="E7" s="149" t="s">
        <v>1313</v>
      </c>
      <c r="F7" s="149" t="s">
        <v>1314</v>
      </c>
    </row>
    <row r="8" spans="1:8" ht="16.350000000000001" customHeight="1">
      <c r="A8" s="149"/>
      <c r="B8" s="149"/>
      <c r="C8" s="175"/>
      <c r="D8" s="149" t="s">
        <v>1315</v>
      </c>
      <c r="E8" s="149" t="s">
        <v>1316</v>
      </c>
      <c r="F8" s="149"/>
    </row>
    <row r="9" spans="1:8" ht="16.350000000000001" customHeight="1">
      <c r="A9" s="149"/>
      <c r="B9" s="153" t="s">
        <v>1317</v>
      </c>
      <c r="C9" s="178"/>
      <c r="D9" s="154"/>
      <c r="E9" s="154"/>
      <c r="F9" s="154" t="s">
        <v>1318</v>
      </c>
    </row>
    <row r="10" spans="1:8" ht="16.350000000000001" customHeight="1">
      <c r="A10" s="149"/>
      <c r="B10" s="149"/>
      <c r="C10" s="211"/>
      <c r="D10" s="149" t="s">
        <v>1319</v>
      </c>
      <c r="E10" s="155" t="s">
        <v>1320</v>
      </c>
      <c r="F10" s="155" t="s">
        <v>1321</v>
      </c>
      <c r="H10" s="149"/>
    </row>
    <row r="11" spans="1:8" ht="16.350000000000001" customHeight="1">
      <c r="A11" s="149"/>
      <c r="B11" s="149"/>
      <c r="C11" s="211"/>
      <c r="D11" s="149" t="s">
        <v>1322</v>
      </c>
      <c r="E11" s="155" t="s">
        <v>1323</v>
      </c>
      <c r="F11" s="155" t="s">
        <v>1324</v>
      </c>
    </row>
    <row r="12" spans="1:8" ht="16.350000000000001" customHeight="1">
      <c r="A12" s="149"/>
      <c r="B12" s="149"/>
      <c r="C12" s="211"/>
      <c r="D12" s="149" t="s">
        <v>1325</v>
      </c>
      <c r="E12" s="155" t="s">
        <v>1326</v>
      </c>
      <c r="F12" s="155" t="s">
        <v>1327</v>
      </c>
    </row>
    <row r="13" spans="1:8" ht="16.350000000000001" customHeight="1">
      <c r="A13" s="149"/>
      <c r="B13" s="149"/>
      <c r="C13" s="211"/>
      <c r="D13" s="149" t="s">
        <v>1328</v>
      </c>
      <c r="E13" s="155" t="s">
        <v>1329</v>
      </c>
      <c r="F13" s="155" t="s">
        <v>1330</v>
      </c>
    </row>
    <row r="14" spans="1:8" ht="16.350000000000001" customHeight="1">
      <c r="A14" s="149"/>
      <c r="B14" s="149"/>
      <c r="C14" s="211"/>
      <c r="D14" s="149" t="s">
        <v>1331</v>
      </c>
      <c r="E14" s="155" t="s">
        <v>1332</v>
      </c>
      <c r="F14" s="155" t="s">
        <v>1333</v>
      </c>
    </row>
    <row r="15" spans="1:8" ht="16.350000000000001" customHeight="1">
      <c r="A15" s="149"/>
      <c r="B15" s="149"/>
      <c r="C15" s="211"/>
      <c r="D15" s="149" t="s">
        <v>1334</v>
      </c>
      <c r="E15" s="155" t="s">
        <v>1335</v>
      </c>
      <c r="F15" s="155" t="s">
        <v>1336</v>
      </c>
    </row>
    <row r="16" spans="1:8" ht="16.350000000000001" customHeight="1">
      <c r="A16" s="149"/>
      <c r="B16" s="149"/>
      <c r="C16" s="211"/>
      <c r="D16" s="149" t="s">
        <v>1337</v>
      </c>
      <c r="E16" s="179" t="s">
        <v>1338</v>
      </c>
      <c r="F16" s="269" t="s">
        <v>1339</v>
      </c>
    </row>
    <row r="17" spans="1:8" ht="16.350000000000001" customHeight="1">
      <c r="A17" s="149"/>
      <c r="B17" s="149"/>
      <c r="C17" s="158"/>
      <c r="D17" s="149"/>
      <c r="E17" s="155"/>
      <c r="F17" s="155"/>
    </row>
    <row r="18" spans="1:8" ht="16.350000000000001" customHeight="1">
      <c r="A18" s="149"/>
      <c r="B18" s="153" t="s">
        <v>1340</v>
      </c>
      <c r="C18" s="178"/>
      <c r="D18" s="154"/>
      <c r="E18" s="154"/>
      <c r="F18" s="154" t="s">
        <v>1318</v>
      </c>
    </row>
    <row r="19" spans="1:8" ht="16.350000000000001" customHeight="1">
      <c r="A19" s="149"/>
      <c r="B19" s="149"/>
      <c r="C19" s="211"/>
      <c r="D19" s="149" t="s">
        <v>1325</v>
      </c>
      <c r="E19" s="155" t="s">
        <v>1326</v>
      </c>
      <c r="F19" s="155" t="s">
        <v>1327</v>
      </c>
    </row>
    <row r="20" spans="1:8" ht="16.350000000000001" customHeight="1">
      <c r="A20" s="149"/>
      <c r="B20" s="149"/>
      <c r="C20" s="211"/>
      <c r="D20" s="149" t="s">
        <v>1341</v>
      </c>
      <c r="E20" s="155" t="s">
        <v>1342</v>
      </c>
      <c r="F20" s="155" t="s">
        <v>1343</v>
      </c>
    </row>
    <row r="21" spans="1:8" ht="16.350000000000001" customHeight="1">
      <c r="A21" s="149"/>
      <c r="B21" s="149"/>
      <c r="C21" s="212"/>
      <c r="D21" s="149"/>
      <c r="E21" s="155"/>
      <c r="F21" s="155"/>
    </row>
    <row r="22" spans="1:8" ht="16.350000000000001" customHeight="1">
      <c r="A22" s="149"/>
      <c r="B22" s="153" t="s">
        <v>1344</v>
      </c>
      <c r="C22" s="178"/>
      <c r="D22" s="154"/>
      <c r="E22" s="154"/>
      <c r="F22" s="154" t="s">
        <v>1318</v>
      </c>
    </row>
    <row r="23" spans="1:8" ht="16.350000000000001" customHeight="1">
      <c r="A23" s="149"/>
      <c r="B23" s="149"/>
      <c r="C23" s="211"/>
      <c r="D23" s="149" t="s">
        <v>1345</v>
      </c>
      <c r="E23" s="156" t="s">
        <v>1346</v>
      </c>
      <c r="F23" s="156" t="s">
        <v>1347</v>
      </c>
    </row>
    <row r="24" spans="1:8" ht="16.350000000000001" customHeight="1">
      <c r="A24" s="149"/>
      <c r="B24" s="149"/>
      <c r="C24" s="211"/>
      <c r="D24" s="149" t="s">
        <v>1348</v>
      </c>
      <c r="E24" s="156" t="s">
        <v>1349</v>
      </c>
      <c r="F24" s="157" t="s">
        <v>1350</v>
      </c>
      <c r="H24" s="157"/>
    </row>
    <row r="25" spans="1:8" ht="16.350000000000001" customHeight="1">
      <c r="A25" s="149"/>
      <c r="B25" s="149"/>
      <c r="C25" s="211"/>
      <c r="D25" s="149" t="s">
        <v>1351</v>
      </c>
      <c r="E25" s="156" t="s">
        <v>1352</v>
      </c>
      <c r="F25" s="157" t="s">
        <v>1353</v>
      </c>
      <c r="H25" s="157"/>
    </row>
    <row r="26" spans="1:8" ht="16.350000000000001" customHeight="1">
      <c r="A26" s="149"/>
      <c r="B26" s="149"/>
      <c r="C26" s="211"/>
      <c r="D26" s="176" t="s">
        <v>1354</v>
      </c>
      <c r="E26" s="177" t="s">
        <v>1355</v>
      </c>
      <c r="F26" s="157" t="s">
        <v>1356</v>
      </c>
      <c r="H26" s="157"/>
    </row>
    <row r="27" spans="1:8" ht="16.350000000000001" customHeight="1">
      <c r="A27" s="149"/>
      <c r="B27" s="149"/>
      <c r="C27" s="211"/>
      <c r="D27" s="149" t="s">
        <v>1357</v>
      </c>
      <c r="E27" s="156" t="s">
        <v>1358</v>
      </c>
      <c r="F27" s="149" t="s">
        <v>1359</v>
      </c>
      <c r="H27" s="157"/>
    </row>
    <row r="28" spans="1:8" ht="16.350000000000001" customHeight="1">
      <c r="A28" s="149"/>
      <c r="B28" s="149"/>
      <c r="C28" s="211"/>
      <c r="D28" s="150" t="s">
        <v>1360</v>
      </c>
      <c r="E28" s="150" t="s">
        <v>1361</v>
      </c>
      <c r="F28" s="150" t="s">
        <v>1362</v>
      </c>
    </row>
    <row r="29" spans="1:8" ht="16.350000000000001" customHeight="1">
      <c r="A29" s="149"/>
      <c r="B29" s="149"/>
      <c r="C29" s="212"/>
      <c r="D29" s="149"/>
      <c r="E29" s="156"/>
    </row>
    <row r="30" spans="1:8" ht="16.350000000000001" customHeight="1">
      <c r="A30" s="149"/>
      <c r="B30" s="153" t="s">
        <v>1363</v>
      </c>
      <c r="C30" s="178"/>
      <c r="D30" s="154"/>
      <c r="E30" s="154"/>
      <c r="F30" s="154" t="s">
        <v>1318</v>
      </c>
    </row>
    <row r="31" spans="1:8" ht="16.350000000000001" customHeight="1">
      <c r="A31" s="149"/>
      <c r="B31" s="149"/>
      <c r="C31" s="211"/>
      <c r="D31" s="149" t="s">
        <v>1364</v>
      </c>
      <c r="E31" s="149" t="s">
        <v>1365</v>
      </c>
      <c r="F31" s="149" t="s">
        <v>1366</v>
      </c>
    </row>
    <row r="32" spans="1:8" ht="16.350000000000001" customHeight="1">
      <c r="A32" s="149"/>
      <c r="B32" s="149"/>
      <c r="C32" s="211"/>
      <c r="D32" s="149" t="s">
        <v>1367</v>
      </c>
      <c r="E32" s="149" t="s">
        <v>1368</v>
      </c>
      <c r="F32" s="149" t="s">
        <v>1369</v>
      </c>
    </row>
    <row r="33" spans="1:6" ht="16.350000000000001" customHeight="1">
      <c r="A33" s="149"/>
      <c r="B33" s="149"/>
      <c r="C33" s="211"/>
      <c r="D33" s="149" t="s">
        <v>1370</v>
      </c>
      <c r="E33" s="155" t="s">
        <v>1371</v>
      </c>
      <c r="F33" s="155" t="s">
        <v>1372</v>
      </c>
    </row>
    <row r="34" spans="1:6" ht="16.350000000000001" customHeight="1">
      <c r="A34" s="149"/>
      <c r="B34" s="149"/>
      <c r="C34" s="211"/>
      <c r="D34" s="149" t="s">
        <v>1373</v>
      </c>
      <c r="E34" s="155" t="s">
        <v>1374</v>
      </c>
      <c r="F34" s="155" t="s">
        <v>1375</v>
      </c>
    </row>
    <row r="35" spans="1:6" ht="16.350000000000001" customHeight="1">
      <c r="A35" s="149"/>
      <c r="B35" s="149"/>
      <c r="C35" s="211"/>
      <c r="D35" s="149" t="s">
        <v>1376</v>
      </c>
      <c r="E35" s="155" t="s">
        <v>1377</v>
      </c>
      <c r="F35" s="155" t="s">
        <v>1378</v>
      </c>
    </row>
    <row r="36" spans="1:6" ht="16.350000000000001" customHeight="1">
      <c r="A36" s="149"/>
      <c r="B36" s="149"/>
      <c r="C36" s="211"/>
      <c r="D36" s="149"/>
      <c r="E36" s="155"/>
      <c r="F36" s="155"/>
    </row>
    <row r="37" spans="1:6" ht="16.350000000000001" customHeight="1">
      <c r="A37" s="149"/>
      <c r="B37" s="149"/>
      <c r="C37" s="212"/>
      <c r="D37" s="149"/>
      <c r="E37" s="155"/>
      <c r="F37" s="155"/>
    </row>
    <row r="38" spans="1:6" ht="16.350000000000001" customHeight="1">
      <c r="A38" s="149"/>
      <c r="B38" s="153" t="s">
        <v>1379</v>
      </c>
      <c r="C38" s="178"/>
      <c r="D38" s="154"/>
      <c r="E38" s="154"/>
      <c r="F38" s="154"/>
    </row>
    <row r="39" spans="1:6" ht="16.350000000000001" customHeight="1">
      <c r="A39" s="149"/>
      <c r="B39" s="149"/>
      <c r="C39" s="211"/>
      <c r="D39" s="149" t="s">
        <v>1380</v>
      </c>
      <c r="E39" s="156" t="s">
        <v>1346</v>
      </c>
      <c r="F39" s="156" t="s">
        <v>1347</v>
      </c>
    </row>
    <row r="40" spans="1:6" ht="16.350000000000001" customHeight="1">
      <c r="A40" s="149"/>
      <c r="B40" s="149"/>
      <c r="C40" s="212"/>
      <c r="D40" s="149"/>
      <c r="E40" s="149"/>
      <c r="F40" s="149"/>
    </row>
    <row r="41" spans="1:6" ht="16.350000000000001" customHeight="1"/>
    <row r="42" spans="1:6" ht="16.350000000000001" customHeight="1"/>
    <row r="43" spans="1:6" ht="16.350000000000001" customHeight="1"/>
    <row r="44" spans="1:6" ht="16.350000000000001" customHeight="1"/>
    <row r="45" spans="1:6" ht="16.350000000000001" customHeight="1"/>
    <row r="46" spans="1:6" ht="16.350000000000001" customHeight="1"/>
    <row r="47" spans="1:6" ht="16.350000000000001" customHeight="1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ECB0-3E1F-4657-8C81-8B09D08C49D5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42A0C5C70DF646B8AF8B70ADED6AFC" ma:contentTypeVersion="13" ma:contentTypeDescription="Create a new document." ma:contentTypeScope="" ma:versionID="baf2c481733e678b2dc00285a5508cb4">
  <xsd:schema xmlns:xsd="http://www.w3.org/2001/XMLSchema" xmlns:xs="http://www.w3.org/2001/XMLSchema" xmlns:p="http://schemas.microsoft.com/office/2006/metadata/properties" xmlns:ns2="9d140631-535a-41bf-a6a8-3634b41b6590" xmlns:ns3="542f5736-a7c6-49ef-ae39-24cf9f125786" targetNamespace="http://schemas.microsoft.com/office/2006/metadata/properties" ma:root="true" ma:fieldsID="56c7835f53019bcbe82e5ed4ab6b04b9" ns2:_="" ns3:_="">
    <xsd:import namespace="9d140631-535a-41bf-a6a8-3634b41b6590"/>
    <xsd:import namespace="542f5736-a7c6-49ef-ae39-24cf9f1257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40631-535a-41bf-a6a8-3634b41b65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99d6f-68ff-4e96-9761-5980e2fcc9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2f5736-a7c6-49ef-ae39-24cf9f1257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3224dc-a6ab-4075-a45b-4a418284b916}" ma:internalName="TaxCatchAll" ma:showField="CatchAllData" ma:web="542f5736-a7c6-49ef-ae39-24cf9f1257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140631-535a-41bf-a6a8-3634b41b6590">
      <Terms xmlns="http://schemas.microsoft.com/office/infopath/2007/PartnerControls"/>
    </lcf76f155ced4ddcb4097134ff3c332f>
    <TaxCatchAll xmlns="542f5736-a7c6-49ef-ae39-24cf9f12578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E5757-CD32-4E9F-AACA-9884E085AFBD}"/>
</file>

<file path=customXml/itemProps2.xml><?xml version="1.0" encoding="utf-8"?>
<ds:datastoreItem xmlns:ds="http://schemas.openxmlformats.org/officeDocument/2006/customXml" ds:itemID="{AFADD693-AEE6-41F2-9AE3-DA0D5AD3F93A}"/>
</file>

<file path=customXml/itemProps3.xml><?xml version="1.0" encoding="utf-8"?>
<ds:datastoreItem xmlns:ds="http://schemas.openxmlformats.org/officeDocument/2006/customXml" ds:itemID="{053E7C72-9DC9-4305-84B2-5EAA9003FF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Talhapol L.</Manager>
  <Company>Metric COnsulting Engineers &amp; Architects Co.,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Design Deliverables</dc:title>
  <dc:subject>RYG Sapparot 2 Project</dc:subject>
  <dc:creator>Metric</dc:creator>
  <cp:keywords/>
  <dc:description/>
  <cp:lastModifiedBy/>
  <cp:revision/>
  <dcterms:created xsi:type="dcterms:W3CDTF">2014-03-28T01:57:06Z</dcterms:created>
  <dcterms:modified xsi:type="dcterms:W3CDTF">2026-05-14T09:33:15Z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0x010100A442A0C5C70DF646B8AF8B70ADED6AFC</vt:lpwstr>
  </property>
  <property fmtid="{D5CDD505-2E9C-101B-9397-08002B2CF9AE}" pid="3" name="MediaServiceImageTags">
    <vt:lpwstr/>
  </property>
  <property fmtid="{D5CDD505-2E9C-101B-9397-08002B2CF9AE}" pid="4" name="Order">
    <vt:r8>8600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